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SANTIAGO\Analisis de datos\"/>
    </mc:Choice>
  </mc:AlternateContent>
  <bookViews>
    <workbookView xWindow="0" yWindow="0" windowWidth="28800" windowHeight="12315"/>
  </bookViews>
  <sheets>
    <sheet name="Reclamo de Equipaj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433" i="1" l="1"/>
  <c r="AD2433" i="1"/>
  <c r="AC2433" i="1"/>
  <c r="AB2433" i="1"/>
  <c r="AA2433" i="1"/>
  <c r="T2433" i="1"/>
  <c r="AA2431" i="1"/>
  <c r="T2431" i="1"/>
  <c r="AG2430" i="1"/>
  <c r="AG2431" i="1" s="1"/>
  <c r="AG2432" i="1" s="1"/>
  <c r="AG2433" i="1" s="1"/>
  <c r="AF2430" i="1"/>
  <c r="AF2431" i="1" s="1"/>
  <c r="AF2432" i="1" s="1"/>
  <c r="AF2433" i="1" s="1"/>
  <c r="AE2430" i="1"/>
  <c r="AE2431" i="1" s="1"/>
  <c r="AA2430" i="1"/>
  <c r="T2430" i="1"/>
  <c r="AG2429" i="1"/>
  <c r="AF2429" i="1"/>
  <c r="AE2429" i="1"/>
  <c r="AD2429" i="1"/>
  <c r="AD2430" i="1" s="1"/>
  <c r="AD2431" i="1" s="1"/>
  <c r="AC2429" i="1"/>
  <c r="AC2430" i="1" s="1"/>
  <c r="AC2431" i="1" s="1"/>
  <c r="AB2429" i="1"/>
  <c r="AB2430" i="1" s="1"/>
  <c r="AB2431" i="1" s="1"/>
  <c r="AA2429" i="1"/>
  <c r="T2429" i="1"/>
  <c r="AG2426" i="1"/>
  <c r="AF2426" i="1"/>
  <c r="AE2426" i="1"/>
  <c r="AD2426" i="1"/>
  <c r="AC2426" i="1"/>
  <c r="AB2426" i="1"/>
  <c r="AA2426" i="1"/>
  <c r="T2426" i="1"/>
  <c r="AD2424" i="1"/>
  <c r="AC2424" i="1"/>
  <c r="AB2424" i="1"/>
  <c r="AA2424" i="1"/>
  <c r="T2424" i="1"/>
  <c r="AD2423" i="1"/>
  <c r="AC2423" i="1"/>
  <c r="AB2423" i="1"/>
  <c r="AA2423" i="1"/>
  <c r="T2423" i="1"/>
  <c r="AG2422" i="1"/>
  <c r="AG2423" i="1" s="1"/>
  <c r="AG2424" i="1" s="1"/>
  <c r="AF2422" i="1"/>
  <c r="AF2423" i="1" s="1"/>
  <c r="AF2424" i="1" s="1"/>
  <c r="AE2422" i="1"/>
  <c r="AE2423" i="1" s="1"/>
  <c r="AE2424" i="1" s="1"/>
  <c r="AD2422" i="1"/>
  <c r="AC2422" i="1"/>
  <c r="AB2422" i="1"/>
  <c r="AA2422" i="1"/>
  <c r="T2422" i="1"/>
  <c r="AG2420" i="1"/>
  <c r="AF2420" i="1"/>
  <c r="AE2420" i="1"/>
  <c r="AD2420" i="1"/>
  <c r="AC2420" i="1"/>
  <c r="AG2419" i="1"/>
  <c r="AF2419" i="1"/>
  <c r="AE2419" i="1"/>
  <c r="AD2419" i="1"/>
  <c r="AC2419" i="1"/>
  <c r="AB2419" i="1"/>
  <c r="AB2420" i="1" s="1"/>
  <c r="AA2419" i="1"/>
  <c r="AA2420" i="1" s="1"/>
  <c r="T2419" i="1"/>
  <c r="T2420" i="1" s="1"/>
  <c r="AC2406" i="1"/>
  <c r="AC2407" i="1" s="1"/>
  <c r="AC2408" i="1" s="1"/>
  <c r="AC2409" i="1" s="1"/>
  <c r="AC2410" i="1" s="1"/>
  <c r="AC2411" i="1" s="1"/>
  <c r="AC2412" i="1" s="1"/>
  <c r="AC2413" i="1" s="1"/>
  <c r="AC2414" i="1" s="1"/>
  <c r="AC2415" i="1" s="1"/>
  <c r="AC2416" i="1" s="1"/>
  <c r="AC2417" i="1" s="1"/>
  <c r="AB2406" i="1"/>
  <c r="AB2407" i="1" s="1"/>
  <c r="AB2408" i="1" s="1"/>
  <c r="AB2409" i="1" s="1"/>
  <c r="AB2410" i="1" s="1"/>
  <c r="AB2411" i="1" s="1"/>
  <c r="AB2412" i="1" s="1"/>
  <c r="AB2413" i="1" s="1"/>
  <c r="AB2414" i="1" s="1"/>
  <c r="AB2415" i="1" s="1"/>
  <c r="AB2416" i="1" s="1"/>
  <c r="AB2417" i="1" s="1"/>
  <c r="AC2405" i="1"/>
  <c r="AB2405" i="1"/>
  <c r="T2405" i="1"/>
  <c r="T2406" i="1" s="1"/>
  <c r="T2407" i="1" s="1"/>
  <c r="T2408" i="1" s="1"/>
  <c r="T2409" i="1" s="1"/>
  <c r="T2410" i="1" s="1"/>
  <c r="T2411" i="1" s="1"/>
  <c r="T2412" i="1" s="1"/>
  <c r="T2413" i="1" s="1"/>
  <c r="T2414" i="1" s="1"/>
  <c r="T2415" i="1" s="1"/>
  <c r="T2416" i="1" s="1"/>
  <c r="T2417" i="1" s="1"/>
  <c r="S2405" i="1"/>
  <c r="S2406" i="1" s="1"/>
  <c r="S2407" i="1" s="1"/>
  <c r="S2408" i="1" s="1"/>
  <c r="S2409" i="1" s="1"/>
  <c r="S2410" i="1" s="1"/>
  <c r="S2411" i="1" s="1"/>
  <c r="S2412" i="1" s="1"/>
  <c r="S2413" i="1" s="1"/>
  <c r="S2414" i="1" s="1"/>
  <c r="S2415" i="1" s="1"/>
  <c r="S2416" i="1" s="1"/>
  <c r="S2417" i="1" s="1"/>
  <c r="S2418" i="1" s="1"/>
  <c r="S2419" i="1" s="1"/>
  <c r="S2420" i="1" s="1"/>
  <c r="S2421" i="1" s="1"/>
  <c r="S2422" i="1" s="1"/>
  <c r="S2423" i="1" s="1"/>
  <c r="S2424" i="1" s="1"/>
  <c r="S2425" i="1" s="1"/>
  <c r="S2426" i="1" s="1"/>
  <c r="S2427" i="1" s="1"/>
  <c r="S2428" i="1" s="1"/>
  <c r="S2429" i="1" s="1"/>
  <c r="S2430" i="1" s="1"/>
  <c r="S2431" i="1" s="1"/>
  <c r="S2432" i="1" s="1"/>
  <c r="S2433" i="1" s="1"/>
  <c r="AG2404" i="1"/>
  <c r="AG2405" i="1" s="1"/>
  <c r="AG2406" i="1" s="1"/>
  <c r="AG2407" i="1" s="1"/>
  <c r="AG2408" i="1" s="1"/>
  <c r="AG2409" i="1" s="1"/>
  <c r="AG2410" i="1" s="1"/>
  <c r="AG2411" i="1" s="1"/>
  <c r="AG2412" i="1" s="1"/>
  <c r="AG2413" i="1" s="1"/>
  <c r="AG2414" i="1" s="1"/>
  <c r="AG2415" i="1" s="1"/>
  <c r="AG2416" i="1" s="1"/>
  <c r="AG2417" i="1" s="1"/>
  <c r="AC2404" i="1"/>
  <c r="AB2404" i="1"/>
  <c r="T2404" i="1"/>
  <c r="S2404" i="1"/>
  <c r="AG2403" i="1"/>
  <c r="AF2403" i="1"/>
  <c r="AF2404" i="1" s="1"/>
  <c r="AF2405" i="1" s="1"/>
  <c r="AF2406" i="1" s="1"/>
  <c r="AF2407" i="1" s="1"/>
  <c r="AF2408" i="1" s="1"/>
  <c r="AF2409" i="1" s="1"/>
  <c r="AF2410" i="1" s="1"/>
  <c r="AF2411" i="1" s="1"/>
  <c r="AF2412" i="1" s="1"/>
  <c r="AF2413" i="1" s="1"/>
  <c r="AF2414" i="1" s="1"/>
  <c r="AF2415" i="1" s="1"/>
  <c r="AF2416" i="1" s="1"/>
  <c r="AF2417" i="1" s="1"/>
  <c r="AE2403" i="1"/>
  <c r="AE2404" i="1" s="1"/>
  <c r="AE2405" i="1" s="1"/>
  <c r="AE2406" i="1" s="1"/>
  <c r="AE2407" i="1" s="1"/>
  <c r="AE2408" i="1" s="1"/>
  <c r="AE2409" i="1" s="1"/>
  <c r="AE2410" i="1" s="1"/>
  <c r="AE2411" i="1" s="1"/>
  <c r="AE2412" i="1" s="1"/>
  <c r="AE2413" i="1" s="1"/>
  <c r="AE2414" i="1" s="1"/>
  <c r="AE2415" i="1" s="1"/>
  <c r="AE2416" i="1" s="1"/>
  <c r="AE2417" i="1" s="1"/>
  <c r="AD2403" i="1"/>
  <c r="AD2404" i="1" s="1"/>
  <c r="AD2405" i="1" s="1"/>
  <c r="AD2406" i="1" s="1"/>
  <c r="AD2407" i="1" s="1"/>
  <c r="AD2408" i="1" s="1"/>
  <c r="AD2409" i="1" s="1"/>
  <c r="AD2410" i="1" s="1"/>
  <c r="AD2411" i="1" s="1"/>
  <c r="AD2412" i="1" s="1"/>
  <c r="AD2413" i="1" s="1"/>
  <c r="AD2414" i="1" s="1"/>
  <c r="AD2415" i="1" s="1"/>
  <c r="AD2416" i="1" s="1"/>
  <c r="AD2417" i="1" s="1"/>
  <c r="AC2403" i="1"/>
  <c r="AB2403" i="1"/>
  <c r="AA2403" i="1"/>
  <c r="AA2404" i="1" s="1"/>
  <c r="AA2405" i="1" s="1"/>
  <c r="AA2406" i="1" s="1"/>
  <c r="AA2407" i="1" s="1"/>
  <c r="AA2408" i="1" s="1"/>
  <c r="AA2409" i="1" s="1"/>
  <c r="AA2410" i="1" s="1"/>
  <c r="AA2411" i="1" s="1"/>
  <c r="AA2412" i="1" s="1"/>
  <c r="AA2413" i="1" s="1"/>
  <c r="AA2414" i="1" s="1"/>
  <c r="AA2415" i="1" s="1"/>
  <c r="AA2416" i="1" s="1"/>
  <c r="AA2417" i="1" s="1"/>
  <c r="T2403" i="1"/>
  <c r="S2403" i="1"/>
  <c r="AB2397" i="1"/>
  <c r="AB2398" i="1" s="1"/>
  <c r="AB2399" i="1" s="1"/>
  <c r="AB2400" i="1" s="1"/>
  <c r="AB2401" i="1" s="1"/>
  <c r="AB2396" i="1"/>
  <c r="T2396" i="1"/>
  <c r="T2397" i="1" s="1"/>
  <c r="T2398" i="1" s="1"/>
  <c r="T2399" i="1" s="1"/>
  <c r="T2400" i="1" s="1"/>
  <c r="T2401" i="1" s="1"/>
  <c r="AG2395" i="1"/>
  <c r="AG2396" i="1" s="1"/>
  <c r="AG2397" i="1" s="1"/>
  <c r="AG2398" i="1" s="1"/>
  <c r="AG2399" i="1" s="1"/>
  <c r="AG2400" i="1" s="1"/>
  <c r="AG2401" i="1" s="1"/>
  <c r="AB2395" i="1"/>
  <c r="T2395" i="1"/>
  <c r="AG2394" i="1"/>
  <c r="AF2394" i="1"/>
  <c r="AF2395" i="1" s="1"/>
  <c r="AF2396" i="1" s="1"/>
  <c r="AF2397" i="1" s="1"/>
  <c r="AF2398" i="1" s="1"/>
  <c r="AF2399" i="1" s="1"/>
  <c r="AF2400" i="1" s="1"/>
  <c r="AF2401" i="1" s="1"/>
  <c r="AE2394" i="1"/>
  <c r="AE2395" i="1" s="1"/>
  <c r="AE2396" i="1" s="1"/>
  <c r="AE2397" i="1" s="1"/>
  <c r="AE2398" i="1" s="1"/>
  <c r="AE2399" i="1" s="1"/>
  <c r="AE2400" i="1" s="1"/>
  <c r="AE2401" i="1" s="1"/>
  <c r="AD2394" i="1"/>
  <c r="AD2395" i="1" s="1"/>
  <c r="AD2396" i="1" s="1"/>
  <c r="AD2397" i="1" s="1"/>
  <c r="AD2398" i="1" s="1"/>
  <c r="AD2399" i="1" s="1"/>
  <c r="AD2400" i="1" s="1"/>
  <c r="AD2401" i="1" s="1"/>
  <c r="AC2394" i="1"/>
  <c r="AC2395" i="1" s="1"/>
  <c r="AC2396" i="1" s="1"/>
  <c r="AC2397" i="1" s="1"/>
  <c r="AC2398" i="1" s="1"/>
  <c r="AC2399" i="1" s="1"/>
  <c r="AC2400" i="1" s="1"/>
  <c r="AC2401" i="1" s="1"/>
  <c r="AB2394" i="1"/>
  <c r="AA2394" i="1"/>
  <c r="AA2395" i="1" s="1"/>
  <c r="AA2396" i="1" s="1"/>
  <c r="AA2397" i="1" s="1"/>
  <c r="AA2398" i="1" s="1"/>
  <c r="AA2399" i="1" s="1"/>
  <c r="AA2400" i="1" s="1"/>
  <c r="AA2401" i="1" s="1"/>
  <c r="T2394" i="1"/>
  <c r="AE2392" i="1"/>
  <c r="AD2392" i="1"/>
  <c r="AC2392" i="1"/>
  <c r="AB2392" i="1"/>
  <c r="AA2392" i="1"/>
  <c r="T2392" i="1"/>
  <c r="AF2379" i="1"/>
  <c r="AF2380" i="1" s="1"/>
  <c r="AF2381" i="1" s="1"/>
  <c r="AF2382" i="1" s="1"/>
  <c r="AF2383" i="1" s="1"/>
  <c r="AF2384" i="1" s="1"/>
  <c r="AF2385" i="1" s="1"/>
  <c r="AF2386" i="1" s="1"/>
  <c r="AF2387" i="1" s="1"/>
  <c r="AF2388" i="1" s="1"/>
  <c r="AF2389" i="1" s="1"/>
  <c r="AF2390" i="1" s="1"/>
  <c r="AF2391" i="1" s="1"/>
  <c r="AF2392" i="1" s="1"/>
  <c r="AF2378" i="1"/>
  <c r="AD2378" i="1"/>
  <c r="AD2379" i="1" s="1"/>
  <c r="AD2380" i="1" s="1"/>
  <c r="AD2381" i="1" s="1"/>
  <c r="AD2382" i="1" s="1"/>
  <c r="AD2383" i="1" s="1"/>
  <c r="AD2384" i="1" s="1"/>
  <c r="AD2385" i="1" s="1"/>
  <c r="AD2386" i="1" s="1"/>
  <c r="AD2387" i="1" s="1"/>
  <c r="AD2388" i="1" s="1"/>
  <c r="AD2389" i="1" s="1"/>
  <c r="AD2390" i="1" s="1"/>
  <c r="AC2378" i="1"/>
  <c r="AC2379" i="1" s="1"/>
  <c r="AC2380" i="1" s="1"/>
  <c r="AC2381" i="1" s="1"/>
  <c r="AC2382" i="1" s="1"/>
  <c r="AC2383" i="1" s="1"/>
  <c r="AC2384" i="1" s="1"/>
  <c r="AC2385" i="1" s="1"/>
  <c r="AC2386" i="1" s="1"/>
  <c r="AC2387" i="1" s="1"/>
  <c r="AC2388" i="1" s="1"/>
  <c r="AC2389" i="1" s="1"/>
  <c r="AC2390" i="1" s="1"/>
  <c r="AB2378" i="1"/>
  <c r="AB2379" i="1" s="1"/>
  <c r="AB2380" i="1" s="1"/>
  <c r="AB2381" i="1" s="1"/>
  <c r="AB2382" i="1" s="1"/>
  <c r="AB2383" i="1" s="1"/>
  <c r="AB2384" i="1" s="1"/>
  <c r="AB2385" i="1" s="1"/>
  <c r="AB2386" i="1" s="1"/>
  <c r="AB2387" i="1" s="1"/>
  <c r="AB2388" i="1" s="1"/>
  <c r="AB2389" i="1" s="1"/>
  <c r="AB2390" i="1" s="1"/>
  <c r="AF2377" i="1"/>
  <c r="AD2377" i="1"/>
  <c r="AC2377" i="1"/>
  <c r="AB2377" i="1"/>
  <c r="AA2377" i="1"/>
  <c r="AA2378" i="1" s="1"/>
  <c r="AA2379" i="1" s="1"/>
  <c r="AA2380" i="1" s="1"/>
  <c r="AA2381" i="1" s="1"/>
  <c r="AA2382" i="1" s="1"/>
  <c r="AA2383" i="1" s="1"/>
  <c r="AA2384" i="1" s="1"/>
  <c r="AA2385" i="1" s="1"/>
  <c r="AA2386" i="1" s="1"/>
  <c r="AA2387" i="1" s="1"/>
  <c r="AA2388" i="1" s="1"/>
  <c r="AA2389" i="1" s="1"/>
  <c r="AA2390" i="1" s="1"/>
  <c r="T2377" i="1"/>
  <c r="T2378" i="1" s="1"/>
  <c r="T2379" i="1" s="1"/>
  <c r="T2380" i="1" s="1"/>
  <c r="T2381" i="1" s="1"/>
  <c r="T2382" i="1" s="1"/>
  <c r="T2383" i="1" s="1"/>
  <c r="T2384" i="1" s="1"/>
  <c r="T2385" i="1" s="1"/>
  <c r="T2386" i="1" s="1"/>
  <c r="T2387" i="1" s="1"/>
  <c r="T2388" i="1" s="1"/>
  <c r="T2389" i="1" s="1"/>
  <c r="T2390" i="1" s="1"/>
  <c r="AG2376" i="1"/>
  <c r="AG2377" i="1" s="1"/>
  <c r="AG2378" i="1" s="1"/>
  <c r="AG2379" i="1" s="1"/>
  <c r="AG2380" i="1" s="1"/>
  <c r="AG2381" i="1" s="1"/>
  <c r="AG2382" i="1" s="1"/>
  <c r="AG2383" i="1" s="1"/>
  <c r="AG2384" i="1" s="1"/>
  <c r="AG2385" i="1" s="1"/>
  <c r="AG2386" i="1" s="1"/>
  <c r="AG2387" i="1" s="1"/>
  <c r="AG2388" i="1" s="1"/>
  <c r="AG2389" i="1" s="1"/>
  <c r="AG2390" i="1" s="1"/>
  <c r="AG2391" i="1" s="1"/>
  <c r="AG2392" i="1" s="1"/>
  <c r="AF2376" i="1"/>
  <c r="AE2376" i="1"/>
  <c r="AE2377" i="1" s="1"/>
  <c r="AE2378" i="1" s="1"/>
  <c r="AE2379" i="1" s="1"/>
  <c r="AE2380" i="1" s="1"/>
  <c r="AE2381" i="1" s="1"/>
  <c r="AE2382" i="1" s="1"/>
  <c r="AE2383" i="1" s="1"/>
  <c r="AE2384" i="1" s="1"/>
  <c r="AE2385" i="1" s="1"/>
  <c r="AE2386" i="1" s="1"/>
  <c r="AE2387" i="1" s="1"/>
  <c r="AE2388" i="1" s="1"/>
  <c r="AE2389" i="1" s="1"/>
  <c r="AE2390" i="1" s="1"/>
  <c r="AD2376" i="1"/>
  <c r="AC2376" i="1"/>
  <c r="AB2376" i="1"/>
  <c r="AA2376" i="1"/>
  <c r="T2376" i="1"/>
  <c r="AD2353" i="1"/>
  <c r="AD2354" i="1" s="1"/>
  <c r="AD2355" i="1" s="1"/>
  <c r="AD2356" i="1" s="1"/>
  <c r="AD2357" i="1" s="1"/>
  <c r="AD2358" i="1" s="1"/>
  <c r="AD2359" i="1" s="1"/>
  <c r="AD2360" i="1" s="1"/>
  <c r="AD2361" i="1" s="1"/>
  <c r="AD2362" i="1" s="1"/>
  <c r="AD2363" i="1" s="1"/>
  <c r="AD2364" i="1" s="1"/>
  <c r="AD2365" i="1" s="1"/>
  <c r="AD2366" i="1" s="1"/>
  <c r="AD2367" i="1" s="1"/>
  <c r="AD2368" i="1" s="1"/>
  <c r="AD2369" i="1" s="1"/>
  <c r="AD2370" i="1" s="1"/>
  <c r="AD2371" i="1" s="1"/>
  <c r="AD2372" i="1" s="1"/>
  <c r="AD2373" i="1" s="1"/>
  <c r="AD2374" i="1" s="1"/>
  <c r="AC2353" i="1"/>
  <c r="AC2354" i="1" s="1"/>
  <c r="AC2355" i="1" s="1"/>
  <c r="AC2356" i="1" s="1"/>
  <c r="AC2357" i="1" s="1"/>
  <c r="AC2358" i="1" s="1"/>
  <c r="AC2359" i="1" s="1"/>
  <c r="AC2360" i="1" s="1"/>
  <c r="AC2361" i="1" s="1"/>
  <c r="AC2362" i="1" s="1"/>
  <c r="AC2363" i="1" s="1"/>
  <c r="AC2364" i="1" s="1"/>
  <c r="AC2365" i="1" s="1"/>
  <c r="AC2366" i="1" s="1"/>
  <c r="AC2367" i="1" s="1"/>
  <c r="AC2368" i="1" s="1"/>
  <c r="AC2369" i="1" s="1"/>
  <c r="AC2370" i="1" s="1"/>
  <c r="AC2371" i="1" s="1"/>
  <c r="AC2372" i="1" s="1"/>
  <c r="AC2373" i="1" s="1"/>
  <c r="AC2374" i="1" s="1"/>
  <c r="AG2350" i="1"/>
  <c r="AG2351" i="1" s="1"/>
  <c r="AG2352" i="1" s="1"/>
  <c r="AG2353" i="1" s="1"/>
  <c r="AG2354" i="1" s="1"/>
  <c r="AG2355" i="1" s="1"/>
  <c r="AG2356" i="1" s="1"/>
  <c r="AG2357" i="1" s="1"/>
  <c r="AG2358" i="1" s="1"/>
  <c r="AG2359" i="1" s="1"/>
  <c r="AG2360" i="1" s="1"/>
  <c r="AG2361" i="1" s="1"/>
  <c r="AG2362" i="1" s="1"/>
  <c r="AG2363" i="1" s="1"/>
  <c r="AG2364" i="1" s="1"/>
  <c r="AG2365" i="1" s="1"/>
  <c r="AG2366" i="1" s="1"/>
  <c r="AG2367" i="1" s="1"/>
  <c r="AG2368" i="1" s="1"/>
  <c r="AG2369" i="1" s="1"/>
  <c r="AG2370" i="1" s="1"/>
  <c r="AG2371" i="1" s="1"/>
  <c r="AG2372" i="1" s="1"/>
  <c r="AG2373" i="1" s="1"/>
  <c r="AG2374" i="1" s="1"/>
  <c r="AF2350" i="1"/>
  <c r="AF2351" i="1" s="1"/>
  <c r="AF2352" i="1" s="1"/>
  <c r="AF2353" i="1" s="1"/>
  <c r="AF2354" i="1" s="1"/>
  <c r="AF2355" i="1" s="1"/>
  <c r="AF2356" i="1" s="1"/>
  <c r="AF2357" i="1" s="1"/>
  <c r="AF2358" i="1" s="1"/>
  <c r="AF2359" i="1" s="1"/>
  <c r="AF2360" i="1" s="1"/>
  <c r="AF2361" i="1" s="1"/>
  <c r="AF2362" i="1" s="1"/>
  <c r="AF2363" i="1" s="1"/>
  <c r="AF2364" i="1" s="1"/>
  <c r="AF2365" i="1" s="1"/>
  <c r="AF2366" i="1" s="1"/>
  <c r="AF2367" i="1" s="1"/>
  <c r="AF2368" i="1" s="1"/>
  <c r="AF2369" i="1" s="1"/>
  <c r="AF2370" i="1" s="1"/>
  <c r="AF2371" i="1" s="1"/>
  <c r="AF2372" i="1" s="1"/>
  <c r="AF2373" i="1" s="1"/>
  <c r="AF2374" i="1" s="1"/>
  <c r="AG2349" i="1"/>
  <c r="AF2349" i="1"/>
  <c r="AE2349" i="1"/>
  <c r="AE2350" i="1" s="1"/>
  <c r="AE2351" i="1" s="1"/>
  <c r="AE2352" i="1" s="1"/>
  <c r="AE2353" i="1" s="1"/>
  <c r="AE2354" i="1" s="1"/>
  <c r="AE2355" i="1" s="1"/>
  <c r="AE2356" i="1" s="1"/>
  <c r="AE2357" i="1" s="1"/>
  <c r="AE2358" i="1" s="1"/>
  <c r="AE2359" i="1" s="1"/>
  <c r="AE2360" i="1" s="1"/>
  <c r="AE2361" i="1" s="1"/>
  <c r="AE2362" i="1" s="1"/>
  <c r="AE2363" i="1" s="1"/>
  <c r="AE2364" i="1" s="1"/>
  <c r="AE2365" i="1" s="1"/>
  <c r="AE2366" i="1" s="1"/>
  <c r="AE2367" i="1" s="1"/>
  <c r="AE2368" i="1" s="1"/>
  <c r="AE2369" i="1" s="1"/>
  <c r="AE2370" i="1" s="1"/>
  <c r="AE2371" i="1" s="1"/>
  <c r="AE2372" i="1" s="1"/>
  <c r="AE2373" i="1" s="1"/>
  <c r="AE2374" i="1" s="1"/>
  <c r="AD2349" i="1"/>
  <c r="AD2350" i="1" s="1"/>
  <c r="AD2351" i="1" s="1"/>
  <c r="AD2352" i="1" s="1"/>
  <c r="AC2349" i="1"/>
  <c r="AC2350" i="1" s="1"/>
  <c r="AC2351" i="1" s="1"/>
  <c r="AC2352" i="1" s="1"/>
  <c r="AG2348" i="1"/>
  <c r="AF2348" i="1"/>
  <c r="AE2348" i="1"/>
  <c r="AD2348" i="1"/>
  <c r="AC2348" i="1"/>
  <c r="AB2348" i="1"/>
  <c r="AB2349" i="1" s="1"/>
  <c r="AB2350" i="1" s="1"/>
  <c r="AB2351" i="1" s="1"/>
  <c r="AB2352" i="1" s="1"/>
  <c r="AB2353" i="1" s="1"/>
  <c r="AB2354" i="1" s="1"/>
  <c r="AB2355" i="1" s="1"/>
  <c r="AB2356" i="1" s="1"/>
  <c r="AB2357" i="1" s="1"/>
  <c r="AB2358" i="1" s="1"/>
  <c r="AB2359" i="1" s="1"/>
  <c r="AB2360" i="1" s="1"/>
  <c r="AB2361" i="1" s="1"/>
  <c r="AB2362" i="1" s="1"/>
  <c r="AB2363" i="1" s="1"/>
  <c r="AB2364" i="1" s="1"/>
  <c r="AB2365" i="1" s="1"/>
  <c r="AB2366" i="1" s="1"/>
  <c r="AB2367" i="1" s="1"/>
  <c r="AB2368" i="1" s="1"/>
  <c r="AB2369" i="1" s="1"/>
  <c r="AB2370" i="1" s="1"/>
  <c r="AB2371" i="1" s="1"/>
  <c r="AB2372" i="1" s="1"/>
  <c r="AB2373" i="1" s="1"/>
  <c r="AB2374" i="1" s="1"/>
  <c r="AA2348" i="1"/>
  <c r="AA2349" i="1" s="1"/>
  <c r="AA2350" i="1" s="1"/>
  <c r="AA2351" i="1" s="1"/>
  <c r="AA2352" i="1" s="1"/>
  <c r="AA2353" i="1" s="1"/>
  <c r="AA2354" i="1" s="1"/>
  <c r="AA2355" i="1" s="1"/>
  <c r="AA2356" i="1" s="1"/>
  <c r="AA2357" i="1" s="1"/>
  <c r="AA2358" i="1" s="1"/>
  <c r="AA2359" i="1" s="1"/>
  <c r="AA2360" i="1" s="1"/>
  <c r="AA2361" i="1" s="1"/>
  <c r="AA2362" i="1" s="1"/>
  <c r="AA2363" i="1" s="1"/>
  <c r="AA2364" i="1" s="1"/>
  <c r="AA2365" i="1" s="1"/>
  <c r="AA2366" i="1" s="1"/>
  <c r="AA2367" i="1" s="1"/>
  <c r="AA2368" i="1" s="1"/>
  <c r="AA2369" i="1" s="1"/>
  <c r="AA2370" i="1" s="1"/>
  <c r="AA2371" i="1" s="1"/>
  <c r="AA2372" i="1" s="1"/>
  <c r="AA2373" i="1" s="1"/>
  <c r="AA2374" i="1" s="1"/>
  <c r="T2348" i="1"/>
  <c r="T2349" i="1" s="1"/>
  <c r="T2350" i="1" s="1"/>
  <c r="T2351" i="1" s="1"/>
  <c r="T2352" i="1" s="1"/>
  <c r="T2353" i="1" s="1"/>
  <c r="T2354" i="1" s="1"/>
  <c r="T2355" i="1" s="1"/>
  <c r="T2356" i="1" s="1"/>
  <c r="T2357" i="1" s="1"/>
  <c r="T2358" i="1" s="1"/>
  <c r="T2359" i="1" s="1"/>
  <c r="T2360" i="1" s="1"/>
  <c r="T2361" i="1" s="1"/>
  <c r="T2362" i="1" s="1"/>
  <c r="T2363" i="1" s="1"/>
  <c r="T2364" i="1" s="1"/>
  <c r="T2365" i="1" s="1"/>
  <c r="T2366" i="1" s="1"/>
  <c r="T2367" i="1" s="1"/>
  <c r="T2368" i="1" s="1"/>
  <c r="T2369" i="1" s="1"/>
  <c r="T2370" i="1" s="1"/>
  <c r="T2371" i="1" s="1"/>
  <c r="T2372" i="1" s="1"/>
  <c r="T2373" i="1" s="1"/>
  <c r="T2374" i="1" s="1"/>
  <c r="S2348" i="1"/>
  <c r="S2349" i="1" s="1"/>
  <c r="S2350" i="1" s="1"/>
  <c r="S2351" i="1" s="1"/>
  <c r="S2352" i="1" s="1"/>
  <c r="S2353" i="1" s="1"/>
  <c r="S2354" i="1" s="1"/>
  <c r="S2355" i="1" s="1"/>
  <c r="S2356" i="1" s="1"/>
  <c r="S2357" i="1" s="1"/>
  <c r="S2358" i="1" s="1"/>
  <c r="S2359" i="1" s="1"/>
  <c r="S2360" i="1" s="1"/>
  <c r="S2361" i="1" s="1"/>
  <c r="S2362" i="1" s="1"/>
  <c r="S2363" i="1" s="1"/>
  <c r="S2364" i="1" s="1"/>
  <c r="S2365" i="1" s="1"/>
  <c r="S2366" i="1" s="1"/>
  <c r="S2367" i="1" s="1"/>
  <c r="S2368" i="1" s="1"/>
  <c r="S2369" i="1" s="1"/>
  <c r="S2370" i="1" s="1"/>
  <c r="S2371" i="1" s="1"/>
  <c r="S2372" i="1" s="1"/>
  <c r="S2373" i="1" s="1"/>
  <c r="S2374" i="1" s="1"/>
  <c r="S2375" i="1" s="1"/>
  <c r="S2376" i="1" s="1"/>
  <c r="S2377" i="1" s="1"/>
  <c r="S2378" i="1" s="1"/>
  <c r="S2379" i="1" s="1"/>
  <c r="S2380" i="1" s="1"/>
  <c r="S2381" i="1" s="1"/>
  <c r="S2382" i="1" s="1"/>
  <c r="S2383" i="1" s="1"/>
  <c r="S2384" i="1" s="1"/>
  <c r="S2385" i="1" s="1"/>
  <c r="S2386" i="1" s="1"/>
  <c r="S2387" i="1" s="1"/>
  <c r="S2388" i="1" s="1"/>
  <c r="S2389" i="1" s="1"/>
  <c r="S2390" i="1" s="1"/>
  <c r="S2391" i="1" s="1"/>
  <c r="S2392" i="1" s="1"/>
  <c r="S2393" i="1" s="1"/>
  <c r="S2394" i="1" s="1"/>
  <c r="S2395" i="1" s="1"/>
  <c r="S2396" i="1" s="1"/>
  <c r="S2397" i="1" s="1"/>
  <c r="S2398" i="1" s="1"/>
  <c r="S2399" i="1" s="1"/>
  <c r="S2400" i="1" s="1"/>
  <c r="S2401" i="1" s="1"/>
  <c r="AD2344" i="1"/>
  <c r="AD2345" i="1" s="1"/>
  <c r="AD2346" i="1" s="1"/>
  <c r="AA2343" i="1"/>
  <c r="AA2344" i="1" s="1"/>
  <c r="AA2345" i="1" s="1"/>
  <c r="AA2346" i="1" s="1"/>
  <c r="T2343" i="1"/>
  <c r="T2344" i="1" s="1"/>
  <c r="T2345" i="1" s="1"/>
  <c r="T2346" i="1" s="1"/>
  <c r="AG2341" i="1"/>
  <c r="AG2342" i="1" s="1"/>
  <c r="AG2343" i="1" s="1"/>
  <c r="AG2344" i="1" s="1"/>
  <c r="AG2345" i="1" s="1"/>
  <c r="AG2346" i="1" s="1"/>
  <c r="AF2341" i="1"/>
  <c r="AF2342" i="1" s="1"/>
  <c r="AF2343" i="1" s="1"/>
  <c r="AF2344" i="1" s="1"/>
  <c r="AF2345" i="1" s="1"/>
  <c r="AF2346" i="1" s="1"/>
  <c r="AG2340" i="1"/>
  <c r="AF2340" i="1"/>
  <c r="AE2340" i="1"/>
  <c r="AE2341" i="1" s="1"/>
  <c r="AE2342" i="1" s="1"/>
  <c r="AE2343" i="1" s="1"/>
  <c r="AE2344" i="1" s="1"/>
  <c r="AE2345" i="1" s="1"/>
  <c r="AE2346" i="1" s="1"/>
  <c r="AD2340" i="1"/>
  <c r="AD2341" i="1" s="1"/>
  <c r="AD2342" i="1" s="1"/>
  <c r="AD2343" i="1" s="1"/>
  <c r="AC2340" i="1"/>
  <c r="AC2341" i="1" s="1"/>
  <c r="AC2342" i="1" s="1"/>
  <c r="AC2343" i="1" s="1"/>
  <c r="AC2344" i="1" s="1"/>
  <c r="AC2345" i="1" s="1"/>
  <c r="AC2346" i="1" s="1"/>
  <c r="AB2340" i="1"/>
  <c r="AB2341" i="1" s="1"/>
  <c r="AB2342" i="1" s="1"/>
  <c r="AB2343" i="1" s="1"/>
  <c r="AB2344" i="1" s="1"/>
  <c r="AB2345" i="1" s="1"/>
  <c r="AB2346" i="1" s="1"/>
  <c r="AA2340" i="1"/>
  <c r="AA2341" i="1" s="1"/>
  <c r="AA2342" i="1" s="1"/>
  <c r="T2340" i="1"/>
  <c r="T2341" i="1" s="1"/>
  <c r="T2342" i="1" s="1"/>
  <c r="AC2338" i="1"/>
  <c r="AB2338" i="1"/>
  <c r="AA2338" i="1"/>
  <c r="AC2337" i="1"/>
  <c r="AB2337" i="1"/>
  <c r="AA2337" i="1"/>
  <c r="T2337" i="1"/>
  <c r="T2338" i="1" s="1"/>
  <c r="AG2336" i="1"/>
  <c r="AG2337" i="1" s="1"/>
  <c r="AG2338" i="1" s="1"/>
  <c r="AF2336" i="1"/>
  <c r="AF2337" i="1" s="1"/>
  <c r="AF2338" i="1" s="1"/>
  <c r="AE2336" i="1"/>
  <c r="AE2337" i="1" s="1"/>
  <c r="AE2338" i="1" s="1"/>
  <c r="AD2336" i="1"/>
  <c r="AD2337" i="1" s="1"/>
  <c r="AD2338" i="1" s="1"/>
  <c r="AC2336" i="1"/>
  <c r="AB2336" i="1"/>
  <c r="AA2336" i="1"/>
  <c r="T2336" i="1"/>
  <c r="AA2324" i="1"/>
  <c r="AA2325" i="1" s="1"/>
  <c r="AA2326" i="1" s="1"/>
  <c r="AA2327" i="1" s="1"/>
  <c r="AA2328" i="1" s="1"/>
  <c r="AA2329" i="1" s="1"/>
  <c r="AA2330" i="1" s="1"/>
  <c r="AA2331" i="1" s="1"/>
  <c r="AA2332" i="1" s="1"/>
  <c r="AA2333" i="1" s="1"/>
  <c r="AA2334" i="1" s="1"/>
  <c r="AE2321" i="1"/>
  <c r="AE2322" i="1" s="1"/>
  <c r="AE2323" i="1" s="1"/>
  <c r="AE2324" i="1" s="1"/>
  <c r="AE2325" i="1" s="1"/>
  <c r="AE2326" i="1" s="1"/>
  <c r="AE2327" i="1" s="1"/>
  <c r="AE2328" i="1" s="1"/>
  <c r="AE2329" i="1" s="1"/>
  <c r="AE2330" i="1" s="1"/>
  <c r="AE2331" i="1" s="1"/>
  <c r="AE2332" i="1" s="1"/>
  <c r="AE2333" i="1" s="1"/>
  <c r="AE2334" i="1" s="1"/>
  <c r="AD2321" i="1"/>
  <c r="AD2322" i="1" s="1"/>
  <c r="AD2323" i="1" s="1"/>
  <c r="AD2324" i="1" s="1"/>
  <c r="AD2325" i="1" s="1"/>
  <c r="AD2326" i="1" s="1"/>
  <c r="AD2327" i="1" s="1"/>
  <c r="AD2328" i="1" s="1"/>
  <c r="AD2329" i="1" s="1"/>
  <c r="AD2330" i="1" s="1"/>
  <c r="AD2331" i="1" s="1"/>
  <c r="AD2332" i="1" s="1"/>
  <c r="AD2333" i="1" s="1"/>
  <c r="AD2334" i="1" s="1"/>
  <c r="AA2320" i="1"/>
  <c r="AA2321" i="1" s="1"/>
  <c r="AA2322" i="1" s="1"/>
  <c r="AA2323" i="1" s="1"/>
  <c r="AG2318" i="1"/>
  <c r="AG2319" i="1" s="1"/>
  <c r="AG2320" i="1" s="1"/>
  <c r="AG2321" i="1" s="1"/>
  <c r="AG2322" i="1" s="1"/>
  <c r="AG2323" i="1" s="1"/>
  <c r="AG2324" i="1" s="1"/>
  <c r="AG2325" i="1" s="1"/>
  <c r="AG2326" i="1" s="1"/>
  <c r="AG2327" i="1" s="1"/>
  <c r="AG2328" i="1" s="1"/>
  <c r="AG2329" i="1" s="1"/>
  <c r="AG2330" i="1" s="1"/>
  <c r="AG2331" i="1" s="1"/>
  <c r="AG2332" i="1" s="1"/>
  <c r="AG2333" i="1" s="1"/>
  <c r="AG2334" i="1" s="1"/>
  <c r="AF2318" i="1"/>
  <c r="AF2319" i="1" s="1"/>
  <c r="AF2320" i="1" s="1"/>
  <c r="AF2321" i="1" s="1"/>
  <c r="AF2322" i="1" s="1"/>
  <c r="AF2323" i="1" s="1"/>
  <c r="AF2324" i="1" s="1"/>
  <c r="AF2325" i="1" s="1"/>
  <c r="AF2326" i="1" s="1"/>
  <c r="AF2327" i="1" s="1"/>
  <c r="AF2328" i="1" s="1"/>
  <c r="AF2329" i="1" s="1"/>
  <c r="AF2330" i="1" s="1"/>
  <c r="AF2331" i="1" s="1"/>
  <c r="AF2332" i="1" s="1"/>
  <c r="AF2333" i="1" s="1"/>
  <c r="AF2334" i="1" s="1"/>
  <c r="AE2318" i="1"/>
  <c r="AE2319" i="1" s="1"/>
  <c r="AE2320" i="1" s="1"/>
  <c r="AG2317" i="1"/>
  <c r="AF2317" i="1"/>
  <c r="AE2317" i="1"/>
  <c r="AD2317" i="1"/>
  <c r="AD2318" i="1" s="1"/>
  <c r="AD2319" i="1" s="1"/>
  <c r="AD2320" i="1" s="1"/>
  <c r="AC2317" i="1"/>
  <c r="AC2318" i="1" s="1"/>
  <c r="AC2319" i="1" s="1"/>
  <c r="AC2320" i="1" s="1"/>
  <c r="AC2321" i="1" s="1"/>
  <c r="AC2322" i="1" s="1"/>
  <c r="AC2323" i="1" s="1"/>
  <c r="AC2324" i="1" s="1"/>
  <c r="AC2325" i="1" s="1"/>
  <c r="AC2326" i="1" s="1"/>
  <c r="AC2327" i="1" s="1"/>
  <c r="AC2328" i="1" s="1"/>
  <c r="AC2329" i="1" s="1"/>
  <c r="AC2330" i="1" s="1"/>
  <c r="AC2331" i="1" s="1"/>
  <c r="AC2332" i="1" s="1"/>
  <c r="AC2333" i="1" s="1"/>
  <c r="AC2334" i="1" s="1"/>
  <c r="AB2317" i="1"/>
  <c r="AB2318" i="1" s="1"/>
  <c r="AB2319" i="1" s="1"/>
  <c r="AB2320" i="1" s="1"/>
  <c r="AB2321" i="1" s="1"/>
  <c r="AB2322" i="1" s="1"/>
  <c r="AB2323" i="1" s="1"/>
  <c r="AB2324" i="1" s="1"/>
  <c r="AB2325" i="1" s="1"/>
  <c r="AB2326" i="1" s="1"/>
  <c r="AB2327" i="1" s="1"/>
  <c r="AB2328" i="1" s="1"/>
  <c r="AB2329" i="1" s="1"/>
  <c r="AB2330" i="1" s="1"/>
  <c r="AB2331" i="1" s="1"/>
  <c r="AB2332" i="1" s="1"/>
  <c r="AB2333" i="1" s="1"/>
  <c r="AB2334" i="1" s="1"/>
  <c r="AG2316" i="1"/>
  <c r="AF2316" i="1"/>
  <c r="AE2316" i="1"/>
  <c r="AD2316" i="1"/>
  <c r="AC2316" i="1"/>
  <c r="AB2316" i="1"/>
  <c r="AA2316" i="1"/>
  <c r="AA2317" i="1" s="1"/>
  <c r="AA2318" i="1" s="1"/>
  <c r="AA2319" i="1" s="1"/>
  <c r="T2316" i="1"/>
  <c r="T2317" i="1" s="1"/>
  <c r="T2318" i="1" s="1"/>
  <c r="T2319" i="1" s="1"/>
  <c r="T2320" i="1" s="1"/>
  <c r="T2321" i="1" s="1"/>
  <c r="T2322" i="1" s="1"/>
  <c r="T2323" i="1" s="1"/>
  <c r="T2324" i="1" s="1"/>
  <c r="T2325" i="1" s="1"/>
  <c r="T2326" i="1" s="1"/>
  <c r="T2327" i="1" s="1"/>
  <c r="T2328" i="1" s="1"/>
  <c r="T2329" i="1" s="1"/>
  <c r="T2330" i="1" s="1"/>
  <c r="T2331" i="1" s="1"/>
  <c r="T2332" i="1" s="1"/>
  <c r="T2333" i="1" s="1"/>
  <c r="T2334" i="1" s="1"/>
  <c r="AD2303" i="1"/>
  <c r="AD2304" i="1" s="1"/>
  <c r="AD2305" i="1" s="1"/>
  <c r="AD2306" i="1" s="1"/>
  <c r="AD2307" i="1" s="1"/>
  <c r="AD2308" i="1" s="1"/>
  <c r="AD2309" i="1" s="1"/>
  <c r="AD2310" i="1" s="1"/>
  <c r="AD2311" i="1" s="1"/>
  <c r="AD2312" i="1" s="1"/>
  <c r="AD2313" i="1" s="1"/>
  <c r="AD2314" i="1" s="1"/>
  <c r="AB2291" i="1"/>
  <c r="AB2292" i="1" s="1"/>
  <c r="AB2293" i="1" s="1"/>
  <c r="AB2294" i="1" s="1"/>
  <c r="AB2295" i="1" s="1"/>
  <c r="AB2296" i="1" s="1"/>
  <c r="AB2297" i="1" s="1"/>
  <c r="AB2298" i="1" s="1"/>
  <c r="AB2299" i="1" s="1"/>
  <c r="AB2300" i="1" s="1"/>
  <c r="AB2301" i="1" s="1"/>
  <c r="AB2302" i="1" s="1"/>
  <c r="AB2303" i="1" s="1"/>
  <c r="AB2304" i="1" s="1"/>
  <c r="AB2305" i="1" s="1"/>
  <c r="AB2306" i="1" s="1"/>
  <c r="AB2307" i="1" s="1"/>
  <c r="AB2308" i="1" s="1"/>
  <c r="AB2309" i="1" s="1"/>
  <c r="AB2310" i="1" s="1"/>
  <c r="AB2311" i="1" s="1"/>
  <c r="AB2312" i="1" s="1"/>
  <c r="AB2313" i="1" s="1"/>
  <c r="AB2314" i="1" s="1"/>
  <c r="AB2290" i="1"/>
  <c r="AA2290" i="1"/>
  <c r="AA2291" i="1" s="1"/>
  <c r="AA2292" i="1" s="1"/>
  <c r="AA2293" i="1" s="1"/>
  <c r="AA2294" i="1" s="1"/>
  <c r="AA2295" i="1" s="1"/>
  <c r="AA2296" i="1" s="1"/>
  <c r="AA2297" i="1" s="1"/>
  <c r="AA2298" i="1" s="1"/>
  <c r="AA2299" i="1" s="1"/>
  <c r="AA2300" i="1" s="1"/>
  <c r="AA2301" i="1" s="1"/>
  <c r="AA2302" i="1" s="1"/>
  <c r="AA2303" i="1" s="1"/>
  <c r="AA2304" i="1" s="1"/>
  <c r="AA2305" i="1" s="1"/>
  <c r="AA2306" i="1" s="1"/>
  <c r="AA2307" i="1" s="1"/>
  <c r="AA2308" i="1" s="1"/>
  <c r="AA2309" i="1" s="1"/>
  <c r="AA2310" i="1" s="1"/>
  <c r="AA2311" i="1" s="1"/>
  <c r="AA2312" i="1" s="1"/>
  <c r="AA2313" i="1" s="1"/>
  <c r="AA2314" i="1" s="1"/>
  <c r="AC2289" i="1"/>
  <c r="AC2290" i="1" s="1"/>
  <c r="AC2291" i="1" s="1"/>
  <c r="AC2292" i="1" s="1"/>
  <c r="AC2293" i="1" s="1"/>
  <c r="AC2294" i="1" s="1"/>
  <c r="AC2295" i="1" s="1"/>
  <c r="AC2296" i="1" s="1"/>
  <c r="AC2297" i="1" s="1"/>
  <c r="AC2298" i="1" s="1"/>
  <c r="AC2299" i="1" s="1"/>
  <c r="AC2300" i="1" s="1"/>
  <c r="AC2301" i="1" s="1"/>
  <c r="AC2302" i="1" s="1"/>
  <c r="AC2303" i="1" s="1"/>
  <c r="AC2304" i="1" s="1"/>
  <c r="AC2305" i="1" s="1"/>
  <c r="AC2306" i="1" s="1"/>
  <c r="AC2307" i="1" s="1"/>
  <c r="AC2308" i="1" s="1"/>
  <c r="AC2309" i="1" s="1"/>
  <c r="AC2310" i="1" s="1"/>
  <c r="AC2311" i="1" s="1"/>
  <c r="AC2312" i="1" s="1"/>
  <c r="AC2313" i="1" s="1"/>
  <c r="AC2314" i="1" s="1"/>
  <c r="AB2289" i="1"/>
  <c r="AA2289" i="1"/>
  <c r="AG2288" i="1"/>
  <c r="AG2289" i="1" s="1"/>
  <c r="AG2290" i="1" s="1"/>
  <c r="AG2291" i="1" s="1"/>
  <c r="AG2292" i="1" s="1"/>
  <c r="AG2293" i="1" s="1"/>
  <c r="AG2294" i="1" s="1"/>
  <c r="AG2295" i="1" s="1"/>
  <c r="AG2296" i="1" s="1"/>
  <c r="AG2297" i="1" s="1"/>
  <c r="AG2298" i="1" s="1"/>
  <c r="AG2299" i="1" s="1"/>
  <c r="AG2300" i="1" s="1"/>
  <c r="AG2301" i="1" s="1"/>
  <c r="AG2302" i="1" s="1"/>
  <c r="AG2303" i="1" s="1"/>
  <c r="AG2304" i="1" s="1"/>
  <c r="AG2305" i="1" s="1"/>
  <c r="AG2306" i="1" s="1"/>
  <c r="AG2307" i="1" s="1"/>
  <c r="AG2308" i="1" s="1"/>
  <c r="AG2309" i="1" s="1"/>
  <c r="AG2310" i="1" s="1"/>
  <c r="AG2311" i="1" s="1"/>
  <c r="AG2312" i="1" s="1"/>
  <c r="AG2313" i="1" s="1"/>
  <c r="AG2314" i="1" s="1"/>
  <c r="AF2288" i="1"/>
  <c r="AF2289" i="1" s="1"/>
  <c r="AF2290" i="1" s="1"/>
  <c r="AF2291" i="1" s="1"/>
  <c r="AF2292" i="1" s="1"/>
  <c r="AF2293" i="1" s="1"/>
  <c r="AF2294" i="1" s="1"/>
  <c r="AF2295" i="1" s="1"/>
  <c r="AF2296" i="1" s="1"/>
  <c r="AF2297" i="1" s="1"/>
  <c r="AF2298" i="1" s="1"/>
  <c r="AF2299" i="1" s="1"/>
  <c r="AF2300" i="1" s="1"/>
  <c r="AF2301" i="1" s="1"/>
  <c r="AF2302" i="1" s="1"/>
  <c r="AF2303" i="1" s="1"/>
  <c r="AF2304" i="1" s="1"/>
  <c r="AF2305" i="1" s="1"/>
  <c r="AF2306" i="1" s="1"/>
  <c r="AF2307" i="1" s="1"/>
  <c r="AF2308" i="1" s="1"/>
  <c r="AF2309" i="1" s="1"/>
  <c r="AF2310" i="1" s="1"/>
  <c r="AF2311" i="1" s="1"/>
  <c r="AF2312" i="1" s="1"/>
  <c r="AF2313" i="1" s="1"/>
  <c r="AF2314" i="1" s="1"/>
  <c r="AE2288" i="1"/>
  <c r="AE2289" i="1" s="1"/>
  <c r="AE2290" i="1" s="1"/>
  <c r="AE2291" i="1" s="1"/>
  <c r="AE2292" i="1" s="1"/>
  <c r="AE2293" i="1" s="1"/>
  <c r="AE2294" i="1" s="1"/>
  <c r="AE2295" i="1" s="1"/>
  <c r="AE2296" i="1" s="1"/>
  <c r="AE2297" i="1" s="1"/>
  <c r="AE2298" i="1" s="1"/>
  <c r="AE2299" i="1" s="1"/>
  <c r="AE2300" i="1" s="1"/>
  <c r="AE2301" i="1" s="1"/>
  <c r="AE2302" i="1" s="1"/>
  <c r="AE2303" i="1" s="1"/>
  <c r="AE2304" i="1" s="1"/>
  <c r="AE2305" i="1" s="1"/>
  <c r="AE2306" i="1" s="1"/>
  <c r="AE2307" i="1" s="1"/>
  <c r="AE2308" i="1" s="1"/>
  <c r="AE2309" i="1" s="1"/>
  <c r="AE2310" i="1" s="1"/>
  <c r="AE2311" i="1" s="1"/>
  <c r="AE2312" i="1" s="1"/>
  <c r="AE2313" i="1" s="1"/>
  <c r="AE2314" i="1" s="1"/>
  <c r="AD2288" i="1"/>
  <c r="AD2289" i="1" s="1"/>
  <c r="AD2290" i="1" s="1"/>
  <c r="AD2291" i="1" s="1"/>
  <c r="AD2292" i="1" s="1"/>
  <c r="AD2293" i="1" s="1"/>
  <c r="AD2294" i="1" s="1"/>
  <c r="AD2295" i="1" s="1"/>
  <c r="AD2296" i="1" s="1"/>
  <c r="AD2297" i="1" s="1"/>
  <c r="AD2298" i="1" s="1"/>
  <c r="AD2299" i="1" s="1"/>
  <c r="AD2300" i="1" s="1"/>
  <c r="AD2301" i="1" s="1"/>
  <c r="AD2302" i="1" s="1"/>
  <c r="AC2288" i="1"/>
  <c r="AB2288" i="1"/>
  <c r="AA2288" i="1"/>
  <c r="T2288" i="1"/>
  <c r="T2289" i="1" s="1"/>
  <c r="T2290" i="1" s="1"/>
  <c r="T2291" i="1" s="1"/>
  <c r="T2292" i="1" s="1"/>
  <c r="T2293" i="1" s="1"/>
  <c r="T2294" i="1" s="1"/>
  <c r="T2295" i="1" s="1"/>
  <c r="T2296" i="1" s="1"/>
  <c r="T2297" i="1" s="1"/>
  <c r="T2298" i="1" s="1"/>
  <c r="T2299" i="1" s="1"/>
  <c r="T2300" i="1" s="1"/>
  <c r="T2301" i="1" s="1"/>
  <c r="T2302" i="1" s="1"/>
  <c r="T2303" i="1" s="1"/>
  <c r="T2304" i="1" s="1"/>
  <c r="T2305" i="1" s="1"/>
  <c r="T2306" i="1" s="1"/>
  <c r="T2307" i="1" s="1"/>
  <c r="T2308" i="1" s="1"/>
  <c r="T2309" i="1" s="1"/>
  <c r="T2310" i="1" s="1"/>
  <c r="T2311" i="1" s="1"/>
  <c r="T2312" i="1" s="1"/>
  <c r="T2313" i="1" s="1"/>
  <c r="T2314" i="1" s="1"/>
  <c r="AG2285" i="1"/>
  <c r="AG2286" i="1" s="1"/>
  <c r="T2285" i="1"/>
  <c r="T2286" i="1" s="1"/>
  <c r="T2284" i="1"/>
  <c r="S2284" i="1"/>
  <c r="S2285" i="1" s="1"/>
  <c r="S2286" i="1" s="1"/>
  <c r="S2287" i="1" s="1"/>
  <c r="S2288" i="1" s="1"/>
  <c r="S2289" i="1" s="1"/>
  <c r="S2290" i="1" s="1"/>
  <c r="S2291" i="1" s="1"/>
  <c r="S2292" i="1" s="1"/>
  <c r="S2293" i="1" s="1"/>
  <c r="S2294" i="1" s="1"/>
  <c r="S2295" i="1" s="1"/>
  <c r="S2296" i="1" s="1"/>
  <c r="S2297" i="1" s="1"/>
  <c r="S2298" i="1" s="1"/>
  <c r="S2299" i="1" s="1"/>
  <c r="S2300" i="1" s="1"/>
  <c r="S2301" i="1" s="1"/>
  <c r="S2302" i="1" s="1"/>
  <c r="S2303" i="1" s="1"/>
  <c r="S2304" i="1" s="1"/>
  <c r="S2305" i="1" s="1"/>
  <c r="S2306" i="1" s="1"/>
  <c r="S2307" i="1" s="1"/>
  <c r="S2308" i="1" s="1"/>
  <c r="S2309" i="1" s="1"/>
  <c r="S2310" i="1" s="1"/>
  <c r="S2311" i="1" s="1"/>
  <c r="S2312" i="1" s="1"/>
  <c r="S2313" i="1" s="1"/>
  <c r="S2314" i="1" s="1"/>
  <c r="S2315" i="1" s="1"/>
  <c r="S2316" i="1" s="1"/>
  <c r="S2317" i="1" s="1"/>
  <c r="S2318" i="1" s="1"/>
  <c r="S2319" i="1" s="1"/>
  <c r="S2320" i="1" s="1"/>
  <c r="S2321" i="1" s="1"/>
  <c r="S2322" i="1" s="1"/>
  <c r="S2323" i="1" s="1"/>
  <c r="S2324" i="1" s="1"/>
  <c r="S2325" i="1" s="1"/>
  <c r="S2326" i="1" s="1"/>
  <c r="S2327" i="1" s="1"/>
  <c r="S2328" i="1" s="1"/>
  <c r="S2329" i="1" s="1"/>
  <c r="S2330" i="1" s="1"/>
  <c r="S2331" i="1" s="1"/>
  <c r="S2332" i="1" s="1"/>
  <c r="S2333" i="1" s="1"/>
  <c r="S2334" i="1" s="1"/>
  <c r="S2335" i="1" s="1"/>
  <c r="S2336" i="1" s="1"/>
  <c r="S2337" i="1" s="1"/>
  <c r="S2338" i="1" s="1"/>
  <c r="S2339" i="1" s="1"/>
  <c r="S2340" i="1" s="1"/>
  <c r="S2341" i="1" s="1"/>
  <c r="S2342" i="1" s="1"/>
  <c r="S2343" i="1" s="1"/>
  <c r="S2344" i="1" s="1"/>
  <c r="S2345" i="1" s="1"/>
  <c r="S2346" i="1" s="1"/>
  <c r="AF2283" i="1"/>
  <c r="AF2284" i="1" s="1"/>
  <c r="AF2285" i="1" s="1"/>
  <c r="AF2286" i="1" s="1"/>
  <c r="AA2283" i="1"/>
  <c r="AA2284" i="1" s="1"/>
  <c r="AA2285" i="1" s="1"/>
  <c r="AA2286" i="1" s="1"/>
  <c r="T2283" i="1"/>
  <c r="S2283" i="1"/>
  <c r="AG2282" i="1"/>
  <c r="AG2283" i="1" s="1"/>
  <c r="AG2284" i="1" s="1"/>
  <c r="AF2282" i="1"/>
  <c r="AE2282" i="1"/>
  <c r="AE2283" i="1" s="1"/>
  <c r="AE2284" i="1" s="1"/>
  <c r="AE2285" i="1" s="1"/>
  <c r="AE2286" i="1" s="1"/>
  <c r="AD2282" i="1"/>
  <c r="AD2283" i="1" s="1"/>
  <c r="AD2284" i="1" s="1"/>
  <c r="AD2285" i="1" s="1"/>
  <c r="AD2286" i="1" s="1"/>
  <c r="AC2282" i="1"/>
  <c r="AC2283" i="1" s="1"/>
  <c r="AC2284" i="1" s="1"/>
  <c r="AC2285" i="1" s="1"/>
  <c r="AC2286" i="1" s="1"/>
  <c r="AB2282" i="1"/>
  <c r="AB2283" i="1" s="1"/>
  <c r="AB2284" i="1" s="1"/>
  <c r="AB2285" i="1" s="1"/>
  <c r="AB2286" i="1" s="1"/>
  <c r="AA2282" i="1"/>
  <c r="T2282" i="1"/>
  <c r="S2282" i="1"/>
  <c r="AF2266" i="1"/>
  <c r="AF2267" i="1" s="1"/>
  <c r="AF2268" i="1" s="1"/>
  <c r="AF2269" i="1" s="1"/>
  <c r="AF2270" i="1" s="1"/>
  <c r="AF2271" i="1" s="1"/>
  <c r="AF2272" i="1" s="1"/>
  <c r="AF2273" i="1" s="1"/>
  <c r="AF2274" i="1" s="1"/>
  <c r="AF2275" i="1" s="1"/>
  <c r="AF2276" i="1" s="1"/>
  <c r="AF2277" i="1" s="1"/>
  <c r="AF2278" i="1" s="1"/>
  <c r="AF2279" i="1" s="1"/>
  <c r="AF2280" i="1" s="1"/>
  <c r="AF2265" i="1"/>
  <c r="AE2265" i="1"/>
  <c r="AE2266" i="1" s="1"/>
  <c r="AE2267" i="1" s="1"/>
  <c r="AE2268" i="1" s="1"/>
  <c r="AE2269" i="1" s="1"/>
  <c r="AE2270" i="1" s="1"/>
  <c r="AE2271" i="1" s="1"/>
  <c r="AE2272" i="1" s="1"/>
  <c r="AE2273" i="1" s="1"/>
  <c r="AE2274" i="1" s="1"/>
  <c r="AE2275" i="1" s="1"/>
  <c r="AE2276" i="1" s="1"/>
  <c r="AE2277" i="1" s="1"/>
  <c r="AE2278" i="1" s="1"/>
  <c r="AE2279" i="1" s="1"/>
  <c r="AE2280" i="1" s="1"/>
  <c r="AC2265" i="1"/>
  <c r="AC2266" i="1" s="1"/>
  <c r="AC2267" i="1" s="1"/>
  <c r="AC2268" i="1" s="1"/>
  <c r="AC2269" i="1" s="1"/>
  <c r="AC2270" i="1" s="1"/>
  <c r="AC2271" i="1" s="1"/>
  <c r="AC2272" i="1" s="1"/>
  <c r="AC2273" i="1" s="1"/>
  <c r="AC2274" i="1" s="1"/>
  <c r="AC2275" i="1" s="1"/>
  <c r="AC2276" i="1" s="1"/>
  <c r="AC2277" i="1" s="1"/>
  <c r="AC2278" i="1" s="1"/>
  <c r="AC2279" i="1" s="1"/>
  <c r="AC2280" i="1" s="1"/>
  <c r="AG2264" i="1"/>
  <c r="AG2265" i="1" s="1"/>
  <c r="AG2266" i="1" s="1"/>
  <c r="AG2267" i="1" s="1"/>
  <c r="AG2268" i="1" s="1"/>
  <c r="AG2269" i="1" s="1"/>
  <c r="AG2270" i="1" s="1"/>
  <c r="AG2271" i="1" s="1"/>
  <c r="AG2272" i="1" s="1"/>
  <c r="AG2273" i="1" s="1"/>
  <c r="AG2274" i="1" s="1"/>
  <c r="AG2275" i="1" s="1"/>
  <c r="AG2276" i="1" s="1"/>
  <c r="AG2277" i="1" s="1"/>
  <c r="AG2278" i="1" s="1"/>
  <c r="AG2279" i="1" s="1"/>
  <c r="AG2280" i="1" s="1"/>
  <c r="AF2264" i="1"/>
  <c r="AE2264" i="1"/>
  <c r="AC2264" i="1"/>
  <c r="AB2264" i="1"/>
  <c r="AB2265" i="1" s="1"/>
  <c r="AB2266" i="1" s="1"/>
  <c r="AB2267" i="1" s="1"/>
  <c r="AB2268" i="1" s="1"/>
  <c r="AB2269" i="1" s="1"/>
  <c r="AB2270" i="1" s="1"/>
  <c r="AB2271" i="1" s="1"/>
  <c r="AB2272" i="1" s="1"/>
  <c r="AB2273" i="1" s="1"/>
  <c r="AB2274" i="1" s="1"/>
  <c r="AB2275" i="1" s="1"/>
  <c r="AB2276" i="1" s="1"/>
  <c r="AB2277" i="1" s="1"/>
  <c r="AB2278" i="1" s="1"/>
  <c r="AB2279" i="1" s="1"/>
  <c r="AB2280" i="1" s="1"/>
  <c r="T2264" i="1"/>
  <c r="T2265" i="1" s="1"/>
  <c r="T2266" i="1" s="1"/>
  <c r="T2267" i="1" s="1"/>
  <c r="T2268" i="1" s="1"/>
  <c r="T2269" i="1" s="1"/>
  <c r="T2270" i="1" s="1"/>
  <c r="T2271" i="1" s="1"/>
  <c r="T2272" i="1" s="1"/>
  <c r="T2273" i="1" s="1"/>
  <c r="T2274" i="1" s="1"/>
  <c r="T2275" i="1" s="1"/>
  <c r="T2276" i="1" s="1"/>
  <c r="T2277" i="1" s="1"/>
  <c r="T2278" i="1" s="1"/>
  <c r="T2279" i="1" s="1"/>
  <c r="T2280" i="1" s="1"/>
  <c r="AG2263" i="1"/>
  <c r="AF2263" i="1"/>
  <c r="AE2263" i="1"/>
  <c r="AD2263" i="1"/>
  <c r="AD2264" i="1" s="1"/>
  <c r="AD2265" i="1" s="1"/>
  <c r="AD2266" i="1" s="1"/>
  <c r="AD2267" i="1" s="1"/>
  <c r="AD2268" i="1" s="1"/>
  <c r="AD2269" i="1" s="1"/>
  <c r="AD2270" i="1" s="1"/>
  <c r="AD2271" i="1" s="1"/>
  <c r="AD2272" i="1" s="1"/>
  <c r="AD2273" i="1" s="1"/>
  <c r="AD2274" i="1" s="1"/>
  <c r="AD2275" i="1" s="1"/>
  <c r="AD2276" i="1" s="1"/>
  <c r="AD2277" i="1" s="1"/>
  <c r="AD2278" i="1" s="1"/>
  <c r="AD2279" i="1" s="1"/>
  <c r="AD2280" i="1" s="1"/>
  <c r="AC2263" i="1"/>
  <c r="AB2263" i="1"/>
  <c r="AA2263" i="1"/>
  <c r="AA2264" i="1" s="1"/>
  <c r="AA2265" i="1" s="1"/>
  <c r="AA2266" i="1" s="1"/>
  <c r="AA2267" i="1" s="1"/>
  <c r="AA2268" i="1" s="1"/>
  <c r="AA2269" i="1" s="1"/>
  <c r="AA2270" i="1" s="1"/>
  <c r="AA2271" i="1" s="1"/>
  <c r="AA2272" i="1" s="1"/>
  <c r="AA2273" i="1" s="1"/>
  <c r="AA2274" i="1" s="1"/>
  <c r="AA2275" i="1" s="1"/>
  <c r="AA2276" i="1" s="1"/>
  <c r="AA2277" i="1" s="1"/>
  <c r="AA2278" i="1" s="1"/>
  <c r="AA2279" i="1" s="1"/>
  <c r="AA2280" i="1" s="1"/>
  <c r="T2263" i="1"/>
  <c r="AG2261" i="1"/>
  <c r="AB2261" i="1"/>
  <c r="AA2261" i="1"/>
  <c r="T2261" i="1"/>
  <c r="AG2260" i="1"/>
  <c r="AF2260" i="1"/>
  <c r="AF2261" i="1" s="1"/>
  <c r="AE2260" i="1"/>
  <c r="AE2261" i="1" s="1"/>
  <c r="AD2260" i="1"/>
  <c r="AD2261" i="1" s="1"/>
  <c r="AC2260" i="1"/>
  <c r="AC2261" i="1" s="1"/>
  <c r="AB2260" i="1"/>
  <c r="AA2260" i="1"/>
  <c r="T2260" i="1"/>
  <c r="AB2254" i="1"/>
  <c r="AB2255" i="1" s="1"/>
  <c r="AB2256" i="1" s="1"/>
  <c r="AB2257" i="1" s="1"/>
  <c r="AB2258" i="1" s="1"/>
  <c r="AC2252" i="1"/>
  <c r="AC2253" i="1" s="1"/>
  <c r="AC2254" i="1" s="1"/>
  <c r="AC2255" i="1" s="1"/>
  <c r="AC2256" i="1" s="1"/>
  <c r="AC2257" i="1" s="1"/>
  <c r="AC2258" i="1" s="1"/>
  <c r="AC2248" i="1"/>
  <c r="AC2249" i="1" s="1"/>
  <c r="AC2250" i="1" s="1"/>
  <c r="AC2251" i="1" s="1"/>
  <c r="T2247" i="1"/>
  <c r="T2248" i="1" s="1"/>
  <c r="T2249" i="1" s="1"/>
  <c r="T2250" i="1" s="1"/>
  <c r="T2251" i="1" s="1"/>
  <c r="T2252" i="1" s="1"/>
  <c r="T2253" i="1" s="1"/>
  <c r="T2254" i="1" s="1"/>
  <c r="T2255" i="1" s="1"/>
  <c r="T2256" i="1" s="1"/>
  <c r="T2257" i="1" s="1"/>
  <c r="T2258" i="1" s="1"/>
  <c r="AC2244" i="1"/>
  <c r="AC2245" i="1" s="1"/>
  <c r="AC2246" i="1" s="1"/>
  <c r="AC2247" i="1" s="1"/>
  <c r="AG2243" i="1"/>
  <c r="AG2244" i="1" s="1"/>
  <c r="AG2245" i="1" s="1"/>
  <c r="AG2246" i="1" s="1"/>
  <c r="AG2247" i="1" s="1"/>
  <c r="AG2248" i="1" s="1"/>
  <c r="AG2249" i="1" s="1"/>
  <c r="AG2250" i="1" s="1"/>
  <c r="AG2251" i="1" s="1"/>
  <c r="AG2252" i="1" s="1"/>
  <c r="AG2253" i="1" s="1"/>
  <c r="AG2254" i="1" s="1"/>
  <c r="AG2255" i="1" s="1"/>
  <c r="AG2256" i="1" s="1"/>
  <c r="AG2257" i="1" s="1"/>
  <c r="AG2258" i="1" s="1"/>
  <c r="AE2243" i="1"/>
  <c r="AE2244" i="1" s="1"/>
  <c r="AE2245" i="1" s="1"/>
  <c r="AE2246" i="1" s="1"/>
  <c r="AE2247" i="1" s="1"/>
  <c r="AE2248" i="1" s="1"/>
  <c r="AE2249" i="1" s="1"/>
  <c r="AE2250" i="1" s="1"/>
  <c r="AE2251" i="1" s="1"/>
  <c r="AE2252" i="1" s="1"/>
  <c r="AE2253" i="1" s="1"/>
  <c r="AE2254" i="1" s="1"/>
  <c r="AE2255" i="1" s="1"/>
  <c r="AE2256" i="1" s="1"/>
  <c r="AE2257" i="1" s="1"/>
  <c r="AE2258" i="1" s="1"/>
  <c r="T2243" i="1"/>
  <c r="T2244" i="1" s="1"/>
  <c r="T2245" i="1" s="1"/>
  <c r="T2246" i="1" s="1"/>
  <c r="AG2242" i="1"/>
  <c r="AF2242" i="1"/>
  <c r="AF2243" i="1" s="1"/>
  <c r="AF2244" i="1" s="1"/>
  <c r="AF2245" i="1" s="1"/>
  <c r="AF2246" i="1" s="1"/>
  <c r="AF2247" i="1" s="1"/>
  <c r="AF2248" i="1" s="1"/>
  <c r="AF2249" i="1" s="1"/>
  <c r="AF2250" i="1" s="1"/>
  <c r="AF2251" i="1" s="1"/>
  <c r="AF2252" i="1" s="1"/>
  <c r="AF2253" i="1" s="1"/>
  <c r="AF2254" i="1" s="1"/>
  <c r="AF2255" i="1" s="1"/>
  <c r="AF2256" i="1" s="1"/>
  <c r="AF2257" i="1" s="1"/>
  <c r="AF2258" i="1" s="1"/>
  <c r="AE2242" i="1"/>
  <c r="AD2242" i="1"/>
  <c r="AD2243" i="1" s="1"/>
  <c r="AD2244" i="1" s="1"/>
  <c r="AD2245" i="1" s="1"/>
  <c r="AD2246" i="1" s="1"/>
  <c r="AD2247" i="1" s="1"/>
  <c r="AD2248" i="1" s="1"/>
  <c r="AD2249" i="1" s="1"/>
  <c r="AD2250" i="1" s="1"/>
  <c r="AD2251" i="1" s="1"/>
  <c r="AD2252" i="1" s="1"/>
  <c r="AD2253" i="1" s="1"/>
  <c r="AD2254" i="1" s="1"/>
  <c r="AD2255" i="1" s="1"/>
  <c r="AD2256" i="1" s="1"/>
  <c r="AD2257" i="1" s="1"/>
  <c r="AD2258" i="1" s="1"/>
  <c r="AC2242" i="1"/>
  <c r="AC2243" i="1" s="1"/>
  <c r="AB2242" i="1"/>
  <c r="AB2243" i="1" s="1"/>
  <c r="AB2244" i="1" s="1"/>
  <c r="AB2245" i="1" s="1"/>
  <c r="AB2246" i="1" s="1"/>
  <c r="AB2247" i="1" s="1"/>
  <c r="AB2248" i="1" s="1"/>
  <c r="AB2249" i="1" s="1"/>
  <c r="AB2250" i="1" s="1"/>
  <c r="AB2251" i="1" s="1"/>
  <c r="AB2252" i="1" s="1"/>
  <c r="AB2253" i="1" s="1"/>
  <c r="AA2242" i="1"/>
  <c r="AA2243" i="1" s="1"/>
  <c r="AA2244" i="1" s="1"/>
  <c r="AA2245" i="1" s="1"/>
  <c r="AA2246" i="1" s="1"/>
  <c r="AA2247" i="1" s="1"/>
  <c r="AA2248" i="1" s="1"/>
  <c r="AA2249" i="1" s="1"/>
  <c r="AA2250" i="1" s="1"/>
  <c r="AA2251" i="1" s="1"/>
  <c r="AA2252" i="1" s="1"/>
  <c r="AA2253" i="1" s="1"/>
  <c r="AA2254" i="1" s="1"/>
  <c r="AA2255" i="1" s="1"/>
  <c r="AA2256" i="1" s="1"/>
  <c r="AA2257" i="1" s="1"/>
  <c r="AA2258" i="1" s="1"/>
  <c r="T2242" i="1"/>
  <c r="AA2226" i="1"/>
  <c r="AA2227" i="1" s="1"/>
  <c r="AA2228" i="1" s="1"/>
  <c r="AA2229" i="1" s="1"/>
  <c r="AA2230" i="1" s="1"/>
  <c r="AA2231" i="1" s="1"/>
  <c r="AA2232" i="1" s="1"/>
  <c r="AA2233" i="1" s="1"/>
  <c r="AA2234" i="1" s="1"/>
  <c r="AA2235" i="1" s="1"/>
  <c r="AA2236" i="1" s="1"/>
  <c r="AA2237" i="1" s="1"/>
  <c r="AA2238" i="1" s="1"/>
  <c r="AA2239" i="1" s="1"/>
  <c r="AA2240" i="1" s="1"/>
  <c r="AG2225" i="1"/>
  <c r="AG2226" i="1" s="1"/>
  <c r="AG2227" i="1" s="1"/>
  <c r="AG2228" i="1" s="1"/>
  <c r="AG2229" i="1" s="1"/>
  <c r="AG2230" i="1" s="1"/>
  <c r="AG2231" i="1" s="1"/>
  <c r="AG2232" i="1" s="1"/>
  <c r="AG2233" i="1" s="1"/>
  <c r="AG2234" i="1" s="1"/>
  <c r="AG2235" i="1" s="1"/>
  <c r="AG2236" i="1" s="1"/>
  <c r="AG2237" i="1" s="1"/>
  <c r="AG2238" i="1" s="1"/>
  <c r="AG2239" i="1" s="1"/>
  <c r="AG2240" i="1" s="1"/>
  <c r="AC2225" i="1"/>
  <c r="AC2226" i="1" s="1"/>
  <c r="AC2227" i="1" s="1"/>
  <c r="AC2228" i="1" s="1"/>
  <c r="AC2229" i="1" s="1"/>
  <c r="AC2230" i="1" s="1"/>
  <c r="AC2231" i="1" s="1"/>
  <c r="AC2232" i="1" s="1"/>
  <c r="AC2233" i="1" s="1"/>
  <c r="AC2234" i="1" s="1"/>
  <c r="AC2235" i="1" s="1"/>
  <c r="AC2236" i="1" s="1"/>
  <c r="AC2237" i="1" s="1"/>
  <c r="AC2238" i="1" s="1"/>
  <c r="AC2239" i="1" s="1"/>
  <c r="AC2240" i="1" s="1"/>
  <c r="T2224" i="1"/>
  <c r="T2225" i="1" s="1"/>
  <c r="T2226" i="1" s="1"/>
  <c r="T2227" i="1" s="1"/>
  <c r="T2228" i="1" s="1"/>
  <c r="T2229" i="1" s="1"/>
  <c r="T2230" i="1" s="1"/>
  <c r="T2231" i="1" s="1"/>
  <c r="T2232" i="1" s="1"/>
  <c r="T2233" i="1" s="1"/>
  <c r="T2234" i="1" s="1"/>
  <c r="T2235" i="1" s="1"/>
  <c r="T2236" i="1" s="1"/>
  <c r="T2237" i="1" s="1"/>
  <c r="T2238" i="1" s="1"/>
  <c r="T2239" i="1" s="1"/>
  <c r="T2240" i="1" s="1"/>
  <c r="AA2223" i="1"/>
  <c r="AA2224" i="1" s="1"/>
  <c r="AA2225" i="1" s="1"/>
  <c r="T2223" i="1"/>
  <c r="AA2222" i="1"/>
  <c r="AG2221" i="1"/>
  <c r="AG2222" i="1" s="1"/>
  <c r="AG2223" i="1" s="1"/>
  <c r="AG2224" i="1" s="1"/>
  <c r="AF2221" i="1"/>
  <c r="AF2222" i="1" s="1"/>
  <c r="AF2223" i="1" s="1"/>
  <c r="AF2224" i="1" s="1"/>
  <c r="AF2225" i="1" s="1"/>
  <c r="AF2226" i="1" s="1"/>
  <c r="AF2227" i="1" s="1"/>
  <c r="AF2228" i="1" s="1"/>
  <c r="AF2229" i="1" s="1"/>
  <c r="AF2230" i="1" s="1"/>
  <c r="AF2231" i="1" s="1"/>
  <c r="AF2232" i="1" s="1"/>
  <c r="AF2233" i="1" s="1"/>
  <c r="AF2234" i="1" s="1"/>
  <c r="AF2235" i="1" s="1"/>
  <c r="AF2236" i="1" s="1"/>
  <c r="AF2237" i="1" s="1"/>
  <c r="AF2238" i="1" s="1"/>
  <c r="AF2239" i="1" s="1"/>
  <c r="AF2240" i="1" s="1"/>
  <c r="AE2221" i="1"/>
  <c r="AE2222" i="1" s="1"/>
  <c r="AE2223" i="1" s="1"/>
  <c r="AE2224" i="1" s="1"/>
  <c r="AE2225" i="1" s="1"/>
  <c r="AE2226" i="1" s="1"/>
  <c r="AE2227" i="1" s="1"/>
  <c r="AE2228" i="1" s="1"/>
  <c r="AE2229" i="1" s="1"/>
  <c r="AE2230" i="1" s="1"/>
  <c r="AE2231" i="1" s="1"/>
  <c r="AE2232" i="1" s="1"/>
  <c r="AE2233" i="1" s="1"/>
  <c r="AE2234" i="1" s="1"/>
  <c r="AE2235" i="1" s="1"/>
  <c r="AE2236" i="1" s="1"/>
  <c r="AE2237" i="1" s="1"/>
  <c r="AE2238" i="1" s="1"/>
  <c r="AE2239" i="1" s="1"/>
  <c r="AE2240" i="1" s="1"/>
  <c r="AG2220" i="1"/>
  <c r="AF2220" i="1"/>
  <c r="AE2220" i="1"/>
  <c r="AD2220" i="1"/>
  <c r="AD2221" i="1" s="1"/>
  <c r="AD2222" i="1" s="1"/>
  <c r="AD2223" i="1" s="1"/>
  <c r="AD2224" i="1" s="1"/>
  <c r="AD2225" i="1" s="1"/>
  <c r="AD2226" i="1" s="1"/>
  <c r="AD2227" i="1" s="1"/>
  <c r="AD2228" i="1" s="1"/>
  <c r="AD2229" i="1" s="1"/>
  <c r="AD2230" i="1" s="1"/>
  <c r="AD2231" i="1" s="1"/>
  <c r="AD2232" i="1" s="1"/>
  <c r="AD2233" i="1" s="1"/>
  <c r="AD2234" i="1" s="1"/>
  <c r="AD2235" i="1" s="1"/>
  <c r="AD2236" i="1" s="1"/>
  <c r="AD2237" i="1" s="1"/>
  <c r="AD2238" i="1" s="1"/>
  <c r="AD2239" i="1" s="1"/>
  <c r="AD2240" i="1" s="1"/>
  <c r="AC2220" i="1"/>
  <c r="AC2221" i="1" s="1"/>
  <c r="AC2222" i="1" s="1"/>
  <c r="AC2223" i="1" s="1"/>
  <c r="AC2224" i="1" s="1"/>
  <c r="AB2220" i="1"/>
  <c r="AB2221" i="1" s="1"/>
  <c r="AB2222" i="1" s="1"/>
  <c r="AB2223" i="1" s="1"/>
  <c r="AB2224" i="1" s="1"/>
  <c r="AB2225" i="1" s="1"/>
  <c r="AB2226" i="1" s="1"/>
  <c r="AB2227" i="1" s="1"/>
  <c r="AB2228" i="1" s="1"/>
  <c r="AB2229" i="1" s="1"/>
  <c r="AB2230" i="1" s="1"/>
  <c r="AB2231" i="1" s="1"/>
  <c r="AB2232" i="1" s="1"/>
  <c r="AB2233" i="1" s="1"/>
  <c r="AB2234" i="1" s="1"/>
  <c r="AB2235" i="1" s="1"/>
  <c r="AB2236" i="1" s="1"/>
  <c r="AB2237" i="1" s="1"/>
  <c r="AB2238" i="1" s="1"/>
  <c r="AB2239" i="1" s="1"/>
  <c r="AB2240" i="1" s="1"/>
  <c r="AA2220" i="1"/>
  <c r="AA2221" i="1" s="1"/>
  <c r="T2220" i="1"/>
  <c r="T2221" i="1" s="1"/>
  <c r="T2222" i="1" s="1"/>
  <c r="AB2214" i="1"/>
  <c r="AB2215" i="1" s="1"/>
  <c r="AB2216" i="1" s="1"/>
  <c r="AB2217" i="1" s="1"/>
  <c r="AB2218" i="1" s="1"/>
  <c r="S2214" i="1"/>
  <c r="S2215" i="1" s="1"/>
  <c r="S2216" i="1" s="1"/>
  <c r="S2217" i="1" s="1"/>
  <c r="S2218" i="1" s="1"/>
  <c r="S2219" i="1" s="1"/>
  <c r="S2220" i="1" s="1"/>
  <c r="S2221" i="1" s="1"/>
  <c r="S2222" i="1" s="1"/>
  <c r="S2223" i="1" s="1"/>
  <c r="S2224" i="1" s="1"/>
  <c r="S2225" i="1" s="1"/>
  <c r="S2226" i="1" s="1"/>
  <c r="S2227" i="1" s="1"/>
  <c r="S2228" i="1" s="1"/>
  <c r="S2229" i="1" s="1"/>
  <c r="S2230" i="1" s="1"/>
  <c r="S2231" i="1" s="1"/>
  <c r="S2232" i="1" s="1"/>
  <c r="S2233" i="1" s="1"/>
  <c r="S2234" i="1" s="1"/>
  <c r="S2235" i="1" s="1"/>
  <c r="S2236" i="1" s="1"/>
  <c r="S2237" i="1" s="1"/>
  <c r="S2238" i="1" s="1"/>
  <c r="S2239" i="1" s="1"/>
  <c r="S2240" i="1" s="1"/>
  <c r="S2241" i="1" s="1"/>
  <c r="S2242" i="1" s="1"/>
  <c r="S2243" i="1" s="1"/>
  <c r="S2244" i="1" s="1"/>
  <c r="S2245" i="1" s="1"/>
  <c r="S2246" i="1" s="1"/>
  <c r="S2247" i="1" s="1"/>
  <c r="S2248" i="1" s="1"/>
  <c r="S2249" i="1" s="1"/>
  <c r="S2250" i="1" s="1"/>
  <c r="S2251" i="1" s="1"/>
  <c r="S2252" i="1" s="1"/>
  <c r="S2253" i="1" s="1"/>
  <c r="S2254" i="1" s="1"/>
  <c r="S2255" i="1" s="1"/>
  <c r="S2256" i="1" s="1"/>
  <c r="S2257" i="1" s="1"/>
  <c r="S2258" i="1" s="1"/>
  <c r="S2259" i="1" s="1"/>
  <c r="S2260" i="1" s="1"/>
  <c r="S2261" i="1" s="1"/>
  <c r="S2262" i="1" s="1"/>
  <c r="S2263" i="1" s="1"/>
  <c r="S2264" i="1" s="1"/>
  <c r="S2265" i="1" s="1"/>
  <c r="S2266" i="1" s="1"/>
  <c r="S2267" i="1" s="1"/>
  <c r="S2268" i="1" s="1"/>
  <c r="S2269" i="1" s="1"/>
  <c r="S2270" i="1" s="1"/>
  <c r="S2271" i="1" s="1"/>
  <c r="S2272" i="1" s="1"/>
  <c r="S2273" i="1" s="1"/>
  <c r="S2274" i="1" s="1"/>
  <c r="S2275" i="1" s="1"/>
  <c r="S2276" i="1" s="1"/>
  <c r="S2277" i="1" s="1"/>
  <c r="S2278" i="1" s="1"/>
  <c r="S2279" i="1" s="1"/>
  <c r="S2280" i="1" s="1"/>
  <c r="AG2213" i="1"/>
  <c r="AG2214" i="1" s="1"/>
  <c r="AG2215" i="1" s="1"/>
  <c r="AG2216" i="1" s="1"/>
  <c r="AG2217" i="1" s="1"/>
  <c r="AG2218" i="1" s="1"/>
  <c r="AG2212" i="1"/>
  <c r="AE2211" i="1"/>
  <c r="AE2212" i="1" s="1"/>
  <c r="AE2213" i="1" s="1"/>
  <c r="AE2214" i="1" s="1"/>
  <c r="AE2215" i="1" s="1"/>
  <c r="AE2216" i="1" s="1"/>
  <c r="AE2217" i="1" s="1"/>
  <c r="AE2218" i="1" s="1"/>
  <c r="AB2211" i="1"/>
  <c r="AB2212" i="1" s="1"/>
  <c r="AB2213" i="1" s="1"/>
  <c r="AA2211" i="1"/>
  <c r="AA2212" i="1" s="1"/>
  <c r="AA2213" i="1" s="1"/>
  <c r="AA2214" i="1" s="1"/>
  <c r="AA2215" i="1" s="1"/>
  <c r="AA2216" i="1" s="1"/>
  <c r="AA2217" i="1" s="1"/>
  <c r="AA2218" i="1" s="1"/>
  <c r="AA2210" i="1"/>
  <c r="AB2209" i="1"/>
  <c r="AB2210" i="1" s="1"/>
  <c r="AG2208" i="1"/>
  <c r="AG2209" i="1" s="1"/>
  <c r="AG2210" i="1" s="1"/>
  <c r="AG2211" i="1" s="1"/>
  <c r="AF2208" i="1"/>
  <c r="AF2209" i="1" s="1"/>
  <c r="AF2210" i="1" s="1"/>
  <c r="AF2211" i="1" s="1"/>
  <c r="AF2212" i="1" s="1"/>
  <c r="AF2213" i="1" s="1"/>
  <c r="AF2214" i="1" s="1"/>
  <c r="AF2215" i="1" s="1"/>
  <c r="AF2216" i="1" s="1"/>
  <c r="AF2217" i="1" s="1"/>
  <c r="AF2218" i="1" s="1"/>
  <c r="AE2208" i="1"/>
  <c r="AE2209" i="1" s="1"/>
  <c r="AE2210" i="1" s="1"/>
  <c r="S2208" i="1"/>
  <c r="S2209" i="1" s="1"/>
  <c r="S2210" i="1" s="1"/>
  <c r="S2211" i="1" s="1"/>
  <c r="S2212" i="1" s="1"/>
  <c r="S2213" i="1" s="1"/>
  <c r="AG2207" i="1"/>
  <c r="AF2207" i="1"/>
  <c r="AE2207" i="1"/>
  <c r="AD2207" i="1"/>
  <c r="AD2208" i="1" s="1"/>
  <c r="AD2209" i="1" s="1"/>
  <c r="AD2210" i="1" s="1"/>
  <c r="AD2211" i="1" s="1"/>
  <c r="AD2212" i="1" s="1"/>
  <c r="AD2213" i="1" s="1"/>
  <c r="AD2214" i="1" s="1"/>
  <c r="AD2215" i="1" s="1"/>
  <c r="AD2216" i="1" s="1"/>
  <c r="AD2217" i="1" s="1"/>
  <c r="AD2218" i="1" s="1"/>
  <c r="AC2207" i="1"/>
  <c r="AC2208" i="1" s="1"/>
  <c r="AC2209" i="1" s="1"/>
  <c r="AC2210" i="1" s="1"/>
  <c r="AC2211" i="1" s="1"/>
  <c r="AC2212" i="1" s="1"/>
  <c r="AC2213" i="1" s="1"/>
  <c r="AC2214" i="1" s="1"/>
  <c r="AC2215" i="1" s="1"/>
  <c r="AC2216" i="1" s="1"/>
  <c r="AC2217" i="1" s="1"/>
  <c r="AC2218" i="1" s="1"/>
  <c r="AB2207" i="1"/>
  <c r="AB2208" i="1" s="1"/>
  <c r="AA2207" i="1"/>
  <c r="AA2208" i="1" s="1"/>
  <c r="AA2209" i="1" s="1"/>
  <c r="T2207" i="1"/>
  <c r="T2208" i="1" s="1"/>
  <c r="T2209" i="1" s="1"/>
  <c r="T2210" i="1" s="1"/>
  <c r="T2211" i="1" s="1"/>
  <c r="T2212" i="1" s="1"/>
  <c r="T2213" i="1" s="1"/>
  <c r="T2214" i="1" s="1"/>
  <c r="T2215" i="1" s="1"/>
  <c r="T2216" i="1" s="1"/>
  <c r="T2217" i="1" s="1"/>
  <c r="T2218" i="1" s="1"/>
  <c r="S2207" i="1"/>
  <c r="AE2203" i="1"/>
  <c r="AE2204" i="1" s="1"/>
  <c r="AE2205" i="1" s="1"/>
  <c r="AB2201" i="1"/>
  <c r="AB2202" i="1" s="1"/>
  <c r="AB2203" i="1" s="1"/>
  <c r="AB2204" i="1" s="1"/>
  <c r="AB2205" i="1" s="1"/>
  <c r="AC2198" i="1"/>
  <c r="AC2199" i="1" s="1"/>
  <c r="AC2200" i="1" s="1"/>
  <c r="AC2201" i="1" s="1"/>
  <c r="AC2202" i="1" s="1"/>
  <c r="AC2203" i="1" s="1"/>
  <c r="AC2204" i="1" s="1"/>
  <c r="AC2205" i="1" s="1"/>
  <c r="AB2197" i="1"/>
  <c r="AB2198" i="1" s="1"/>
  <c r="AB2199" i="1" s="1"/>
  <c r="AB2200" i="1" s="1"/>
  <c r="AG2196" i="1"/>
  <c r="AG2197" i="1" s="1"/>
  <c r="AG2198" i="1" s="1"/>
  <c r="AG2199" i="1" s="1"/>
  <c r="AG2200" i="1" s="1"/>
  <c r="AG2201" i="1" s="1"/>
  <c r="AG2202" i="1" s="1"/>
  <c r="AG2203" i="1" s="1"/>
  <c r="AG2204" i="1" s="1"/>
  <c r="AG2205" i="1" s="1"/>
  <c r="T2196" i="1"/>
  <c r="T2197" i="1" s="1"/>
  <c r="T2198" i="1" s="1"/>
  <c r="T2199" i="1" s="1"/>
  <c r="T2200" i="1" s="1"/>
  <c r="T2201" i="1" s="1"/>
  <c r="T2202" i="1" s="1"/>
  <c r="T2203" i="1" s="1"/>
  <c r="T2204" i="1" s="1"/>
  <c r="T2205" i="1" s="1"/>
  <c r="AE2195" i="1"/>
  <c r="AE2196" i="1" s="1"/>
  <c r="AE2197" i="1" s="1"/>
  <c r="AE2198" i="1" s="1"/>
  <c r="AE2199" i="1" s="1"/>
  <c r="AE2200" i="1" s="1"/>
  <c r="AE2201" i="1" s="1"/>
  <c r="AE2202" i="1" s="1"/>
  <c r="AD2195" i="1"/>
  <c r="AD2196" i="1" s="1"/>
  <c r="AD2197" i="1" s="1"/>
  <c r="AD2198" i="1" s="1"/>
  <c r="AD2199" i="1" s="1"/>
  <c r="AD2200" i="1" s="1"/>
  <c r="AD2201" i="1" s="1"/>
  <c r="AD2202" i="1" s="1"/>
  <c r="AD2203" i="1" s="1"/>
  <c r="AD2204" i="1" s="1"/>
  <c r="AD2205" i="1" s="1"/>
  <c r="AG2194" i="1"/>
  <c r="AG2195" i="1" s="1"/>
  <c r="AF2194" i="1"/>
  <c r="AF2195" i="1" s="1"/>
  <c r="AF2196" i="1" s="1"/>
  <c r="AF2197" i="1" s="1"/>
  <c r="AF2198" i="1" s="1"/>
  <c r="AF2199" i="1" s="1"/>
  <c r="AF2200" i="1" s="1"/>
  <c r="AF2201" i="1" s="1"/>
  <c r="AF2202" i="1" s="1"/>
  <c r="AF2203" i="1" s="1"/>
  <c r="AF2204" i="1" s="1"/>
  <c r="AF2205" i="1" s="1"/>
  <c r="AE2194" i="1"/>
  <c r="AD2194" i="1"/>
  <c r="AC2194" i="1"/>
  <c r="AC2195" i="1" s="1"/>
  <c r="AC2196" i="1" s="1"/>
  <c r="AC2197" i="1" s="1"/>
  <c r="AB2194" i="1"/>
  <c r="AB2195" i="1" s="1"/>
  <c r="AB2196" i="1" s="1"/>
  <c r="AA2194" i="1"/>
  <c r="AA2195" i="1" s="1"/>
  <c r="AA2196" i="1" s="1"/>
  <c r="AA2197" i="1" s="1"/>
  <c r="AA2198" i="1" s="1"/>
  <c r="AA2199" i="1" s="1"/>
  <c r="AA2200" i="1" s="1"/>
  <c r="AA2201" i="1" s="1"/>
  <c r="AA2202" i="1" s="1"/>
  <c r="AA2203" i="1" s="1"/>
  <c r="AA2204" i="1" s="1"/>
  <c r="AA2205" i="1" s="1"/>
  <c r="T2194" i="1"/>
  <c r="T2195" i="1" s="1"/>
  <c r="AB2186" i="1"/>
  <c r="AB2187" i="1" s="1"/>
  <c r="AB2188" i="1" s="1"/>
  <c r="AB2189" i="1" s="1"/>
  <c r="AB2190" i="1" s="1"/>
  <c r="AB2191" i="1" s="1"/>
  <c r="AB2192" i="1" s="1"/>
  <c r="T2186" i="1"/>
  <c r="T2187" i="1" s="1"/>
  <c r="T2188" i="1" s="1"/>
  <c r="T2189" i="1" s="1"/>
  <c r="T2190" i="1" s="1"/>
  <c r="T2191" i="1" s="1"/>
  <c r="T2192" i="1" s="1"/>
  <c r="AC2183" i="1"/>
  <c r="AC2184" i="1" s="1"/>
  <c r="AC2185" i="1" s="1"/>
  <c r="AC2186" i="1" s="1"/>
  <c r="AC2187" i="1" s="1"/>
  <c r="AC2188" i="1" s="1"/>
  <c r="AC2189" i="1" s="1"/>
  <c r="AC2190" i="1" s="1"/>
  <c r="AC2191" i="1" s="1"/>
  <c r="AC2192" i="1" s="1"/>
  <c r="T2183" i="1"/>
  <c r="T2184" i="1" s="1"/>
  <c r="T2185" i="1" s="1"/>
  <c r="AG2182" i="1"/>
  <c r="AG2183" i="1" s="1"/>
  <c r="AG2184" i="1" s="1"/>
  <c r="AG2185" i="1" s="1"/>
  <c r="AG2186" i="1" s="1"/>
  <c r="AG2187" i="1" s="1"/>
  <c r="AG2188" i="1" s="1"/>
  <c r="AG2189" i="1" s="1"/>
  <c r="AG2190" i="1" s="1"/>
  <c r="AG2191" i="1" s="1"/>
  <c r="AG2192" i="1" s="1"/>
  <c r="AD2182" i="1"/>
  <c r="AD2183" i="1" s="1"/>
  <c r="AD2184" i="1" s="1"/>
  <c r="AD2185" i="1" s="1"/>
  <c r="AD2186" i="1" s="1"/>
  <c r="AD2187" i="1" s="1"/>
  <c r="AD2188" i="1" s="1"/>
  <c r="AD2189" i="1" s="1"/>
  <c r="AD2190" i="1" s="1"/>
  <c r="AD2191" i="1" s="1"/>
  <c r="AD2192" i="1" s="1"/>
  <c r="AC2182" i="1"/>
  <c r="AB2182" i="1"/>
  <c r="AB2183" i="1" s="1"/>
  <c r="AB2184" i="1" s="1"/>
  <c r="AB2185" i="1" s="1"/>
  <c r="T2182" i="1"/>
  <c r="AG2181" i="1"/>
  <c r="AF2181" i="1"/>
  <c r="AF2182" i="1" s="1"/>
  <c r="AF2183" i="1" s="1"/>
  <c r="AF2184" i="1" s="1"/>
  <c r="AF2185" i="1" s="1"/>
  <c r="AF2186" i="1" s="1"/>
  <c r="AF2187" i="1" s="1"/>
  <c r="AF2188" i="1" s="1"/>
  <c r="AF2189" i="1" s="1"/>
  <c r="AF2190" i="1" s="1"/>
  <c r="AF2191" i="1" s="1"/>
  <c r="AF2192" i="1" s="1"/>
  <c r="AE2181" i="1"/>
  <c r="AE2182" i="1" s="1"/>
  <c r="AE2183" i="1" s="1"/>
  <c r="AE2184" i="1" s="1"/>
  <c r="AE2185" i="1" s="1"/>
  <c r="AE2186" i="1" s="1"/>
  <c r="AE2187" i="1" s="1"/>
  <c r="AE2188" i="1" s="1"/>
  <c r="AE2189" i="1" s="1"/>
  <c r="AE2190" i="1" s="1"/>
  <c r="AE2191" i="1" s="1"/>
  <c r="AE2192" i="1" s="1"/>
  <c r="AD2181" i="1"/>
  <c r="AC2181" i="1"/>
  <c r="AB2181" i="1"/>
  <c r="AA2181" i="1"/>
  <c r="AA2182" i="1" s="1"/>
  <c r="AA2183" i="1" s="1"/>
  <c r="AA2184" i="1" s="1"/>
  <c r="AA2185" i="1" s="1"/>
  <c r="AA2186" i="1" s="1"/>
  <c r="AA2187" i="1" s="1"/>
  <c r="AA2188" i="1" s="1"/>
  <c r="AA2189" i="1" s="1"/>
  <c r="AA2190" i="1" s="1"/>
  <c r="AA2191" i="1" s="1"/>
  <c r="AA2192" i="1" s="1"/>
  <c r="T2181" i="1"/>
  <c r="AG2167" i="1"/>
  <c r="AG2168" i="1" s="1"/>
  <c r="AG2169" i="1" s="1"/>
  <c r="AG2170" i="1" s="1"/>
  <c r="AG2171" i="1" s="1"/>
  <c r="AG2172" i="1" s="1"/>
  <c r="AG2173" i="1" s="1"/>
  <c r="AG2174" i="1" s="1"/>
  <c r="AG2175" i="1" s="1"/>
  <c r="AG2176" i="1" s="1"/>
  <c r="AG2177" i="1" s="1"/>
  <c r="AG2178" i="1" s="1"/>
  <c r="AG2179" i="1" s="1"/>
  <c r="AC2165" i="1"/>
  <c r="AC2166" i="1" s="1"/>
  <c r="AC2167" i="1" s="1"/>
  <c r="AC2168" i="1" s="1"/>
  <c r="AC2169" i="1" s="1"/>
  <c r="AC2170" i="1" s="1"/>
  <c r="AC2171" i="1" s="1"/>
  <c r="AC2172" i="1" s="1"/>
  <c r="AC2173" i="1" s="1"/>
  <c r="AC2174" i="1" s="1"/>
  <c r="AC2175" i="1" s="1"/>
  <c r="AC2176" i="1" s="1"/>
  <c r="AC2177" i="1" s="1"/>
  <c r="AC2178" i="1" s="1"/>
  <c r="AC2179" i="1" s="1"/>
  <c r="AA2165" i="1"/>
  <c r="AA2166" i="1" s="1"/>
  <c r="AA2167" i="1" s="1"/>
  <c r="AA2168" i="1" s="1"/>
  <c r="AA2169" i="1" s="1"/>
  <c r="AA2170" i="1" s="1"/>
  <c r="AA2171" i="1" s="1"/>
  <c r="AA2172" i="1" s="1"/>
  <c r="AA2173" i="1" s="1"/>
  <c r="AA2174" i="1" s="1"/>
  <c r="AA2175" i="1" s="1"/>
  <c r="AA2176" i="1" s="1"/>
  <c r="AA2177" i="1" s="1"/>
  <c r="AA2178" i="1" s="1"/>
  <c r="AA2179" i="1" s="1"/>
  <c r="AF2162" i="1"/>
  <c r="AF2163" i="1" s="1"/>
  <c r="AF2164" i="1" s="1"/>
  <c r="AF2165" i="1" s="1"/>
  <c r="AF2166" i="1" s="1"/>
  <c r="AF2167" i="1" s="1"/>
  <c r="AF2168" i="1" s="1"/>
  <c r="AF2169" i="1" s="1"/>
  <c r="AF2170" i="1" s="1"/>
  <c r="AF2171" i="1" s="1"/>
  <c r="AF2172" i="1" s="1"/>
  <c r="AF2173" i="1" s="1"/>
  <c r="AF2174" i="1" s="1"/>
  <c r="AF2175" i="1" s="1"/>
  <c r="AF2176" i="1" s="1"/>
  <c r="AF2177" i="1" s="1"/>
  <c r="AF2178" i="1" s="1"/>
  <c r="AF2179" i="1" s="1"/>
  <c r="AD2162" i="1"/>
  <c r="AD2163" i="1" s="1"/>
  <c r="AD2164" i="1" s="1"/>
  <c r="AD2165" i="1" s="1"/>
  <c r="AD2166" i="1" s="1"/>
  <c r="AD2167" i="1" s="1"/>
  <c r="AD2168" i="1" s="1"/>
  <c r="AD2169" i="1" s="1"/>
  <c r="AD2170" i="1" s="1"/>
  <c r="AD2171" i="1" s="1"/>
  <c r="AD2172" i="1" s="1"/>
  <c r="AD2173" i="1" s="1"/>
  <c r="AD2174" i="1" s="1"/>
  <c r="AD2175" i="1" s="1"/>
  <c r="AD2176" i="1" s="1"/>
  <c r="AD2177" i="1" s="1"/>
  <c r="AD2178" i="1" s="1"/>
  <c r="AD2179" i="1" s="1"/>
  <c r="AA2162" i="1"/>
  <c r="AA2163" i="1" s="1"/>
  <c r="AA2164" i="1" s="1"/>
  <c r="AE2161" i="1"/>
  <c r="AE2162" i="1" s="1"/>
  <c r="AE2163" i="1" s="1"/>
  <c r="AE2164" i="1" s="1"/>
  <c r="AE2165" i="1" s="1"/>
  <c r="AE2166" i="1" s="1"/>
  <c r="AE2167" i="1" s="1"/>
  <c r="AE2168" i="1" s="1"/>
  <c r="AE2169" i="1" s="1"/>
  <c r="AE2170" i="1" s="1"/>
  <c r="AE2171" i="1" s="1"/>
  <c r="AE2172" i="1" s="1"/>
  <c r="AE2173" i="1" s="1"/>
  <c r="AE2174" i="1" s="1"/>
  <c r="AE2175" i="1" s="1"/>
  <c r="AE2176" i="1" s="1"/>
  <c r="AE2177" i="1" s="1"/>
  <c r="AE2178" i="1" s="1"/>
  <c r="AE2179" i="1" s="1"/>
  <c r="AD2161" i="1"/>
  <c r="AC2161" i="1"/>
  <c r="AC2162" i="1" s="1"/>
  <c r="AC2163" i="1" s="1"/>
  <c r="AC2164" i="1" s="1"/>
  <c r="AA2161" i="1"/>
  <c r="AG2160" i="1"/>
  <c r="AG2161" i="1" s="1"/>
  <c r="AG2162" i="1" s="1"/>
  <c r="AG2163" i="1" s="1"/>
  <c r="AG2164" i="1" s="1"/>
  <c r="AG2165" i="1" s="1"/>
  <c r="AG2166" i="1" s="1"/>
  <c r="AF2160" i="1"/>
  <c r="AF2161" i="1" s="1"/>
  <c r="AE2160" i="1"/>
  <c r="AD2160" i="1"/>
  <c r="AC2160" i="1"/>
  <c r="AB2160" i="1"/>
  <c r="AB2161" i="1" s="1"/>
  <c r="AB2162" i="1" s="1"/>
  <c r="AB2163" i="1" s="1"/>
  <c r="AB2164" i="1" s="1"/>
  <c r="AB2165" i="1" s="1"/>
  <c r="AB2166" i="1" s="1"/>
  <c r="AB2167" i="1" s="1"/>
  <c r="AB2168" i="1" s="1"/>
  <c r="AB2169" i="1" s="1"/>
  <c r="AB2170" i="1" s="1"/>
  <c r="AB2171" i="1" s="1"/>
  <c r="AB2172" i="1" s="1"/>
  <c r="AB2173" i="1" s="1"/>
  <c r="AB2174" i="1" s="1"/>
  <c r="AB2175" i="1" s="1"/>
  <c r="AB2176" i="1" s="1"/>
  <c r="AB2177" i="1" s="1"/>
  <c r="AB2178" i="1" s="1"/>
  <c r="AB2179" i="1" s="1"/>
  <c r="AA2160" i="1"/>
  <c r="T2160" i="1"/>
  <c r="T2161" i="1" s="1"/>
  <c r="T2162" i="1" s="1"/>
  <c r="T2163" i="1" s="1"/>
  <c r="T2164" i="1" s="1"/>
  <c r="T2165" i="1" s="1"/>
  <c r="T2166" i="1" s="1"/>
  <c r="T2167" i="1" s="1"/>
  <c r="T2168" i="1" s="1"/>
  <c r="T2169" i="1" s="1"/>
  <c r="T2170" i="1" s="1"/>
  <c r="T2171" i="1" s="1"/>
  <c r="T2172" i="1" s="1"/>
  <c r="T2173" i="1" s="1"/>
  <c r="T2174" i="1" s="1"/>
  <c r="T2175" i="1" s="1"/>
  <c r="T2176" i="1" s="1"/>
  <c r="T2177" i="1" s="1"/>
  <c r="T2178" i="1" s="1"/>
  <c r="T2179" i="1" s="1"/>
  <c r="T2147" i="1"/>
  <c r="T2148" i="1" s="1"/>
  <c r="T2149" i="1" s="1"/>
  <c r="T2150" i="1" s="1"/>
  <c r="T2151" i="1" s="1"/>
  <c r="T2152" i="1" s="1"/>
  <c r="T2153" i="1" s="1"/>
  <c r="T2154" i="1" s="1"/>
  <c r="T2155" i="1" s="1"/>
  <c r="T2156" i="1" s="1"/>
  <c r="T2157" i="1" s="1"/>
  <c r="T2158" i="1" s="1"/>
  <c r="AD2144" i="1"/>
  <c r="AD2145" i="1" s="1"/>
  <c r="AD2146" i="1" s="1"/>
  <c r="AD2147" i="1" s="1"/>
  <c r="AD2148" i="1" s="1"/>
  <c r="AD2149" i="1" s="1"/>
  <c r="AD2150" i="1" s="1"/>
  <c r="AD2151" i="1" s="1"/>
  <c r="AD2152" i="1" s="1"/>
  <c r="AD2153" i="1" s="1"/>
  <c r="AD2154" i="1" s="1"/>
  <c r="AD2155" i="1" s="1"/>
  <c r="AD2156" i="1" s="1"/>
  <c r="AD2157" i="1" s="1"/>
  <c r="AD2158" i="1" s="1"/>
  <c r="AC2142" i="1"/>
  <c r="AC2143" i="1" s="1"/>
  <c r="AC2144" i="1" s="1"/>
  <c r="AC2145" i="1" s="1"/>
  <c r="AC2146" i="1" s="1"/>
  <c r="AC2147" i="1" s="1"/>
  <c r="AC2148" i="1" s="1"/>
  <c r="AC2149" i="1" s="1"/>
  <c r="AC2150" i="1" s="1"/>
  <c r="AC2151" i="1" s="1"/>
  <c r="AC2152" i="1" s="1"/>
  <c r="AC2153" i="1" s="1"/>
  <c r="AC2154" i="1" s="1"/>
  <c r="AC2155" i="1" s="1"/>
  <c r="AC2156" i="1" s="1"/>
  <c r="AC2157" i="1" s="1"/>
  <c r="AC2158" i="1" s="1"/>
  <c r="AD2140" i="1"/>
  <c r="AD2141" i="1" s="1"/>
  <c r="AD2142" i="1" s="1"/>
  <c r="AD2143" i="1" s="1"/>
  <c r="AB2140" i="1"/>
  <c r="AB2141" i="1" s="1"/>
  <c r="AB2142" i="1" s="1"/>
  <c r="AB2143" i="1" s="1"/>
  <c r="AB2144" i="1" s="1"/>
  <c r="AB2145" i="1" s="1"/>
  <c r="AB2146" i="1" s="1"/>
  <c r="AB2147" i="1" s="1"/>
  <c r="AB2148" i="1" s="1"/>
  <c r="AB2149" i="1" s="1"/>
  <c r="AB2150" i="1" s="1"/>
  <c r="AB2151" i="1" s="1"/>
  <c r="AB2152" i="1" s="1"/>
  <c r="AB2153" i="1" s="1"/>
  <c r="AB2154" i="1" s="1"/>
  <c r="AB2155" i="1" s="1"/>
  <c r="AB2156" i="1" s="1"/>
  <c r="AB2157" i="1" s="1"/>
  <c r="AB2158" i="1" s="1"/>
  <c r="AC2139" i="1"/>
  <c r="AC2140" i="1" s="1"/>
  <c r="AC2141" i="1" s="1"/>
  <c r="AB2139" i="1"/>
  <c r="AA2139" i="1"/>
  <c r="AA2140" i="1" s="1"/>
  <c r="AA2141" i="1" s="1"/>
  <c r="AA2142" i="1" s="1"/>
  <c r="AA2143" i="1" s="1"/>
  <c r="AA2144" i="1" s="1"/>
  <c r="AA2145" i="1" s="1"/>
  <c r="AA2146" i="1" s="1"/>
  <c r="AA2147" i="1" s="1"/>
  <c r="AA2148" i="1" s="1"/>
  <c r="AA2149" i="1" s="1"/>
  <c r="AA2150" i="1" s="1"/>
  <c r="AA2151" i="1" s="1"/>
  <c r="AA2152" i="1" s="1"/>
  <c r="AA2153" i="1" s="1"/>
  <c r="AA2154" i="1" s="1"/>
  <c r="AA2155" i="1" s="1"/>
  <c r="AA2156" i="1" s="1"/>
  <c r="AA2157" i="1" s="1"/>
  <c r="AA2158" i="1" s="1"/>
  <c r="AD2138" i="1"/>
  <c r="AD2139" i="1" s="1"/>
  <c r="AC2138" i="1"/>
  <c r="T2138" i="1"/>
  <c r="T2139" i="1" s="1"/>
  <c r="T2140" i="1" s="1"/>
  <c r="T2141" i="1" s="1"/>
  <c r="T2142" i="1" s="1"/>
  <c r="T2143" i="1" s="1"/>
  <c r="T2144" i="1" s="1"/>
  <c r="T2145" i="1" s="1"/>
  <c r="T2146" i="1" s="1"/>
  <c r="S2138" i="1"/>
  <c r="S2139" i="1" s="1"/>
  <c r="S2140" i="1" s="1"/>
  <c r="S2141" i="1" s="1"/>
  <c r="S2142" i="1" s="1"/>
  <c r="S2143" i="1" s="1"/>
  <c r="S2144" i="1" s="1"/>
  <c r="S2145" i="1" s="1"/>
  <c r="S2146" i="1" s="1"/>
  <c r="S2147" i="1" s="1"/>
  <c r="S2148" i="1" s="1"/>
  <c r="S2149" i="1" s="1"/>
  <c r="S2150" i="1" s="1"/>
  <c r="S2151" i="1" s="1"/>
  <c r="S2152" i="1" s="1"/>
  <c r="S2153" i="1" s="1"/>
  <c r="S2154" i="1" s="1"/>
  <c r="S2155" i="1" s="1"/>
  <c r="S2156" i="1" s="1"/>
  <c r="S2157" i="1" s="1"/>
  <c r="S2158" i="1" s="1"/>
  <c r="S2159" i="1" s="1"/>
  <c r="S2160" i="1" s="1"/>
  <c r="S2161" i="1" s="1"/>
  <c r="S2162" i="1" s="1"/>
  <c r="S2163" i="1" s="1"/>
  <c r="S2164" i="1" s="1"/>
  <c r="S2165" i="1" s="1"/>
  <c r="S2166" i="1" s="1"/>
  <c r="S2167" i="1" s="1"/>
  <c r="S2168" i="1" s="1"/>
  <c r="S2169" i="1" s="1"/>
  <c r="S2170" i="1" s="1"/>
  <c r="S2171" i="1" s="1"/>
  <c r="S2172" i="1" s="1"/>
  <c r="S2173" i="1" s="1"/>
  <c r="S2174" i="1" s="1"/>
  <c r="S2175" i="1" s="1"/>
  <c r="S2176" i="1" s="1"/>
  <c r="S2177" i="1" s="1"/>
  <c r="S2178" i="1" s="1"/>
  <c r="S2179" i="1" s="1"/>
  <c r="S2180" i="1" s="1"/>
  <c r="S2181" i="1" s="1"/>
  <c r="S2182" i="1" s="1"/>
  <c r="S2183" i="1" s="1"/>
  <c r="S2184" i="1" s="1"/>
  <c r="S2185" i="1" s="1"/>
  <c r="S2186" i="1" s="1"/>
  <c r="S2187" i="1" s="1"/>
  <c r="S2188" i="1" s="1"/>
  <c r="S2189" i="1" s="1"/>
  <c r="S2190" i="1" s="1"/>
  <c r="S2191" i="1" s="1"/>
  <c r="S2192" i="1" s="1"/>
  <c r="S2193" i="1" s="1"/>
  <c r="S2194" i="1" s="1"/>
  <c r="S2195" i="1" s="1"/>
  <c r="S2196" i="1" s="1"/>
  <c r="S2197" i="1" s="1"/>
  <c r="S2198" i="1" s="1"/>
  <c r="S2199" i="1" s="1"/>
  <c r="S2200" i="1" s="1"/>
  <c r="S2201" i="1" s="1"/>
  <c r="S2202" i="1" s="1"/>
  <c r="S2203" i="1" s="1"/>
  <c r="S2204" i="1" s="1"/>
  <c r="S2205" i="1" s="1"/>
  <c r="AG2137" i="1"/>
  <c r="AG2138" i="1" s="1"/>
  <c r="AG2139" i="1" s="1"/>
  <c r="AG2140" i="1" s="1"/>
  <c r="AG2141" i="1" s="1"/>
  <c r="AG2142" i="1" s="1"/>
  <c r="AG2143" i="1" s="1"/>
  <c r="AG2144" i="1" s="1"/>
  <c r="AG2145" i="1" s="1"/>
  <c r="AG2146" i="1" s="1"/>
  <c r="AG2147" i="1" s="1"/>
  <c r="AG2148" i="1" s="1"/>
  <c r="AG2149" i="1" s="1"/>
  <c r="AG2150" i="1" s="1"/>
  <c r="AG2151" i="1" s="1"/>
  <c r="AG2152" i="1" s="1"/>
  <c r="AG2153" i="1" s="1"/>
  <c r="AG2154" i="1" s="1"/>
  <c r="AG2155" i="1" s="1"/>
  <c r="AG2156" i="1" s="1"/>
  <c r="AG2157" i="1" s="1"/>
  <c r="AG2158" i="1" s="1"/>
  <c r="AF2137" i="1"/>
  <c r="AF2138" i="1" s="1"/>
  <c r="AF2139" i="1" s="1"/>
  <c r="AF2140" i="1" s="1"/>
  <c r="AF2141" i="1" s="1"/>
  <c r="AF2142" i="1" s="1"/>
  <c r="AF2143" i="1" s="1"/>
  <c r="AF2144" i="1" s="1"/>
  <c r="AF2145" i="1" s="1"/>
  <c r="AF2146" i="1" s="1"/>
  <c r="AF2147" i="1" s="1"/>
  <c r="AF2148" i="1" s="1"/>
  <c r="AF2149" i="1" s="1"/>
  <c r="AF2150" i="1" s="1"/>
  <c r="AF2151" i="1" s="1"/>
  <c r="AF2152" i="1" s="1"/>
  <c r="AF2153" i="1" s="1"/>
  <c r="AF2154" i="1" s="1"/>
  <c r="AF2155" i="1" s="1"/>
  <c r="AF2156" i="1" s="1"/>
  <c r="AF2157" i="1" s="1"/>
  <c r="AF2158" i="1" s="1"/>
  <c r="AE2137" i="1"/>
  <c r="AE2138" i="1" s="1"/>
  <c r="AE2139" i="1" s="1"/>
  <c r="AE2140" i="1" s="1"/>
  <c r="AE2141" i="1" s="1"/>
  <c r="AE2142" i="1" s="1"/>
  <c r="AE2143" i="1" s="1"/>
  <c r="AE2144" i="1" s="1"/>
  <c r="AE2145" i="1" s="1"/>
  <c r="AE2146" i="1" s="1"/>
  <c r="AE2147" i="1" s="1"/>
  <c r="AE2148" i="1" s="1"/>
  <c r="AE2149" i="1" s="1"/>
  <c r="AE2150" i="1" s="1"/>
  <c r="AE2151" i="1" s="1"/>
  <c r="AE2152" i="1" s="1"/>
  <c r="AE2153" i="1" s="1"/>
  <c r="AE2154" i="1" s="1"/>
  <c r="AE2155" i="1" s="1"/>
  <c r="AE2156" i="1" s="1"/>
  <c r="AE2157" i="1" s="1"/>
  <c r="AE2158" i="1" s="1"/>
  <c r="AD2137" i="1"/>
  <c r="AC2137" i="1"/>
  <c r="AB2137" i="1"/>
  <c r="AB2138" i="1" s="1"/>
  <c r="AA2137" i="1"/>
  <c r="AA2138" i="1" s="1"/>
  <c r="T2137" i="1"/>
  <c r="S2137" i="1"/>
  <c r="AE2120" i="1"/>
  <c r="AE2121" i="1" s="1"/>
  <c r="AE2122" i="1" s="1"/>
  <c r="AE2123" i="1" s="1"/>
  <c r="AE2124" i="1" s="1"/>
  <c r="AE2125" i="1" s="1"/>
  <c r="AE2126" i="1" s="1"/>
  <c r="AE2127" i="1" s="1"/>
  <c r="AE2128" i="1" s="1"/>
  <c r="AE2129" i="1" s="1"/>
  <c r="AE2130" i="1" s="1"/>
  <c r="AE2131" i="1" s="1"/>
  <c r="AE2132" i="1" s="1"/>
  <c r="AE2133" i="1" s="1"/>
  <c r="AE2134" i="1" s="1"/>
  <c r="AE2135" i="1" s="1"/>
  <c r="AE2119" i="1"/>
  <c r="AD2119" i="1"/>
  <c r="AD2120" i="1" s="1"/>
  <c r="AD2121" i="1" s="1"/>
  <c r="AD2122" i="1" s="1"/>
  <c r="AD2123" i="1" s="1"/>
  <c r="AD2124" i="1" s="1"/>
  <c r="AD2125" i="1" s="1"/>
  <c r="AD2126" i="1" s="1"/>
  <c r="AD2127" i="1" s="1"/>
  <c r="AD2128" i="1" s="1"/>
  <c r="AD2129" i="1" s="1"/>
  <c r="AD2130" i="1" s="1"/>
  <c r="AD2131" i="1" s="1"/>
  <c r="AD2132" i="1" s="1"/>
  <c r="AD2133" i="1" s="1"/>
  <c r="AD2134" i="1" s="1"/>
  <c r="AD2135" i="1" s="1"/>
  <c r="AC2119" i="1"/>
  <c r="AC2120" i="1" s="1"/>
  <c r="AC2121" i="1" s="1"/>
  <c r="AC2122" i="1" s="1"/>
  <c r="AC2123" i="1" s="1"/>
  <c r="AC2124" i="1" s="1"/>
  <c r="AC2125" i="1" s="1"/>
  <c r="AC2126" i="1" s="1"/>
  <c r="AC2127" i="1" s="1"/>
  <c r="AC2128" i="1" s="1"/>
  <c r="AC2129" i="1" s="1"/>
  <c r="AC2130" i="1" s="1"/>
  <c r="AC2131" i="1" s="1"/>
  <c r="AC2132" i="1" s="1"/>
  <c r="AC2133" i="1" s="1"/>
  <c r="AC2134" i="1" s="1"/>
  <c r="AC2135" i="1" s="1"/>
  <c r="AB2119" i="1"/>
  <c r="AB2120" i="1" s="1"/>
  <c r="AB2121" i="1" s="1"/>
  <c r="AB2122" i="1" s="1"/>
  <c r="AB2123" i="1" s="1"/>
  <c r="AB2124" i="1" s="1"/>
  <c r="AB2125" i="1" s="1"/>
  <c r="AB2126" i="1" s="1"/>
  <c r="AB2127" i="1" s="1"/>
  <c r="AB2128" i="1" s="1"/>
  <c r="AB2129" i="1" s="1"/>
  <c r="AB2130" i="1" s="1"/>
  <c r="AB2131" i="1" s="1"/>
  <c r="AB2132" i="1" s="1"/>
  <c r="AB2133" i="1" s="1"/>
  <c r="AB2134" i="1" s="1"/>
  <c r="AB2135" i="1" s="1"/>
  <c r="AG2118" i="1"/>
  <c r="AG2119" i="1" s="1"/>
  <c r="AG2120" i="1" s="1"/>
  <c r="AG2121" i="1" s="1"/>
  <c r="AG2122" i="1" s="1"/>
  <c r="AG2123" i="1" s="1"/>
  <c r="AG2124" i="1" s="1"/>
  <c r="AG2125" i="1" s="1"/>
  <c r="AG2126" i="1" s="1"/>
  <c r="AG2127" i="1" s="1"/>
  <c r="AG2128" i="1" s="1"/>
  <c r="AG2129" i="1" s="1"/>
  <c r="AG2130" i="1" s="1"/>
  <c r="AG2131" i="1" s="1"/>
  <c r="AG2132" i="1" s="1"/>
  <c r="AG2133" i="1" s="1"/>
  <c r="AG2134" i="1" s="1"/>
  <c r="AG2135" i="1" s="1"/>
  <c r="AF2118" i="1"/>
  <c r="AF2119" i="1" s="1"/>
  <c r="AF2120" i="1" s="1"/>
  <c r="AF2121" i="1" s="1"/>
  <c r="AF2122" i="1" s="1"/>
  <c r="AF2123" i="1" s="1"/>
  <c r="AF2124" i="1" s="1"/>
  <c r="AF2125" i="1" s="1"/>
  <c r="AF2126" i="1" s="1"/>
  <c r="AF2127" i="1" s="1"/>
  <c r="AF2128" i="1" s="1"/>
  <c r="AF2129" i="1" s="1"/>
  <c r="AF2130" i="1" s="1"/>
  <c r="AF2131" i="1" s="1"/>
  <c r="AF2132" i="1" s="1"/>
  <c r="AF2133" i="1" s="1"/>
  <c r="AF2134" i="1" s="1"/>
  <c r="AF2135" i="1" s="1"/>
  <c r="AE2118" i="1"/>
  <c r="AD2118" i="1"/>
  <c r="AC2118" i="1"/>
  <c r="AB2118" i="1"/>
  <c r="AA2118" i="1"/>
  <c r="AA2119" i="1" s="1"/>
  <c r="AA2120" i="1" s="1"/>
  <c r="AA2121" i="1" s="1"/>
  <c r="AA2122" i="1" s="1"/>
  <c r="AA2123" i="1" s="1"/>
  <c r="AA2124" i="1" s="1"/>
  <c r="AA2125" i="1" s="1"/>
  <c r="AA2126" i="1" s="1"/>
  <c r="AA2127" i="1" s="1"/>
  <c r="AA2128" i="1" s="1"/>
  <c r="AA2129" i="1" s="1"/>
  <c r="AA2130" i="1" s="1"/>
  <c r="AA2131" i="1" s="1"/>
  <c r="AA2132" i="1" s="1"/>
  <c r="AA2133" i="1" s="1"/>
  <c r="AA2134" i="1" s="1"/>
  <c r="AA2135" i="1" s="1"/>
  <c r="T2118" i="1"/>
  <c r="T2119" i="1" s="1"/>
  <c r="T2120" i="1" s="1"/>
  <c r="T2121" i="1" s="1"/>
  <c r="T2122" i="1" s="1"/>
  <c r="T2123" i="1" s="1"/>
  <c r="T2124" i="1" s="1"/>
  <c r="T2125" i="1" s="1"/>
  <c r="T2126" i="1" s="1"/>
  <c r="T2127" i="1" s="1"/>
  <c r="T2128" i="1" s="1"/>
  <c r="T2129" i="1" s="1"/>
  <c r="T2130" i="1" s="1"/>
  <c r="T2131" i="1" s="1"/>
  <c r="T2132" i="1" s="1"/>
  <c r="T2133" i="1" s="1"/>
  <c r="T2134" i="1" s="1"/>
  <c r="T2135" i="1" s="1"/>
  <c r="AE2108" i="1"/>
  <c r="AE2109" i="1" s="1"/>
  <c r="AE2110" i="1" s="1"/>
  <c r="AE2111" i="1" s="1"/>
  <c r="AE2112" i="1" s="1"/>
  <c r="AE2113" i="1" s="1"/>
  <c r="AE2114" i="1" s="1"/>
  <c r="AE2115" i="1" s="1"/>
  <c r="AE2116" i="1" s="1"/>
  <c r="T2101" i="1"/>
  <c r="T2102" i="1" s="1"/>
  <c r="T2103" i="1" s="1"/>
  <c r="T2104" i="1" s="1"/>
  <c r="T2105" i="1" s="1"/>
  <c r="T2106" i="1" s="1"/>
  <c r="T2107" i="1" s="1"/>
  <c r="T2108" i="1" s="1"/>
  <c r="T2109" i="1" s="1"/>
  <c r="T2110" i="1" s="1"/>
  <c r="T2111" i="1" s="1"/>
  <c r="T2112" i="1" s="1"/>
  <c r="T2113" i="1" s="1"/>
  <c r="T2114" i="1" s="1"/>
  <c r="T2115" i="1" s="1"/>
  <c r="T2116" i="1" s="1"/>
  <c r="AE2100" i="1"/>
  <c r="AE2101" i="1" s="1"/>
  <c r="AE2102" i="1" s="1"/>
  <c r="AE2103" i="1" s="1"/>
  <c r="AE2104" i="1" s="1"/>
  <c r="AE2105" i="1" s="1"/>
  <c r="AE2106" i="1" s="1"/>
  <c r="AE2107" i="1" s="1"/>
  <c r="AC2099" i="1"/>
  <c r="AC2100" i="1" s="1"/>
  <c r="AC2101" i="1" s="1"/>
  <c r="AC2102" i="1" s="1"/>
  <c r="AC2103" i="1" s="1"/>
  <c r="AC2104" i="1" s="1"/>
  <c r="AC2105" i="1" s="1"/>
  <c r="AC2106" i="1" s="1"/>
  <c r="AC2107" i="1" s="1"/>
  <c r="AC2108" i="1" s="1"/>
  <c r="AC2109" i="1" s="1"/>
  <c r="AC2110" i="1" s="1"/>
  <c r="AC2111" i="1" s="1"/>
  <c r="AC2112" i="1" s="1"/>
  <c r="AC2113" i="1" s="1"/>
  <c r="AC2114" i="1" s="1"/>
  <c r="AC2115" i="1" s="1"/>
  <c r="AC2116" i="1" s="1"/>
  <c r="AB2099" i="1"/>
  <c r="AB2100" i="1" s="1"/>
  <c r="AB2101" i="1" s="1"/>
  <c r="AB2102" i="1" s="1"/>
  <c r="AB2103" i="1" s="1"/>
  <c r="AB2104" i="1" s="1"/>
  <c r="AB2105" i="1" s="1"/>
  <c r="AB2106" i="1" s="1"/>
  <c r="AB2107" i="1" s="1"/>
  <c r="AB2108" i="1" s="1"/>
  <c r="AB2109" i="1" s="1"/>
  <c r="AB2110" i="1" s="1"/>
  <c r="AB2111" i="1" s="1"/>
  <c r="AB2112" i="1" s="1"/>
  <c r="AB2113" i="1" s="1"/>
  <c r="AB2114" i="1" s="1"/>
  <c r="AB2115" i="1" s="1"/>
  <c r="AB2116" i="1" s="1"/>
  <c r="AA2099" i="1"/>
  <c r="AA2100" i="1" s="1"/>
  <c r="AA2101" i="1" s="1"/>
  <c r="AA2102" i="1" s="1"/>
  <c r="AA2103" i="1" s="1"/>
  <c r="AA2104" i="1" s="1"/>
  <c r="AA2105" i="1" s="1"/>
  <c r="AA2106" i="1" s="1"/>
  <c r="AA2107" i="1" s="1"/>
  <c r="AA2108" i="1" s="1"/>
  <c r="AA2109" i="1" s="1"/>
  <c r="AA2110" i="1" s="1"/>
  <c r="AA2111" i="1" s="1"/>
  <c r="AA2112" i="1" s="1"/>
  <c r="AA2113" i="1" s="1"/>
  <c r="AA2114" i="1" s="1"/>
  <c r="AA2115" i="1" s="1"/>
  <c r="AA2116" i="1" s="1"/>
  <c r="AC2098" i="1"/>
  <c r="AB2098" i="1"/>
  <c r="AA2098" i="1"/>
  <c r="T2098" i="1"/>
  <c r="T2099" i="1" s="1"/>
  <c r="T2100" i="1" s="1"/>
  <c r="AG2097" i="1"/>
  <c r="AG2098" i="1" s="1"/>
  <c r="AG2099" i="1" s="1"/>
  <c r="AG2100" i="1" s="1"/>
  <c r="AG2101" i="1" s="1"/>
  <c r="AG2102" i="1" s="1"/>
  <c r="AG2103" i="1" s="1"/>
  <c r="AG2104" i="1" s="1"/>
  <c r="AG2105" i="1" s="1"/>
  <c r="AG2106" i="1" s="1"/>
  <c r="AG2107" i="1" s="1"/>
  <c r="AG2108" i="1" s="1"/>
  <c r="AG2109" i="1" s="1"/>
  <c r="AG2110" i="1" s="1"/>
  <c r="AG2111" i="1" s="1"/>
  <c r="AG2112" i="1" s="1"/>
  <c r="AG2113" i="1" s="1"/>
  <c r="AG2114" i="1" s="1"/>
  <c r="AG2115" i="1" s="1"/>
  <c r="AG2116" i="1" s="1"/>
  <c r="AF2097" i="1"/>
  <c r="AF2098" i="1" s="1"/>
  <c r="AF2099" i="1" s="1"/>
  <c r="AF2100" i="1" s="1"/>
  <c r="AF2101" i="1" s="1"/>
  <c r="AF2102" i="1" s="1"/>
  <c r="AF2103" i="1" s="1"/>
  <c r="AF2104" i="1" s="1"/>
  <c r="AF2105" i="1" s="1"/>
  <c r="AF2106" i="1" s="1"/>
  <c r="AF2107" i="1" s="1"/>
  <c r="AF2108" i="1" s="1"/>
  <c r="AF2109" i="1" s="1"/>
  <c r="AF2110" i="1" s="1"/>
  <c r="AF2111" i="1" s="1"/>
  <c r="AF2112" i="1" s="1"/>
  <c r="AF2113" i="1" s="1"/>
  <c r="AF2114" i="1" s="1"/>
  <c r="AF2115" i="1" s="1"/>
  <c r="AF2116" i="1" s="1"/>
  <c r="AE2097" i="1"/>
  <c r="AE2098" i="1" s="1"/>
  <c r="AE2099" i="1" s="1"/>
  <c r="AD2097" i="1"/>
  <c r="AD2098" i="1" s="1"/>
  <c r="AD2099" i="1" s="1"/>
  <c r="AD2100" i="1" s="1"/>
  <c r="AD2101" i="1" s="1"/>
  <c r="AD2102" i="1" s="1"/>
  <c r="AD2103" i="1" s="1"/>
  <c r="AD2104" i="1" s="1"/>
  <c r="AD2105" i="1" s="1"/>
  <c r="AD2106" i="1" s="1"/>
  <c r="AD2107" i="1" s="1"/>
  <c r="AD2108" i="1" s="1"/>
  <c r="AD2109" i="1" s="1"/>
  <c r="AD2110" i="1" s="1"/>
  <c r="AD2111" i="1" s="1"/>
  <c r="AD2112" i="1" s="1"/>
  <c r="AD2113" i="1" s="1"/>
  <c r="AD2114" i="1" s="1"/>
  <c r="AD2115" i="1" s="1"/>
  <c r="AD2116" i="1" s="1"/>
  <c r="AC2097" i="1"/>
  <c r="AB2097" i="1"/>
  <c r="AA2097" i="1"/>
  <c r="T2097" i="1"/>
  <c r="AB2078" i="1"/>
  <c r="AB2079" i="1" s="1"/>
  <c r="AB2080" i="1" s="1"/>
  <c r="AB2081" i="1" s="1"/>
  <c r="AB2082" i="1" s="1"/>
  <c r="AB2083" i="1" s="1"/>
  <c r="AB2084" i="1" s="1"/>
  <c r="AB2085" i="1" s="1"/>
  <c r="AB2086" i="1" s="1"/>
  <c r="AB2087" i="1" s="1"/>
  <c r="AB2088" i="1" s="1"/>
  <c r="AB2089" i="1" s="1"/>
  <c r="AB2090" i="1" s="1"/>
  <c r="AB2091" i="1" s="1"/>
  <c r="AB2092" i="1" s="1"/>
  <c r="AB2093" i="1" s="1"/>
  <c r="AB2094" i="1" s="1"/>
  <c r="AB2095" i="1" s="1"/>
  <c r="AA2078" i="1"/>
  <c r="AA2079" i="1" s="1"/>
  <c r="AA2080" i="1" s="1"/>
  <c r="AA2081" i="1" s="1"/>
  <c r="AA2082" i="1" s="1"/>
  <c r="AA2083" i="1" s="1"/>
  <c r="AA2084" i="1" s="1"/>
  <c r="AA2085" i="1" s="1"/>
  <c r="AA2086" i="1" s="1"/>
  <c r="AA2087" i="1" s="1"/>
  <c r="AA2088" i="1" s="1"/>
  <c r="AA2089" i="1" s="1"/>
  <c r="AA2090" i="1" s="1"/>
  <c r="AA2091" i="1" s="1"/>
  <c r="AA2092" i="1" s="1"/>
  <c r="AA2093" i="1" s="1"/>
  <c r="AA2094" i="1" s="1"/>
  <c r="AA2095" i="1" s="1"/>
  <c r="AG2076" i="1"/>
  <c r="AG2077" i="1" s="1"/>
  <c r="AG2078" i="1" s="1"/>
  <c r="AG2079" i="1" s="1"/>
  <c r="AG2080" i="1" s="1"/>
  <c r="AG2081" i="1" s="1"/>
  <c r="AG2082" i="1" s="1"/>
  <c r="AG2083" i="1" s="1"/>
  <c r="AG2084" i="1" s="1"/>
  <c r="AG2085" i="1" s="1"/>
  <c r="AG2086" i="1" s="1"/>
  <c r="AG2087" i="1" s="1"/>
  <c r="AG2088" i="1" s="1"/>
  <c r="AG2089" i="1" s="1"/>
  <c r="AG2090" i="1" s="1"/>
  <c r="AG2091" i="1" s="1"/>
  <c r="AG2092" i="1" s="1"/>
  <c r="AG2093" i="1" s="1"/>
  <c r="AG2094" i="1" s="1"/>
  <c r="AG2095" i="1" s="1"/>
  <c r="AG2075" i="1"/>
  <c r="AF2075" i="1"/>
  <c r="AF2076" i="1" s="1"/>
  <c r="AF2077" i="1" s="1"/>
  <c r="AF2078" i="1" s="1"/>
  <c r="AF2079" i="1" s="1"/>
  <c r="AF2080" i="1" s="1"/>
  <c r="AF2081" i="1" s="1"/>
  <c r="AF2082" i="1" s="1"/>
  <c r="AF2083" i="1" s="1"/>
  <c r="AF2084" i="1" s="1"/>
  <c r="AF2085" i="1" s="1"/>
  <c r="AF2086" i="1" s="1"/>
  <c r="AF2087" i="1" s="1"/>
  <c r="AF2088" i="1" s="1"/>
  <c r="AF2089" i="1" s="1"/>
  <c r="AF2090" i="1" s="1"/>
  <c r="AF2091" i="1" s="1"/>
  <c r="AF2092" i="1" s="1"/>
  <c r="AF2093" i="1" s="1"/>
  <c r="AF2094" i="1" s="1"/>
  <c r="AF2095" i="1" s="1"/>
  <c r="AE2075" i="1"/>
  <c r="AE2076" i="1" s="1"/>
  <c r="AE2077" i="1" s="1"/>
  <c r="AE2078" i="1" s="1"/>
  <c r="AE2079" i="1" s="1"/>
  <c r="AE2080" i="1" s="1"/>
  <c r="AE2081" i="1" s="1"/>
  <c r="AE2082" i="1" s="1"/>
  <c r="AE2083" i="1" s="1"/>
  <c r="AE2084" i="1" s="1"/>
  <c r="AE2085" i="1" s="1"/>
  <c r="AE2086" i="1" s="1"/>
  <c r="AE2087" i="1" s="1"/>
  <c r="AE2088" i="1" s="1"/>
  <c r="AE2089" i="1" s="1"/>
  <c r="AE2090" i="1" s="1"/>
  <c r="AE2091" i="1" s="1"/>
  <c r="AE2092" i="1" s="1"/>
  <c r="AE2093" i="1" s="1"/>
  <c r="AE2094" i="1" s="1"/>
  <c r="AE2095" i="1" s="1"/>
  <c r="AG2074" i="1"/>
  <c r="AF2074" i="1"/>
  <c r="AE2074" i="1"/>
  <c r="AD2074" i="1"/>
  <c r="AD2075" i="1" s="1"/>
  <c r="AD2076" i="1" s="1"/>
  <c r="AD2077" i="1" s="1"/>
  <c r="AD2078" i="1" s="1"/>
  <c r="AD2079" i="1" s="1"/>
  <c r="AD2080" i="1" s="1"/>
  <c r="AD2081" i="1" s="1"/>
  <c r="AD2082" i="1" s="1"/>
  <c r="AD2083" i="1" s="1"/>
  <c r="AD2084" i="1" s="1"/>
  <c r="AD2085" i="1" s="1"/>
  <c r="AD2086" i="1" s="1"/>
  <c r="AD2087" i="1" s="1"/>
  <c r="AD2088" i="1" s="1"/>
  <c r="AD2089" i="1" s="1"/>
  <c r="AD2090" i="1" s="1"/>
  <c r="AD2091" i="1" s="1"/>
  <c r="AD2092" i="1" s="1"/>
  <c r="AD2093" i="1" s="1"/>
  <c r="AD2094" i="1" s="1"/>
  <c r="AD2095" i="1" s="1"/>
  <c r="AC2074" i="1"/>
  <c r="AC2075" i="1" s="1"/>
  <c r="AC2076" i="1" s="1"/>
  <c r="AC2077" i="1" s="1"/>
  <c r="AC2078" i="1" s="1"/>
  <c r="AC2079" i="1" s="1"/>
  <c r="AC2080" i="1" s="1"/>
  <c r="AC2081" i="1" s="1"/>
  <c r="AC2082" i="1" s="1"/>
  <c r="AC2083" i="1" s="1"/>
  <c r="AC2084" i="1" s="1"/>
  <c r="AC2085" i="1" s="1"/>
  <c r="AC2086" i="1" s="1"/>
  <c r="AC2087" i="1" s="1"/>
  <c r="AC2088" i="1" s="1"/>
  <c r="AC2089" i="1" s="1"/>
  <c r="AC2090" i="1" s="1"/>
  <c r="AC2091" i="1" s="1"/>
  <c r="AC2092" i="1" s="1"/>
  <c r="AC2093" i="1" s="1"/>
  <c r="AC2094" i="1" s="1"/>
  <c r="AC2095" i="1" s="1"/>
  <c r="AB2074" i="1"/>
  <c r="AB2075" i="1" s="1"/>
  <c r="AB2076" i="1" s="1"/>
  <c r="AB2077" i="1" s="1"/>
  <c r="AA2074" i="1"/>
  <c r="AA2075" i="1" s="1"/>
  <c r="AA2076" i="1" s="1"/>
  <c r="AA2077" i="1" s="1"/>
  <c r="AG2073" i="1"/>
  <c r="AF2073" i="1"/>
  <c r="AE2073" i="1"/>
  <c r="AD2073" i="1"/>
  <c r="AC2073" i="1"/>
  <c r="AB2073" i="1"/>
  <c r="AA2073" i="1"/>
  <c r="T2073" i="1"/>
  <c r="T2074" i="1" s="1"/>
  <c r="T2075" i="1" s="1"/>
  <c r="T2076" i="1" s="1"/>
  <c r="T2077" i="1" s="1"/>
  <c r="T2078" i="1" s="1"/>
  <c r="T2079" i="1" s="1"/>
  <c r="T2080" i="1" s="1"/>
  <c r="T2081" i="1" s="1"/>
  <c r="T2082" i="1" s="1"/>
  <c r="T2083" i="1" s="1"/>
  <c r="T2084" i="1" s="1"/>
  <c r="T2085" i="1" s="1"/>
  <c r="T2086" i="1" s="1"/>
  <c r="T2087" i="1" s="1"/>
  <c r="T2088" i="1" s="1"/>
  <c r="T2089" i="1" s="1"/>
  <c r="T2090" i="1" s="1"/>
  <c r="T2091" i="1" s="1"/>
  <c r="T2092" i="1" s="1"/>
  <c r="T2093" i="1" s="1"/>
  <c r="T2094" i="1" s="1"/>
  <c r="T2095" i="1" s="1"/>
  <c r="S2073" i="1"/>
  <c r="S2074" i="1" s="1"/>
  <c r="S2075" i="1" s="1"/>
  <c r="S2076" i="1" s="1"/>
  <c r="S2077" i="1" s="1"/>
  <c r="S2078" i="1" s="1"/>
  <c r="S2079" i="1" s="1"/>
  <c r="S2080" i="1" s="1"/>
  <c r="S2081" i="1" s="1"/>
  <c r="S2082" i="1" s="1"/>
  <c r="S2083" i="1" s="1"/>
  <c r="S2084" i="1" s="1"/>
  <c r="S2085" i="1" s="1"/>
  <c r="S2086" i="1" s="1"/>
  <c r="S2087" i="1" s="1"/>
  <c r="S2088" i="1" s="1"/>
  <c r="S2089" i="1" s="1"/>
  <c r="S2090" i="1" s="1"/>
  <c r="S2091" i="1" s="1"/>
  <c r="S2092" i="1" s="1"/>
  <c r="S2093" i="1" s="1"/>
  <c r="S2094" i="1" s="1"/>
  <c r="S2095" i="1" s="1"/>
  <c r="S2096" i="1" s="1"/>
  <c r="S2097" i="1" s="1"/>
  <c r="S2098" i="1" s="1"/>
  <c r="S2099" i="1" s="1"/>
  <c r="S2100" i="1" s="1"/>
  <c r="S2101" i="1" s="1"/>
  <c r="S2102" i="1" s="1"/>
  <c r="S2103" i="1" s="1"/>
  <c r="S2104" i="1" s="1"/>
  <c r="S2105" i="1" s="1"/>
  <c r="S2106" i="1" s="1"/>
  <c r="S2107" i="1" s="1"/>
  <c r="S2108" i="1" s="1"/>
  <c r="S2109" i="1" s="1"/>
  <c r="S2110" i="1" s="1"/>
  <c r="S2111" i="1" s="1"/>
  <c r="S2112" i="1" s="1"/>
  <c r="S2113" i="1" s="1"/>
  <c r="S2114" i="1" s="1"/>
  <c r="S2115" i="1" s="1"/>
  <c r="S2116" i="1" s="1"/>
  <c r="S2117" i="1" s="1"/>
  <c r="S2118" i="1" s="1"/>
  <c r="S2119" i="1" s="1"/>
  <c r="S2120" i="1" s="1"/>
  <c r="S2121" i="1" s="1"/>
  <c r="S2122" i="1" s="1"/>
  <c r="S2123" i="1" s="1"/>
  <c r="S2124" i="1" s="1"/>
  <c r="S2125" i="1" s="1"/>
  <c r="S2126" i="1" s="1"/>
  <c r="S2127" i="1" s="1"/>
  <c r="S2128" i="1" s="1"/>
  <c r="S2129" i="1" s="1"/>
  <c r="S2130" i="1" s="1"/>
  <c r="S2131" i="1" s="1"/>
  <c r="S2132" i="1" s="1"/>
  <c r="S2133" i="1" s="1"/>
  <c r="S2134" i="1" s="1"/>
  <c r="S2135" i="1" s="1"/>
  <c r="AG2062" i="1"/>
  <c r="AG2063" i="1" s="1"/>
  <c r="AG2064" i="1" s="1"/>
  <c r="AG2065" i="1" s="1"/>
  <c r="AG2066" i="1" s="1"/>
  <c r="AG2067" i="1" s="1"/>
  <c r="AG2068" i="1" s="1"/>
  <c r="AG2069" i="1" s="1"/>
  <c r="AG2070" i="1" s="1"/>
  <c r="AG2071" i="1" s="1"/>
  <c r="AF2062" i="1"/>
  <c r="AF2063" i="1" s="1"/>
  <c r="AF2064" i="1" s="1"/>
  <c r="AF2065" i="1" s="1"/>
  <c r="AF2066" i="1" s="1"/>
  <c r="AF2067" i="1" s="1"/>
  <c r="AF2068" i="1" s="1"/>
  <c r="AF2069" i="1" s="1"/>
  <c r="AF2070" i="1" s="1"/>
  <c r="AF2071" i="1" s="1"/>
  <c r="AD2061" i="1"/>
  <c r="AD2062" i="1" s="1"/>
  <c r="AD2063" i="1" s="1"/>
  <c r="AD2064" i="1" s="1"/>
  <c r="AD2065" i="1" s="1"/>
  <c r="AD2066" i="1" s="1"/>
  <c r="AD2067" i="1" s="1"/>
  <c r="AD2068" i="1" s="1"/>
  <c r="AD2069" i="1" s="1"/>
  <c r="AD2070" i="1" s="1"/>
  <c r="AD2071" i="1" s="1"/>
  <c r="AC2061" i="1"/>
  <c r="AC2062" i="1" s="1"/>
  <c r="AC2063" i="1" s="1"/>
  <c r="AC2064" i="1" s="1"/>
  <c r="AC2065" i="1" s="1"/>
  <c r="AC2066" i="1" s="1"/>
  <c r="AC2067" i="1" s="1"/>
  <c r="AC2068" i="1" s="1"/>
  <c r="AC2069" i="1" s="1"/>
  <c r="AC2070" i="1" s="1"/>
  <c r="AC2071" i="1" s="1"/>
  <c r="AA2060" i="1"/>
  <c r="AA2061" i="1" s="1"/>
  <c r="AA2062" i="1" s="1"/>
  <c r="AA2063" i="1" s="1"/>
  <c r="AA2064" i="1" s="1"/>
  <c r="AA2065" i="1" s="1"/>
  <c r="AA2066" i="1" s="1"/>
  <c r="AA2067" i="1" s="1"/>
  <c r="AA2068" i="1" s="1"/>
  <c r="AA2069" i="1" s="1"/>
  <c r="AA2070" i="1" s="1"/>
  <c r="AA2071" i="1" s="1"/>
  <c r="T2060" i="1"/>
  <c r="T2061" i="1" s="1"/>
  <c r="T2062" i="1" s="1"/>
  <c r="T2063" i="1" s="1"/>
  <c r="T2064" i="1" s="1"/>
  <c r="T2065" i="1" s="1"/>
  <c r="T2066" i="1" s="1"/>
  <c r="T2067" i="1" s="1"/>
  <c r="T2068" i="1" s="1"/>
  <c r="T2069" i="1" s="1"/>
  <c r="T2070" i="1" s="1"/>
  <c r="T2071" i="1" s="1"/>
  <c r="AG2059" i="1"/>
  <c r="AG2060" i="1" s="1"/>
  <c r="AG2061" i="1" s="1"/>
  <c r="AA2059" i="1"/>
  <c r="T2059" i="1"/>
  <c r="AG2058" i="1"/>
  <c r="AF2058" i="1"/>
  <c r="AF2059" i="1" s="1"/>
  <c r="AF2060" i="1" s="1"/>
  <c r="AF2061" i="1" s="1"/>
  <c r="AE2058" i="1"/>
  <c r="AE2059" i="1" s="1"/>
  <c r="AE2060" i="1" s="1"/>
  <c r="AE2061" i="1" s="1"/>
  <c r="AE2062" i="1" s="1"/>
  <c r="AE2063" i="1" s="1"/>
  <c r="AE2064" i="1" s="1"/>
  <c r="AE2065" i="1" s="1"/>
  <c r="AE2066" i="1" s="1"/>
  <c r="AE2067" i="1" s="1"/>
  <c r="AE2068" i="1" s="1"/>
  <c r="AE2069" i="1" s="1"/>
  <c r="AE2070" i="1" s="1"/>
  <c r="AE2071" i="1" s="1"/>
  <c r="AD2058" i="1"/>
  <c r="AD2059" i="1" s="1"/>
  <c r="AD2060" i="1" s="1"/>
  <c r="AC2058" i="1"/>
  <c r="AC2059" i="1" s="1"/>
  <c r="AC2060" i="1" s="1"/>
  <c r="AB2058" i="1"/>
  <c r="AB2059" i="1" s="1"/>
  <c r="AB2060" i="1" s="1"/>
  <c r="AB2061" i="1" s="1"/>
  <c r="AB2062" i="1" s="1"/>
  <c r="AB2063" i="1" s="1"/>
  <c r="AB2064" i="1" s="1"/>
  <c r="AB2065" i="1" s="1"/>
  <c r="AB2066" i="1" s="1"/>
  <c r="AB2067" i="1" s="1"/>
  <c r="AB2068" i="1" s="1"/>
  <c r="AB2069" i="1" s="1"/>
  <c r="AB2070" i="1" s="1"/>
  <c r="AB2071" i="1" s="1"/>
  <c r="AA2058" i="1"/>
  <c r="T2058" i="1"/>
  <c r="AE2056" i="1"/>
  <c r="AD2056" i="1"/>
  <c r="AC2056" i="1"/>
  <c r="AB2056" i="1"/>
  <c r="AE2055" i="1"/>
  <c r="AD2055" i="1"/>
  <c r="AC2055" i="1"/>
  <c r="AB2055" i="1"/>
  <c r="AA2055" i="1"/>
  <c r="AA2056" i="1" s="1"/>
  <c r="T2055" i="1"/>
  <c r="T2056" i="1" s="1"/>
  <c r="AG2054" i="1"/>
  <c r="AG2055" i="1" s="1"/>
  <c r="AG2056" i="1" s="1"/>
  <c r="AF2054" i="1"/>
  <c r="AF2055" i="1" s="1"/>
  <c r="AF2056" i="1" s="1"/>
  <c r="AE2054" i="1"/>
  <c r="AD2054" i="1"/>
  <c r="AC2054" i="1"/>
  <c r="AB2054" i="1"/>
  <c r="AA2054" i="1"/>
  <c r="T2054" i="1"/>
  <c r="AF2051" i="1"/>
  <c r="AF2052" i="1" s="1"/>
  <c r="AE2051" i="1"/>
  <c r="AE2052" i="1" s="1"/>
  <c r="AC2051" i="1"/>
  <c r="AC2052" i="1" s="1"/>
  <c r="AF2050" i="1"/>
  <c r="AE2050" i="1"/>
  <c r="AC2050" i="1"/>
  <c r="AB2050" i="1"/>
  <c r="AB2051" i="1" s="1"/>
  <c r="AB2052" i="1" s="1"/>
  <c r="AA2050" i="1"/>
  <c r="AA2051" i="1" s="1"/>
  <c r="AA2052" i="1" s="1"/>
  <c r="AG2049" i="1"/>
  <c r="AG2050" i="1" s="1"/>
  <c r="AG2051" i="1" s="1"/>
  <c r="AG2052" i="1" s="1"/>
  <c r="AF2049" i="1"/>
  <c r="AE2049" i="1"/>
  <c r="AD2049" i="1"/>
  <c r="AD2050" i="1" s="1"/>
  <c r="AD2051" i="1" s="1"/>
  <c r="AD2052" i="1" s="1"/>
  <c r="AC2049" i="1"/>
  <c r="AB2049" i="1"/>
  <c r="AA2049" i="1"/>
  <c r="T2049" i="1"/>
  <c r="T2050" i="1" s="1"/>
  <c r="T2051" i="1" s="1"/>
  <c r="T2052" i="1" s="1"/>
  <c r="AD2046" i="1"/>
  <c r="AD2047" i="1" s="1"/>
  <c r="AD2045" i="1"/>
  <c r="AC2045" i="1"/>
  <c r="AC2046" i="1" s="1"/>
  <c r="AC2047" i="1" s="1"/>
  <c r="AG2042" i="1"/>
  <c r="AG2043" i="1" s="1"/>
  <c r="AG2044" i="1" s="1"/>
  <c r="AG2045" i="1" s="1"/>
  <c r="AG2046" i="1" s="1"/>
  <c r="AG2047" i="1" s="1"/>
  <c r="AF2042" i="1"/>
  <c r="AF2043" i="1" s="1"/>
  <c r="AF2044" i="1" s="1"/>
  <c r="AF2045" i="1" s="1"/>
  <c r="AF2046" i="1" s="1"/>
  <c r="AF2047" i="1" s="1"/>
  <c r="AD2042" i="1"/>
  <c r="AD2043" i="1" s="1"/>
  <c r="AD2044" i="1" s="1"/>
  <c r="AG2041" i="1"/>
  <c r="AF2041" i="1"/>
  <c r="AD2041" i="1"/>
  <c r="AC2041" i="1"/>
  <c r="AC2042" i="1" s="1"/>
  <c r="AC2043" i="1" s="1"/>
  <c r="AC2044" i="1" s="1"/>
  <c r="AB2041" i="1"/>
  <c r="AB2042" i="1" s="1"/>
  <c r="AB2043" i="1" s="1"/>
  <c r="AB2044" i="1" s="1"/>
  <c r="AB2045" i="1" s="1"/>
  <c r="AB2046" i="1" s="1"/>
  <c r="AB2047" i="1" s="1"/>
  <c r="AA2041" i="1"/>
  <c r="AA2042" i="1" s="1"/>
  <c r="AA2043" i="1" s="1"/>
  <c r="AA2044" i="1" s="1"/>
  <c r="AA2045" i="1" s="1"/>
  <c r="AA2046" i="1" s="1"/>
  <c r="AA2047" i="1" s="1"/>
  <c r="AG2040" i="1"/>
  <c r="AF2040" i="1"/>
  <c r="AE2040" i="1"/>
  <c r="AE2041" i="1" s="1"/>
  <c r="AE2042" i="1" s="1"/>
  <c r="AE2043" i="1" s="1"/>
  <c r="AE2044" i="1" s="1"/>
  <c r="AE2045" i="1" s="1"/>
  <c r="AE2046" i="1" s="1"/>
  <c r="AE2047" i="1" s="1"/>
  <c r="AD2040" i="1"/>
  <c r="AC2040" i="1"/>
  <c r="AB2040" i="1"/>
  <c r="AA2040" i="1"/>
  <c r="T2040" i="1"/>
  <c r="T2041" i="1" s="1"/>
  <c r="T2042" i="1" s="1"/>
  <c r="T2043" i="1" s="1"/>
  <c r="T2044" i="1" s="1"/>
  <c r="T2045" i="1" s="1"/>
  <c r="T2046" i="1" s="1"/>
  <c r="T2047" i="1" s="1"/>
  <c r="AB2038" i="1"/>
  <c r="AE2036" i="1"/>
  <c r="AE2037" i="1" s="1"/>
  <c r="AE2038" i="1" s="1"/>
  <c r="AD2036" i="1"/>
  <c r="AD2037" i="1" s="1"/>
  <c r="AD2038" i="1" s="1"/>
  <c r="AF2035" i="1"/>
  <c r="AF2036" i="1" s="1"/>
  <c r="AF2037" i="1" s="1"/>
  <c r="AF2038" i="1" s="1"/>
  <c r="AE2035" i="1"/>
  <c r="AD2035" i="1"/>
  <c r="AG2034" i="1"/>
  <c r="AG2035" i="1" s="1"/>
  <c r="AG2036" i="1" s="1"/>
  <c r="AG2037" i="1" s="1"/>
  <c r="AG2038" i="1" s="1"/>
  <c r="AF2034" i="1"/>
  <c r="AE2034" i="1"/>
  <c r="AD2034" i="1"/>
  <c r="AC2034" i="1"/>
  <c r="AC2035" i="1" s="1"/>
  <c r="AC2036" i="1" s="1"/>
  <c r="AC2037" i="1" s="1"/>
  <c r="AC2038" i="1" s="1"/>
  <c r="AB2034" i="1"/>
  <c r="AB2035" i="1" s="1"/>
  <c r="AB2036" i="1" s="1"/>
  <c r="AB2037" i="1" s="1"/>
  <c r="AA2034" i="1"/>
  <c r="AA2035" i="1" s="1"/>
  <c r="AA2036" i="1" s="1"/>
  <c r="AA2037" i="1" s="1"/>
  <c r="AA2038" i="1" s="1"/>
  <c r="T2034" i="1"/>
  <c r="T2035" i="1" s="1"/>
  <c r="T2036" i="1" s="1"/>
  <c r="T2037" i="1" s="1"/>
  <c r="T2038" i="1" s="1"/>
  <c r="AB2030" i="1"/>
  <c r="AB2031" i="1" s="1"/>
  <c r="AB2032" i="1" s="1"/>
  <c r="AB2029" i="1"/>
  <c r="T2028" i="1"/>
  <c r="T2029" i="1" s="1"/>
  <c r="T2030" i="1" s="1"/>
  <c r="T2031" i="1" s="1"/>
  <c r="T2032" i="1" s="1"/>
  <c r="AB2027" i="1"/>
  <c r="AB2028" i="1" s="1"/>
  <c r="AA2027" i="1"/>
  <c r="AA2028" i="1" s="1"/>
  <c r="AA2029" i="1" s="1"/>
  <c r="AA2030" i="1" s="1"/>
  <c r="AA2031" i="1" s="1"/>
  <c r="AA2032" i="1" s="1"/>
  <c r="AG2026" i="1"/>
  <c r="AG2027" i="1" s="1"/>
  <c r="AG2028" i="1" s="1"/>
  <c r="AG2029" i="1" s="1"/>
  <c r="AG2030" i="1" s="1"/>
  <c r="AG2031" i="1" s="1"/>
  <c r="AG2032" i="1" s="1"/>
  <c r="AF2026" i="1"/>
  <c r="AF2027" i="1" s="1"/>
  <c r="AF2028" i="1" s="1"/>
  <c r="AF2029" i="1" s="1"/>
  <c r="AF2030" i="1" s="1"/>
  <c r="AF2031" i="1" s="1"/>
  <c r="AF2032" i="1" s="1"/>
  <c r="AE2026" i="1"/>
  <c r="AE2027" i="1" s="1"/>
  <c r="AE2028" i="1" s="1"/>
  <c r="AE2029" i="1" s="1"/>
  <c r="AE2030" i="1" s="1"/>
  <c r="AE2031" i="1" s="1"/>
  <c r="AE2032" i="1" s="1"/>
  <c r="AD2026" i="1"/>
  <c r="AD2027" i="1" s="1"/>
  <c r="AD2028" i="1" s="1"/>
  <c r="AD2029" i="1" s="1"/>
  <c r="AD2030" i="1" s="1"/>
  <c r="AD2031" i="1" s="1"/>
  <c r="AD2032" i="1" s="1"/>
  <c r="AC2026" i="1"/>
  <c r="AC2027" i="1" s="1"/>
  <c r="AC2028" i="1" s="1"/>
  <c r="AC2029" i="1" s="1"/>
  <c r="AC2030" i="1" s="1"/>
  <c r="AC2031" i="1" s="1"/>
  <c r="AC2032" i="1" s="1"/>
  <c r="AB2026" i="1"/>
  <c r="AA2026" i="1"/>
  <c r="T2026" i="1"/>
  <c r="T2027" i="1" s="1"/>
  <c r="AG2022" i="1"/>
  <c r="AG2023" i="1" s="1"/>
  <c r="AG2024" i="1" s="1"/>
  <c r="AC2013" i="1"/>
  <c r="AC2014" i="1" s="1"/>
  <c r="AC2015" i="1" s="1"/>
  <c r="AC2016" i="1" s="1"/>
  <c r="AC2017" i="1" s="1"/>
  <c r="AC2018" i="1" s="1"/>
  <c r="AC2019" i="1" s="1"/>
  <c r="AC2020" i="1" s="1"/>
  <c r="AC2021" i="1" s="1"/>
  <c r="AC2022" i="1" s="1"/>
  <c r="AC2023" i="1" s="1"/>
  <c r="AC2024" i="1" s="1"/>
  <c r="AF2010" i="1"/>
  <c r="AF2011" i="1" s="1"/>
  <c r="AF2012" i="1" s="1"/>
  <c r="AF2013" i="1" s="1"/>
  <c r="AF2014" i="1" s="1"/>
  <c r="AF2015" i="1" s="1"/>
  <c r="AF2016" i="1" s="1"/>
  <c r="AF2017" i="1" s="1"/>
  <c r="AF2018" i="1" s="1"/>
  <c r="AF2019" i="1" s="1"/>
  <c r="AF2020" i="1" s="1"/>
  <c r="AF2021" i="1" s="1"/>
  <c r="AF2022" i="1" s="1"/>
  <c r="AF2023" i="1" s="1"/>
  <c r="AF2024" i="1" s="1"/>
  <c r="AE2010" i="1"/>
  <c r="AE2011" i="1" s="1"/>
  <c r="AE2012" i="1" s="1"/>
  <c r="AE2013" i="1" s="1"/>
  <c r="AE2014" i="1" s="1"/>
  <c r="AE2015" i="1" s="1"/>
  <c r="AE2016" i="1" s="1"/>
  <c r="AE2017" i="1" s="1"/>
  <c r="AE2018" i="1" s="1"/>
  <c r="AE2019" i="1" s="1"/>
  <c r="AE2020" i="1" s="1"/>
  <c r="AE2021" i="1" s="1"/>
  <c r="AE2022" i="1" s="1"/>
  <c r="AE2023" i="1" s="1"/>
  <c r="AE2024" i="1" s="1"/>
  <c r="AE2009" i="1"/>
  <c r="AD2009" i="1"/>
  <c r="AD2010" i="1" s="1"/>
  <c r="AD2011" i="1" s="1"/>
  <c r="AD2012" i="1" s="1"/>
  <c r="AD2013" i="1" s="1"/>
  <c r="AD2014" i="1" s="1"/>
  <c r="AD2015" i="1" s="1"/>
  <c r="AD2016" i="1" s="1"/>
  <c r="AD2017" i="1" s="1"/>
  <c r="AD2018" i="1" s="1"/>
  <c r="AD2019" i="1" s="1"/>
  <c r="AD2020" i="1" s="1"/>
  <c r="AD2021" i="1" s="1"/>
  <c r="AD2022" i="1" s="1"/>
  <c r="AD2023" i="1" s="1"/>
  <c r="AD2024" i="1" s="1"/>
  <c r="AC2009" i="1"/>
  <c r="AC2010" i="1" s="1"/>
  <c r="AC2011" i="1" s="1"/>
  <c r="AC2012" i="1" s="1"/>
  <c r="AB2009" i="1"/>
  <c r="AB2010" i="1" s="1"/>
  <c r="AB2011" i="1" s="1"/>
  <c r="AB2012" i="1" s="1"/>
  <c r="AB2013" i="1" s="1"/>
  <c r="AB2014" i="1" s="1"/>
  <c r="AB2015" i="1" s="1"/>
  <c r="AB2016" i="1" s="1"/>
  <c r="AB2017" i="1" s="1"/>
  <c r="AB2018" i="1" s="1"/>
  <c r="AB2019" i="1" s="1"/>
  <c r="AB2020" i="1" s="1"/>
  <c r="AB2021" i="1" s="1"/>
  <c r="AB2022" i="1" s="1"/>
  <c r="AB2023" i="1" s="1"/>
  <c r="AB2024" i="1" s="1"/>
  <c r="AG2008" i="1"/>
  <c r="AG2009" i="1" s="1"/>
  <c r="AG2010" i="1" s="1"/>
  <c r="AG2011" i="1" s="1"/>
  <c r="AG2012" i="1" s="1"/>
  <c r="AG2013" i="1" s="1"/>
  <c r="AG2014" i="1" s="1"/>
  <c r="AG2015" i="1" s="1"/>
  <c r="AG2016" i="1" s="1"/>
  <c r="AG2017" i="1" s="1"/>
  <c r="AG2018" i="1" s="1"/>
  <c r="AG2019" i="1" s="1"/>
  <c r="AG2020" i="1" s="1"/>
  <c r="AG2021" i="1" s="1"/>
  <c r="AF2008" i="1"/>
  <c r="AF2009" i="1" s="1"/>
  <c r="AE2008" i="1"/>
  <c r="AD2008" i="1"/>
  <c r="AC2008" i="1"/>
  <c r="AB2008" i="1"/>
  <c r="AA2008" i="1"/>
  <c r="AA2009" i="1" s="1"/>
  <c r="AA2010" i="1" s="1"/>
  <c r="AA2011" i="1" s="1"/>
  <c r="AA2012" i="1" s="1"/>
  <c r="AA2013" i="1" s="1"/>
  <c r="AA2014" i="1" s="1"/>
  <c r="AA2015" i="1" s="1"/>
  <c r="AA2016" i="1" s="1"/>
  <c r="AA2017" i="1" s="1"/>
  <c r="AA2018" i="1" s="1"/>
  <c r="AA2019" i="1" s="1"/>
  <c r="AA2020" i="1" s="1"/>
  <c r="AA2021" i="1" s="1"/>
  <c r="AA2022" i="1" s="1"/>
  <c r="AA2023" i="1" s="1"/>
  <c r="AA2024" i="1" s="1"/>
  <c r="T2008" i="1"/>
  <c r="T2009" i="1" s="1"/>
  <c r="T2010" i="1" s="1"/>
  <c r="T2011" i="1" s="1"/>
  <c r="T2012" i="1" s="1"/>
  <c r="T2013" i="1" s="1"/>
  <c r="T2014" i="1" s="1"/>
  <c r="T2015" i="1" s="1"/>
  <c r="T2016" i="1" s="1"/>
  <c r="T2017" i="1" s="1"/>
  <c r="T2018" i="1" s="1"/>
  <c r="T2019" i="1" s="1"/>
  <c r="T2020" i="1" s="1"/>
  <c r="T2021" i="1" s="1"/>
  <c r="T2022" i="1" s="1"/>
  <c r="T2023" i="1" s="1"/>
  <c r="T2024" i="1" s="1"/>
  <c r="S2008" i="1"/>
  <c r="S2009" i="1" s="1"/>
  <c r="S2010" i="1" s="1"/>
  <c r="S2011" i="1" s="1"/>
  <c r="S2012" i="1" s="1"/>
  <c r="S2013" i="1" s="1"/>
  <c r="S2014" i="1" s="1"/>
  <c r="S2015" i="1" s="1"/>
  <c r="S2016" i="1" s="1"/>
  <c r="S2017" i="1" s="1"/>
  <c r="S2018" i="1" s="1"/>
  <c r="S2019" i="1" s="1"/>
  <c r="S2020" i="1" s="1"/>
  <c r="S2021" i="1" s="1"/>
  <c r="S2022" i="1" s="1"/>
  <c r="S2023" i="1" s="1"/>
  <c r="S2024" i="1" s="1"/>
  <c r="S2025" i="1" s="1"/>
  <c r="S2026" i="1" s="1"/>
  <c r="S2027" i="1" s="1"/>
  <c r="S2028" i="1" s="1"/>
  <c r="S2029" i="1" s="1"/>
  <c r="S2030" i="1" s="1"/>
  <c r="S2031" i="1" s="1"/>
  <c r="S2032" i="1" s="1"/>
  <c r="S2033" i="1" s="1"/>
  <c r="S2034" i="1" s="1"/>
  <c r="S2035" i="1" s="1"/>
  <c r="S2036" i="1" s="1"/>
  <c r="S2037" i="1" s="1"/>
  <c r="S2038" i="1" s="1"/>
  <c r="S2039" i="1" s="1"/>
  <c r="S2040" i="1" s="1"/>
  <c r="S2041" i="1" s="1"/>
  <c r="S2042" i="1" s="1"/>
  <c r="S2043" i="1" s="1"/>
  <c r="S2044" i="1" s="1"/>
  <c r="S2045" i="1" s="1"/>
  <c r="S2046" i="1" s="1"/>
  <c r="S2047" i="1" s="1"/>
  <c r="S2048" i="1" s="1"/>
  <c r="S2049" i="1" s="1"/>
  <c r="S2050" i="1" s="1"/>
  <c r="S2051" i="1" s="1"/>
  <c r="S2052" i="1" s="1"/>
  <c r="S2053" i="1" s="1"/>
  <c r="S2054" i="1" s="1"/>
  <c r="S2055" i="1" s="1"/>
  <c r="S2056" i="1" s="1"/>
  <c r="S2057" i="1" s="1"/>
  <c r="S2058" i="1" s="1"/>
  <c r="S2059" i="1" s="1"/>
  <c r="S2060" i="1" s="1"/>
  <c r="S2061" i="1" s="1"/>
  <c r="S2062" i="1" s="1"/>
  <c r="S2063" i="1" s="1"/>
  <c r="S2064" i="1" s="1"/>
  <c r="S2065" i="1" s="1"/>
  <c r="S2066" i="1" s="1"/>
  <c r="S2067" i="1" s="1"/>
  <c r="S2068" i="1" s="1"/>
  <c r="S2069" i="1" s="1"/>
  <c r="S2070" i="1" s="1"/>
  <c r="S2071" i="1" s="1"/>
  <c r="AF2005" i="1"/>
  <c r="AF2006" i="1" s="1"/>
  <c r="T2003" i="1"/>
  <c r="T2004" i="1" s="1"/>
  <c r="T2005" i="1" s="1"/>
  <c r="T2006" i="1" s="1"/>
  <c r="AG2001" i="1"/>
  <c r="AG2002" i="1" s="1"/>
  <c r="AG2003" i="1" s="1"/>
  <c r="AG2004" i="1" s="1"/>
  <c r="AG2005" i="1" s="1"/>
  <c r="AG2006" i="1" s="1"/>
  <c r="AF2001" i="1"/>
  <c r="AF2002" i="1" s="1"/>
  <c r="AF2003" i="1" s="1"/>
  <c r="AF2004" i="1" s="1"/>
  <c r="AE2001" i="1"/>
  <c r="AE2002" i="1" s="1"/>
  <c r="AE2003" i="1" s="1"/>
  <c r="AE2004" i="1" s="1"/>
  <c r="AE2005" i="1" s="1"/>
  <c r="AE2006" i="1" s="1"/>
  <c r="AD2001" i="1"/>
  <c r="AD2002" i="1" s="1"/>
  <c r="AD2003" i="1" s="1"/>
  <c r="AD2004" i="1" s="1"/>
  <c r="AD2005" i="1" s="1"/>
  <c r="AD2006" i="1" s="1"/>
  <c r="AC2001" i="1"/>
  <c r="AC2002" i="1" s="1"/>
  <c r="AC2003" i="1" s="1"/>
  <c r="AC2004" i="1" s="1"/>
  <c r="AC2005" i="1" s="1"/>
  <c r="AC2006" i="1" s="1"/>
  <c r="AB2001" i="1"/>
  <c r="AB2002" i="1" s="1"/>
  <c r="AB2003" i="1" s="1"/>
  <c r="AB2004" i="1" s="1"/>
  <c r="AB2005" i="1" s="1"/>
  <c r="AB2006" i="1" s="1"/>
  <c r="AA2001" i="1"/>
  <c r="AA2002" i="1" s="1"/>
  <c r="AA2003" i="1" s="1"/>
  <c r="AA2004" i="1" s="1"/>
  <c r="AA2005" i="1" s="1"/>
  <c r="AA2006" i="1" s="1"/>
  <c r="T2001" i="1"/>
  <c r="T2002" i="1" s="1"/>
  <c r="AG1988" i="1"/>
  <c r="AG1989" i="1" s="1"/>
  <c r="AG1990" i="1" s="1"/>
  <c r="AG1991" i="1" s="1"/>
  <c r="AG1992" i="1" s="1"/>
  <c r="AG1993" i="1" s="1"/>
  <c r="AG1994" i="1" s="1"/>
  <c r="AG1995" i="1" s="1"/>
  <c r="AG1996" i="1" s="1"/>
  <c r="AG1997" i="1" s="1"/>
  <c r="AG1998" i="1" s="1"/>
  <c r="AG1999" i="1" s="1"/>
  <c r="AG1984" i="1"/>
  <c r="AG1985" i="1" s="1"/>
  <c r="AG1986" i="1" s="1"/>
  <c r="AG1987" i="1" s="1"/>
  <c r="AD1983" i="1"/>
  <c r="AD1984" i="1" s="1"/>
  <c r="AD1985" i="1" s="1"/>
  <c r="AD1986" i="1" s="1"/>
  <c r="AD1987" i="1" s="1"/>
  <c r="AD1988" i="1" s="1"/>
  <c r="AD1989" i="1" s="1"/>
  <c r="AD1990" i="1" s="1"/>
  <c r="AD1991" i="1" s="1"/>
  <c r="AD1992" i="1" s="1"/>
  <c r="AD1993" i="1" s="1"/>
  <c r="AD1994" i="1" s="1"/>
  <c r="AD1995" i="1" s="1"/>
  <c r="AD1996" i="1" s="1"/>
  <c r="AD1997" i="1" s="1"/>
  <c r="AD1998" i="1" s="1"/>
  <c r="AD1999" i="1" s="1"/>
  <c r="AG1980" i="1"/>
  <c r="AG1981" i="1" s="1"/>
  <c r="AG1982" i="1" s="1"/>
  <c r="AG1983" i="1" s="1"/>
  <c r="AF1980" i="1"/>
  <c r="AF1981" i="1" s="1"/>
  <c r="AF1982" i="1" s="1"/>
  <c r="AF1983" i="1" s="1"/>
  <c r="AF1984" i="1" s="1"/>
  <c r="AF1985" i="1" s="1"/>
  <c r="AF1986" i="1" s="1"/>
  <c r="AF1987" i="1" s="1"/>
  <c r="AF1988" i="1" s="1"/>
  <c r="AF1989" i="1" s="1"/>
  <c r="AF1990" i="1" s="1"/>
  <c r="AF1991" i="1" s="1"/>
  <c r="AF1992" i="1" s="1"/>
  <c r="AF1993" i="1" s="1"/>
  <c r="AF1994" i="1" s="1"/>
  <c r="AF1995" i="1" s="1"/>
  <c r="AF1996" i="1" s="1"/>
  <c r="AF1997" i="1" s="1"/>
  <c r="AF1998" i="1" s="1"/>
  <c r="AF1999" i="1" s="1"/>
  <c r="AG1979" i="1"/>
  <c r="AF1979" i="1"/>
  <c r="AE1979" i="1"/>
  <c r="AE1980" i="1" s="1"/>
  <c r="AE1981" i="1" s="1"/>
  <c r="AE1982" i="1" s="1"/>
  <c r="AE1983" i="1" s="1"/>
  <c r="AE1984" i="1" s="1"/>
  <c r="AE1985" i="1" s="1"/>
  <c r="AE1986" i="1" s="1"/>
  <c r="AE1987" i="1" s="1"/>
  <c r="AE1988" i="1" s="1"/>
  <c r="AE1989" i="1" s="1"/>
  <c r="AE1990" i="1" s="1"/>
  <c r="AE1991" i="1" s="1"/>
  <c r="AE1992" i="1" s="1"/>
  <c r="AE1993" i="1" s="1"/>
  <c r="AE1994" i="1" s="1"/>
  <c r="AE1995" i="1" s="1"/>
  <c r="AE1996" i="1" s="1"/>
  <c r="AE1997" i="1" s="1"/>
  <c r="AE1998" i="1" s="1"/>
  <c r="AE1999" i="1" s="1"/>
  <c r="AD1979" i="1"/>
  <c r="AD1980" i="1" s="1"/>
  <c r="AD1981" i="1" s="1"/>
  <c r="AD1982" i="1" s="1"/>
  <c r="AC1979" i="1"/>
  <c r="AC1980" i="1" s="1"/>
  <c r="AC1981" i="1" s="1"/>
  <c r="AC1982" i="1" s="1"/>
  <c r="AC1983" i="1" s="1"/>
  <c r="AC1984" i="1" s="1"/>
  <c r="AC1985" i="1" s="1"/>
  <c r="AC1986" i="1" s="1"/>
  <c r="AC1987" i="1" s="1"/>
  <c r="AC1988" i="1" s="1"/>
  <c r="AC1989" i="1" s="1"/>
  <c r="AC1990" i="1" s="1"/>
  <c r="AC1991" i="1" s="1"/>
  <c r="AC1992" i="1" s="1"/>
  <c r="AC1993" i="1" s="1"/>
  <c r="AC1994" i="1" s="1"/>
  <c r="AC1995" i="1" s="1"/>
  <c r="AC1996" i="1" s="1"/>
  <c r="AC1997" i="1" s="1"/>
  <c r="AC1998" i="1" s="1"/>
  <c r="AC1999" i="1" s="1"/>
  <c r="AB1979" i="1"/>
  <c r="AB1980" i="1" s="1"/>
  <c r="AB1981" i="1" s="1"/>
  <c r="AB1982" i="1" s="1"/>
  <c r="AB1983" i="1" s="1"/>
  <c r="AB1984" i="1" s="1"/>
  <c r="AB1985" i="1" s="1"/>
  <c r="AB1986" i="1" s="1"/>
  <c r="AB1987" i="1" s="1"/>
  <c r="AB1988" i="1" s="1"/>
  <c r="AB1989" i="1" s="1"/>
  <c r="AB1990" i="1" s="1"/>
  <c r="AB1991" i="1" s="1"/>
  <c r="AB1992" i="1" s="1"/>
  <c r="AB1993" i="1" s="1"/>
  <c r="AB1994" i="1" s="1"/>
  <c r="AB1995" i="1" s="1"/>
  <c r="AB1996" i="1" s="1"/>
  <c r="AB1997" i="1" s="1"/>
  <c r="AB1998" i="1" s="1"/>
  <c r="AB1999" i="1" s="1"/>
  <c r="AA1979" i="1"/>
  <c r="AA1980" i="1" s="1"/>
  <c r="AA1981" i="1" s="1"/>
  <c r="AA1982" i="1" s="1"/>
  <c r="AA1983" i="1" s="1"/>
  <c r="AA1984" i="1" s="1"/>
  <c r="AA1985" i="1" s="1"/>
  <c r="AA1986" i="1" s="1"/>
  <c r="AA1987" i="1" s="1"/>
  <c r="AA1988" i="1" s="1"/>
  <c r="AA1989" i="1" s="1"/>
  <c r="AA1990" i="1" s="1"/>
  <c r="AA1991" i="1" s="1"/>
  <c r="AA1992" i="1" s="1"/>
  <c r="AA1993" i="1" s="1"/>
  <c r="AA1994" i="1" s="1"/>
  <c r="AA1995" i="1" s="1"/>
  <c r="AA1996" i="1" s="1"/>
  <c r="AA1997" i="1" s="1"/>
  <c r="AA1998" i="1" s="1"/>
  <c r="AA1999" i="1" s="1"/>
  <c r="T1979" i="1"/>
  <c r="T1980" i="1" s="1"/>
  <c r="T1981" i="1" s="1"/>
  <c r="T1982" i="1" s="1"/>
  <c r="T1983" i="1" s="1"/>
  <c r="T1984" i="1" s="1"/>
  <c r="T1985" i="1" s="1"/>
  <c r="T1986" i="1" s="1"/>
  <c r="T1987" i="1" s="1"/>
  <c r="T1988" i="1" s="1"/>
  <c r="T1989" i="1" s="1"/>
  <c r="T1990" i="1" s="1"/>
  <c r="T1991" i="1" s="1"/>
  <c r="T1992" i="1" s="1"/>
  <c r="T1993" i="1" s="1"/>
  <c r="T1994" i="1" s="1"/>
  <c r="T1995" i="1" s="1"/>
  <c r="T1996" i="1" s="1"/>
  <c r="T1997" i="1" s="1"/>
  <c r="T1998" i="1" s="1"/>
  <c r="T1999" i="1" s="1"/>
  <c r="AB1977" i="1"/>
  <c r="AA1977" i="1"/>
  <c r="AA1976" i="1"/>
  <c r="T1976" i="1"/>
  <c r="T1977" i="1" s="1"/>
  <c r="AG1975" i="1"/>
  <c r="AG1976" i="1" s="1"/>
  <c r="AG1977" i="1" s="1"/>
  <c r="AF1975" i="1"/>
  <c r="AF1976" i="1" s="1"/>
  <c r="AF1977" i="1" s="1"/>
  <c r="AE1975" i="1"/>
  <c r="AE1976" i="1" s="1"/>
  <c r="AE1977" i="1" s="1"/>
  <c r="AD1975" i="1"/>
  <c r="AD1976" i="1" s="1"/>
  <c r="AD1977" i="1" s="1"/>
  <c r="AC1975" i="1"/>
  <c r="AC1976" i="1" s="1"/>
  <c r="AC1977" i="1" s="1"/>
  <c r="AB1975" i="1"/>
  <c r="AB1976" i="1" s="1"/>
  <c r="AA1975" i="1"/>
  <c r="T1975" i="1"/>
  <c r="AE1973" i="1"/>
  <c r="AF1970" i="1"/>
  <c r="AF1971" i="1" s="1"/>
  <c r="AF1972" i="1" s="1"/>
  <c r="AF1973" i="1" s="1"/>
  <c r="AF1969" i="1"/>
  <c r="AE1969" i="1"/>
  <c r="AE1970" i="1" s="1"/>
  <c r="AE1971" i="1" s="1"/>
  <c r="AE1972" i="1" s="1"/>
  <c r="AE1968" i="1"/>
  <c r="AD1968" i="1"/>
  <c r="AD1969" i="1" s="1"/>
  <c r="AD1970" i="1" s="1"/>
  <c r="AD1971" i="1" s="1"/>
  <c r="AD1972" i="1" s="1"/>
  <c r="AD1973" i="1" s="1"/>
  <c r="AC1968" i="1"/>
  <c r="AC1969" i="1" s="1"/>
  <c r="AC1970" i="1" s="1"/>
  <c r="AC1971" i="1" s="1"/>
  <c r="AC1972" i="1" s="1"/>
  <c r="AC1973" i="1" s="1"/>
  <c r="AB1968" i="1"/>
  <c r="AB1969" i="1" s="1"/>
  <c r="AB1970" i="1" s="1"/>
  <c r="AB1971" i="1" s="1"/>
  <c r="AB1972" i="1" s="1"/>
  <c r="AB1973" i="1" s="1"/>
  <c r="AG1967" i="1"/>
  <c r="AG1968" i="1" s="1"/>
  <c r="AG1969" i="1" s="1"/>
  <c r="AG1970" i="1" s="1"/>
  <c r="AG1971" i="1" s="1"/>
  <c r="AG1972" i="1" s="1"/>
  <c r="AG1973" i="1" s="1"/>
  <c r="AF1967" i="1"/>
  <c r="AF1968" i="1" s="1"/>
  <c r="AE1967" i="1"/>
  <c r="AD1967" i="1"/>
  <c r="AC1967" i="1"/>
  <c r="AB1967" i="1"/>
  <c r="AA1967" i="1"/>
  <c r="AA1968" i="1" s="1"/>
  <c r="AA1969" i="1" s="1"/>
  <c r="AA1970" i="1" s="1"/>
  <c r="AA1971" i="1" s="1"/>
  <c r="AA1972" i="1" s="1"/>
  <c r="AA1973" i="1" s="1"/>
  <c r="T1967" i="1"/>
  <c r="T1968" i="1" s="1"/>
  <c r="T1969" i="1" s="1"/>
  <c r="T1970" i="1" s="1"/>
  <c r="T1971" i="1" s="1"/>
  <c r="T1972" i="1" s="1"/>
  <c r="T1973" i="1" s="1"/>
  <c r="AF1964" i="1"/>
  <c r="AF1965" i="1" s="1"/>
  <c r="T1962" i="1"/>
  <c r="T1963" i="1" s="1"/>
  <c r="T1964" i="1" s="1"/>
  <c r="T1965" i="1" s="1"/>
  <c r="AG1961" i="1"/>
  <c r="AG1962" i="1" s="1"/>
  <c r="AG1963" i="1" s="1"/>
  <c r="AG1964" i="1" s="1"/>
  <c r="AG1965" i="1" s="1"/>
  <c r="AG1960" i="1"/>
  <c r="AD1959" i="1"/>
  <c r="AD1960" i="1" s="1"/>
  <c r="AD1961" i="1" s="1"/>
  <c r="AD1962" i="1" s="1"/>
  <c r="AD1963" i="1" s="1"/>
  <c r="AD1964" i="1" s="1"/>
  <c r="AD1965" i="1" s="1"/>
  <c r="T1958" i="1"/>
  <c r="T1959" i="1" s="1"/>
  <c r="T1960" i="1" s="1"/>
  <c r="T1961" i="1" s="1"/>
  <c r="AG1957" i="1"/>
  <c r="AG1958" i="1" s="1"/>
  <c r="AG1959" i="1" s="1"/>
  <c r="T1957" i="1"/>
  <c r="AG1956" i="1"/>
  <c r="AF1956" i="1"/>
  <c r="AF1957" i="1" s="1"/>
  <c r="AF1958" i="1" s="1"/>
  <c r="AF1959" i="1" s="1"/>
  <c r="AF1960" i="1" s="1"/>
  <c r="AF1961" i="1" s="1"/>
  <c r="AF1962" i="1" s="1"/>
  <c r="AF1963" i="1" s="1"/>
  <c r="AE1956" i="1"/>
  <c r="AE1957" i="1" s="1"/>
  <c r="AE1958" i="1" s="1"/>
  <c r="AE1959" i="1" s="1"/>
  <c r="AE1960" i="1" s="1"/>
  <c r="AE1961" i="1" s="1"/>
  <c r="AE1962" i="1" s="1"/>
  <c r="AE1963" i="1" s="1"/>
  <c r="AE1964" i="1" s="1"/>
  <c r="AE1965" i="1" s="1"/>
  <c r="AD1956" i="1"/>
  <c r="AD1957" i="1" s="1"/>
  <c r="AD1958" i="1" s="1"/>
  <c r="AC1956" i="1"/>
  <c r="AC1957" i="1" s="1"/>
  <c r="AC1958" i="1" s="1"/>
  <c r="AC1959" i="1" s="1"/>
  <c r="AC1960" i="1" s="1"/>
  <c r="AC1961" i="1" s="1"/>
  <c r="AC1962" i="1" s="1"/>
  <c r="AC1963" i="1" s="1"/>
  <c r="AC1964" i="1" s="1"/>
  <c r="AC1965" i="1" s="1"/>
  <c r="AB1956" i="1"/>
  <c r="AB1957" i="1" s="1"/>
  <c r="AB1958" i="1" s="1"/>
  <c r="AB1959" i="1" s="1"/>
  <c r="AB1960" i="1" s="1"/>
  <c r="AB1961" i="1" s="1"/>
  <c r="AB1962" i="1" s="1"/>
  <c r="AB1963" i="1" s="1"/>
  <c r="AB1964" i="1" s="1"/>
  <c r="AB1965" i="1" s="1"/>
  <c r="AA1956" i="1"/>
  <c r="AA1957" i="1" s="1"/>
  <c r="AA1958" i="1" s="1"/>
  <c r="AA1959" i="1" s="1"/>
  <c r="AA1960" i="1" s="1"/>
  <c r="AA1961" i="1" s="1"/>
  <c r="AA1962" i="1" s="1"/>
  <c r="AA1963" i="1" s="1"/>
  <c r="AA1964" i="1" s="1"/>
  <c r="AA1965" i="1" s="1"/>
  <c r="T1956" i="1"/>
  <c r="T1952" i="1"/>
  <c r="T1953" i="1" s="1"/>
  <c r="T1954" i="1" s="1"/>
  <c r="T1949" i="1"/>
  <c r="T1950" i="1" s="1"/>
  <c r="T1951" i="1" s="1"/>
  <c r="T1948" i="1"/>
  <c r="AG1947" i="1"/>
  <c r="AG1948" i="1" s="1"/>
  <c r="AG1949" i="1" s="1"/>
  <c r="AG1950" i="1" s="1"/>
  <c r="AG1951" i="1" s="1"/>
  <c r="AG1952" i="1" s="1"/>
  <c r="AG1953" i="1" s="1"/>
  <c r="AG1954" i="1" s="1"/>
  <c r="AG1946" i="1"/>
  <c r="AF1946" i="1"/>
  <c r="AF1947" i="1" s="1"/>
  <c r="AF1948" i="1" s="1"/>
  <c r="AF1949" i="1" s="1"/>
  <c r="AF1950" i="1" s="1"/>
  <c r="AF1951" i="1" s="1"/>
  <c r="AF1952" i="1" s="1"/>
  <c r="AF1953" i="1" s="1"/>
  <c r="AF1954" i="1" s="1"/>
  <c r="AE1946" i="1"/>
  <c r="AE1947" i="1" s="1"/>
  <c r="AE1948" i="1" s="1"/>
  <c r="AE1949" i="1" s="1"/>
  <c r="AE1950" i="1" s="1"/>
  <c r="AE1951" i="1" s="1"/>
  <c r="AE1952" i="1" s="1"/>
  <c r="AE1953" i="1" s="1"/>
  <c r="AE1954" i="1" s="1"/>
  <c r="AD1946" i="1"/>
  <c r="AD1947" i="1" s="1"/>
  <c r="AD1948" i="1" s="1"/>
  <c r="AD1949" i="1" s="1"/>
  <c r="AD1950" i="1" s="1"/>
  <c r="AD1951" i="1" s="1"/>
  <c r="AD1952" i="1" s="1"/>
  <c r="AD1953" i="1" s="1"/>
  <c r="AD1954" i="1" s="1"/>
  <c r="AC1946" i="1"/>
  <c r="AC1947" i="1" s="1"/>
  <c r="AC1948" i="1" s="1"/>
  <c r="AC1949" i="1" s="1"/>
  <c r="AC1950" i="1" s="1"/>
  <c r="AC1951" i="1" s="1"/>
  <c r="AC1952" i="1" s="1"/>
  <c r="AC1953" i="1" s="1"/>
  <c r="AC1954" i="1" s="1"/>
  <c r="AB1946" i="1"/>
  <c r="AB1947" i="1" s="1"/>
  <c r="AB1948" i="1" s="1"/>
  <c r="AB1949" i="1" s="1"/>
  <c r="AB1950" i="1" s="1"/>
  <c r="AB1951" i="1" s="1"/>
  <c r="AB1952" i="1" s="1"/>
  <c r="AB1953" i="1" s="1"/>
  <c r="AB1954" i="1" s="1"/>
  <c r="AA1946" i="1"/>
  <c r="AA1947" i="1" s="1"/>
  <c r="AA1948" i="1" s="1"/>
  <c r="AA1949" i="1" s="1"/>
  <c r="AA1950" i="1" s="1"/>
  <c r="AA1951" i="1" s="1"/>
  <c r="AA1952" i="1" s="1"/>
  <c r="AA1953" i="1" s="1"/>
  <c r="AA1954" i="1" s="1"/>
  <c r="T1946" i="1"/>
  <c r="T1947" i="1" s="1"/>
  <c r="S1946" i="1"/>
  <c r="S1947" i="1" s="1"/>
  <c r="S1948" i="1" s="1"/>
  <c r="S1949" i="1" s="1"/>
  <c r="S1950" i="1" s="1"/>
  <c r="S1951" i="1" s="1"/>
  <c r="S1952" i="1" s="1"/>
  <c r="S1953" i="1" s="1"/>
  <c r="S1954" i="1" s="1"/>
  <c r="S1955" i="1" s="1"/>
  <c r="S1956" i="1" s="1"/>
  <c r="S1957" i="1" s="1"/>
  <c r="S1958" i="1" s="1"/>
  <c r="S1959" i="1" s="1"/>
  <c r="S1960" i="1" s="1"/>
  <c r="S1961" i="1" s="1"/>
  <c r="S1962" i="1" s="1"/>
  <c r="S1963" i="1" s="1"/>
  <c r="S1964" i="1" s="1"/>
  <c r="S1965" i="1" s="1"/>
  <c r="S1966" i="1" s="1"/>
  <c r="S1967" i="1" s="1"/>
  <c r="S1968" i="1" s="1"/>
  <c r="S1969" i="1" s="1"/>
  <c r="S1970" i="1" s="1"/>
  <c r="S1971" i="1" s="1"/>
  <c r="S1972" i="1" s="1"/>
  <c r="S1973" i="1" s="1"/>
  <c r="S1974" i="1" s="1"/>
  <c r="S1975" i="1" s="1"/>
  <c r="S1976" i="1" s="1"/>
  <c r="S1977" i="1" s="1"/>
  <c r="S1978" i="1" s="1"/>
  <c r="S1979" i="1" s="1"/>
  <c r="S1980" i="1" s="1"/>
  <c r="S1981" i="1" s="1"/>
  <c r="S1982" i="1" s="1"/>
  <c r="S1983" i="1" s="1"/>
  <c r="S1984" i="1" s="1"/>
  <c r="S1985" i="1" s="1"/>
  <c r="S1986" i="1" s="1"/>
  <c r="S1987" i="1" s="1"/>
  <c r="S1988" i="1" s="1"/>
  <c r="S1989" i="1" s="1"/>
  <c r="S1990" i="1" s="1"/>
  <c r="S1991" i="1" s="1"/>
  <c r="S1992" i="1" s="1"/>
  <c r="S1993" i="1" s="1"/>
  <c r="S1994" i="1" s="1"/>
  <c r="S1995" i="1" s="1"/>
  <c r="S1996" i="1" s="1"/>
  <c r="S1997" i="1" s="1"/>
  <c r="S1998" i="1" s="1"/>
  <c r="S1999" i="1" s="1"/>
  <c r="S2000" i="1" s="1"/>
  <c r="S2001" i="1" s="1"/>
  <c r="S2002" i="1" s="1"/>
  <c r="S2003" i="1" s="1"/>
  <c r="S2004" i="1" s="1"/>
  <c r="S2005" i="1" s="1"/>
  <c r="S2006" i="1" s="1"/>
  <c r="AE1930" i="1"/>
  <c r="AE1931" i="1" s="1"/>
  <c r="AE1932" i="1" s="1"/>
  <c r="AE1933" i="1" s="1"/>
  <c r="AE1934" i="1" s="1"/>
  <c r="AE1935" i="1" s="1"/>
  <c r="AE1936" i="1" s="1"/>
  <c r="AE1937" i="1" s="1"/>
  <c r="AE1938" i="1" s="1"/>
  <c r="AE1939" i="1" s="1"/>
  <c r="AE1940" i="1" s="1"/>
  <c r="AE1941" i="1" s="1"/>
  <c r="AE1942" i="1" s="1"/>
  <c r="AE1943" i="1" s="1"/>
  <c r="AE1944" i="1" s="1"/>
  <c r="AC1924" i="1"/>
  <c r="AC1925" i="1" s="1"/>
  <c r="AC1926" i="1" s="1"/>
  <c r="AC1927" i="1" s="1"/>
  <c r="AC1928" i="1" s="1"/>
  <c r="AC1929" i="1" s="1"/>
  <c r="AC1930" i="1" s="1"/>
  <c r="AC1931" i="1" s="1"/>
  <c r="AC1932" i="1" s="1"/>
  <c r="AC1933" i="1" s="1"/>
  <c r="AC1934" i="1" s="1"/>
  <c r="AC1935" i="1" s="1"/>
  <c r="AC1936" i="1" s="1"/>
  <c r="AC1937" i="1" s="1"/>
  <c r="AC1938" i="1" s="1"/>
  <c r="AC1939" i="1" s="1"/>
  <c r="AC1940" i="1" s="1"/>
  <c r="AC1941" i="1" s="1"/>
  <c r="AC1942" i="1" s="1"/>
  <c r="AC1943" i="1" s="1"/>
  <c r="AC1944" i="1" s="1"/>
  <c r="AG1922" i="1"/>
  <c r="AG1923" i="1" s="1"/>
  <c r="AG1924" i="1" s="1"/>
  <c r="AG1925" i="1" s="1"/>
  <c r="AG1926" i="1" s="1"/>
  <c r="AG1927" i="1" s="1"/>
  <c r="AG1928" i="1" s="1"/>
  <c r="AG1929" i="1" s="1"/>
  <c r="AG1930" i="1" s="1"/>
  <c r="AG1931" i="1" s="1"/>
  <c r="AG1932" i="1" s="1"/>
  <c r="AG1933" i="1" s="1"/>
  <c r="AG1934" i="1" s="1"/>
  <c r="AG1935" i="1" s="1"/>
  <c r="AG1936" i="1" s="1"/>
  <c r="AG1937" i="1" s="1"/>
  <c r="AG1938" i="1" s="1"/>
  <c r="AG1939" i="1" s="1"/>
  <c r="AG1940" i="1" s="1"/>
  <c r="AG1941" i="1" s="1"/>
  <c r="AG1942" i="1" s="1"/>
  <c r="AG1943" i="1" s="1"/>
  <c r="AG1944" i="1" s="1"/>
  <c r="AE1922" i="1"/>
  <c r="AE1923" i="1" s="1"/>
  <c r="AE1924" i="1" s="1"/>
  <c r="AE1925" i="1" s="1"/>
  <c r="AE1926" i="1" s="1"/>
  <c r="AE1927" i="1" s="1"/>
  <c r="AE1928" i="1" s="1"/>
  <c r="AE1929" i="1" s="1"/>
  <c r="AB1922" i="1"/>
  <c r="AB1923" i="1" s="1"/>
  <c r="AB1924" i="1" s="1"/>
  <c r="AB1925" i="1" s="1"/>
  <c r="AB1926" i="1" s="1"/>
  <c r="AB1927" i="1" s="1"/>
  <c r="AB1928" i="1" s="1"/>
  <c r="AB1929" i="1" s="1"/>
  <c r="AB1930" i="1" s="1"/>
  <c r="AB1931" i="1" s="1"/>
  <c r="AB1932" i="1" s="1"/>
  <c r="AB1933" i="1" s="1"/>
  <c r="AB1934" i="1" s="1"/>
  <c r="AB1935" i="1" s="1"/>
  <c r="AB1936" i="1" s="1"/>
  <c r="AB1937" i="1" s="1"/>
  <c r="AB1938" i="1" s="1"/>
  <c r="AB1939" i="1" s="1"/>
  <c r="AB1940" i="1" s="1"/>
  <c r="AB1941" i="1" s="1"/>
  <c r="AB1942" i="1" s="1"/>
  <c r="AB1943" i="1" s="1"/>
  <c r="AB1944" i="1" s="1"/>
  <c r="AG1921" i="1"/>
  <c r="AF1921" i="1"/>
  <c r="AF1922" i="1" s="1"/>
  <c r="AF1923" i="1" s="1"/>
  <c r="AF1924" i="1" s="1"/>
  <c r="AF1925" i="1" s="1"/>
  <c r="AF1926" i="1" s="1"/>
  <c r="AF1927" i="1" s="1"/>
  <c r="AF1928" i="1" s="1"/>
  <c r="AF1929" i="1" s="1"/>
  <c r="AF1930" i="1" s="1"/>
  <c r="AF1931" i="1" s="1"/>
  <c r="AF1932" i="1" s="1"/>
  <c r="AF1933" i="1" s="1"/>
  <c r="AF1934" i="1" s="1"/>
  <c r="AF1935" i="1" s="1"/>
  <c r="AF1936" i="1" s="1"/>
  <c r="AF1937" i="1" s="1"/>
  <c r="AF1938" i="1" s="1"/>
  <c r="AF1939" i="1" s="1"/>
  <c r="AF1940" i="1" s="1"/>
  <c r="AF1941" i="1" s="1"/>
  <c r="AF1942" i="1" s="1"/>
  <c r="AF1943" i="1" s="1"/>
  <c r="AF1944" i="1" s="1"/>
  <c r="AE1921" i="1"/>
  <c r="AD1921" i="1"/>
  <c r="AD1922" i="1" s="1"/>
  <c r="AD1923" i="1" s="1"/>
  <c r="AD1924" i="1" s="1"/>
  <c r="AD1925" i="1" s="1"/>
  <c r="AD1926" i="1" s="1"/>
  <c r="AD1927" i="1" s="1"/>
  <c r="AD1928" i="1" s="1"/>
  <c r="AD1929" i="1" s="1"/>
  <c r="AD1930" i="1" s="1"/>
  <c r="AD1931" i="1" s="1"/>
  <c r="AD1932" i="1" s="1"/>
  <c r="AD1933" i="1" s="1"/>
  <c r="AD1934" i="1" s="1"/>
  <c r="AD1935" i="1" s="1"/>
  <c r="AD1936" i="1" s="1"/>
  <c r="AD1937" i="1" s="1"/>
  <c r="AD1938" i="1" s="1"/>
  <c r="AD1939" i="1" s="1"/>
  <c r="AD1940" i="1" s="1"/>
  <c r="AD1941" i="1" s="1"/>
  <c r="AD1942" i="1" s="1"/>
  <c r="AD1943" i="1" s="1"/>
  <c r="AD1944" i="1" s="1"/>
  <c r="AC1921" i="1"/>
  <c r="AC1922" i="1" s="1"/>
  <c r="AC1923" i="1" s="1"/>
  <c r="AB1921" i="1"/>
  <c r="AA1921" i="1"/>
  <c r="AA1922" i="1" s="1"/>
  <c r="AA1923" i="1" s="1"/>
  <c r="AA1924" i="1" s="1"/>
  <c r="AA1925" i="1" s="1"/>
  <c r="AA1926" i="1" s="1"/>
  <c r="AA1927" i="1" s="1"/>
  <c r="AA1928" i="1" s="1"/>
  <c r="AA1929" i="1" s="1"/>
  <c r="AA1930" i="1" s="1"/>
  <c r="AA1931" i="1" s="1"/>
  <c r="AA1932" i="1" s="1"/>
  <c r="AA1933" i="1" s="1"/>
  <c r="AA1934" i="1" s="1"/>
  <c r="AA1935" i="1" s="1"/>
  <c r="AA1936" i="1" s="1"/>
  <c r="AA1937" i="1" s="1"/>
  <c r="AA1938" i="1" s="1"/>
  <c r="AA1939" i="1" s="1"/>
  <c r="AA1940" i="1" s="1"/>
  <c r="AA1941" i="1" s="1"/>
  <c r="AA1942" i="1" s="1"/>
  <c r="AA1943" i="1" s="1"/>
  <c r="AA1944" i="1" s="1"/>
  <c r="T1921" i="1"/>
  <c r="T1922" i="1" s="1"/>
  <c r="T1923" i="1" s="1"/>
  <c r="T1924" i="1" s="1"/>
  <c r="T1925" i="1" s="1"/>
  <c r="T1926" i="1" s="1"/>
  <c r="T1927" i="1" s="1"/>
  <c r="T1928" i="1" s="1"/>
  <c r="T1929" i="1" s="1"/>
  <c r="T1930" i="1" s="1"/>
  <c r="T1931" i="1" s="1"/>
  <c r="T1932" i="1" s="1"/>
  <c r="T1933" i="1" s="1"/>
  <c r="T1934" i="1" s="1"/>
  <c r="T1935" i="1" s="1"/>
  <c r="T1936" i="1" s="1"/>
  <c r="T1937" i="1" s="1"/>
  <c r="T1938" i="1" s="1"/>
  <c r="T1939" i="1" s="1"/>
  <c r="T1940" i="1" s="1"/>
  <c r="T1941" i="1" s="1"/>
  <c r="T1942" i="1" s="1"/>
  <c r="T1943" i="1" s="1"/>
  <c r="T1944" i="1" s="1"/>
  <c r="AA1905" i="1"/>
  <c r="AA1906" i="1" s="1"/>
  <c r="AA1907" i="1" s="1"/>
  <c r="AA1908" i="1" s="1"/>
  <c r="AA1909" i="1" s="1"/>
  <c r="AA1910" i="1" s="1"/>
  <c r="AA1911" i="1" s="1"/>
  <c r="AA1912" i="1" s="1"/>
  <c r="AA1913" i="1" s="1"/>
  <c r="AA1914" i="1" s="1"/>
  <c r="AA1915" i="1" s="1"/>
  <c r="AA1916" i="1" s="1"/>
  <c r="AA1917" i="1" s="1"/>
  <c r="AA1918" i="1" s="1"/>
  <c r="AA1919" i="1" s="1"/>
  <c r="AB1903" i="1"/>
  <c r="AB1904" i="1" s="1"/>
  <c r="AB1905" i="1" s="1"/>
  <c r="AB1906" i="1" s="1"/>
  <c r="AB1907" i="1" s="1"/>
  <c r="AB1908" i="1" s="1"/>
  <c r="AB1909" i="1" s="1"/>
  <c r="AB1910" i="1" s="1"/>
  <c r="AB1911" i="1" s="1"/>
  <c r="AB1912" i="1" s="1"/>
  <c r="AB1913" i="1" s="1"/>
  <c r="AB1914" i="1" s="1"/>
  <c r="AB1915" i="1" s="1"/>
  <c r="AB1916" i="1" s="1"/>
  <c r="AB1917" i="1" s="1"/>
  <c r="AB1918" i="1" s="1"/>
  <c r="AB1919" i="1" s="1"/>
  <c r="AF1901" i="1"/>
  <c r="AF1902" i="1" s="1"/>
  <c r="AF1903" i="1" s="1"/>
  <c r="AF1904" i="1" s="1"/>
  <c r="AF1905" i="1" s="1"/>
  <c r="AF1906" i="1" s="1"/>
  <c r="AF1907" i="1" s="1"/>
  <c r="AF1908" i="1" s="1"/>
  <c r="AF1909" i="1" s="1"/>
  <c r="AF1910" i="1" s="1"/>
  <c r="AF1911" i="1" s="1"/>
  <c r="AF1912" i="1" s="1"/>
  <c r="AF1913" i="1" s="1"/>
  <c r="AF1914" i="1" s="1"/>
  <c r="AF1915" i="1" s="1"/>
  <c r="AF1916" i="1" s="1"/>
  <c r="AF1917" i="1" s="1"/>
  <c r="AF1918" i="1" s="1"/>
  <c r="AF1919" i="1" s="1"/>
  <c r="AA1901" i="1"/>
  <c r="AA1902" i="1" s="1"/>
  <c r="AA1903" i="1" s="1"/>
  <c r="AA1904" i="1" s="1"/>
  <c r="AE1900" i="1"/>
  <c r="AE1901" i="1" s="1"/>
  <c r="AE1902" i="1" s="1"/>
  <c r="AE1903" i="1" s="1"/>
  <c r="AE1904" i="1" s="1"/>
  <c r="AE1905" i="1" s="1"/>
  <c r="AE1906" i="1" s="1"/>
  <c r="AE1907" i="1" s="1"/>
  <c r="AE1908" i="1" s="1"/>
  <c r="AE1909" i="1" s="1"/>
  <c r="AE1910" i="1" s="1"/>
  <c r="AE1911" i="1" s="1"/>
  <c r="AE1912" i="1" s="1"/>
  <c r="AE1913" i="1" s="1"/>
  <c r="AE1914" i="1" s="1"/>
  <c r="AE1915" i="1" s="1"/>
  <c r="AE1916" i="1" s="1"/>
  <c r="AE1917" i="1" s="1"/>
  <c r="AE1918" i="1" s="1"/>
  <c r="AE1919" i="1" s="1"/>
  <c r="AC1900" i="1"/>
  <c r="AC1901" i="1" s="1"/>
  <c r="AC1902" i="1" s="1"/>
  <c r="AC1903" i="1" s="1"/>
  <c r="AC1904" i="1" s="1"/>
  <c r="AC1905" i="1" s="1"/>
  <c r="AC1906" i="1" s="1"/>
  <c r="AC1907" i="1" s="1"/>
  <c r="AC1908" i="1" s="1"/>
  <c r="AC1909" i="1" s="1"/>
  <c r="AC1910" i="1" s="1"/>
  <c r="AC1911" i="1" s="1"/>
  <c r="AC1912" i="1" s="1"/>
  <c r="AC1913" i="1" s="1"/>
  <c r="AC1914" i="1" s="1"/>
  <c r="AC1915" i="1" s="1"/>
  <c r="AC1916" i="1" s="1"/>
  <c r="AC1917" i="1" s="1"/>
  <c r="AC1918" i="1" s="1"/>
  <c r="AC1919" i="1" s="1"/>
  <c r="AG1899" i="1"/>
  <c r="AG1900" i="1" s="1"/>
  <c r="AG1901" i="1" s="1"/>
  <c r="AG1902" i="1" s="1"/>
  <c r="AG1903" i="1" s="1"/>
  <c r="AG1904" i="1" s="1"/>
  <c r="AG1905" i="1" s="1"/>
  <c r="AG1906" i="1" s="1"/>
  <c r="AG1907" i="1" s="1"/>
  <c r="AG1908" i="1" s="1"/>
  <c r="AG1909" i="1" s="1"/>
  <c r="AG1910" i="1" s="1"/>
  <c r="AG1911" i="1" s="1"/>
  <c r="AG1912" i="1" s="1"/>
  <c r="AG1913" i="1" s="1"/>
  <c r="AG1914" i="1" s="1"/>
  <c r="AG1915" i="1" s="1"/>
  <c r="AG1916" i="1" s="1"/>
  <c r="AG1917" i="1" s="1"/>
  <c r="AG1918" i="1" s="1"/>
  <c r="AG1919" i="1" s="1"/>
  <c r="AE1899" i="1"/>
  <c r="AC1899" i="1"/>
  <c r="AB1899" i="1"/>
  <c r="AB1900" i="1" s="1"/>
  <c r="AB1901" i="1" s="1"/>
  <c r="AB1902" i="1" s="1"/>
  <c r="T1899" i="1"/>
  <c r="T1900" i="1" s="1"/>
  <c r="T1901" i="1" s="1"/>
  <c r="T1902" i="1" s="1"/>
  <c r="T1903" i="1" s="1"/>
  <c r="T1904" i="1" s="1"/>
  <c r="T1905" i="1" s="1"/>
  <c r="T1906" i="1" s="1"/>
  <c r="T1907" i="1" s="1"/>
  <c r="T1908" i="1" s="1"/>
  <c r="T1909" i="1" s="1"/>
  <c r="T1910" i="1" s="1"/>
  <c r="T1911" i="1" s="1"/>
  <c r="T1912" i="1" s="1"/>
  <c r="T1913" i="1" s="1"/>
  <c r="T1914" i="1" s="1"/>
  <c r="T1915" i="1" s="1"/>
  <c r="T1916" i="1" s="1"/>
  <c r="T1917" i="1" s="1"/>
  <c r="T1918" i="1" s="1"/>
  <c r="T1919" i="1" s="1"/>
  <c r="AG1898" i="1"/>
  <c r="AF1898" i="1"/>
  <c r="AF1899" i="1" s="1"/>
  <c r="AF1900" i="1" s="1"/>
  <c r="AE1898" i="1"/>
  <c r="AD1898" i="1"/>
  <c r="AD1899" i="1" s="1"/>
  <c r="AD1900" i="1" s="1"/>
  <c r="AD1901" i="1" s="1"/>
  <c r="AD1902" i="1" s="1"/>
  <c r="AD1903" i="1" s="1"/>
  <c r="AD1904" i="1" s="1"/>
  <c r="AD1905" i="1" s="1"/>
  <c r="AD1906" i="1" s="1"/>
  <c r="AD1907" i="1" s="1"/>
  <c r="AD1908" i="1" s="1"/>
  <c r="AD1909" i="1" s="1"/>
  <c r="AD1910" i="1" s="1"/>
  <c r="AD1911" i="1" s="1"/>
  <c r="AD1912" i="1" s="1"/>
  <c r="AD1913" i="1" s="1"/>
  <c r="AD1914" i="1" s="1"/>
  <c r="AD1915" i="1" s="1"/>
  <c r="AD1916" i="1" s="1"/>
  <c r="AD1917" i="1" s="1"/>
  <c r="AD1918" i="1" s="1"/>
  <c r="AD1919" i="1" s="1"/>
  <c r="AC1898" i="1"/>
  <c r="AB1898" i="1"/>
  <c r="AA1898" i="1"/>
  <c r="AA1899" i="1" s="1"/>
  <c r="AA1900" i="1" s="1"/>
  <c r="T1898" i="1"/>
  <c r="S1898" i="1"/>
  <c r="S1899" i="1" s="1"/>
  <c r="S1900" i="1" s="1"/>
  <c r="S1901" i="1" s="1"/>
  <c r="S1902" i="1" s="1"/>
  <c r="S1903" i="1" s="1"/>
  <c r="S1904" i="1" s="1"/>
  <c r="S1905" i="1" s="1"/>
  <c r="S1906" i="1" s="1"/>
  <c r="S1907" i="1" s="1"/>
  <c r="S1908" i="1" s="1"/>
  <c r="S1909" i="1" s="1"/>
  <c r="S1910" i="1" s="1"/>
  <c r="S1911" i="1" s="1"/>
  <c r="S1912" i="1" s="1"/>
  <c r="S1913" i="1" s="1"/>
  <c r="S1914" i="1" s="1"/>
  <c r="S1915" i="1" s="1"/>
  <c r="S1916" i="1" s="1"/>
  <c r="S1917" i="1" s="1"/>
  <c r="S1918" i="1" s="1"/>
  <c r="S1919" i="1" s="1"/>
  <c r="S1920" i="1" s="1"/>
  <c r="S1921" i="1" s="1"/>
  <c r="S1922" i="1" s="1"/>
  <c r="S1923" i="1" s="1"/>
  <c r="S1924" i="1" s="1"/>
  <c r="S1925" i="1" s="1"/>
  <c r="S1926" i="1" s="1"/>
  <c r="S1927" i="1" s="1"/>
  <c r="S1928" i="1" s="1"/>
  <c r="S1929" i="1" s="1"/>
  <c r="S1930" i="1" s="1"/>
  <c r="S1931" i="1" s="1"/>
  <c r="S1932" i="1" s="1"/>
  <c r="S1933" i="1" s="1"/>
  <c r="S1934" i="1" s="1"/>
  <c r="S1935" i="1" s="1"/>
  <c r="S1936" i="1" s="1"/>
  <c r="S1937" i="1" s="1"/>
  <c r="S1938" i="1" s="1"/>
  <c r="S1939" i="1" s="1"/>
  <c r="S1940" i="1" s="1"/>
  <c r="S1941" i="1" s="1"/>
  <c r="S1942" i="1" s="1"/>
  <c r="S1943" i="1" s="1"/>
  <c r="S1944" i="1" s="1"/>
  <c r="S1895" i="1"/>
  <c r="S1896" i="1" s="1"/>
  <c r="S1897" i="1" s="1"/>
  <c r="AC1894" i="1"/>
  <c r="AC1895" i="1" s="1"/>
  <c r="AC1896" i="1" s="1"/>
  <c r="AA1894" i="1"/>
  <c r="AA1895" i="1" s="1"/>
  <c r="AA1896" i="1" s="1"/>
  <c r="AE1893" i="1"/>
  <c r="AE1894" i="1" s="1"/>
  <c r="AE1895" i="1" s="1"/>
  <c r="AE1896" i="1" s="1"/>
  <c r="T1893" i="1"/>
  <c r="T1894" i="1" s="1"/>
  <c r="T1895" i="1" s="1"/>
  <c r="T1896" i="1" s="1"/>
  <c r="AF1891" i="1"/>
  <c r="AF1892" i="1" s="1"/>
  <c r="AF1893" i="1" s="1"/>
  <c r="AF1894" i="1" s="1"/>
  <c r="AF1895" i="1" s="1"/>
  <c r="AF1896" i="1" s="1"/>
  <c r="AD1891" i="1"/>
  <c r="AD1892" i="1" s="1"/>
  <c r="AD1893" i="1" s="1"/>
  <c r="AD1894" i="1" s="1"/>
  <c r="AD1895" i="1" s="1"/>
  <c r="AD1896" i="1" s="1"/>
  <c r="S1891" i="1"/>
  <c r="S1892" i="1" s="1"/>
  <c r="S1893" i="1" s="1"/>
  <c r="S1894" i="1" s="1"/>
  <c r="AF1890" i="1"/>
  <c r="AD1890" i="1"/>
  <c r="AC1890" i="1"/>
  <c r="AC1891" i="1" s="1"/>
  <c r="AC1892" i="1" s="1"/>
  <c r="AC1893" i="1" s="1"/>
  <c r="AA1890" i="1"/>
  <c r="AA1891" i="1" s="1"/>
  <c r="AA1892" i="1" s="1"/>
  <c r="AA1893" i="1" s="1"/>
  <c r="S1890" i="1"/>
  <c r="AG1889" i="1"/>
  <c r="AG1890" i="1" s="1"/>
  <c r="AG1891" i="1" s="1"/>
  <c r="AG1892" i="1" s="1"/>
  <c r="AG1893" i="1" s="1"/>
  <c r="AG1894" i="1" s="1"/>
  <c r="AG1895" i="1" s="1"/>
  <c r="AG1896" i="1" s="1"/>
  <c r="AF1889" i="1"/>
  <c r="AE1889" i="1"/>
  <c r="AE1890" i="1" s="1"/>
  <c r="AE1891" i="1" s="1"/>
  <c r="AE1892" i="1" s="1"/>
  <c r="AD1889" i="1"/>
  <c r="AC1889" i="1"/>
  <c r="AB1889" i="1"/>
  <c r="AB1890" i="1" s="1"/>
  <c r="AB1891" i="1" s="1"/>
  <c r="AB1892" i="1" s="1"/>
  <c r="AB1893" i="1" s="1"/>
  <c r="AB1894" i="1" s="1"/>
  <c r="AB1895" i="1" s="1"/>
  <c r="AB1896" i="1" s="1"/>
  <c r="AA1889" i="1"/>
  <c r="T1889" i="1"/>
  <c r="T1890" i="1" s="1"/>
  <c r="T1891" i="1" s="1"/>
  <c r="T1892" i="1" s="1"/>
  <c r="S1889" i="1"/>
  <c r="AE1884" i="1"/>
  <c r="AE1885" i="1" s="1"/>
  <c r="AE1886" i="1" s="1"/>
  <c r="AE1887" i="1" s="1"/>
  <c r="AB1879" i="1"/>
  <c r="AB1880" i="1" s="1"/>
  <c r="AB1881" i="1" s="1"/>
  <c r="AB1882" i="1" s="1"/>
  <c r="AB1883" i="1" s="1"/>
  <c r="AB1884" i="1" s="1"/>
  <c r="AB1885" i="1" s="1"/>
  <c r="AB1886" i="1" s="1"/>
  <c r="AB1887" i="1" s="1"/>
  <c r="AE1876" i="1"/>
  <c r="AE1877" i="1" s="1"/>
  <c r="AE1878" i="1" s="1"/>
  <c r="AE1879" i="1" s="1"/>
  <c r="AE1880" i="1" s="1"/>
  <c r="AE1881" i="1" s="1"/>
  <c r="AE1882" i="1" s="1"/>
  <c r="AE1883" i="1" s="1"/>
  <c r="AG1875" i="1"/>
  <c r="AG1876" i="1" s="1"/>
  <c r="AG1877" i="1" s="1"/>
  <c r="AG1878" i="1" s="1"/>
  <c r="AG1879" i="1" s="1"/>
  <c r="AG1880" i="1" s="1"/>
  <c r="AG1881" i="1" s="1"/>
  <c r="AG1882" i="1" s="1"/>
  <c r="AG1883" i="1" s="1"/>
  <c r="AG1884" i="1" s="1"/>
  <c r="AG1885" i="1" s="1"/>
  <c r="AG1886" i="1" s="1"/>
  <c r="AG1887" i="1" s="1"/>
  <c r="AC1873" i="1"/>
  <c r="AC1874" i="1" s="1"/>
  <c r="AC1875" i="1" s="1"/>
  <c r="AC1876" i="1" s="1"/>
  <c r="AC1877" i="1" s="1"/>
  <c r="AC1878" i="1" s="1"/>
  <c r="AC1879" i="1" s="1"/>
  <c r="AC1880" i="1" s="1"/>
  <c r="AC1881" i="1" s="1"/>
  <c r="AC1882" i="1" s="1"/>
  <c r="AC1883" i="1" s="1"/>
  <c r="AC1884" i="1" s="1"/>
  <c r="AC1885" i="1" s="1"/>
  <c r="AC1886" i="1" s="1"/>
  <c r="AC1887" i="1" s="1"/>
  <c r="AE1872" i="1"/>
  <c r="AE1873" i="1" s="1"/>
  <c r="AE1874" i="1" s="1"/>
  <c r="AE1875" i="1" s="1"/>
  <c r="AG1871" i="1"/>
  <c r="AG1872" i="1" s="1"/>
  <c r="AG1873" i="1" s="1"/>
  <c r="AG1874" i="1" s="1"/>
  <c r="AB1871" i="1"/>
  <c r="AB1872" i="1" s="1"/>
  <c r="AB1873" i="1" s="1"/>
  <c r="AB1874" i="1" s="1"/>
  <c r="AB1875" i="1" s="1"/>
  <c r="AB1876" i="1" s="1"/>
  <c r="AB1877" i="1" s="1"/>
  <c r="AB1878" i="1" s="1"/>
  <c r="AG1870" i="1"/>
  <c r="AF1870" i="1"/>
  <c r="AF1871" i="1" s="1"/>
  <c r="AF1872" i="1" s="1"/>
  <c r="AF1873" i="1" s="1"/>
  <c r="AF1874" i="1" s="1"/>
  <c r="AF1875" i="1" s="1"/>
  <c r="AF1876" i="1" s="1"/>
  <c r="AF1877" i="1" s="1"/>
  <c r="AF1878" i="1" s="1"/>
  <c r="AF1879" i="1" s="1"/>
  <c r="AF1880" i="1" s="1"/>
  <c r="AF1881" i="1" s="1"/>
  <c r="AF1882" i="1" s="1"/>
  <c r="AF1883" i="1" s="1"/>
  <c r="AF1884" i="1" s="1"/>
  <c r="AF1885" i="1" s="1"/>
  <c r="AF1886" i="1" s="1"/>
  <c r="AF1887" i="1" s="1"/>
  <c r="AD1870" i="1"/>
  <c r="AD1871" i="1" s="1"/>
  <c r="AD1872" i="1" s="1"/>
  <c r="AD1873" i="1" s="1"/>
  <c r="AD1874" i="1" s="1"/>
  <c r="AD1875" i="1" s="1"/>
  <c r="AD1876" i="1" s="1"/>
  <c r="AD1877" i="1" s="1"/>
  <c r="AD1878" i="1" s="1"/>
  <c r="AD1879" i="1" s="1"/>
  <c r="AD1880" i="1" s="1"/>
  <c r="AD1881" i="1" s="1"/>
  <c r="AD1882" i="1" s="1"/>
  <c r="AD1883" i="1" s="1"/>
  <c r="AD1884" i="1" s="1"/>
  <c r="AD1885" i="1" s="1"/>
  <c r="AD1886" i="1" s="1"/>
  <c r="AD1887" i="1" s="1"/>
  <c r="AB1870" i="1"/>
  <c r="AG1869" i="1"/>
  <c r="AF1869" i="1"/>
  <c r="AE1869" i="1"/>
  <c r="AE1870" i="1" s="1"/>
  <c r="AE1871" i="1" s="1"/>
  <c r="AD1869" i="1"/>
  <c r="AC1869" i="1"/>
  <c r="AC1870" i="1" s="1"/>
  <c r="AC1871" i="1" s="1"/>
  <c r="AC1872" i="1" s="1"/>
  <c r="AB1869" i="1"/>
  <c r="AA1869" i="1"/>
  <c r="AA1870" i="1" s="1"/>
  <c r="AA1871" i="1" s="1"/>
  <c r="AA1872" i="1" s="1"/>
  <c r="AA1873" i="1" s="1"/>
  <c r="AA1874" i="1" s="1"/>
  <c r="AA1875" i="1" s="1"/>
  <c r="AA1876" i="1" s="1"/>
  <c r="AA1877" i="1" s="1"/>
  <c r="AA1878" i="1" s="1"/>
  <c r="AA1879" i="1" s="1"/>
  <c r="AA1880" i="1" s="1"/>
  <c r="AA1881" i="1" s="1"/>
  <c r="AA1882" i="1" s="1"/>
  <c r="AA1883" i="1" s="1"/>
  <c r="AA1884" i="1" s="1"/>
  <c r="AA1885" i="1" s="1"/>
  <c r="AA1886" i="1" s="1"/>
  <c r="AA1887" i="1" s="1"/>
  <c r="T1869" i="1"/>
  <c r="T1870" i="1" s="1"/>
  <c r="T1871" i="1" s="1"/>
  <c r="T1872" i="1" s="1"/>
  <c r="T1873" i="1" s="1"/>
  <c r="T1874" i="1" s="1"/>
  <c r="T1875" i="1" s="1"/>
  <c r="T1876" i="1" s="1"/>
  <c r="T1877" i="1" s="1"/>
  <c r="T1878" i="1" s="1"/>
  <c r="T1879" i="1" s="1"/>
  <c r="T1880" i="1" s="1"/>
  <c r="T1881" i="1" s="1"/>
  <c r="T1882" i="1" s="1"/>
  <c r="T1883" i="1" s="1"/>
  <c r="T1884" i="1" s="1"/>
  <c r="T1885" i="1" s="1"/>
  <c r="T1886" i="1" s="1"/>
  <c r="T1887" i="1" s="1"/>
  <c r="AE1861" i="1"/>
  <c r="AE1862" i="1" s="1"/>
  <c r="AE1863" i="1" s="1"/>
  <c r="AE1864" i="1" s="1"/>
  <c r="AE1865" i="1" s="1"/>
  <c r="AE1866" i="1" s="1"/>
  <c r="AE1867" i="1" s="1"/>
  <c r="AD1861" i="1"/>
  <c r="AD1862" i="1" s="1"/>
  <c r="AD1863" i="1" s="1"/>
  <c r="AD1864" i="1" s="1"/>
  <c r="AD1865" i="1" s="1"/>
  <c r="AD1866" i="1" s="1"/>
  <c r="AD1867" i="1" s="1"/>
  <c r="AB1860" i="1"/>
  <c r="AB1861" i="1" s="1"/>
  <c r="AB1862" i="1" s="1"/>
  <c r="AB1863" i="1" s="1"/>
  <c r="AB1864" i="1" s="1"/>
  <c r="AB1865" i="1" s="1"/>
  <c r="AB1866" i="1" s="1"/>
  <c r="AB1867" i="1" s="1"/>
  <c r="AE1857" i="1"/>
  <c r="AE1858" i="1" s="1"/>
  <c r="AE1859" i="1" s="1"/>
  <c r="AE1860" i="1" s="1"/>
  <c r="AC1857" i="1"/>
  <c r="AC1858" i="1" s="1"/>
  <c r="AC1859" i="1" s="1"/>
  <c r="AC1860" i="1" s="1"/>
  <c r="AC1861" i="1" s="1"/>
  <c r="AC1862" i="1" s="1"/>
  <c r="AC1863" i="1" s="1"/>
  <c r="AC1864" i="1" s="1"/>
  <c r="AC1865" i="1" s="1"/>
  <c r="AC1866" i="1" s="1"/>
  <c r="AC1867" i="1" s="1"/>
  <c r="AE1856" i="1"/>
  <c r="AD1856" i="1"/>
  <c r="AD1857" i="1" s="1"/>
  <c r="AD1858" i="1" s="1"/>
  <c r="AD1859" i="1" s="1"/>
  <c r="AD1860" i="1" s="1"/>
  <c r="AB1856" i="1"/>
  <c r="AB1857" i="1" s="1"/>
  <c r="AB1858" i="1" s="1"/>
  <c r="AB1859" i="1" s="1"/>
  <c r="AA1856" i="1"/>
  <c r="AA1857" i="1" s="1"/>
  <c r="AA1858" i="1" s="1"/>
  <c r="AA1859" i="1" s="1"/>
  <c r="AA1860" i="1" s="1"/>
  <c r="AA1861" i="1" s="1"/>
  <c r="AA1862" i="1" s="1"/>
  <c r="AA1863" i="1" s="1"/>
  <c r="AA1864" i="1" s="1"/>
  <c r="AA1865" i="1" s="1"/>
  <c r="AA1866" i="1" s="1"/>
  <c r="AA1867" i="1" s="1"/>
  <c r="T1856" i="1"/>
  <c r="T1857" i="1" s="1"/>
  <c r="T1858" i="1" s="1"/>
  <c r="T1859" i="1" s="1"/>
  <c r="T1860" i="1" s="1"/>
  <c r="T1861" i="1" s="1"/>
  <c r="T1862" i="1" s="1"/>
  <c r="T1863" i="1" s="1"/>
  <c r="T1864" i="1" s="1"/>
  <c r="T1865" i="1" s="1"/>
  <c r="T1866" i="1" s="1"/>
  <c r="T1867" i="1" s="1"/>
  <c r="AG1855" i="1"/>
  <c r="AG1856" i="1" s="1"/>
  <c r="AG1857" i="1" s="1"/>
  <c r="AG1858" i="1" s="1"/>
  <c r="AG1859" i="1" s="1"/>
  <c r="AG1860" i="1" s="1"/>
  <c r="AG1861" i="1" s="1"/>
  <c r="AG1862" i="1" s="1"/>
  <c r="AG1863" i="1" s="1"/>
  <c r="AG1864" i="1" s="1"/>
  <c r="AG1865" i="1" s="1"/>
  <c r="AG1866" i="1" s="1"/>
  <c r="AG1867" i="1" s="1"/>
  <c r="AF1855" i="1"/>
  <c r="AF1856" i="1" s="1"/>
  <c r="AF1857" i="1" s="1"/>
  <c r="AF1858" i="1" s="1"/>
  <c r="AF1859" i="1" s="1"/>
  <c r="AF1860" i="1" s="1"/>
  <c r="AF1861" i="1" s="1"/>
  <c r="AF1862" i="1" s="1"/>
  <c r="AF1863" i="1" s="1"/>
  <c r="AF1864" i="1" s="1"/>
  <c r="AF1865" i="1" s="1"/>
  <c r="AF1866" i="1" s="1"/>
  <c r="AF1867" i="1" s="1"/>
  <c r="AE1855" i="1"/>
  <c r="AD1855" i="1"/>
  <c r="AC1855" i="1"/>
  <c r="AC1856" i="1" s="1"/>
  <c r="AB1855" i="1"/>
  <c r="AA1855" i="1"/>
  <c r="T1855" i="1"/>
  <c r="AE1851" i="1"/>
  <c r="AE1852" i="1" s="1"/>
  <c r="AE1853" i="1" s="1"/>
  <c r="AB1847" i="1"/>
  <c r="AB1848" i="1" s="1"/>
  <c r="AB1849" i="1" s="1"/>
  <c r="AB1850" i="1" s="1"/>
  <c r="AB1851" i="1" s="1"/>
  <c r="AB1852" i="1" s="1"/>
  <c r="AB1853" i="1" s="1"/>
  <c r="AF1844" i="1"/>
  <c r="AF1845" i="1" s="1"/>
  <c r="AF1846" i="1" s="1"/>
  <c r="AF1847" i="1" s="1"/>
  <c r="AF1848" i="1" s="1"/>
  <c r="AF1849" i="1" s="1"/>
  <c r="AF1850" i="1" s="1"/>
  <c r="AF1851" i="1" s="1"/>
  <c r="AF1852" i="1" s="1"/>
  <c r="AF1853" i="1" s="1"/>
  <c r="AC1843" i="1"/>
  <c r="AC1844" i="1" s="1"/>
  <c r="AC1845" i="1" s="1"/>
  <c r="AC1846" i="1" s="1"/>
  <c r="AC1847" i="1" s="1"/>
  <c r="AC1848" i="1" s="1"/>
  <c r="AC1849" i="1" s="1"/>
  <c r="AC1850" i="1" s="1"/>
  <c r="AC1851" i="1" s="1"/>
  <c r="AC1852" i="1" s="1"/>
  <c r="AC1853" i="1" s="1"/>
  <c r="T1842" i="1"/>
  <c r="T1843" i="1" s="1"/>
  <c r="T1844" i="1" s="1"/>
  <c r="T1845" i="1" s="1"/>
  <c r="T1846" i="1" s="1"/>
  <c r="T1847" i="1" s="1"/>
  <c r="T1848" i="1" s="1"/>
  <c r="T1849" i="1" s="1"/>
  <c r="T1850" i="1" s="1"/>
  <c r="T1851" i="1" s="1"/>
  <c r="T1852" i="1" s="1"/>
  <c r="T1853" i="1" s="1"/>
  <c r="AG1841" i="1"/>
  <c r="AG1842" i="1" s="1"/>
  <c r="AG1843" i="1" s="1"/>
  <c r="AG1844" i="1" s="1"/>
  <c r="AG1845" i="1" s="1"/>
  <c r="AG1846" i="1" s="1"/>
  <c r="AG1847" i="1" s="1"/>
  <c r="AG1848" i="1" s="1"/>
  <c r="AG1849" i="1" s="1"/>
  <c r="AG1850" i="1" s="1"/>
  <c r="AG1851" i="1" s="1"/>
  <c r="AG1852" i="1" s="1"/>
  <c r="AG1853" i="1" s="1"/>
  <c r="AF1840" i="1"/>
  <c r="AF1841" i="1" s="1"/>
  <c r="AF1842" i="1" s="1"/>
  <c r="AF1843" i="1" s="1"/>
  <c r="AF1839" i="1"/>
  <c r="AE1839" i="1"/>
  <c r="AE1840" i="1" s="1"/>
  <c r="AE1841" i="1" s="1"/>
  <c r="AE1842" i="1" s="1"/>
  <c r="AE1843" i="1" s="1"/>
  <c r="AE1844" i="1" s="1"/>
  <c r="AE1845" i="1" s="1"/>
  <c r="AE1846" i="1" s="1"/>
  <c r="AE1847" i="1" s="1"/>
  <c r="AE1848" i="1" s="1"/>
  <c r="AE1849" i="1" s="1"/>
  <c r="AE1850" i="1" s="1"/>
  <c r="AC1839" i="1"/>
  <c r="AC1840" i="1" s="1"/>
  <c r="AC1841" i="1" s="1"/>
  <c r="AC1842" i="1" s="1"/>
  <c r="AB1839" i="1"/>
  <c r="AB1840" i="1" s="1"/>
  <c r="AB1841" i="1" s="1"/>
  <c r="AB1842" i="1" s="1"/>
  <c r="AB1843" i="1" s="1"/>
  <c r="AB1844" i="1" s="1"/>
  <c r="AB1845" i="1" s="1"/>
  <c r="AB1846" i="1" s="1"/>
  <c r="AA1839" i="1"/>
  <c r="AA1840" i="1" s="1"/>
  <c r="AA1841" i="1" s="1"/>
  <c r="AA1842" i="1" s="1"/>
  <c r="AA1843" i="1" s="1"/>
  <c r="AA1844" i="1" s="1"/>
  <c r="AA1845" i="1" s="1"/>
  <c r="AA1846" i="1" s="1"/>
  <c r="AA1847" i="1" s="1"/>
  <c r="AA1848" i="1" s="1"/>
  <c r="AA1849" i="1" s="1"/>
  <c r="AA1850" i="1" s="1"/>
  <c r="AA1851" i="1" s="1"/>
  <c r="AA1852" i="1" s="1"/>
  <c r="AA1853" i="1" s="1"/>
  <c r="AG1838" i="1"/>
  <c r="AG1839" i="1" s="1"/>
  <c r="AG1840" i="1" s="1"/>
  <c r="AF1838" i="1"/>
  <c r="AE1838" i="1"/>
  <c r="AD1838" i="1"/>
  <c r="AD1839" i="1" s="1"/>
  <c r="AD1840" i="1" s="1"/>
  <c r="AD1841" i="1" s="1"/>
  <c r="AD1842" i="1" s="1"/>
  <c r="AD1843" i="1" s="1"/>
  <c r="AD1844" i="1" s="1"/>
  <c r="AD1845" i="1" s="1"/>
  <c r="AD1846" i="1" s="1"/>
  <c r="AD1847" i="1" s="1"/>
  <c r="AD1848" i="1" s="1"/>
  <c r="AD1849" i="1" s="1"/>
  <c r="AD1850" i="1" s="1"/>
  <c r="AD1851" i="1" s="1"/>
  <c r="AD1852" i="1" s="1"/>
  <c r="AD1853" i="1" s="1"/>
  <c r="AC1838" i="1"/>
  <c r="AB1838" i="1"/>
  <c r="AA1838" i="1"/>
  <c r="T1838" i="1"/>
  <c r="T1839" i="1" s="1"/>
  <c r="T1840" i="1" s="1"/>
  <c r="T1841" i="1" s="1"/>
  <c r="AF1831" i="1"/>
  <c r="AF1832" i="1" s="1"/>
  <c r="AF1833" i="1" s="1"/>
  <c r="AF1834" i="1" s="1"/>
  <c r="AF1835" i="1" s="1"/>
  <c r="AF1836" i="1" s="1"/>
  <c r="AD1826" i="1"/>
  <c r="AD1827" i="1" s="1"/>
  <c r="AD1828" i="1" s="1"/>
  <c r="AD1829" i="1" s="1"/>
  <c r="AD1830" i="1" s="1"/>
  <c r="AD1831" i="1" s="1"/>
  <c r="AD1832" i="1" s="1"/>
  <c r="AD1833" i="1" s="1"/>
  <c r="AD1834" i="1" s="1"/>
  <c r="AD1835" i="1" s="1"/>
  <c r="AD1836" i="1" s="1"/>
  <c r="AB1826" i="1"/>
  <c r="AB1827" i="1" s="1"/>
  <c r="AB1828" i="1" s="1"/>
  <c r="AB1829" i="1" s="1"/>
  <c r="AB1830" i="1" s="1"/>
  <c r="AB1831" i="1" s="1"/>
  <c r="AB1832" i="1" s="1"/>
  <c r="AB1833" i="1" s="1"/>
  <c r="AB1834" i="1" s="1"/>
  <c r="AB1835" i="1" s="1"/>
  <c r="AB1836" i="1" s="1"/>
  <c r="AA1825" i="1"/>
  <c r="AA1826" i="1" s="1"/>
  <c r="AA1827" i="1" s="1"/>
  <c r="AA1828" i="1" s="1"/>
  <c r="AA1829" i="1" s="1"/>
  <c r="AA1830" i="1" s="1"/>
  <c r="AA1831" i="1" s="1"/>
  <c r="AA1832" i="1" s="1"/>
  <c r="AA1833" i="1" s="1"/>
  <c r="AA1834" i="1" s="1"/>
  <c r="AA1835" i="1" s="1"/>
  <c r="AA1836" i="1" s="1"/>
  <c r="AA1824" i="1"/>
  <c r="T1824" i="1"/>
  <c r="T1825" i="1" s="1"/>
  <c r="T1826" i="1" s="1"/>
  <c r="T1827" i="1" s="1"/>
  <c r="T1828" i="1" s="1"/>
  <c r="T1829" i="1" s="1"/>
  <c r="T1830" i="1" s="1"/>
  <c r="T1831" i="1" s="1"/>
  <c r="T1832" i="1" s="1"/>
  <c r="T1833" i="1" s="1"/>
  <c r="T1834" i="1" s="1"/>
  <c r="T1835" i="1" s="1"/>
  <c r="T1836" i="1" s="1"/>
  <c r="AG1823" i="1"/>
  <c r="AG1824" i="1" s="1"/>
  <c r="AG1825" i="1" s="1"/>
  <c r="AG1826" i="1" s="1"/>
  <c r="AG1827" i="1" s="1"/>
  <c r="AG1828" i="1" s="1"/>
  <c r="AG1829" i="1" s="1"/>
  <c r="AG1830" i="1" s="1"/>
  <c r="AG1831" i="1" s="1"/>
  <c r="AG1832" i="1" s="1"/>
  <c r="AG1833" i="1" s="1"/>
  <c r="AG1834" i="1" s="1"/>
  <c r="AG1835" i="1" s="1"/>
  <c r="AG1836" i="1" s="1"/>
  <c r="AF1823" i="1"/>
  <c r="AF1824" i="1" s="1"/>
  <c r="AF1825" i="1" s="1"/>
  <c r="AF1826" i="1" s="1"/>
  <c r="AF1827" i="1" s="1"/>
  <c r="AF1828" i="1" s="1"/>
  <c r="AF1829" i="1" s="1"/>
  <c r="AF1830" i="1" s="1"/>
  <c r="AE1823" i="1"/>
  <c r="AE1824" i="1" s="1"/>
  <c r="AE1825" i="1" s="1"/>
  <c r="AE1826" i="1" s="1"/>
  <c r="AE1827" i="1" s="1"/>
  <c r="AE1828" i="1" s="1"/>
  <c r="AE1829" i="1" s="1"/>
  <c r="AE1830" i="1" s="1"/>
  <c r="AE1831" i="1" s="1"/>
  <c r="AE1832" i="1" s="1"/>
  <c r="AE1833" i="1" s="1"/>
  <c r="AE1834" i="1" s="1"/>
  <c r="AE1835" i="1" s="1"/>
  <c r="AE1836" i="1" s="1"/>
  <c r="AD1823" i="1"/>
  <c r="AD1824" i="1" s="1"/>
  <c r="AD1825" i="1" s="1"/>
  <c r="AC1823" i="1"/>
  <c r="AC1824" i="1" s="1"/>
  <c r="AC1825" i="1" s="1"/>
  <c r="AC1826" i="1" s="1"/>
  <c r="AC1827" i="1" s="1"/>
  <c r="AC1828" i="1" s="1"/>
  <c r="AC1829" i="1" s="1"/>
  <c r="AC1830" i="1" s="1"/>
  <c r="AC1831" i="1" s="1"/>
  <c r="AC1832" i="1" s="1"/>
  <c r="AC1833" i="1" s="1"/>
  <c r="AC1834" i="1" s="1"/>
  <c r="AC1835" i="1" s="1"/>
  <c r="AC1836" i="1" s="1"/>
  <c r="AB1823" i="1"/>
  <c r="AB1824" i="1" s="1"/>
  <c r="AB1825" i="1" s="1"/>
  <c r="AA1823" i="1"/>
  <c r="T1823" i="1"/>
  <c r="S1823" i="1"/>
  <c r="S1824" i="1" s="1"/>
  <c r="S1825" i="1" s="1"/>
  <c r="S1826" i="1" s="1"/>
  <c r="S1827" i="1" s="1"/>
  <c r="S1828" i="1" s="1"/>
  <c r="S1829" i="1" s="1"/>
  <c r="S1830" i="1" s="1"/>
  <c r="S1831" i="1" s="1"/>
  <c r="S1832" i="1" s="1"/>
  <c r="S1833" i="1" s="1"/>
  <c r="S1834" i="1" s="1"/>
  <c r="S1835" i="1" s="1"/>
  <c r="S1836" i="1" s="1"/>
  <c r="S1837" i="1" s="1"/>
  <c r="S1838" i="1" s="1"/>
  <c r="S1839" i="1" s="1"/>
  <c r="S1840" i="1" s="1"/>
  <c r="S1841" i="1" s="1"/>
  <c r="S1842" i="1" s="1"/>
  <c r="S1843" i="1" s="1"/>
  <c r="S1844" i="1" s="1"/>
  <c r="S1845" i="1" s="1"/>
  <c r="S1846" i="1" s="1"/>
  <c r="S1847" i="1" s="1"/>
  <c r="S1848" i="1" s="1"/>
  <c r="S1849" i="1" s="1"/>
  <c r="S1850" i="1" s="1"/>
  <c r="S1851" i="1" s="1"/>
  <c r="S1852" i="1" s="1"/>
  <c r="S1853" i="1" s="1"/>
  <c r="S1854" i="1" s="1"/>
  <c r="S1855" i="1" s="1"/>
  <c r="S1856" i="1" s="1"/>
  <c r="S1857" i="1" s="1"/>
  <c r="S1858" i="1" s="1"/>
  <c r="S1859" i="1" s="1"/>
  <c r="S1860" i="1" s="1"/>
  <c r="S1861" i="1" s="1"/>
  <c r="S1862" i="1" s="1"/>
  <c r="S1863" i="1" s="1"/>
  <c r="S1864" i="1" s="1"/>
  <c r="S1865" i="1" s="1"/>
  <c r="S1866" i="1" s="1"/>
  <c r="S1867" i="1" s="1"/>
  <c r="S1868" i="1" s="1"/>
  <c r="S1869" i="1" s="1"/>
  <c r="S1870" i="1" s="1"/>
  <c r="S1871" i="1" s="1"/>
  <c r="S1872" i="1" s="1"/>
  <c r="S1873" i="1" s="1"/>
  <c r="S1874" i="1" s="1"/>
  <c r="S1875" i="1" s="1"/>
  <c r="S1876" i="1" s="1"/>
  <c r="S1877" i="1" s="1"/>
  <c r="S1878" i="1" s="1"/>
  <c r="S1879" i="1" s="1"/>
  <c r="S1880" i="1" s="1"/>
  <c r="S1881" i="1" s="1"/>
  <c r="S1882" i="1" s="1"/>
  <c r="S1883" i="1" s="1"/>
  <c r="S1884" i="1" s="1"/>
  <c r="S1885" i="1" s="1"/>
  <c r="S1886" i="1" s="1"/>
  <c r="S1887" i="1" s="1"/>
  <c r="AD1821" i="1"/>
  <c r="AF1814" i="1"/>
  <c r="AF1815" i="1" s="1"/>
  <c r="AF1816" i="1" s="1"/>
  <c r="AF1817" i="1" s="1"/>
  <c r="AF1818" i="1" s="1"/>
  <c r="AF1819" i="1" s="1"/>
  <c r="AF1820" i="1" s="1"/>
  <c r="AF1821" i="1" s="1"/>
  <c r="T1807" i="1"/>
  <c r="T1808" i="1" s="1"/>
  <c r="T1809" i="1" s="1"/>
  <c r="T1810" i="1" s="1"/>
  <c r="T1811" i="1" s="1"/>
  <c r="T1812" i="1" s="1"/>
  <c r="T1813" i="1" s="1"/>
  <c r="T1814" i="1" s="1"/>
  <c r="T1815" i="1" s="1"/>
  <c r="T1816" i="1" s="1"/>
  <c r="T1817" i="1" s="1"/>
  <c r="T1818" i="1" s="1"/>
  <c r="T1819" i="1" s="1"/>
  <c r="T1820" i="1" s="1"/>
  <c r="T1821" i="1" s="1"/>
  <c r="AD1805" i="1"/>
  <c r="AD1806" i="1" s="1"/>
  <c r="AD1807" i="1" s="1"/>
  <c r="AD1808" i="1" s="1"/>
  <c r="AD1809" i="1" s="1"/>
  <c r="AD1810" i="1" s="1"/>
  <c r="AD1811" i="1" s="1"/>
  <c r="AD1812" i="1" s="1"/>
  <c r="AD1813" i="1" s="1"/>
  <c r="AD1814" i="1" s="1"/>
  <c r="AD1815" i="1" s="1"/>
  <c r="AD1816" i="1" s="1"/>
  <c r="AD1817" i="1" s="1"/>
  <c r="AD1818" i="1" s="1"/>
  <c r="AD1819" i="1" s="1"/>
  <c r="AD1820" i="1" s="1"/>
  <c r="AC1805" i="1"/>
  <c r="AC1806" i="1" s="1"/>
  <c r="AC1807" i="1" s="1"/>
  <c r="AC1808" i="1" s="1"/>
  <c r="AC1809" i="1" s="1"/>
  <c r="AC1810" i="1" s="1"/>
  <c r="AC1811" i="1" s="1"/>
  <c r="AC1812" i="1" s="1"/>
  <c r="AC1813" i="1" s="1"/>
  <c r="AC1814" i="1" s="1"/>
  <c r="AC1815" i="1" s="1"/>
  <c r="AC1816" i="1" s="1"/>
  <c r="AC1817" i="1" s="1"/>
  <c r="AC1818" i="1" s="1"/>
  <c r="AC1819" i="1" s="1"/>
  <c r="AC1820" i="1" s="1"/>
  <c r="AC1821" i="1" s="1"/>
  <c r="AG1801" i="1"/>
  <c r="AG1802" i="1" s="1"/>
  <c r="AG1803" i="1" s="1"/>
  <c r="AG1804" i="1" s="1"/>
  <c r="AG1805" i="1" s="1"/>
  <c r="AG1806" i="1" s="1"/>
  <c r="AG1807" i="1" s="1"/>
  <c r="AG1808" i="1" s="1"/>
  <c r="AG1809" i="1" s="1"/>
  <c r="AG1810" i="1" s="1"/>
  <c r="AG1811" i="1" s="1"/>
  <c r="AG1812" i="1" s="1"/>
  <c r="AG1813" i="1" s="1"/>
  <c r="AG1814" i="1" s="1"/>
  <c r="AG1815" i="1" s="1"/>
  <c r="AG1816" i="1" s="1"/>
  <c r="AG1817" i="1" s="1"/>
  <c r="AG1818" i="1" s="1"/>
  <c r="AG1819" i="1" s="1"/>
  <c r="AG1820" i="1" s="1"/>
  <c r="AG1821" i="1" s="1"/>
  <c r="AF1801" i="1"/>
  <c r="AF1802" i="1" s="1"/>
  <c r="AF1803" i="1" s="1"/>
  <c r="AF1804" i="1" s="1"/>
  <c r="AF1805" i="1" s="1"/>
  <c r="AF1806" i="1" s="1"/>
  <c r="AF1807" i="1" s="1"/>
  <c r="AF1808" i="1" s="1"/>
  <c r="AF1809" i="1" s="1"/>
  <c r="AF1810" i="1" s="1"/>
  <c r="AF1811" i="1" s="1"/>
  <c r="AF1812" i="1" s="1"/>
  <c r="AF1813" i="1" s="1"/>
  <c r="AE1801" i="1"/>
  <c r="AE1802" i="1" s="1"/>
  <c r="AE1803" i="1" s="1"/>
  <c r="AE1804" i="1" s="1"/>
  <c r="AE1805" i="1" s="1"/>
  <c r="AE1806" i="1" s="1"/>
  <c r="AE1807" i="1" s="1"/>
  <c r="AE1808" i="1" s="1"/>
  <c r="AE1809" i="1" s="1"/>
  <c r="AE1810" i="1" s="1"/>
  <c r="AE1811" i="1" s="1"/>
  <c r="AE1812" i="1" s="1"/>
  <c r="AE1813" i="1" s="1"/>
  <c r="AE1814" i="1" s="1"/>
  <c r="AE1815" i="1" s="1"/>
  <c r="AE1816" i="1" s="1"/>
  <c r="AE1817" i="1" s="1"/>
  <c r="AE1818" i="1" s="1"/>
  <c r="AE1819" i="1" s="1"/>
  <c r="AE1820" i="1" s="1"/>
  <c r="AE1821" i="1" s="1"/>
  <c r="AB1801" i="1"/>
  <c r="AB1802" i="1" s="1"/>
  <c r="AB1803" i="1" s="1"/>
  <c r="AB1804" i="1" s="1"/>
  <c r="AB1805" i="1" s="1"/>
  <c r="AB1806" i="1" s="1"/>
  <c r="AB1807" i="1" s="1"/>
  <c r="AB1808" i="1" s="1"/>
  <c r="AB1809" i="1" s="1"/>
  <c r="AB1810" i="1" s="1"/>
  <c r="AB1811" i="1" s="1"/>
  <c r="AB1812" i="1" s="1"/>
  <c r="AB1813" i="1" s="1"/>
  <c r="AB1814" i="1" s="1"/>
  <c r="AB1815" i="1" s="1"/>
  <c r="AB1816" i="1" s="1"/>
  <c r="AB1817" i="1" s="1"/>
  <c r="AB1818" i="1" s="1"/>
  <c r="AB1819" i="1" s="1"/>
  <c r="AB1820" i="1" s="1"/>
  <c r="AB1821" i="1" s="1"/>
  <c r="AG1800" i="1"/>
  <c r="AF1800" i="1"/>
  <c r="AE1800" i="1"/>
  <c r="AD1800" i="1"/>
  <c r="AD1801" i="1" s="1"/>
  <c r="AD1802" i="1" s="1"/>
  <c r="AD1803" i="1" s="1"/>
  <c r="AD1804" i="1" s="1"/>
  <c r="AC1800" i="1"/>
  <c r="AC1801" i="1" s="1"/>
  <c r="AC1802" i="1" s="1"/>
  <c r="AC1803" i="1" s="1"/>
  <c r="AC1804" i="1" s="1"/>
  <c r="AB1800" i="1"/>
  <c r="AA1800" i="1"/>
  <c r="AA1801" i="1" s="1"/>
  <c r="AA1802" i="1" s="1"/>
  <c r="AA1803" i="1" s="1"/>
  <c r="AA1804" i="1" s="1"/>
  <c r="AA1805" i="1" s="1"/>
  <c r="AA1806" i="1" s="1"/>
  <c r="AA1807" i="1" s="1"/>
  <c r="AA1808" i="1" s="1"/>
  <c r="AA1809" i="1" s="1"/>
  <c r="AA1810" i="1" s="1"/>
  <c r="AA1811" i="1" s="1"/>
  <c r="AA1812" i="1" s="1"/>
  <c r="AA1813" i="1" s="1"/>
  <c r="AA1814" i="1" s="1"/>
  <c r="AA1815" i="1" s="1"/>
  <c r="AA1816" i="1" s="1"/>
  <c r="AA1817" i="1" s="1"/>
  <c r="AA1818" i="1" s="1"/>
  <c r="AA1819" i="1" s="1"/>
  <c r="AA1820" i="1" s="1"/>
  <c r="AA1821" i="1" s="1"/>
  <c r="T1800" i="1"/>
  <c r="T1801" i="1" s="1"/>
  <c r="T1802" i="1" s="1"/>
  <c r="T1803" i="1" s="1"/>
  <c r="T1804" i="1" s="1"/>
  <c r="T1805" i="1" s="1"/>
  <c r="T1806" i="1" s="1"/>
  <c r="AA1794" i="1"/>
  <c r="AA1795" i="1" s="1"/>
  <c r="AA1796" i="1" s="1"/>
  <c r="AA1797" i="1" s="1"/>
  <c r="AA1798" i="1" s="1"/>
  <c r="S1790" i="1"/>
  <c r="S1791" i="1" s="1"/>
  <c r="S1792" i="1" s="1"/>
  <c r="S1793" i="1" s="1"/>
  <c r="S1794" i="1" s="1"/>
  <c r="S1795" i="1" s="1"/>
  <c r="S1796" i="1" s="1"/>
  <c r="S1797" i="1" s="1"/>
  <c r="S1798" i="1" s="1"/>
  <c r="S1799" i="1" s="1"/>
  <c r="S1800" i="1" s="1"/>
  <c r="S1801" i="1" s="1"/>
  <c r="S1802" i="1" s="1"/>
  <c r="S1803" i="1" s="1"/>
  <c r="S1804" i="1" s="1"/>
  <c r="S1805" i="1" s="1"/>
  <c r="S1806" i="1" s="1"/>
  <c r="S1807" i="1" s="1"/>
  <c r="S1808" i="1" s="1"/>
  <c r="S1809" i="1" s="1"/>
  <c r="S1810" i="1" s="1"/>
  <c r="S1811" i="1" s="1"/>
  <c r="S1812" i="1" s="1"/>
  <c r="S1813" i="1" s="1"/>
  <c r="S1814" i="1" s="1"/>
  <c r="S1815" i="1" s="1"/>
  <c r="S1816" i="1" s="1"/>
  <c r="S1817" i="1" s="1"/>
  <c r="S1818" i="1" s="1"/>
  <c r="S1819" i="1" s="1"/>
  <c r="S1820" i="1" s="1"/>
  <c r="S1821" i="1" s="1"/>
  <c r="AG1788" i="1"/>
  <c r="AG1789" i="1" s="1"/>
  <c r="AG1790" i="1" s="1"/>
  <c r="AG1791" i="1" s="1"/>
  <c r="AG1792" i="1" s="1"/>
  <c r="AG1793" i="1" s="1"/>
  <c r="AG1794" i="1" s="1"/>
  <c r="AG1795" i="1" s="1"/>
  <c r="AG1796" i="1" s="1"/>
  <c r="AG1797" i="1" s="1"/>
  <c r="AG1798" i="1" s="1"/>
  <c r="AA1787" i="1"/>
  <c r="AA1788" i="1" s="1"/>
  <c r="AA1789" i="1" s="1"/>
  <c r="AA1790" i="1" s="1"/>
  <c r="AA1791" i="1" s="1"/>
  <c r="AA1792" i="1" s="1"/>
  <c r="AA1793" i="1" s="1"/>
  <c r="AG1781" i="1"/>
  <c r="AG1782" i="1" s="1"/>
  <c r="AG1783" i="1" s="1"/>
  <c r="AG1784" i="1" s="1"/>
  <c r="AG1785" i="1" s="1"/>
  <c r="AG1786" i="1" s="1"/>
  <c r="AG1787" i="1" s="1"/>
  <c r="AF1781" i="1"/>
  <c r="AF1782" i="1" s="1"/>
  <c r="AF1783" i="1" s="1"/>
  <c r="AF1784" i="1" s="1"/>
  <c r="AF1785" i="1" s="1"/>
  <c r="AF1786" i="1" s="1"/>
  <c r="AF1787" i="1" s="1"/>
  <c r="AF1788" i="1" s="1"/>
  <c r="AF1789" i="1" s="1"/>
  <c r="AF1790" i="1" s="1"/>
  <c r="AF1791" i="1" s="1"/>
  <c r="AF1792" i="1" s="1"/>
  <c r="AF1793" i="1" s="1"/>
  <c r="AF1794" i="1" s="1"/>
  <c r="AF1795" i="1" s="1"/>
  <c r="AF1796" i="1" s="1"/>
  <c r="AF1797" i="1" s="1"/>
  <c r="AF1798" i="1" s="1"/>
  <c r="AE1781" i="1"/>
  <c r="AE1782" i="1" s="1"/>
  <c r="AE1783" i="1" s="1"/>
  <c r="AE1784" i="1" s="1"/>
  <c r="AE1785" i="1" s="1"/>
  <c r="AE1786" i="1" s="1"/>
  <c r="AE1787" i="1" s="1"/>
  <c r="AE1788" i="1" s="1"/>
  <c r="AE1789" i="1" s="1"/>
  <c r="AE1790" i="1" s="1"/>
  <c r="AE1791" i="1" s="1"/>
  <c r="AE1792" i="1" s="1"/>
  <c r="AE1793" i="1" s="1"/>
  <c r="AE1794" i="1" s="1"/>
  <c r="AE1795" i="1" s="1"/>
  <c r="AE1796" i="1" s="1"/>
  <c r="AE1797" i="1" s="1"/>
  <c r="AE1798" i="1" s="1"/>
  <c r="AG1780" i="1"/>
  <c r="AF1779" i="1"/>
  <c r="AF1780" i="1" s="1"/>
  <c r="AE1779" i="1"/>
  <c r="AE1780" i="1" s="1"/>
  <c r="AD1779" i="1"/>
  <c r="AD1780" i="1" s="1"/>
  <c r="AD1781" i="1" s="1"/>
  <c r="AD1782" i="1" s="1"/>
  <c r="AD1783" i="1" s="1"/>
  <c r="AD1784" i="1" s="1"/>
  <c r="AD1785" i="1" s="1"/>
  <c r="AD1786" i="1" s="1"/>
  <c r="AD1787" i="1" s="1"/>
  <c r="AD1788" i="1" s="1"/>
  <c r="AD1789" i="1" s="1"/>
  <c r="AD1790" i="1" s="1"/>
  <c r="AD1791" i="1" s="1"/>
  <c r="AD1792" i="1" s="1"/>
  <c r="AD1793" i="1" s="1"/>
  <c r="AD1794" i="1" s="1"/>
  <c r="AD1795" i="1" s="1"/>
  <c r="AD1796" i="1" s="1"/>
  <c r="AD1797" i="1" s="1"/>
  <c r="AD1798" i="1" s="1"/>
  <c r="AG1778" i="1"/>
  <c r="AG1779" i="1" s="1"/>
  <c r="AF1778" i="1"/>
  <c r="AE1778" i="1"/>
  <c r="AD1778" i="1"/>
  <c r="AC1778" i="1"/>
  <c r="AC1779" i="1" s="1"/>
  <c r="AC1780" i="1" s="1"/>
  <c r="AC1781" i="1" s="1"/>
  <c r="AC1782" i="1" s="1"/>
  <c r="AC1783" i="1" s="1"/>
  <c r="AC1784" i="1" s="1"/>
  <c r="AC1785" i="1" s="1"/>
  <c r="AC1786" i="1" s="1"/>
  <c r="AC1787" i="1" s="1"/>
  <c r="AC1788" i="1" s="1"/>
  <c r="AC1789" i="1" s="1"/>
  <c r="AC1790" i="1" s="1"/>
  <c r="AC1791" i="1" s="1"/>
  <c r="AC1792" i="1" s="1"/>
  <c r="AC1793" i="1" s="1"/>
  <c r="AC1794" i="1" s="1"/>
  <c r="AC1795" i="1" s="1"/>
  <c r="AC1796" i="1" s="1"/>
  <c r="AC1797" i="1" s="1"/>
  <c r="AC1798" i="1" s="1"/>
  <c r="AB1778" i="1"/>
  <c r="AB1779" i="1" s="1"/>
  <c r="AB1780" i="1" s="1"/>
  <c r="AB1781" i="1" s="1"/>
  <c r="AB1782" i="1" s="1"/>
  <c r="AB1783" i="1" s="1"/>
  <c r="AB1784" i="1" s="1"/>
  <c r="AB1785" i="1" s="1"/>
  <c r="AB1786" i="1" s="1"/>
  <c r="AB1787" i="1" s="1"/>
  <c r="AB1788" i="1" s="1"/>
  <c r="AB1789" i="1" s="1"/>
  <c r="AB1790" i="1" s="1"/>
  <c r="AB1791" i="1" s="1"/>
  <c r="AB1792" i="1" s="1"/>
  <c r="AB1793" i="1" s="1"/>
  <c r="AB1794" i="1" s="1"/>
  <c r="AB1795" i="1" s="1"/>
  <c r="AB1796" i="1" s="1"/>
  <c r="AB1797" i="1" s="1"/>
  <c r="AB1798" i="1" s="1"/>
  <c r="AA1778" i="1"/>
  <c r="AA1779" i="1" s="1"/>
  <c r="AA1780" i="1" s="1"/>
  <c r="AA1781" i="1" s="1"/>
  <c r="AA1782" i="1" s="1"/>
  <c r="AA1783" i="1" s="1"/>
  <c r="AA1784" i="1" s="1"/>
  <c r="AA1785" i="1" s="1"/>
  <c r="AA1786" i="1" s="1"/>
  <c r="T1778" i="1"/>
  <c r="T1779" i="1" s="1"/>
  <c r="T1780" i="1" s="1"/>
  <c r="T1781" i="1" s="1"/>
  <c r="T1782" i="1" s="1"/>
  <c r="T1783" i="1" s="1"/>
  <c r="T1784" i="1" s="1"/>
  <c r="T1785" i="1" s="1"/>
  <c r="T1786" i="1" s="1"/>
  <c r="T1787" i="1" s="1"/>
  <c r="T1788" i="1" s="1"/>
  <c r="T1789" i="1" s="1"/>
  <c r="T1790" i="1" s="1"/>
  <c r="T1791" i="1" s="1"/>
  <c r="T1792" i="1" s="1"/>
  <c r="T1793" i="1" s="1"/>
  <c r="T1794" i="1" s="1"/>
  <c r="T1795" i="1" s="1"/>
  <c r="T1796" i="1" s="1"/>
  <c r="T1797" i="1" s="1"/>
  <c r="T1798" i="1" s="1"/>
  <c r="AB1774" i="1"/>
  <c r="AB1775" i="1" s="1"/>
  <c r="AB1776" i="1" s="1"/>
  <c r="AD1770" i="1"/>
  <c r="AD1771" i="1" s="1"/>
  <c r="AD1772" i="1" s="1"/>
  <c r="AD1773" i="1" s="1"/>
  <c r="AD1774" i="1" s="1"/>
  <c r="AD1775" i="1" s="1"/>
  <c r="AD1776" i="1" s="1"/>
  <c r="AC1765" i="1"/>
  <c r="AC1766" i="1" s="1"/>
  <c r="AC1767" i="1" s="1"/>
  <c r="AC1768" i="1" s="1"/>
  <c r="AC1769" i="1" s="1"/>
  <c r="AC1770" i="1" s="1"/>
  <c r="AC1771" i="1" s="1"/>
  <c r="AC1772" i="1" s="1"/>
  <c r="AC1773" i="1" s="1"/>
  <c r="AC1774" i="1" s="1"/>
  <c r="AC1775" i="1" s="1"/>
  <c r="AC1776" i="1" s="1"/>
  <c r="AB1765" i="1"/>
  <c r="AB1766" i="1" s="1"/>
  <c r="AB1767" i="1" s="1"/>
  <c r="AB1768" i="1" s="1"/>
  <c r="AB1769" i="1" s="1"/>
  <c r="AB1770" i="1" s="1"/>
  <c r="AB1771" i="1" s="1"/>
  <c r="AB1772" i="1" s="1"/>
  <c r="AB1773" i="1" s="1"/>
  <c r="AA1765" i="1"/>
  <c r="AA1766" i="1" s="1"/>
  <c r="AA1767" i="1" s="1"/>
  <c r="AA1768" i="1" s="1"/>
  <c r="AA1769" i="1" s="1"/>
  <c r="AA1770" i="1" s="1"/>
  <c r="AA1771" i="1" s="1"/>
  <c r="AA1772" i="1" s="1"/>
  <c r="AA1773" i="1" s="1"/>
  <c r="AA1774" i="1" s="1"/>
  <c r="AA1775" i="1" s="1"/>
  <c r="AA1776" i="1" s="1"/>
  <c r="AE1763" i="1"/>
  <c r="AE1764" i="1" s="1"/>
  <c r="AE1765" i="1" s="1"/>
  <c r="AE1766" i="1" s="1"/>
  <c r="AE1767" i="1" s="1"/>
  <c r="AE1768" i="1" s="1"/>
  <c r="AE1769" i="1" s="1"/>
  <c r="AE1770" i="1" s="1"/>
  <c r="AE1771" i="1" s="1"/>
  <c r="AE1772" i="1" s="1"/>
  <c r="AE1773" i="1" s="1"/>
  <c r="AE1774" i="1" s="1"/>
  <c r="AE1775" i="1" s="1"/>
  <c r="AE1776" i="1" s="1"/>
  <c r="AD1763" i="1"/>
  <c r="AD1764" i="1" s="1"/>
  <c r="AD1765" i="1" s="1"/>
  <c r="AD1766" i="1" s="1"/>
  <c r="AD1767" i="1" s="1"/>
  <c r="AD1768" i="1" s="1"/>
  <c r="AD1769" i="1" s="1"/>
  <c r="AC1763" i="1"/>
  <c r="AC1764" i="1" s="1"/>
  <c r="AF1762" i="1"/>
  <c r="AF1763" i="1" s="1"/>
  <c r="AF1764" i="1" s="1"/>
  <c r="AF1765" i="1" s="1"/>
  <c r="AF1766" i="1" s="1"/>
  <c r="AF1767" i="1" s="1"/>
  <c r="AF1768" i="1" s="1"/>
  <c r="AF1769" i="1" s="1"/>
  <c r="AF1770" i="1" s="1"/>
  <c r="AF1771" i="1" s="1"/>
  <c r="AF1772" i="1" s="1"/>
  <c r="AF1773" i="1" s="1"/>
  <c r="AF1774" i="1" s="1"/>
  <c r="AF1775" i="1" s="1"/>
  <c r="AF1776" i="1" s="1"/>
  <c r="AE1762" i="1"/>
  <c r="AC1762" i="1"/>
  <c r="AA1762" i="1"/>
  <c r="AA1763" i="1" s="1"/>
  <c r="AA1764" i="1" s="1"/>
  <c r="T1762" i="1"/>
  <c r="T1763" i="1" s="1"/>
  <c r="T1764" i="1" s="1"/>
  <c r="T1765" i="1" s="1"/>
  <c r="T1766" i="1" s="1"/>
  <c r="T1767" i="1" s="1"/>
  <c r="T1768" i="1" s="1"/>
  <c r="T1769" i="1" s="1"/>
  <c r="T1770" i="1" s="1"/>
  <c r="T1771" i="1" s="1"/>
  <c r="T1772" i="1" s="1"/>
  <c r="T1773" i="1" s="1"/>
  <c r="T1774" i="1" s="1"/>
  <c r="T1775" i="1" s="1"/>
  <c r="T1776" i="1" s="1"/>
  <c r="AG1761" i="1"/>
  <c r="AG1762" i="1" s="1"/>
  <c r="AG1763" i="1" s="1"/>
  <c r="AG1764" i="1" s="1"/>
  <c r="AG1765" i="1" s="1"/>
  <c r="AG1766" i="1" s="1"/>
  <c r="AG1767" i="1" s="1"/>
  <c r="AG1768" i="1" s="1"/>
  <c r="AG1769" i="1" s="1"/>
  <c r="AG1770" i="1" s="1"/>
  <c r="AG1771" i="1" s="1"/>
  <c r="AG1772" i="1" s="1"/>
  <c r="AG1773" i="1" s="1"/>
  <c r="AG1774" i="1" s="1"/>
  <c r="AG1775" i="1" s="1"/>
  <c r="AG1776" i="1" s="1"/>
  <c r="AF1761" i="1"/>
  <c r="AE1761" i="1"/>
  <c r="AD1761" i="1"/>
  <c r="AD1762" i="1" s="1"/>
  <c r="AC1761" i="1"/>
  <c r="AB1761" i="1"/>
  <c r="AB1762" i="1" s="1"/>
  <c r="AB1763" i="1" s="1"/>
  <c r="AB1764" i="1" s="1"/>
  <c r="AA1761" i="1"/>
  <c r="T1761" i="1"/>
  <c r="S1761" i="1"/>
  <c r="S1762" i="1" s="1"/>
  <c r="S1763" i="1" s="1"/>
  <c r="S1764" i="1" s="1"/>
  <c r="S1765" i="1" s="1"/>
  <c r="S1766" i="1" s="1"/>
  <c r="S1767" i="1" s="1"/>
  <c r="S1768" i="1" s="1"/>
  <c r="S1769" i="1" s="1"/>
  <c r="S1770" i="1" s="1"/>
  <c r="S1771" i="1" s="1"/>
  <c r="S1772" i="1" s="1"/>
  <c r="S1773" i="1" s="1"/>
  <c r="S1774" i="1" s="1"/>
  <c r="S1775" i="1" s="1"/>
  <c r="S1776" i="1" s="1"/>
  <c r="S1777" i="1" s="1"/>
  <c r="S1778" i="1" s="1"/>
  <c r="S1779" i="1" s="1"/>
  <c r="S1780" i="1" s="1"/>
  <c r="S1781" i="1" s="1"/>
  <c r="S1782" i="1" s="1"/>
  <c r="S1783" i="1" s="1"/>
  <c r="S1784" i="1" s="1"/>
  <c r="S1785" i="1" s="1"/>
  <c r="S1786" i="1" s="1"/>
  <c r="S1787" i="1" s="1"/>
  <c r="S1788" i="1" s="1"/>
  <c r="S1789" i="1" s="1"/>
  <c r="AA1743" i="1"/>
  <c r="AA1744" i="1" s="1"/>
  <c r="AA1745" i="1" s="1"/>
  <c r="AA1746" i="1" s="1"/>
  <c r="AA1747" i="1" s="1"/>
  <c r="AA1748" i="1" s="1"/>
  <c r="AA1749" i="1" s="1"/>
  <c r="AA1750" i="1" s="1"/>
  <c r="AA1751" i="1" s="1"/>
  <c r="AA1752" i="1" s="1"/>
  <c r="AA1753" i="1" s="1"/>
  <c r="AA1754" i="1" s="1"/>
  <c r="AA1755" i="1" s="1"/>
  <c r="AA1756" i="1" s="1"/>
  <c r="AA1757" i="1" s="1"/>
  <c r="AA1758" i="1" s="1"/>
  <c r="AA1759" i="1" s="1"/>
  <c r="T1743" i="1"/>
  <c r="T1744" i="1" s="1"/>
  <c r="T1745" i="1" s="1"/>
  <c r="T1746" i="1" s="1"/>
  <c r="T1747" i="1" s="1"/>
  <c r="T1748" i="1" s="1"/>
  <c r="T1749" i="1" s="1"/>
  <c r="T1750" i="1" s="1"/>
  <c r="T1751" i="1" s="1"/>
  <c r="T1752" i="1" s="1"/>
  <c r="T1753" i="1" s="1"/>
  <c r="T1754" i="1" s="1"/>
  <c r="T1755" i="1" s="1"/>
  <c r="T1756" i="1" s="1"/>
  <c r="T1757" i="1" s="1"/>
  <c r="T1758" i="1" s="1"/>
  <c r="T1759" i="1" s="1"/>
  <c r="AE1742" i="1"/>
  <c r="AE1743" i="1" s="1"/>
  <c r="AE1744" i="1" s="1"/>
  <c r="AE1745" i="1" s="1"/>
  <c r="AE1746" i="1" s="1"/>
  <c r="AE1747" i="1" s="1"/>
  <c r="AE1748" i="1" s="1"/>
  <c r="AE1749" i="1" s="1"/>
  <c r="AE1750" i="1" s="1"/>
  <c r="AE1751" i="1" s="1"/>
  <c r="AE1752" i="1" s="1"/>
  <c r="AE1753" i="1" s="1"/>
  <c r="AE1754" i="1" s="1"/>
  <c r="AE1755" i="1" s="1"/>
  <c r="AE1756" i="1" s="1"/>
  <c r="AE1757" i="1" s="1"/>
  <c r="AE1758" i="1" s="1"/>
  <c r="AE1759" i="1" s="1"/>
  <c r="AG1739" i="1"/>
  <c r="AG1740" i="1" s="1"/>
  <c r="AG1741" i="1" s="1"/>
  <c r="AG1742" i="1" s="1"/>
  <c r="AG1743" i="1" s="1"/>
  <c r="AG1744" i="1" s="1"/>
  <c r="AG1745" i="1" s="1"/>
  <c r="AG1746" i="1" s="1"/>
  <c r="AG1747" i="1" s="1"/>
  <c r="AG1748" i="1" s="1"/>
  <c r="AG1749" i="1" s="1"/>
  <c r="AG1750" i="1" s="1"/>
  <c r="AG1751" i="1" s="1"/>
  <c r="AG1752" i="1" s="1"/>
  <c r="AG1753" i="1" s="1"/>
  <c r="AG1754" i="1" s="1"/>
  <c r="AG1755" i="1" s="1"/>
  <c r="AG1756" i="1" s="1"/>
  <c r="AG1757" i="1" s="1"/>
  <c r="AG1758" i="1" s="1"/>
  <c r="AG1759" i="1" s="1"/>
  <c r="AE1737" i="1"/>
  <c r="AE1738" i="1" s="1"/>
  <c r="AE1739" i="1" s="1"/>
  <c r="AE1740" i="1" s="1"/>
  <c r="AE1741" i="1" s="1"/>
  <c r="AC1737" i="1"/>
  <c r="AC1738" i="1" s="1"/>
  <c r="AC1739" i="1" s="1"/>
  <c r="AC1740" i="1" s="1"/>
  <c r="AC1741" i="1" s="1"/>
  <c r="AC1742" i="1" s="1"/>
  <c r="AC1743" i="1" s="1"/>
  <c r="AC1744" i="1" s="1"/>
  <c r="AC1745" i="1" s="1"/>
  <c r="AC1746" i="1" s="1"/>
  <c r="AC1747" i="1" s="1"/>
  <c r="AC1748" i="1" s="1"/>
  <c r="AC1749" i="1" s="1"/>
  <c r="AC1750" i="1" s="1"/>
  <c r="AC1751" i="1" s="1"/>
  <c r="AC1752" i="1" s="1"/>
  <c r="AC1753" i="1" s="1"/>
  <c r="AC1754" i="1" s="1"/>
  <c r="AC1755" i="1" s="1"/>
  <c r="AC1756" i="1" s="1"/>
  <c r="AC1757" i="1" s="1"/>
  <c r="AC1758" i="1" s="1"/>
  <c r="AC1759" i="1" s="1"/>
  <c r="AA1737" i="1"/>
  <c r="AA1738" i="1" s="1"/>
  <c r="AA1739" i="1" s="1"/>
  <c r="AA1740" i="1" s="1"/>
  <c r="AA1741" i="1" s="1"/>
  <c r="AA1742" i="1" s="1"/>
  <c r="AG1736" i="1"/>
  <c r="AG1737" i="1" s="1"/>
  <c r="AG1738" i="1" s="1"/>
  <c r="AF1736" i="1"/>
  <c r="AF1737" i="1" s="1"/>
  <c r="AF1738" i="1" s="1"/>
  <c r="AF1739" i="1" s="1"/>
  <c r="AF1740" i="1" s="1"/>
  <c r="AF1741" i="1" s="1"/>
  <c r="AF1742" i="1" s="1"/>
  <c r="AF1743" i="1" s="1"/>
  <c r="AF1744" i="1" s="1"/>
  <c r="AF1745" i="1" s="1"/>
  <c r="AF1746" i="1" s="1"/>
  <c r="AF1747" i="1" s="1"/>
  <c r="AF1748" i="1" s="1"/>
  <c r="AF1749" i="1" s="1"/>
  <c r="AF1750" i="1" s="1"/>
  <c r="AF1751" i="1" s="1"/>
  <c r="AF1752" i="1" s="1"/>
  <c r="AF1753" i="1" s="1"/>
  <c r="AF1754" i="1" s="1"/>
  <c r="AF1755" i="1" s="1"/>
  <c r="AF1756" i="1" s="1"/>
  <c r="AF1757" i="1" s="1"/>
  <c r="AF1758" i="1" s="1"/>
  <c r="AF1759" i="1" s="1"/>
  <c r="AE1736" i="1"/>
  <c r="AD1736" i="1"/>
  <c r="AD1737" i="1" s="1"/>
  <c r="AD1738" i="1" s="1"/>
  <c r="AD1739" i="1" s="1"/>
  <c r="AD1740" i="1" s="1"/>
  <c r="AD1741" i="1" s="1"/>
  <c r="AD1742" i="1" s="1"/>
  <c r="AD1743" i="1" s="1"/>
  <c r="AD1744" i="1" s="1"/>
  <c r="AD1745" i="1" s="1"/>
  <c r="AD1746" i="1" s="1"/>
  <c r="AD1747" i="1" s="1"/>
  <c r="AD1748" i="1" s="1"/>
  <c r="AD1749" i="1" s="1"/>
  <c r="AD1750" i="1" s="1"/>
  <c r="AD1751" i="1" s="1"/>
  <c r="AD1752" i="1" s="1"/>
  <c r="AD1753" i="1" s="1"/>
  <c r="AD1754" i="1" s="1"/>
  <c r="AD1755" i="1" s="1"/>
  <c r="AD1756" i="1" s="1"/>
  <c r="AD1757" i="1" s="1"/>
  <c r="AD1758" i="1" s="1"/>
  <c r="AD1759" i="1" s="1"/>
  <c r="AC1736" i="1"/>
  <c r="AB1736" i="1"/>
  <c r="AB1737" i="1" s="1"/>
  <c r="AB1738" i="1" s="1"/>
  <c r="AB1739" i="1" s="1"/>
  <c r="AB1740" i="1" s="1"/>
  <c r="AB1741" i="1" s="1"/>
  <c r="AB1742" i="1" s="1"/>
  <c r="AB1743" i="1" s="1"/>
  <c r="AB1744" i="1" s="1"/>
  <c r="AB1745" i="1" s="1"/>
  <c r="AB1746" i="1" s="1"/>
  <c r="AB1747" i="1" s="1"/>
  <c r="AB1748" i="1" s="1"/>
  <c r="AB1749" i="1" s="1"/>
  <c r="AB1750" i="1" s="1"/>
  <c r="AB1751" i="1" s="1"/>
  <c r="AB1752" i="1" s="1"/>
  <c r="AB1753" i="1" s="1"/>
  <c r="AB1754" i="1" s="1"/>
  <c r="AB1755" i="1" s="1"/>
  <c r="AB1756" i="1" s="1"/>
  <c r="AB1757" i="1" s="1"/>
  <c r="AB1758" i="1" s="1"/>
  <c r="AB1759" i="1" s="1"/>
  <c r="AA1736" i="1"/>
  <c r="T1736" i="1"/>
  <c r="T1737" i="1" s="1"/>
  <c r="T1738" i="1" s="1"/>
  <c r="T1739" i="1" s="1"/>
  <c r="T1740" i="1" s="1"/>
  <c r="T1741" i="1" s="1"/>
  <c r="T1742" i="1" s="1"/>
  <c r="AF1728" i="1"/>
  <c r="AF1729" i="1" s="1"/>
  <c r="AF1730" i="1" s="1"/>
  <c r="AF1731" i="1" s="1"/>
  <c r="AF1732" i="1" s="1"/>
  <c r="AF1733" i="1" s="1"/>
  <c r="AF1734" i="1" s="1"/>
  <c r="AG1726" i="1"/>
  <c r="AG1727" i="1" s="1"/>
  <c r="AG1728" i="1" s="1"/>
  <c r="AG1729" i="1" s="1"/>
  <c r="AG1730" i="1" s="1"/>
  <c r="AG1731" i="1" s="1"/>
  <c r="AG1732" i="1" s="1"/>
  <c r="AG1733" i="1" s="1"/>
  <c r="AG1734" i="1" s="1"/>
  <c r="AG1725" i="1"/>
  <c r="AE1725" i="1"/>
  <c r="AE1726" i="1" s="1"/>
  <c r="AE1727" i="1" s="1"/>
  <c r="AE1728" i="1" s="1"/>
  <c r="AE1729" i="1" s="1"/>
  <c r="AE1730" i="1" s="1"/>
  <c r="AE1731" i="1" s="1"/>
  <c r="AE1732" i="1" s="1"/>
  <c r="AE1733" i="1" s="1"/>
  <c r="AE1734" i="1" s="1"/>
  <c r="AD1725" i="1"/>
  <c r="AD1726" i="1" s="1"/>
  <c r="AD1727" i="1" s="1"/>
  <c r="AD1728" i="1" s="1"/>
  <c r="AD1729" i="1" s="1"/>
  <c r="AD1730" i="1" s="1"/>
  <c r="AD1731" i="1" s="1"/>
  <c r="AD1732" i="1" s="1"/>
  <c r="AD1733" i="1" s="1"/>
  <c r="AD1734" i="1" s="1"/>
  <c r="AC1725" i="1"/>
  <c r="AC1726" i="1" s="1"/>
  <c r="AC1727" i="1" s="1"/>
  <c r="AC1728" i="1" s="1"/>
  <c r="AC1729" i="1" s="1"/>
  <c r="AC1730" i="1" s="1"/>
  <c r="AC1731" i="1" s="1"/>
  <c r="AC1732" i="1" s="1"/>
  <c r="AC1733" i="1" s="1"/>
  <c r="AC1734" i="1" s="1"/>
  <c r="AG1724" i="1"/>
  <c r="AF1724" i="1"/>
  <c r="AF1725" i="1" s="1"/>
  <c r="AF1726" i="1" s="1"/>
  <c r="AF1727" i="1" s="1"/>
  <c r="AE1724" i="1"/>
  <c r="AD1724" i="1"/>
  <c r="AC1724" i="1"/>
  <c r="AB1724" i="1"/>
  <c r="AB1725" i="1" s="1"/>
  <c r="AB1726" i="1" s="1"/>
  <c r="AB1727" i="1" s="1"/>
  <c r="AB1728" i="1" s="1"/>
  <c r="AB1729" i="1" s="1"/>
  <c r="AB1730" i="1" s="1"/>
  <c r="AB1731" i="1" s="1"/>
  <c r="AB1732" i="1" s="1"/>
  <c r="AB1733" i="1" s="1"/>
  <c r="AB1734" i="1" s="1"/>
  <c r="AA1724" i="1"/>
  <c r="AA1725" i="1" s="1"/>
  <c r="AA1726" i="1" s="1"/>
  <c r="AA1727" i="1" s="1"/>
  <c r="AA1728" i="1" s="1"/>
  <c r="AA1729" i="1" s="1"/>
  <c r="AA1730" i="1" s="1"/>
  <c r="AA1731" i="1" s="1"/>
  <c r="AA1732" i="1" s="1"/>
  <c r="AA1733" i="1" s="1"/>
  <c r="AA1734" i="1" s="1"/>
  <c r="T1724" i="1"/>
  <c r="T1725" i="1" s="1"/>
  <c r="T1726" i="1" s="1"/>
  <c r="T1727" i="1" s="1"/>
  <c r="T1728" i="1" s="1"/>
  <c r="T1729" i="1" s="1"/>
  <c r="T1730" i="1" s="1"/>
  <c r="T1731" i="1" s="1"/>
  <c r="T1732" i="1" s="1"/>
  <c r="T1733" i="1" s="1"/>
  <c r="T1734" i="1" s="1"/>
  <c r="AA1718" i="1"/>
  <c r="AA1719" i="1" s="1"/>
  <c r="AA1720" i="1" s="1"/>
  <c r="AA1721" i="1" s="1"/>
  <c r="AA1722" i="1" s="1"/>
  <c r="AC1705" i="1"/>
  <c r="AC1706" i="1" s="1"/>
  <c r="AC1707" i="1" s="1"/>
  <c r="AC1708" i="1" s="1"/>
  <c r="AC1709" i="1" s="1"/>
  <c r="AC1710" i="1" s="1"/>
  <c r="AC1711" i="1" s="1"/>
  <c r="AC1712" i="1" s="1"/>
  <c r="AC1713" i="1" s="1"/>
  <c r="AC1714" i="1" s="1"/>
  <c r="AC1715" i="1" s="1"/>
  <c r="AC1716" i="1" s="1"/>
  <c r="AC1717" i="1" s="1"/>
  <c r="AC1718" i="1" s="1"/>
  <c r="AC1719" i="1" s="1"/>
  <c r="AC1720" i="1" s="1"/>
  <c r="AC1721" i="1" s="1"/>
  <c r="AC1722" i="1" s="1"/>
  <c r="AB1705" i="1"/>
  <c r="AB1706" i="1" s="1"/>
  <c r="AB1707" i="1" s="1"/>
  <c r="AB1708" i="1" s="1"/>
  <c r="AB1709" i="1" s="1"/>
  <c r="AB1710" i="1" s="1"/>
  <c r="AB1711" i="1" s="1"/>
  <c r="AB1712" i="1" s="1"/>
  <c r="AB1713" i="1" s="1"/>
  <c r="AB1714" i="1" s="1"/>
  <c r="AB1715" i="1" s="1"/>
  <c r="AB1716" i="1" s="1"/>
  <c r="AB1717" i="1" s="1"/>
  <c r="AB1718" i="1" s="1"/>
  <c r="AB1719" i="1" s="1"/>
  <c r="AB1720" i="1" s="1"/>
  <c r="AB1721" i="1" s="1"/>
  <c r="AB1722" i="1" s="1"/>
  <c r="AB1704" i="1"/>
  <c r="AG1702" i="1"/>
  <c r="AG1703" i="1" s="1"/>
  <c r="AG1704" i="1" s="1"/>
  <c r="AG1705" i="1" s="1"/>
  <c r="AG1706" i="1" s="1"/>
  <c r="AG1707" i="1" s="1"/>
  <c r="AG1708" i="1" s="1"/>
  <c r="AG1709" i="1" s="1"/>
  <c r="AG1710" i="1" s="1"/>
  <c r="AG1711" i="1" s="1"/>
  <c r="AG1712" i="1" s="1"/>
  <c r="AG1713" i="1" s="1"/>
  <c r="AG1714" i="1" s="1"/>
  <c r="AG1715" i="1" s="1"/>
  <c r="AG1716" i="1" s="1"/>
  <c r="AG1717" i="1" s="1"/>
  <c r="AG1718" i="1" s="1"/>
  <c r="AG1719" i="1" s="1"/>
  <c r="AG1720" i="1" s="1"/>
  <c r="AG1721" i="1" s="1"/>
  <c r="AG1722" i="1" s="1"/>
  <c r="AF1702" i="1"/>
  <c r="AF1703" i="1" s="1"/>
  <c r="AF1704" i="1" s="1"/>
  <c r="AF1705" i="1" s="1"/>
  <c r="AF1706" i="1" s="1"/>
  <c r="AF1707" i="1" s="1"/>
  <c r="AF1708" i="1" s="1"/>
  <c r="AF1709" i="1" s="1"/>
  <c r="AF1710" i="1" s="1"/>
  <c r="AF1711" i="1" s="1"/>
  <c r="AF1712" i="1" s="1"/>
  <c r="AF1713" i="1" s="1"/>
  <c r="AF1714" i="1" s="1"/>
  <c r="AF1715" i="1" s="1"/>
  <c r="AF1716" i="1" s="1"/>
  <c r="AF1717" i="1" s="1"/>
  <c r="AF1718" i="1" s="1"/>
  <c r="AF1719" i="1" s="1"/>
  <c r="AF1720" i="1" s="1"/>
  <c r="AF1721" i="1" s="1"/>
  <c r="AF1722" i="1" s="1"/>
  <c r="T1702" i="1"/>
  <c r="T1703" i="1" s="1"/>
  <c r="T1704" i="1" s="1"/>
  <c r="T1705" i="1" s="1"/>
  <c r="T1706" i="1" s="1"/>
  <c r="T1707" i="1" s="1"/>
  <c r="T1708" i="1" s="1"/>
  <c r="T1709" i="1" s="1"/>
  <c r="T1710" i="1" s="1"/>
  <c r="T1711" i="1" s="1"/>
  <c r="T1712" i="1" s="1"/>
  <c r="T1713" i="1" s="1"/>
  <c r="T1714" i="1" s="1"/>
  <c r="T1715" i="1" s="1"/>
  <c r="T1716" i="1" s="1"/>
  <c r="T1717" i="1" s="1"/>
  <c r="T1718" i="1" s="1"/>
  <c r="T1719" i="1" s="1"/>
  <c r="T1720" i="1" s="1"/>
  <c r="T1721" i="1" s="1"/>
  <c r="T1722" i="1" s="1"/>
  <c r="AG1701" i="1"/>
  <c r="AF1701" i="1"/>
  <c r="AE1701" i="1"/>
  <c r="AE1702" i="1" s="1"/>
  <c r="AE1703" i="1" s="1"/>
  <c r="AE1704" i="1" s="1"/>
  <c r="AE1705" i="1" s="1"/>
  <c r="AE1706" i="1" s="1"/>
  <c r="AE1707" i="1" s="1"/>
  <c r="AE1708" i="1" s="1"/>
  <c r="AE1709" i="1" s="1"/>
  <c r="AE1710" i="1" s="1"/>
  <c r="AE1711" i="1" s="1"/>
  <c r="AE1712" i="1" s="1"/>
  <c r="AE1713" i="1" s="1"/>
  <c r="AE1714" i="1" s="1"/>
  <c r="AE1715" i="1" s="1"/>
  <c r="AE1716" i="1" s="1"/>
  <c r="AE1717" i="1" s="1"/>
  <c r="AE1718" i="1" s="1"/>
  <c r="AE1719" i="1" s="1"/>
  <c r="AE1720" i="1" s="1"/>
  <c r="AE1721" i="1" s="1"/>
  <c r="AE1722" i="1" s="1"/>
  <c r="AD1701" i="1"/>
  <c r="AD1702" i="1" s="1"/>
  <c r="AD1703" i="1" s="1"/>
  <c r="AD1704" i="1" s="1"/>
  <c r="AD1705" i="1" s="1"/>
  <c r="AD1706" i="1" s="1"/>
  <c r="AD1707" i="1" s="1"/>
  <c r="AD1708" i="1" s="1"/>
  <c r="AD1709" i="1" s="1"/>
  <c r="AD1710" i="1" s="1"/>
  <c r="AD1711" i="1" s="1"/>
  <c r="AD1712" i="1" s="1"/>
  <c r="AD1713" i="1" s="1"/>
  <c r="AD1714" i="1" s="1"/>
  <c r="AD1715" i="1" s="1"/>
  <c r="AD1716" i="1" s="1"/>
  <c r="AD1717" i="1" s="1"/>
  <c r="AD1718" i="1" s="1"/>
  <c r="AD1719" i="1" s="1"/>
  <c r="AD1720" i="1" s="1"/>
  <c r="AD1721" i="1" s="1"/>
  <c r="AD1722" i="1" s="1"/>
  <c r="AC1701" i="1"/>
  <c r="AC1702" i="1" s="1"/>
  <c r="AC1703" i="1" s="1"/>
  <c r="AC1704" i="1" s="1"/>
  <c r="AB1701" i="1"/>
  <c r="AB1702" i="1" s="1"/>
  <c r="AB1703" i="1" s="1"/>
  <c r="AA1701" i="1"/>
  <c r="AA1702" i="1" s="1"/>
  <c r="AA1703" i="1" s="1"/>
  <c r="AA1704" i="1" s="1"/>
  <c r="AA1705" i="1" s="1"/>
  <c r="AA1706" i="1" s="1"/>
  <c r="AA1707" i="1" s="1"/>
  <c r="AA1708" i="1" s="1"/>
  <c r="AA1709" i="1" s="1"/>
  <c r="AA1710" i="1" s="1"/>
  <c r="AA1711" i="1" s="1"/>
  <c r="AA1712" i="1" s="1"/>
  <c r="AA1713" i="1" s="1"/>
  <c r="AA1714" i="1" s="1"/>
  <c r="AA1715" i="1" s="1"/>
  <c r="AA1716" i="1" s="1"/>
  <c r="AA1717" i="1" s="1"/>
  <c r="T1701" i="1"/>
  <c r="AC1699" i="1"/>
  <c r="AB1699" i="1"/>
  <c r="S1698" i="1"/>
  <c r="S1699" i="1" s="1"/>
  <c r="S1700" i="1" s="1"/>
  <c r="S1701" i="1" s="1"/>
  <c r="S1702" i="1" s="1"/>
  <c r="S1703" i="1" s="1"/>
  <c r="S1704" i="1" s="1"/>
  <c r="S1705" i="1" s="1"/>
  <c r="S1706" i="1" s="1"/>
  <c r="S1707" i="1" s="1"/>
  <c r="S1708" i="1" s="1"/>
  <c r="S1709" i="1" s="1"/>
  <c r="S1710" i="1" s="1"/>
  <c r="S1711" i="1" s="1"/>
  <c r="S1712" i="1" s="1"/>
  <c r="S1713" i="1" s="1"/>
  <c r="S1714" i="1" s="1"/>
  <c r="S1715" i="1" s="1"/>
  <c r="S1716" i="1" s="1"/>
  <c r="S1717" i="1" s="1"/>
  <c r="S1718" i="1" s="1"/>
  <c r="S1719" i="1" s="1"/>
  <c r="S1720" i="1" s="1"/>
  <c r="S1721" i="1" s="1"/>
  <c r="S1722" i="1" s="1"/>
  <c r="S1723" i="1" s="1"/>
  <c r="S1724" i="1" s="1"/>
  <c r="S1725" i="1" s="1"/>
  <c r="S1726" i="1" s="1"/>
  <c r="S1727" i="1" s="1"/>
  <c r="S1728" i="1" s="1"/>
  <c r="S1729" i="1" s="1"/>
  <c r="S1730" i="1" s="1"/>
  <c r="S1731" i="1" s="1"/>
  <c r="S1732" i="1" s="1"/>
  <c r="S1733" i="1" s="1"/>
  <c r="S1734" i="1" s="1"/>
  <c r="S1735" i="1" s="1"/>
  <c r="S1736" i="1" s="1"/>
  <c r="S1737" i="1" s="1"/>
  <c r="S1738" i="1" s="1"/>
  <c r="S1739" i="1" s="1"/>
  <c r="S1740" i="1" s="1"/>
  <c r="S1741" i="1" s="1"/>
  <c r="S1742" i="1" s="1"/>
  <c r="S1743" i="1" s="1"/>
  <c r="S1744" i="1" s="1"/>
  <c r="S1745" i="1" s="1"/>
  <c r="S1746" i="1" s="1"/>
  <c r="S1747" i="1" s="1"/>
  <c r="S1748" i="1" s="1"/>
  <c r="S1749" i="1" s="1"/>
  <c r="S1750" i="1" s="1"/>
  <c r="S1751" i="1" s="1"/>
  <c r="S1752" i="1" s="1"/>
  <c r="S1753" i="1" s="1"/>
  <c r="S1754" i="1" s="1"/>
  <c r="S1755" i="1" s="1"/>
  <c r="S1756" i="1" s="1"/>
  <c r="S1757" i="1" s="1"/>
  <c r="S1758" i="1" s="1"/>
  <c r="S1759" i="1" s="1"/>
  <c r="AG1697" i="1"/>
  <c r="AG1698" i="1" s="1"/>
  <c r="AG1699" i="1" s="1"/>
  <c r="AF1697" i="1"/>
  <c r="AF1698" i="1" s="1"/>
  <c r="AF1699" i="1" s="1"/>
  <c r="AA1697" i="1"/>
  <c r="AA1698" i="1" s="1"/>
  <c r="AA1699" i="1" s="1"/>
  <c r="S1697" i="1"/>
  <c r="AG1696" i="1"/>
  <c r="AF1696" i="1"/>
  <c r="AE1696" i="1"/>
  <c r="AE1697" i="1" s="1"/>
  <c r="AE1698" i="1" s="1"/>
  <c r="AE1699" i="1" s="1"/>
  <c r="AD1696" i="1"/>
  <c r="AD1697" i="1" s="1"/>
  <c r="AD1698" i="1" s="1"/>
  <c r="AD1699" i="1" s="1"/>
  <c r="AC1696" i="1"/>
  <c r="AC1697" i="1" s="1"/>
  <c r="AC1698" i="1" s="1"/>
  <c r="AB1696" i="1"/>
  <c r="AB1697" i="1" s="1"/>
  <c r="AB1698" i="1" s="1"/>
  <c r="AA1696" i="1"/>
  <c r="T1696" i="1"/>
  <c r="T1697" i="1" s="1"/>
  <c r="T1698" i="1" s="1"/>
  <c r="T1699" i="1" s="1"/>
  <c r="S1696" i="1"/>
  <c r="AC1683" i="1"/>
  <c r="AC1684" i="1" s="1"/>
  <c r="AC1685" i="1" s="1"/>
  <c r="AC1686" i="1" s="1"/>
  <c r="AC1687" i="1" s="1"/>
  <c r="AC1688" i="1" s="1"/>
  <c r="AC1689" i="1" s="1"/>
  <c r="AC1690" i="1" s="1"/>
  <c r="AC1691" i="1" s="1"/>
  <c r="AC1692" i="1" s="1"/>
  <c r="AC1693" i="1" s="1"/>
  <c r="AC1694" i="1" s="1"/>
  <c r="AA1680" i="1"/>
  <c r="AA1681" i="1" s="1"/>
  <c r="AA1682" i="1" s="1"/>
  <c r="AA1683" i="1" s="1"/>
  <c r="AA1684" i="1" s="1"/>
  <c r="AA1685" i="1" s="1"/>
  <c r="AA1686" i="1" s="1"/>
  <c r="AA1687" i="1" s="1"/>
  <c r="AA1688" i="1" s="1"/>
  <c r="AA1689" i="1" s="1"/>
  <c r="AA1690" i="1" s="1"/>
  <c r="AA1691" i="1" s="1"/>
  <c r="AA1692" i="1" s="1"/>
  <c r="AA1693" i="1" s="1"/>
  <c r="AA1694" i="1" s="1"/>
  <c r="T1678" i="1"/>
  <c r="T1679" i="1" s="1"/>
  <c r="T1680" i="1" s="1"/>
  <c r="T1681" i="1" s="1"/>
  <c r="T1682" i="1" s="1"/>
  <c r="T1683" i="1" s="1"/>
  <c r="T1684" i="1" s="1"/>
  <c r="T1685" i="1" s="1"/>
  <c r="T1686" i="1" s="1"/>
  <c r="T1687" i="1" s="1"/>
  <c r="T1688" i="1" s="1"/>
  <c r="T1689" i="1" s="1"/>
  <c r="T1690" i="1" s="1"/>
  <c r="T1691" i="1" s="1"/>
  <c r="T1692" i="1" s="1"/>
  <c r="T1693" i="1" s="1"/>
  <c r="T1694" i="1" s="1"/>
  <c r="AD1677" i="1"/>
  <c r="AD1678" i="1" s="1"/>
  <c r="AD1679" i="1" s="1"/>
  <c r="AD1680" i="1" s="1"/>
  <c r="AD1681" i="1" s="1"/>
  <c r="AD1682" i="1" s="1"/>
  <c r="AD1683" i="1" s="1"/>
  <c r="AD1684" i="1" s="1"/>
  <c r="AD1685" i="1" s="1"/>
  <c r="AD1686" i="1" s="1"/>
  <c r="AD1687" i="1" s="1"/>
  <c r="AD1688" i="1" s="1"/>
  <c r="AD1689" i="1" s="1"/>
  <c r="AD1690" i="1" s="1"/>
  <c r="AD1691" i="1" s="1"/>
  <c r="AD1692" i="1" s="1"/>
  <c r="AD1693" i="1" s="1"/>
  <c r="AD1694" i="1" s="1"/>
  <c r="AA1676" i="1"/>
  <c r="AA1677" i="1" s="1"/>
  <c r="AA1678" i="1" s="1"/>
  <c r="AA1679" i="1" s="1"/>
  <c r="AC1675" i="1"/>
  <c r="AC1676" i="1" s="1"/>
  <c r="AC1677" i="1" s="1"/>
  <c r="AC1678" i="1" s="1"/>
  <c r="AC1679" i="1" s="1"/>
  <c r="AC1680" i="1" s="1"/>
  <c r="AC1681" i="1" s="1"/>
  <c r="AC1682" i="1" s="1"/>
  <c r="AC1674" i="1"/>
  <c r="AA1674" i="1"/>
  <c r="AA1675" i="1" s="1"/>
  <c r="AD1673" i="1"/>
  <c r="AD1674" i="1" s="1"/>
  <c r="AD1675" i="1" s="1"/>
  <c r="AD1676" i="1" s="1"/>
  <c r="AB1673" i="1"/>
  <c r="AB1674" i="1" s="1"/>
  <c r="AB1675" i="1" s="1"/>
  <c r="AB1676" i="1" s="1"/>
  <c r="AB1677" i="1" s="1"/>
  <c r="AB1678" i="1" s="1"/>
  <c r="AB1679" i="1" s="1"/>
  <c r="AB1680" i="1" s="1"/>
  <c r="AB1681" i="1" s="1"/>
  <c r="AB1682" i="1" s="1"/>
  <c r="AB1683" i="1" s="1"/>
  <c r="AB1684" i="1" s="1"/>
  <c r="AB1685" i="1" s="1"/>
  <c r="AB1686" i="1" s="1"/>
  <c r="AB1687" i="1" s="1"/>
  <c r="AB1688" i="1" s="1"/>
  <c r="AB1689" i="1" s="1"/>
  <c r="AB1690" i="1" s="1"/>
  <c r="AB1691" i="1" s="1"/>
  <c r="AB1692" i="1" s="1"/>
  <c r="AB1693" i="1" s="1"/>
  <c r="AB1694" i="1" s="1"/>
  <c r="AA1673" i="1"/>
  <c r="T1673" i="1"/>
  <c r="T1674" i="1" s="1"/>
  <c r="T1675" i="1" s="1"/>
  <c r="T1676" i="1" s="1"/>
  <c r="T1677" i="1" s="1"/>
  <c r="AG1672" i="1"/>
  <c r="AG1673" i="1" s="1"/>
  <c r="AG1674" i="1" s="1"/>
  <c r="AG1675" i="1" s="1"/>
  <c r="AG1676" i="1" s="1"/>
  <c r="AG1677" i="1" s="1"/>
  <c r="AG1678" i="1" s="1"/>
  <c r="AG1679" i="1" s="1"/>
  <c r="AG1680" i="1" s="1"/>
  <c r="AG1681" i="1" s="1"/>
  <c r="AG1682" i="1" s="1"/>
  <c r="AG1683" i="1" s="1"/>
  <c r="AG1684" i="1" s="1"/>
  <c r="AG1685" i="1" s="1"/>
  <c r="AG1686" i="1" s="1"/>
  <c r="AG1687" i="1" s="1"/>
  <c r="AG1688" i="1" s="1"/>
  <c r="AG1689" i="1" s="1"/>
  <c r="AG1690" i="1" s="1"/>
  <c r="AG1691" i="1" s="1"/>
  <c r="AG1692" i="1" s="1"/>
  <c r="AG1693" i="1" s="1"/>
  <c r="AG1694" i="1" s="1"/>
  <c r="AF1672" i="1"/>
  <c r="AF1673" i="1" s="1"/>
  <c r="AF1674" i="1" s="1"/>
  <c r="AF1675" i="1" s="1"/>
  <c r="AF1676" i="1" s="1"/>
  <c r="AF1677" i="1" s="1"/>
  <c r="AF1678" i="1" s="1"/>
  <c r="AF1679" i="1" s="1"/>
  <c r="AF1680" i="1" s="1"/>
  <c r="AF1681" i="1" s="1"/>
  <c r="AF1682" i="1" s="1"/>
  <c r="AF1683" i="1" s="1"/>
  <c r="AF1684" i="1" s="1"/>
  <c r="AF1685" i="1" s="1"/>
  <c r="AF1686" i="1" s="1"/>
  <c r="AF1687" i="1" s="1"/>
  <c r="AF1688" i="1" s="1"/>
  <c r="AF1689" i="1" s="1"/>
  <c r="AF1690" i="1" s="1"/>
  <c r="AF1691" i="1" s="1"/>
  <c r="AF1692" i="1" s="1"/>
  <c r="AF1693" i="1" s="1"/>
  <c r="AF1694" i="1" s="1"/>
  <c r="AE1672" i="1"/>
  <c r="AE1673" i="1" s="1"/>
  <c r="AE1674" i="1" s="1"/>
  <c r="AE1675" i="1" s="1"/>
  <c r="AE1676" i="1" s="1"/>
  <c r="AE1677" i="1" s="1"/>
  <c r="AE1678" i="1" s="1"/>
  <c r="AE1679" i="1" s="1"/>
  <c r="AE1680" i="1" s="1"/>
  <c r="AE1681" i="1" s="1"/>
  <c r="AE1682" i="1" s="1"/>
  <c r="AE1683" i="1" s="1"/>
  <c r="AE1684" i="1" s="1"/>
  <c r="AE1685" i="1" s="1"/>
  <c r="AE1686" i="1" s="1"/>
  <c r="AE1687" i="1" s="1"/>
  <c r="AE1688" i="1" s="1"/>
  <c r="AE1689" i="1" s="1"/>
  <c r="AE1690" i="1" s="1"/>
  <c r="AE1691" i="1" s="1"/>
  <c r="AE1692" i="1" s="1"/>
  <c r="AE1693" i="1" s="1"/>
  <c r="AE1694" i="1" s="1"/>
  <c r="AD1672" i="1"/>
  <c r="AC1672" i="1"/>
  <c r="AC1673" i="1" s="1"/>
  <c r="AB1672" i="1"/>
  <c r="AA1672" i="1"/>
  <c r="T1672" i="1"/>
  <c r="AE1654" i="1"/>
  <c r="AE1655" i="1" s="1"/>
  <c r="AE1656" i="1" s="1"/>
  <c r="AE1657" i="1" s="1"/>
  <c r="AE1658" i="1" s="1"/>
  <c r="AE1659" i="1" s="1"/>
  <c r="AE1660" i="1" s="1"/>
  <c r="AE1661" i="1" s="1"/>
  <c r="AE1662" i="1" s="1"/>
  <c r="AE1663" i="1" s="1"/>
  <c r="AE1664" i="1" s="1"/>
  <c r="AE1665" i="1" s="1"/>
  <c r="AE1666" i="1" s="1"/>
  <c r="AE1667" i="1" s="1"/>
  <c r="AE1668" i="1" s="1"/>
  <c r="AE1669" i="1" s="1"/>
  <c r="AE1670" i="1" s="1"/>
  <c r="AF1645" i="1"/>
  <c r="AF1646" i="1" s="1"/>
  <c r="AF1647" i="1" s="1"/>
  <c r="AF1648" i="1" s="1"/>
  <c r="AF1649" i="1" s="1"/>
  <c r="AF1650" i="1" s="1"/>
  <c r="AF1651" i="1" s="1"/>
  <c r="AF1652" i="1" s="1"/>
  <c r="AF1653" i="1" s="1"/>
  <c r="AF1654" i="1" s="1"/>
  <c r="AF1655" i="1" s="1"/>
  <c r="AF1656" i="1" s="1"/>
  <c r="AF1657" i="1" s="1"/>
  <c r="AF1658" i="1" s="1"/>
  <c r="AF1659" i="1" s="1"/>
  <c r="AF1660" i="1" s="1"/>
  <c r="AF1661" i="1" s="1"/>
  <c r="AF1662" i="1" s="1"/>
  <c r="AF1663" i="1" s="1"/>
  <c r="AF1664" i="1" s="1"/>
  <c r="AF1665" i="1" s="1"/>
  <c r="AF1666" i="1" s="1"/>
  <c r="AF1667" i="1" s="1"/>
  <c r="AF1668" i="1" s="1"/>
  <c r="AF1669" i="1" s="1"/>
  <c r="AF1670" i="1" s="1"/>
  <c r="AE1645" i="1"/>
  <c r="AE1646" i="1" s="1"/>
  <c r="AE1647" i="1" s="1"/>
  <c r="AE1648" i="1" s="1"/>
  <c r="AE1649" i="1" s="1"/>
  <c r="AE1650" i="1" s="1"/>
  <c r="AE1651" i="1" s="1"/>
  <c r="AE1652" i="1" s="1"/>
  <c r="AE1653" i="1" s="1"/>
  <c r="AC1645" i="1"/>
  <c r="AC1646" i="1" s="1"/>
  <c r="AC1647" i="1" s="1"/>
  <c r="AC1648" i="1" s="1"/>
  <c r="AC1649" i="1" s="1"/>
  <c r="AC1650" i="1" s="1"/>
  <c r="AC1651" i="1" s="1"/>
  <c r="AC1652" i="1" s="1"/>
  <c r="AC1653" i="1" s="1"/>
  <c r="AC1654" i="1" s="1"/>
  <c r="AC1655" i="1" s="1"/>
  <c r="AC1656" i="1" s="1"/>
  <c r="AC1657" i="1" s="1"/>
  <c r="AC1658" i="1" s="1"/>
  <c r="AC1659" i="1" s="1"/>
  <c r="AC1660" i="1" s="1"/>
  <c r="AC1661" i="1" s="1"/>
  <c r="AC1662" i="1" s="1"/>
  <c r="AC1663" i="1" s="1"/>
  <c r="AC1664" i="1" s="1"/>
  <c r="AC1665" i="1" s="1"/>
  <c r="AC1666" i="1" s="1"/>
  <c r="AC1667" i="1" s="1"/>
  <c r="AC1668" i="1" s="1"/>
  <c r="AC1669" i="1" s="1"/>
  <c r="AC1670" i="1" s="1"/>
  <c r="AA1645" i="1"/>
  <c r="AA1646" i="1" s="1"/>
  <c r="AA1647" i="1" s="1"/>
  <c r="AA1648" i="1" s="1"/>
  <c r="AA1649" i="1" s="1"/>
  <c r="AA1650" i="1" s="1"/>
  <c r="AA1651" i="1" s="1"/>
  <c r="AA1652" i="1" s="1"/>
  <c r="AA1653" i="1" s="1"/>
  <c r="AA1654" i="1" s="1"/>
  <c r="AA1655" i="1" s="1"/>
  <c r="AA1656" i="1" s="1"/>
  <c r="AA1657" i="1" s="1"/>
  <c r="AA1658" i="1" s="1"/>
  <c r="AA1659" i="1" s="1"/>
  <c r="AA1660" i="1" s="1"/>
  <c r="AA1661" i="1" s="1"/>
  <c r="AA1662" i="1" s="1"/>
  <c r="AA1663" i="1" s="1"/>
  <c r="AA1664" i="1" s="1"/>
  <c r="AA1665" i="1" s="1"/>
  <c r="AA1666" i="1" s="1"/>
  <c r="AA1667" i="1" s="1"/>
  <c r="AA1668" i="1" s="1"/>
  <c r="AA1669" i="1" s="1"/>
  <c r="AA1670" i="1" s="1"/>
  <c r="AF1644" i="1"/>
  <c r="AE1644" i="1"/>
  <c r="AC1644" i="1"/>
  <c r="AA1644" i="1"/>
  <c r="T1644" i="1"/>
  <c r="T1645" i="1" s="1"/>
  <c r="T1646" i="1" s="1"/>
  <c r="T1647" i="1" s="1"/>
  <c r="T1648" i="1" s="1"/>
  <c r="T1649" i="1" s="1"/>
  <c r="T1650" i="1" s="1"/>
  <c r="T1651" i="1" s="1"/>
  <c r="T1652" i="1" s="1"/>
  <c r="T1653" i="1" s="1"/>
  <c r="T1654" i="1" s="1"/>
  <c r="T1655" i="1" s="1"/>
  <c r="T1656" i="1" s="1"/>
  <c r="T1657" i="1" s="1"/>
  <c r="T1658" i="1" s="1"/>
  <c r="T1659" i="1" s="1"/>
  <c r="T1660" i="1" s="1"/>
  <c r="T1661" i="1" s="1"/>
  <c r="T1662" i="1" s="1"/>
  <c r="T1663" i="1" s="1"/>
  <c r="T1664" i="1" s="1"/>
  <c r="T1665" i="1" s="1"/>
  <c r="T1666" i="1" s="1"/>
  <c r="T1667" i="1" s="1"/>
  <c r="T1668" i="1" s="1"/>
  <c r="T1669" i="1" s="1"/>
  <c r="T1670" i="1" s="1"/>
  <c r="AG1643" i="1"/>
  <c r="AG1644" i="1" s="1"/>
  <c r="AG1645" i="1" s="1"/>
  <c r="AG1646" i="1" s="1"/>
  <c r="AG1647" i="1" s="1"/>
  <c r="AG1648" i="1" s="1"/>
  <c r="AG1649" i="1" s="1"/>
  <c r="AG1650" i="1" s="1"/>
  <c r="AG1651" i="1" s="1"/>
  <c r="AG1652" i="1" s="1"/>
  <c r="AG1653" i="1" s="1"/>
  <c r="AG1654" i="1" s="1"/>
  <c r="AG1655" i="1" s="1"/>
  <c r="AG1656" i="1" s="1"/>
  <c r="AG1657" i="1" s="1"/>
  <c r="AG1658" i="1" s="1"/>
  <c r="AG1659" i="1" s="1"/>
  <c r="AG1660" i="1" s="1"/>
  <c r="AG1661" i="1" s="1"/>
  <c r="AG1662" i="1" s="1"/>
  <c r="AG1663" i="1" s="1"/>
  <c r="AG1664" i="1" s="1"/>
  <c r="AG1665" i="1" s="1"/>
  <c r="AG1666" i="1" s="1"/>
  <c r="AG1667" i="1" s="1"/>
  <c r="AG1668" i="1" s="1"/>
  <c r="AG1669" i="1" s="1"/>
  <c r="AG1670" i="1" s="1"/>
  <c r="AF1643" i="1"/>
  <c r="AE1643" i="1"/>
  <c r="AD1643" i="1"/>
  <c r="AD1644" i="1" s="1"/>
  <c r="AD1645" i="1" s="1"/>
  <c r="AD1646" i="1" s="1"/>
  <c r="AD1647" i="1" s="1"/>
  <c r="AD1648" i="1" s="1"/>
  <c r="AD1649" i="1" s="1"/>
  <c r="AD1650" i="1" s="1"/>
  <c r="AD1651" i="1" s="1"/>
  <c r="AD1652" i="1" s="1"/>
  <c r="AD1653" i="1" s="1"/>
  <c r="AD1654" i="1" s="1"/>
  <c r="AD1655" i="1" s="1"/>
  <c r="AD1656" i="1" s="1"/>
  <c r="AD1657" i="1" s="1"/>
  <c r="AD1658" i="1" s="1"/>
  <c r="AD1659" i="1" s="1"/>
  <c r="AD1660" i="1" s="1"/>
  <c r="AD1661" i="1" s="1"/>
  <c r="AD1662" i="1" s="1"/>
  <c r="AD1663" i="1" s="1"/>
  <c r="AD1664" i="1" s="1"/>
  <c r="AD1665" i="1" s="1"/>
  <c r="AD1666" i="1" s="1"/>
  <c r="AD1667" i="1" s="1"/>
  <c r="AD1668" i="1" s="1"/>
  <c r="AD1669" i="1" s="1"/>
  <c r="AD1670" i="1" s="1"/>
  <c r="AC1643" i="1"/>
  <c r="AB1643" i="1"/>
  <c r="AB1644" i="1" s="1"/>
  <c r="AB1645" i="1" s="1"/>
  <c r="AB1646" i="1" s="1"/>
  <c r="AB1647" i="1" s="1"/>
  <c r="AB1648" i="1" s="1"/>
  <c r="AB1649" i="1" s="1"/>
  <c r="AB1650" i="1" s="1"/>
  <c r="AB1651" i="1" s="1"/>
  <c r="AB1652" i="1" s="1"/>
  <c r="AB1653" i="1" s="1"/>
  <c r="AB1654" i="1" s="1"/>
  <c r="AB1655" i="1" s="1"/>
  <c r="AB1656" i="1" s="1"/>
  <c r="AB1657" i="1" s="1"/>
  <c r="AB1658" i="1" s="1"/>
  <c r="AB1659" i="1" s="1"/>
  <c r="AB1660" i="1" s="1"/>
  <c r="AB1661" i="1" s="1"/>
  <c r="AB1662" i="1" s="1"/>
  <c r="AB1663" i="1" s="1"/>
  <c r="AB1664" i="1" s="1"/>
  <c r="AB1665" i="1" s="1"/>
  <c r="AB1666" i="1" s="1"/>
  <c r="AB1667" i="1" s="1"/>
  <c r="AB1668" i="1" s="1"/>
  <c r="AB1669" i="1" s="1"/>
  <c r="AB1670" i="1" s="1"/>
  <c r="AA1643" i="1"/>
  <c r="T1643" i="1"/>
  <c r="T1640" i="1"/>
  <c r="T1641" i="1" s="1"/>
  <c r="AE1634" i="1"/>
  <c r="AE1635" i="1" s="1"/>
  <c r="AE1636" i="1" s="1"/>
  <c r="AE1637" i="1" s="1"/>
  <c r="AE1638" i="1" s="1"/>
  <c r="AE1639" i="1" s="1"/>
  <c r="AE1640" i="1" s="1"/>
  <c r="AE1641" i="1" s="1"/>
  <c r="AE1630" i="1"/>
  <c r="AE1631" i="1" s="1"/>
  <c r="AE1632" i="1" s="1"/>
  <c r="AE1633" i="1" s="1"/>
  <c r="AC1630" i="1"/>
  <c r="AC1631" i="1" s="1"/>
  <c r="AC1632" i="1" s="1"/>
  <c r="AC1633" i="1" s="1"/>
  <c r="AC1634" i="1" s="1"/>
  <c r="AC1635" i="1" s="1"/>
  <c r="AC1636" i="1" s="1"/>
  <c r="AC1637" i="1" s="1"/>
  <c r="AC1638" i="1" s="1"/>
  <c r="AC1639" i="1" s="1"/>
  <c r="AC1640" i="1" s="1"/>
  <c r="AC1641" i="1" s="1"/>
  <c r="AG1629" i="1"/>
  <c r="AG1630" i="1" s="1"/>
  <c r="AG1631" i="1" s="1"/>
  <c r="AG1632" i="1" s="1"/>
  <c r="AG1633" i="1" s="1"/>
  <c r="AG1634" i="1" s="1"/>
  <c r="AG1635" i="1" s="1"/>
  <c r="AG1636" i="1" s="1"/>
  <c r="AG1637" i="1" s="1"/>
  <c r="AG1638" i="1" s="1"/>
  <c r="AG1639" i="1" s="1"/>
  <c r="AG1640" i="1" s="1"/>
  <c r="AG1641" i="1" s="1"/>
  <c r="AE1629" i="1"/>
  <c r="AC1629" i="1"/>
  <c r="AB1629" i="1"/>
  <c r="AB1630" i="1" s="1"/>
  <c r="AB1631" i="1" s="1"/>
  <c r="AB1632" i="1" s="1"/>
  <c r="AB1633" i="1" s="1"/>
  <c r="AB1634" i="1" s="1"/>
  <c r="AB1635" i="1" s="1"/>
  <c r="AB1636" i="1" s="1"/>
  <c r="AB1637" i="1" s="1"/>
  <c r="AB1638" i="1" s="1"/>
  <c r="AB1639" i="1" s="1"/>
  <c r="AB1640" i="1" s="1"/>
  <c r="AB1641" i="1" s="1"/>
  <c r="AA1629" i="1"/>
  <c r="AA1630" i="1" s="1"/>
  <c r="AA1631" i="1" s="1"/>
  <c r="AA1632" i="1" s="1"/>
  <c r="AA1633" i="1" s="1"/>
  <c r="AA1634" i="1" s="1"/>
  <c r="AA1635" i="1" s="1"/>
  <c r="AA1636" i="1" s="1"/>
  <c r="AA1637" i="1" s="1"/>
  <c r="AA1638" i="1" s="1"/>
  <c r="AA1639" i="1" s="1"/>
  <c r="AA1640" i="1" s="1"/>
  <c r="AA1641" i="1" s="1"/>
  <c r="T1629" i="1"/>
  <c r="T1630" i="1" s="1"/>
  <c r="T1631" i="1" s="1"/>
  <c r="T1632" i="1" s="1"/>
  <c r="T1633" i="1" s="1"/>
  <c r="T1634" i="1" s="1"/>
  <c r="T1635" i="1" s="1"/>
  <c r="T1636" i="1" s="1"/>
  <c r="T1637" i="1" s="1"/>
  <c r="T1638" i="1" s="1"/>
  <c r="T1639" i="1" s="1"/>
  <c r="AG1628" i="1"/>
  <c r="AF1628" i="1"/>
  <c r="AF1629" i="1" s="1"/>
  <c r="AF1630" i="1" s="1"/>
  <c r="AF1631" i="1" s="1"/>
  <c r="AF1632" i="1" s="1"/>
  <c r="AF1633" i="1" s="1"/>
  <c r="AF1634" i="1" s="1"/>
  <c r="AF1635" i="1" s="1"/>
  <c r="AF1636" i="1" s="1"/>
  <c r="AF1637" i="1" s="1"/>
  <c r="AF1638" i="1" s="1"/>
  <c r="AF1639" i="1" s="1"/>
  <c r="AF1640" i="1" s="1"/>
  <c r="AF1641" i="1" s="1"/>
  <c r="AE1628" i="1"/>
  <c r="AD1628" i="1"/>
  <c r="AD1629" i="1" s="1"/>
  <c r="AD1630" i="1" s="1"/>
  <c r="AD1631" i="1" s="1"/>
  <c r="AD1632" i="1" s="1"/>
  <c r="AD1633" i="1" s="1"/>
  <c r="AD1634" i="1" s="1"/>
  <c r="AD1635" i="1" s="1"/>
  <c r="AD1636" i="1" s="1"/>
  <c r="AD1637" i="1" s="1"/>
  <c r="AD1638" i="1" s="1"/>
  <c r="AD1639" i="1" s="1"/>
  <c r="AD1640" i="1" s="1"/>
  <c r="AD1641" i="1" s="1"/>
  <c r="AC1628" i="1"/>
  <c r="AB1628" i="1"/>
  <c r="AA1628" i="1"/>
  <c r="T1628" i="1"/>
  <c r="S1628" i="1"/>
  <c r="S1629" i="1" s="1"/>
  <c r="S1630" i="1" s="1"/>
  <c r="S1631" i="1" s="1"/>
  <c r="S1632" i="1" s="1"/>
  <c r="S1633" i="1" s="1"/>
  <c r="S1634" i="1" s="1"/>
  <c r="S1635" i="1" s="1"/>
  <c r="S1636" i="1" s="1"/>
  <c r="S1637" i="1" s="1"/>
  <c r="S1638" i="1" s="1"/>
  <c r="S1639" i="1" s="1"/>
  <c r="S1640" i="1" s="1"/>
  <c r="S1641" i="1" s="1"/>
  <c r="S1642" i="1" s="1"/>
  <c r="S1643" i="1" s="1"/>
  <c r="S1644" i="1" s="1"/>
  <c r="S1645" i="1" s="1"/>
  <c r="S1646" i="1" s="1"/>
  <c r="S1647" i="1" s="1"/>
  <c r="S1648" i="1" s="1"/>
  <c r="S1649" i="1" s="1"/>
  <c r="S1650" i="1" s="1"/>
  <c r="S1651" i="1" s="1"/>
  <c r="S1652" i="1" s="1"/>
  <c r="S1653" i="1" s="1"/>
  <c r="S1654" i="1" s="1"/>
  <c r="S1655" i="1" s="1"/>
  <c r="S1656" i="1" s="1"/>
  <c r="S1657" i="1" s="1"/>
  <c r="S1658" i="1" s="1"/>
  <c r="S1659" i="1" s="1"/>
  <c r="S1660" i="1" s="1"/>
  <c r="S1661" i="1" s="1"/>
  <c r="S1662" i="1" s="1"/>
  <c r="S1663" i="1" s="1"/>
  <c r="S1664" i="1" s="1"/>
  <c r="S1665" i="1" s="1"/>
  <c r="S1666" i="1" s="1"/>
  <c r="S1667" i="1" s="1"/>
  <c r="S1668" i="1" s="1"/>
  <c r="S1669" i="1" s="1"/>
  <c r="S1670" i="1" s="1"/>
  <c r="S1671" i="1" s="1"/>
  <c r="S1672" i="1" s="1"/>
  <c r="S1673" i="1" s="1"/>
  <c r="S1674" i="1" s="1"/>
  <c r="S1675" i="1" s="1"/>
  <c r="S1676" i="1" s="1"/>
  <c r="S1677" i="1" s="1"/>
  <c r="S1678" i="1" s="1"/>
  <c r="S1679" i="1" s="1"/>
  <c r="S1680" i="1" s="1"/>
  <c r="S1681" i="1" s="1"/>
  <c r="S1682" i="1" s="1"/>
  <c r="S1683" i="1" s="1"/>
  <c r="S1684" i="1" s="1"/>
  <c r="S1685" i="1" s="1"/>
  <c r="S1686" i="1" s="1"/>
  <c r="S1687" i="1" s="1"/>
  <c r="S1688" i="1" s="1"/>
  <c r="S1689" i="1" s="1"/>
  <c r="S1690" i="1" s="1"/>
  <c r="S1691" i="1" s="1"/>
  <c r="S1692" i="1" s="1"/>
  <c r="S1693" i="1" s="1"/>
  <c r="S1694" i="1" s="1"/>
  <c r="AB1604" i="1"/>
  <c r="AB1605" i="1" s="1"/>
  <c r="AB1606" i="1" s="1"/>
  <c r="AB1607" i="1" s="1"/>
  <c r="AB1608" i="1" s="1"/>
  <c r="AB1609" i="1" s="1"/>
  <c r="AB1610" i="1" s="1"/>
  <c r="AB1611" i="1" s="1"/>
  <c r="AB1612" i="1" s="1"/>
  <c r="AB1613" i="1" s="1"/>
  <c r="AB1614" i="1" s="1"/>
  <c r="AB1615" i="1" s="1"/>
  <c r="AB1616" i="1" s="1"/>
  <c r="AB1617" i="1" s="1"/>
  <c r="AB1618" i="1" s="1"/>
  <c r="AB1619" i="1" s="1"/>
  <c r="AB1620" i="1" s="1"/>
  <c r="AB1621" i="1" s="1"/>
  <c r="AB1622" i="1" s="1"/>
  <c r="AB1623" i="1" s="1"/>
  <c r="AB1624" i="1" s="1"/>
  <c r="AB1625" i="1" s="1"/>
  <c r="AB1626" i="1" s="1"/>
  <c r="T1604" i="1"/>
  <c r="T1605" i="1" s="1"/>
  <c r="T1606" i="1" s="1"/>
  <c r="T1607" i="1" s="1"/>
  <c r="T1608" i="1" s="1"/>
  <c r="T1609" i="1" s="1"/>
  <c r="T1610" i="1" s="1"/>
  <c r="T1611" i="1" s="1"/>
  <c r="T1612" i="1" s="1"/>
  <c r="T1613" i="1" s="1"/>
  <c r="T1614" i="1" s="1"/>
  <c r="T1615" i="1" s="1"/>
  <c r="T1616" i="1" s="1"/>
  <c r="T1617" i="1" s="1"/>
  <c r="T1618" i="1" s="1"/>
  <c r="T1619" i="1" s="1"/>
  <c r="T1620" i="1" s="1"/>
  <c r="T1621" i="1" s="1"/>
  <c r="T1622" i="1" s="1"/>
  <c r="T1623" i="1" s="1"/>
  <c r="T1624" i="1" s="1"/>
  <c r="T1625" i="1" s="1"/>
  <c r="T1626" i="1" s="1"/>
  <c r="AD1603" i="1"/>
  <c r="AD1604" i="1" s="1"/>
  <c r="AD1605" i="1" s="1"/>
  <c r="AD1606" i="1" s="1"/>
  <c r="AD1607" i="1" s="1"/>
  <c r="AD1608" i="1" s="1"/>
  <c r="AD1609" i="1" s="1"/>
  <c r="AD1610" i="1" s="1"/>
  <c r="AD1611" i="1" s="1"/>
  <c r="AD1612" i="1" s="1"/>
  <c r="AD1613" i="1" s="1"/>
  <c r="AD1614" i="1" s="1"/>
  <c r="AD1615" i="1" s="1"/>
  <c r="AD1616" i="1" s="1"/>
  <c r="AD1617" i="1" s="1"/>
  <c r="AD1618" i="1" s="1"/>
  <c r="AD1619" i="1" s="1"/>
  <c r="AD1620" i="1" s="1"/>
  <c r="AD1621" i="1" s="1"/>
  <c r="AD1622" i="1" s="1"/>
  <c r="AD1623" i="1" s="1"/>
  <c r="AD1624" i="1" s="1"/>
  <c r="AD1625" i="1" s="1"/>
  <c r="AD1626" i="1" s="1"/>
  <c r="AB1603" i="1"/>
  <c r="T1603" i="1"/>
  <c r="AG1602" i="1"/>
  <c r="AG1603" i="1" s="1"/>
  <c r="AG1604" i="1" s="1"/>
  <c r="AG1605" i="1" s="1"/>
  <c r="AG1606" i="1" s="1"/>
  <c r="AG1607" i="1" s="1"/>
  <c r="AG1608" i="1" s="1"/>
  <c r="AG1609" i="1" s="1"/>
  <c r="AG1610" i="1" s="1"/>
  <c r="AG1611" i="1" s="1"/>
  <c r="AG1612" i="1" s="1"/>
  <c r="AG1613" i="1" s="1"/>
  <c r="AG1614" i="1" s="1"/>
  <c r="AG1615" i="1" s="1"/>
  <c r="AG1616" i="1" s="1"/>
  <c r="AG1617" i="1" s="1"/>
  <c r="AG1618" i="1" s="1"/>
  <c r="AG1619" i="1" s="1"/>
  <c r="AG1620" i="1" s="1"/>
  <c r="AG1621" i="1" s="1"/>
  <c r="AG1622" i="1" s="1"/>
  <c r="AG1623" i="1" s="1"/>
  <c r="AG1624" i="1" s="1"/>
  <c r="AG1625" i="1" s="1"/>
  <c r="AG1626" i="1" s="1"/>
  <c r="AF1602" i="1"/>
  <c r="AF1603" i="1" s="1"/>
  <c r="AF1604" i="1" s="1"/>
  <c r="AF1605" i="1" s="1"/>
  <c r="AF1606" i="1" s="1"/>
  <c r="AF1607" i="1" s="1"/>
  <c r="AF1608" i="1" s="1"/>
  <c r="AF1609" i="1" s="1"/>
  <c r="AF1610" i="1" s="1"/>
  <c r="AF1611" i="1" s="1"/>
  <c r="AF1612" i="1" s="1"/>
  <c r="AF1613" i="1" s="1"/>
  <c r="AF1614" i="1" s="1"/>
  <c r="AF1615" i="1" s="1"/>
  <c r="AF1616" i="1" s="1"/>
  <c r="AF1617" i="1" s="1"/>
  <c r="AF1618" i="1" s="1"/>
  <c r="AF1619" i="1" s="1"/>
  <c r="AF1620" i="1" s="1"/>
  <c r="AF1621" i="1" s="1"/>
  <c r="AF1622" i="1" s="1"/>
  <c r="AF1623" i="1" s="1"/>
  <c r="AF1624" i="1" s="1"/>
  <c r="AF1625" i="1" s="1"/>
  <c r="AF1626" i="1" s="1"/>
  <c r="AE1602" i="1"/>
  <c r="AE1603" i="1" s="1"/>
  <c r="AE1604" i="1" s="1"/>
  <c r="AE1605" i="1" s="1"/>
  <c r="AE1606" i="1" s="1"/>
  <c r="AE1607" i="1" s="1"/>
  <c r="AE1608" i="1" s="1"/>
  <c r="AE1609" i="1" s="1"/>
  <c r="AE1610" i="1" s="1"/>
  <c r="AE1611" i="1" s="1"/>
  <c r="AE1612" i="1" s="1"/>
  <c r="AE1613" i="1" s="1"/>
  <c r="AE1614" i="1" s="1"/>
  <c r="AE1615" i="1" s="1"/>
  <c r="AE1616" i="1" s="1"/>
  <c r="AE1617" i="1" s="1"/>
  <c r="AE1618" i="1" s="1"/>
  <c r="AE1619" i="1" s="1"/>
  <c r="AE1620" i="1" s="1"/>
  <c r="AE1621" i="1" s="1"/>
  <c r="AE1622" i="1" s="1"/>
  <c r="AE1623" i="1" s="1"/>
  <c r="AE1624" i="1" s="1"/>
  <c r="AE1625" i="1" s="1"/>
  <c r="AE1626" i="1" s="1"/>
  <c r="AD1602" i="1"/>
  <c r="AC1602" i="1"/>
  <c r="AC1603" i="1" s="1"/>
  <c r="AC1604" i="1" s="1"/>
  <c r="AC1605" i="1" s="1"/>
  <c r="AC1606" i="1" s="1"/>
  <c r="AC1607" i="1" s="1"/>
  <c r="AC1608" i="1" s="1"/>
  <c r="AC1609" i="1" s="1"/>
  <c r="AC1610" i="1" s="1"/>
  <c r="AC1611" i="1" s="1"/>
  <c r="AC1612" i="1" s="1"/>
  <c r="AC1613" i="1" s="1"/>
  <c r="AC1614" i="1" s="1"/>
  <c r="AC1615" i="1" s="1"/>
  <c r="AC1616" i="1" s="1"/>
  <c r="AC1617" i="1" s="1"/>
  <c r="AC1618" i="1" s="1"/>
  <c r="AC1619" i="1" s="1"/>
  <c r="AC1620" i="1" s="1"/>
  <c r="AC1621" i="1" s="1"/>
  <c r="AC1622" i="1" s="1"/>
  <c r="AC1623" i="1" s="1"/>
  <c r="AC1624" i="1" s="1"/>
  <c r="AC1625" i="1" s="1"/>
  <c r="AC1626" i="1" s="1"/>
  <c r="AB1602" i="1"/>
  <c r="AA1602" i="1"/>
  <c r="AA1603" i="1" s="1"/>
  <c r="AA1604" i="1" s="1"/>
  <c r="AA1605" i="1" s="1"/>
  <c r="AA1606" i="1" s="1"/>
  <c r="AA1607" i="1" s="1"/>
  <c r="AA1608" i="1" s="1"/>
  <c r="AA1609" i="1" s="1"/>
  <c r="AA1610" i="1" s="1"/>
  <c r="AA1611" i="1" s="1"/>
  <c r="AA1612" i="1" s="1"/>
  <c r="AA1613" i="1" s="1"/>
  <c r="AA1614" i="1" s="1"/>
  <c r="AA1615" i="1" s="1"/>
  <c r="AA1616" i="1" s="1"/>
  <c r="AA1617" i="1" s="1"/>
  <c r="AA1618" i="1" s="1"/>
  <c r="AA1619" i="1" s="1"/>
  <c r="AA1620" i="1" s="1"/>
  <c r="AA1621" i="1" s="1"/>
  <c r="AA1622" i="1" s="1"/>
  <c r="AA1623" i="1" s="1"/>
  <c r="AA1624" i="1" s="1"/>
  <c r="AA1625" i="1" s="1"/>
  <c r="AA1626" i="1" s="1"/>
  <c r="T1602" i="1"/>
  <c r="AG1585" i="1"/>
  <c r="AG1586" i="1" s="1"/>
  <c r="AG1587" i="1" s="1"/>
  <c r="AG1588" i="1" s="1"/>
  <c r="AG1589" i="1" s="1"/>
  <c r="AG1590" i="1" s="1"/>
  <c r="AG1591" i="1" s="1"/>
  <c r="AG1592" i="1" s="1"/>
  <c r="AG1593" i="1" s="1"/>
  <c r="AG1594" i="1" s="1"/>
  <c r="AG1595" i="1" s="1"/>
  <c r="AG1596" i="1" s="1"/>
  <c r="AG1597" i="1" s="1"/>
  <c r="AG1598" i="1" s="1"/>
  <c r="AG1599" i="1" s="1"/>
  <c r="AG1600" i="1" s="1"/>
  <c r="AC1583" i="1"/>
  <c r="AC1584" i="1" s="1"/>
  <c r="AC1585" i="1" s="1"/>
  <c r="AC1586" i="1" s="1"/>
  <c r="AC1587" i="1" s="1"/>
  <c r="AC1588" i="1" s="1"/>
  <c r="AC1589" i="1" s="1"/>
  <c r="AC1590" i="1" s="1"/>
  <c r="AC1591" i="1" s="1"/>
  <c r="AC1592" i="1" s="1"/>
  <c r="AC1593" i="1" s="1"/>
  <c r="AC1594" i="1" s="1"/>
  <c r="AC1595" i="1" s="1"/>
  <c r="AC1596" i="1" s="1"/>
  <c r="AC1597" i="1" s="1"/>
  <c r="AC1598" i="1" s="1"/>
  <c r="AC1599" i="1" s="1"/>
  <c r="AC1600" i="1" s="1"/>
  <c r="AB1583" i="1"/>
  <c r="AB1584" i="1" s="1"/>
  <c r="AB1585" i="1" s="1"/>
  <c r="AB1586" i="1" s="1"/>
  <c r="AB1587" i="1" s="1"/>
  <c r="AB1588" i="1" s="1"/>
  <c r="AB1589" i="1" s="1"/>
  <c r="AB1590" i="1" s="1"/>
  <c r="AB1591" i="1" s="1"/>
  <c r="AB1592" i="1" s="1"/>
  <c r="AB1593" i="1" s="1"/>
  <c r="AB1594" i="1" s="1"/>
  <c r="AB1595" i="1" s="1"/>
  <c r="AB1596" i="1" s="1"/>
  <c r="AB1597" i="1" s="1"/>
  <c r="AB1598" i="1" s="1"/>
  <c r="AB1599" i="1" s="1"/>
  <c r="AB1600" i="1" s="1"/>
  <c r="AA1583" i="1"/>
  <c r="AA1584" i="1" s="1"/>
  <c r="AA1585" i="1" s="1"/>
  <c r="AA1586" i="1" s="1"/>
  <c r="AA1587" i="1" s="1"/>
  <c r="AA1588" i="1" s="1"/>
  <c r="AA1589" i="1" s="1"/>
  <c r="AA1590" i="1" s="1"/>
  <c r="AA1591" i="1" s="1"/>
  <c r="AA1592" i="1" s="1"/>
  <c r="AA1593" i="1" s="1"/>
  <c r="AA1594" i="1" s="1"/>
  <c r="AA1595" i="1" s="1"/>
  <c r="AA1596" i="1" s="1"/>
  <c r="AA1597" i="1" s="1"/>
  <c r="AA1598" i="1" s="1"/>
  <c r="AA1599" i="1" s="1"/>
  <c r="AA1600" i="1" s="1"/>
  <c r="AG1582" i="1"/>
  <c r="AG1583" i="1" s="1"/>
  <c r="AG1584" i="1" s="1"/>
  <c r="T1582" i="1"/>
  <c r="T1583" i="1" s="1"/>
  <c r="T1584" i="1" s="1"/>
  <c r="T1585" i="1" s="1"/>
  <c r="T1586" i="1" s="1"/>
  <c r="T1587" i="1" s="1"/>
  <c r="T1588" i="1" s="1"/>
  <c r="T1589" i="1" s="1"/>
  <c r="T1590" i="1" s="1"/>
  <c r="T1591" i="1" s="1"/>
  <c r="T1592" i="1" s="1"/>
  <c r="T1593" i="1" s="1"/>
  <c r="T1594" i="1" s="1"/>
  <c r="T1595" i="1" s="1"/>
  <c r="T1596" i="1" s="1"/>
  <c r="T1597" i="1" s="1"/>
  <c r="T1598" i="1" s="1"/>
  <c r="T1599" i="1" s="1"/>
  <c r="T1600" i="1" s="1"/>
  <c r="AG1581" i="1"/>
  <c r="AB1581" i="1"/>
  <c r="AB1582" i="1" s="1"/>
  <c r="T1581" i="1"/>
  <c r="AG1580" i="1"/>
  <c r="AF1580" i="1"/>
  <c r="AF1581" i="1" s="1"/>
  <c r="AF1582" i="1" s="1"/>
  <c r="AF1583" i="1" s="1"/>
  <c r="AF1584" i="1" s="1"/>
  <c r="AF1585" i="1" s="1"/>
  <c r="AF1586" i="1" s="1"/>
  <c r="AF1587" i="1" s="1"/>
  <c r="AF1588" i="1" s="1"/>
  <c r="AF1589" i="1" s="1"/>
  <c r="AF1590" i="1" s="1"/>
  <c r="AF1591" i="1" s="1"/>
  <c r="AF1592" i="1" s="1"/>
  <c r="AF1593" i="1" s="1"/>
  <c r="AF1594" i="1" s="1"/>
  <c r="AF1595" i="1" s="1"/>
  <c r="AF1596" i="1" s="1"/>
  <c r="AF1597" i="1" s="1"/>
  <c r="AF1598" i="1" s="1"/>
  <c r="AF1599" i="1" s="1"/>
  <c r="AF1600" i="1" s="1"/>
  <c r="AE1580" i="1"/>
  <c r="AE1581" i="1" s="1"/>
  <c r="AE1582" i="1" s="1"/>
  <c r="AE1583" i="1" s="1"/>
  <c r="AE1584" i="1" s="1"/>
  <c r="AE1585" i="1" s="1"/>
  <c r="AE1586" i="1" s="1"/>
  <c r="AE1587" i="1" s="1"/>
  <c r="AE1588" i="1" s="1"/>
  <c r="AE1589" i="1" s="1"/>
  <c r="AE1590" i="1" s="1"/>
  <c r="AE1591" i="1" s="1"/>
  <c r="AE1592" i="1" s="1"/>
  <c r="AE1593" i="1" s="1"/>
  <c r="AE1594" i="1" s="1"/>
  <c r="AE1595" i="1" s="1"/>
  <c r="AE1596" i="1" s="1"/>
  <c r="AE1597" i="1" s="1"/>
  <c r="AE1598" i="1" s="1"/>
  <c r="AE1599" i="1" s="1"/>
  <c r="AE1600" i="1" s="1"/>
  <c r="AD1580" i="1"/>
  <c r="AD1581" i="1" s="1"/>
  <c r="AD1582" i="1" s="1"/>
  <c r="AD1583" i="1" s="1"/>
  <c r="AD1584" i="1" s="1"/>
  <c r="AD1585" i="1" s="1"/>
  <c r="AD1586" i="1" s="1"/>
  <c r="AD1587" i="1" s="1"/>
  <c r="AD1588" i="1" s="1"/>
  <c r="AD1589" i="1" s="1"/>
  <c r="AD1590" i="1" s="1"/>
  <c r="AD1591" i="1" s="1"/>
  <c r="AD1592" i="1" s="1"/>
  <c r="AD1593" i="1" s="1"/>
  <c r="AD1594" i="1" s="1"/>
  <c r="AD1595" i="1" s="1"/>
  <c r="AD1596" i="1" s="1"/>
  <c r="AD1597" i="1" s="1"/>
  <c r="AD1598" i="1" s="1"/>
  <c r="AD1599" i="1" s="1"/>
  <c r="AD1600" i="1" s="1"/>
  <c r="AC1580" i="1"/>
  <c r="AC1581" i="1" s="1"/>
  <c r="AC1582" i="1" s="1"/>
  <c r="AB1580" i="1"/>
  <c r="AA1580" i="1"/>
  <c r="AA1581" i="1" s="1"/>
  <c r="AA1582" i="1" s="1"/>
  <c r="T1580" i="1"/>
  <c r="AG1556" i="1"/>
  <c r="AG1557" i="1" s="1"/>
  <c r="AG1558" i="1" s="1"/>
  <c r="AG1559" i="1" s="1"/>
  <c r="AG1560" i="1" s="1"/>
  <c r="AG1561" i="1" s="1"/>
  <c r="AG1562" i="1" s="1"/>
  <c r="AG1563" i="1" s="1"/>
  <c r="AG1564" i="1" s="1"/>
  <c r="AG1565" i="1" s="1"/>
  <c r="AG1566" i="1" s="1"/>
  <c r="AG1567" i="1" s="1"/>
  <c r="AG1568" i="1" s="1"/>
  <c r="AG1569" i="1" s="1"/>
  <c r="AG1570" i="1" s="1"/>
  <c r="AG1571" i="1" s="1"/>
  <c r="AG1572" i="1" s="1"/>
  <c r="AG1573" i="1" s="1"/>
  <c r="AG1574" i="1" s="1"/>
  <c r="AG1575" i="1" s="1"/>
  <c r="AG1576" i="1" s="1"/>
  <c r="AG1577" i="1" s="1"/>
  <c r="AG1578" i="1" s="1"/>
  <c r="AC1556" i="1"/>
  <c r="AC1557" i="1" s="1"/>
  <c r="AC1558" i="1" s="1"/>
  <c r="AC1559" i="1" s="1"/>
  <c r="AC1560" i="1" s="1"/>
  <c r="AC1561" i="1" s="1"/>
  <c r="AC1562" i="1" s="1"/>
  <c r="AC1563" i="1" s="1"/>
  <c r="AC1564" i="1" s="1"/>
  <c r="AC1565" i="1" s="1"/>
  <c r="AC1566" i="1" s="1"/>
  <c r="AC1567" i="1" s="1"/>
  <c r="AC1568" i="1" s="1"/>
  <c r="AC1569" i="1" s="1"/>
  <c r="AC1570" i="1" s="1"/>
  <c r="AC1571" i="1" s="1"/>
  <c r="AC1572" i="1" s="1"/>
  <c r="AC1573" i="1" s="1"/>
  <c r="AC1574" i="1" s="1"/>
  <c r="AC1575" i="1" s="1"/>
  <c r="AC1576" i="1" s="1"/>
  <c r="AC1577" i="1" s="1"/>
  <c r="AC1578" i="1" s="1"/>
  <c r="AB1556" i="1"/>
  <c r="AB1557" i="1" s="1"/>
  <c r="AB1558" i="1" s="1"/>
  <c r="AB1559" i="1" s="1"/>
  <c r="AB1560" i="1" s="1"/>
  <c r="AB1561" i="1" s="1"/>
  <c r="AB1562" i="1" s="1"/>
  <c r="AB1563" i="1" s="1"/>
  <c r="AB1564" i="1" s="1"/>
  <c r="AB1565" i="1" s="1"/>
  <c r="AB1566" i="1" s="1"/>
  <c r="AB1567" i="1" s="1"/>
  <c r="AB1568" i="1" s="1"/>
  <c r="AB1569" i="1" s="1"/>
  <c r="AB1570" i="1" s="1"/>
  <c r="AB1571" i="1" s="1"/>
  <c r="AB1572" i="1" s="1"/>
  <c r="AB1573" i="1" s="1"/>
  <c r="AB1574" i="1" s="1"/>
  <c r="AB1575" i="1" s="1"/>
  <c r="AB1576" i="1" s="1"/>
  <c r="AB1577" i="1" s="1"/>
  <c r="AB1578" i="1" s="1"/>
  <c r="AG1555" i="1"/>
  <c r="AF1555" i="1"/>
  <c r="AF1556" i="1" s="1"/>
  <c r="AF1557" i="1" s="1"/>
  <c r="AF1558" i="1" s="1"/>
  <c r="AF1559" i="1" s="1"/>
  <c r="AF1560" i="1" s="1"/>
  <c r="AF1561" i="1" s="1"/>
  <c r="AF1562" i="1" s="1"/>
  <c r="AF1563" i="1" s="1"/>
  <c r="AF1564" i="1" s="1"/>
  <c r="AF1565" i="1" s="1"/>
  <c r="AF1566" i="1" s="1"/>
  <c r="AF1567" i="1" s="1"/>
  <c r="AF1568" i="1" s="1"/>
  <c r="AF1569" i="1" s="1"/>
  <c r="AF1570" i="1" s="1"/>
  <c r="AF1571" i="1" s="1"/>
  <c r="AF1572" i="1" s="1"/>
  <c r="AF1573" i="1" s="1"/>
  <c r="AF1574" i="1" s="1"/>
  <c r="AF1575" i="1" s="1"/>
  <c r="AF1576" i="1" s="1"/>
  <c r="AF1577" i="1" s="1"/>
  <c r="AF1578" i="1" s="1"/>
  <c r="AB1555" i="1"/>
  <c r="T1555" i="1"/>
  <c r="T1556" i="1" s="1"/>
  <c r="T1557" i="1" s="1"/>
  <c r="T1558" i="1" s="1"/>
  <c r="T1559" i="1" s="1"/>
  <c r="T1560" i="1" s="1"/>
  <c r="T1561" i="1" s="1"/>
  <c r="T1562" i="1" s="1"/>
  <c r="T1563" i="1" s="1"/>
  <c r="T1564" i="1" s="1"/>
  <c r="T1565" i="1" s="1"/>
  <c r="T1566" i="1" s="1"/>
  <c r="T1567" i="1" s="1"/>
  <c r="T1568" i="1" s="1"/>
  <c r="T1569" i="1" s="1"/>
  <c r="T1570" i="1" s="1"/>
  <c r="T1571" i="1" s="1"/>
  <c r="T1572" i="1" s="1"/>
  <c r="T1573" i="1" s="1"/>
  <c r="T1574" i="1" s="1"/>
  <c r="T1575" i="1" s="1"/>
  <c r="T1576" i="1" s="1"/>
  <c r="T1577" i="1" s="1"/>
  <c r="T1578" i="1" s="1"/>
  <c r="AG1554" i="1"/>
  <c r="AF1554" i="1"/>
  <c r="AE1554" i="1"/>
  <c r="AE1555" i="1" s="1"/>
  <c r="AE1556" i="1" s="1"/>
  <c r="AE1557" i="1" s="1"/>
  <c r="AE1558" i="1" s="1"/>
  <c r="AE1559" i="1" s="1"/>
  <c r="AE1560" i="1" s="1"/>
  <c r="AE1561" i="1" s="1"/>
  <c r="AE1562" i="1" s="1"/>
  <c r="AE1563" i="1" s="1"/>
  <c r="AE1564" i="1" s="1"/>
  <c r="AE1565" i="1" s="1"/>
  <c r="AE1566" i="1" s="1"/>
  <c r="AE1567" i="1" s="1"/>
  <c r="AE1568" i="1" s="1"/>
  <c r="AE1569" i="1" s="1"/>
  <c r="AE1570" i="1" s="1"/>
  <c r="AE1571" i="1" s="1"/>
  <c r="AE1572" i="1" s="1"/>
  <c r="AE1573" i="1" s="1"/>
  <c r="AE1574" i="1" s="1"/>
  <c r="AE1575" i="1" s="1"/>
  <c r="AE1576" i="1" s="1"/>
  <c r="AE1577" i="1" s="1"/>
  <c r="AE1578" i="1" s="1"/>
  <c r="AD1554" i="1"/>
  <c r="AD1555" i="1" s="1"/>
  <c r="AD1556" i="1" s="1"/>
  <c r="AD1557" i="1" s="1"/>
  <c r="AD1558" i="1" s="1"/>
  <c r="AD1559" i="1" s="1"/>
  <c r="AD1560" i="1" s="1"/>
  <c r="AD1561" i="1" s="1"/>
  <c r="AD1562" i="1" s="1"/>
  <c r="AD1563" i="1" s="1"/>
  <c r="AD1564" i="1" s="1"/>
  <c r="AD1565" i="1" s="1"/>
  <c r="AD1566" i="1" s="1"/>
  <c r="AD1567" i="1" s="1"/>
  <c r="AD1568" i="1" s="1"/>
  <c r="AD1569" i="1" s="1"/>
  <c r="AD1570" i="1" s="1"/>
  <c r="AD1571" i="1" s="1"/>
  <c r="AD1572" i="1" s="1"/>
  <c r="AD1573" i="1" s="1"/>
  <c r="AD1574" i="1" s="1"/>
  <c r="AD1575" i="1" s="1"/>
  <c r="AD1576" i="1" s="1"/>
  <c r="AD1577" i="1" s="1"/>
  <c r="AD1578" i="1" s="1"/>
  <c r="AC1554" i="1"/>
  <c r="AC1555" i="1" s="1"/>
  <c r="AB1554" i="1"/>
  <c r="AA1554" i="1"/>
  <c r="AA1555" i="1" s="1"/>
  <c r="AA1556" i="1" s="1"/>
  <c r="AA1557" i="1" s="1"/>
  <c r="AA1558" i="1" s="1"/>
  <c r="AA1559" i="1" s="1"/>
  <c r="AA1560" i="1" s="1"/>
  <c r="AA1561" i="1" s="1"/>
  <c r="AA1562" i="1" s="1"/>
  <c r="AA1563" i="1" s="1"/>
  <c r="AA1564" i="1" s="1"/>
  <c r="AA1565" i="1" s="1"/>
  <c r="AA1566" i="1" s="1"/>
  <c r="AA1567" i="1" s="1"/>
  <c r="AA1568" i="1" s="1"/>
  <c r="AA1569" i="1" s="1"/>
  <c r="AA1570" i="1" s="1"/>
  <c r="AA1571" i="1" s="1"/>
  <c r="AA1572" i="1" s="1"/>
  <c r="AA1573" i="1" s="1"/>
  <c r="AA1574" i="1" s="1"/>
  <c r="AA1575" i="1" s="1"/>
  <c r="AA1576" i="1" s="1"/>
  <c r="AA1577" i="1" s="1"/>
  <c r="AA1578" i="1" s="1"/>
  <c r="T1554" i="1"/>
  <c r="S1551" i="1"/>
  <c r="S1552" i="1" s="1"/>
  <c r="S1553" i="1" s="1"/>
  <c r="S1554" i="1" s="1"/>
  <c r="S1555" i="1" s="1"/>
  <c r="S1556" i="1" s="1"/>
  <c r="S1557" i="1" s="1"/>
  <c r="S1558" i="1" s="1"/>
  <c r="S1559" i="1" s="1"/>
  <c r="S1560" i="1" s="1"/>
  <c r="S1561" i="1" s="1"/>
  <c r="S1562" i="1" s="1"/>
  <c r="S1563" i="1" s="1"/>
  <c r="S1564" i="1" s="1"/>
  <c r="S1565" i="1" s="1"/>
  <c r="S1566" i="1" s="1"/>
  <c r="S1567" i="1" s="1"/>
  <c r="S1568" i="1" s="1"/>
  <c r="S1569" i="1" s="1"/>
  <c r="S1570" i="1" s="1"/>
  <c r="S1571" i="1" s="1"/>
  <c r="S1572" i="1" s="1"/>
  <c r="S1573" i="1" s="1"/>
  <c r="S1574" i="1" s="1"/>
  <c r="S1575" i="1" s="1"/>
  <c r="S1576" i="1" s="1"/>
  <c r="S1577" i="1" s="1"/>
  <c r="S1578" i="1" s="1"/>
  <c r="S1579" i="1" s="1"/>
  <c r="S1580" i="1" s="1"/>
  <c r="S1581" i="1" s="1"/>
  <c r="S1582" i="1" s="1"/>
  <c r="S1583" i="1" s="1"/>
  <c r="S1584" i="1" s="1"/>
  <c r="S1585" i="1" s="1"/>
  <c r="S1586" i="1" s="1"/>
  <c r="S1587" i="1" s="1"/>
  <c r="S1588" i="1" s="1"/>
  <c r="S1589" i="1" s="1"/>
  <c r="S1590" i="1" s="1"/>
  <c r="S1591" i="1" s="1"/>
  <c r="S1592" i="1" s="1"/>
  <c r="S1593" i="1" s="1"/>
  <c r="S1594" i="1" s="1"/>
  <c r="S1595" i="1" s="1"/>
  <c r="S1596" i="1" s="1"/>
  <c r="S1597" i="1" s="1"/>
  <c r="S1598" i="1" s="1"/>
  <c r="S1599" i="1" s="1"/>
  <c r="S1600" i="1" s="1"/>
  <c r="S1601" i="1" s="1"/>
  <c r="S1602" i="1" s="1"/>
  <c r="S1603" i="1" s="1"/>
  <c r="S1604" i="1" s="1"/>
  <c r="S1605" i="1" s="1"/>
  <c r="S1606" i="1" s="1"/>
  <c r="S1607" i="1" s="1"/>
  <c r="S1608" i="1" s="1"/>
  <c r="S1609" i="1" s="1"/>
  <c r="S1610" i="1" s="1"/>
  <c r="S1611" i="1" s="1"/>
  <c r="S1612" i="1" s="1"/>
  <c r="S1613" i="1" s="1"/>
  <c r="S1614" i="1" s="1"/>
  <c r="S1615" i="1" s="1"/>
  <c r="S1616" i="1" s="1"/>
  <c r="S1617" i="1" s="1"/>
  <c r="S1618" i="1" s="1"/>
  <c r="S1619" i="1" s="1"/>
  <c r="S1620" i="1" s="1"/>
  <c r="S1621" i="1" s="1"/>
  <c r="S1622" i="1" s="1"/>
  <c r="S1623" i="1" s="1"/>
  <c r="S1624" i="1" s="1"/>
  <c r="S1625" i="1" s="1"/>
  <c r="S1626" i="1" s="1"/>
  <c r="AA1531" i="1"/>
  <c r="AA1532" i="1" s="1"/>
  <c r="AA1533" i="1" s="1"/>
  <c r="AA1534" i="1" s="1"/>
  <c r="AA1535" i="1" s="1"/>
  <c r="AA1536" i="1" s="1"/>
  <c r="AA1537" i="1" s="1"/>
  <c r="AA1538" i="1" s="1"/>
  <c r="AA1539" i="1" s="1"/>
  <c r="AA1540" i="1" s="1"/>
  <c r="AA1541" i="1" s="1"/>
  <c r="AA1542" i="1" s="1"/>
  <c r="AA1543" i="1" s="1"/>
  <c r="AA1544" i="1" s="1"/>
  <c r="AA1545" i="1" s="1"/>
  <c r="AA1546" i="1" s="1"/>
  <c r="AA1547" i="1" s="1"/>
  <c r="AA1548" i="1" s="1"/>
  <c r="AA1549" i="1" s="1"/>
  <c r="AA1550" i="1" s="1"/>
  <c r="AA1551" i="1" s="1"/>
  <c r="AA1552" i="1" s="1"/>
  <c r="AA1530" i="1"/>
  <c r="AG1529" i="1"/>
  <c r="AG1530" i="1" s="1"/>
  <c r="AG1531" i="1" s="1"/>
  <c r="AG1532" i="1" s="1"/>
  <c r="AG1533" i="1" s="1"/>
  <c r="AG1534" i="1" s="1"/>
  <c r="AG1535" i="1" s="1"/>
  <c r="AG1536" i="1" s="1"/>
  <c r="AG1537" i="1" s="1"/>
  <c r="AG1538" i="1" s="1"/>
  <c r="AG1539" i="1" s="1"/>
  <c r="AG1540" i="1" s="1"/>
  <c r="AG1541" i="1" s="1"/>
  <c r="AG1542" i="1" s="1"/>
  <c r="AG1543" i="1" s="1"/>
  <c r="AG1544" i="1" s="1"/>
  <c r="AG1545" i="1" s="1"/>
  <c r="AG1546" i="1" s="1"/>
  <c r="AG1547" i="1" s="1"/>
  <c r="AG1548" i="1" s="1"/>
  <c r="AG1549" i="1" s="1"/>
  <c r="AG1550" i="1" s="1"/>
  <c r="AG1551" i="1" s="1"/>
  <c r="AG1552" i="1" s="1"/>
  <c r="AC1529" i="1"/>
  <c r="AC1530" i="1" s="1"/>
  <c r="AC1531" i="1" s="1"/>
  <c r="AC1532" i="1" s="1"/>
  <c r="AC1533" i="1" s="1"/>
  <c r="AC1534" i="1" s="1"/>
  <c r="AC1535" i="1" s="1"/>
  <c r="AC1536" i="1" s="1"/>
  <c r="AC1537" i="1" s="1"/>
  <c r="AC1538" i="1" s="1"/>
  <c r="AC1539" i="1" s="1"/>
  <c r="AC1540" i="1" s="1"/>
  <c r="AC1541" i="1" s="1"/>
  <c r="AC1542" i="1" s="1"/>
  <c r="AC1543" i="1" s="1"/>
  <c r="AC1544" i="1" s="1"/>
  <c r="AC1545" i="1" s="1"/>
  <c r="AC1546" i="1" s="1"/>
  <c r="AC1547" i="1" s="1"/>
  <c r="AC1548" i="1" s="1"/>
  <c r="AC1549" i="1" s="1"/>
  <c r="AC1550" i="1" s="1"/>
  <c r="AC1551" i="1" s="1"/>
  <c r="AC1552" i="1" s="1"/>
  <c r="AB1529" i="1"/>
  <c r="AB1530" i="1" s="1"/>
  <c r="AB1531" i="1" s="1"/>
  <c r="AB1532" i="1" s="1"/>
  <c r="AB1533" i="1" s="1"/>
  <c r="AB1534" i="1" s="1"/>
  <c r="AB1535" i="1" s="1"/>
  <c r="AB1536" i="1" s="1"/>
  <c r="AB1537" i="1" s="1"/>
  <c r="AB1538" i="1" s="1"/>
  <c r="AB1539" i="1" s="1"/>
  <c r="AB1540" i="1" s="1"/>
  <c r="AB1541" i="1" s="1"/>
  <c r="AB1542" i="1" s="1"/>
  <c r="AB1543" i="1" s="1"/>
  <c r="AB1544" i="1" s="1"/>
  <c r="AB1545" i="1" s="1"/>
  <c r="AB1546" i="1" s="1"/>
  <c r="AB1547" i="1" s="1"/>
  <c r="AB1548" i="1" s="1"/>
  <c r="AB1549" i="1" s="1"/>
  <c r="AB1550" i="1" s="1"/>
  <c r="AB1551" i="1" s="1"/>
  <c r="AB1552" i="1" s="1"/>
  <c r="AA1529" i="1"/>
  <c r="AG1528" i="1"/>
  <c r="AF1528" i="1"/>
  <c r="AF1529" i="1" s="1"/>
  <c r="AF1530" i="1" s="1"/>
  <c r="AF1531" i="1" s="1"/>
  <c r="AF1532" i="1" s="1"/>
  <c r="AF1533" i="1" s="1"/>
  <c r="AF1534" i="1" s="1"/>
  <c r="AF1535" i="1" s="1"/>
  <c r="AF1536" i="1" s="1"/>
  <c r="AF1537" i="1" s="1"/>
  <c r="AF1538" i="1" s="1"/>
  <c r="AF1539" i="1" s="1"/>
  <c r="AF1540" i="1" s="1"/>
  <c r="AF1541" i="1" s="1"/>
  <c r="AF1542" i="1" s="1"/>
  <c r="AF1543" i="1" s="1"/>
  <c r="AF1544" i="1" s="1"/>
  <c r="AF1545" i="1" s="1"/>
  <c r="AF1546" i="1" s="1"/>
  <c r="AF1547" i="1" s="1"/>
  <c r="AF1548" i="1" s="1"/>
  <c r="AF1549" i="1" s="1"/>
  <c r="AF1550" i="1" s="1"/>
  <c r="AF1551" i="1" s="1"/>
  <c r="AF1552" i="1" s="1"/>
  <c r="AE1528" i="1"/>
  <c r="AE1529" i="1" s="1"/>
  <c r="AE1530" i="1" s="1"/>
  <c r="AE1531" i="1" s="1"/>
  <c r="AE1532" i="1" s="1"/>
  <c r="AE1533" i="1" s="1"/>
  <c r="AE1534" i="1" s="1"/>
  <c r="AE1535" i="1" s="1"/>
  <c r="AE1536" i="1" s="1"/>
  <c r="AE1537" i="1" s="1"/>
  <c r="AE1538" i="1" s="1"/>
  <c r="AE1539" i="1" s="1"/>
  <c r="AE1540" i="1" s="1"/>
  <c r="AE1541" i="1" s="1"/>
  <c r="AE1542" i="1" s="1"/>
  <c r="AE1543" i="1" s="1"/>
  <c r="AE1544" i="1" s="1"/>
  <c r="AE1545" i="1" s="1"/>
  <c r="AE1546" i="1" s="1"/>
  <c r="AE1547" i="1" s="1"/>
  <c r="AE1548" i="1" s="1"/>
  <c r="AE1549" i="1" s="1"/>
  <c r="AE1550" i="1" s="1"/>
  <c r="AE1551" i="1" s="1"/>
  <c r="AE1552" i="1" s="1"/>
  <c r="AD1528" i="1"/>
  <c r="AD1529" i="1" s="1"/>
  <c r="AD1530" i="1" s="1"/>
  <c r="AD1531" i="1" s="1"/>
  <c r="AD1532" i="1" s="1"/>
  <c r="AD1533" i="1" s="1"/>
  <c r="AD1534" i="1" s="1"/>
  <c r="AD1535" i="1" s="1"/>
  <c r="AD1536" i="1" s="1"/>
  <c r="AD1537" i="1" s="1"/>
  <c r="AD1538" i="1" s="1"/>
  <c r="AD1539" i="1" s="1"/>
  <c r="AD1540" i="1" s="1"/>
  <c r="AD1541" i="1" s="1"/>
  <c r="AD1542" i="1" s="1"/>
  <c r="AD1543" i="1" s="1"/>
  <c r="AD1544" i="1" s="1"/>
  <c r="AD1545" i="1" s="1"/>
  <c r="AD1546" i="1" s="1"/>
  <c r="AD1547" i="1" s="1"/>
  <c r="AD1548" i="1" s="1"/>
  <c r="AD1549" i="1" s="1"/>
  <c r="AD1550" i="1" s="1"/>
  <c r="AD1551" i="1" s="1"/>
  <c r="AD1552" i="1" s="1"/>
  <c r="AC1528" i="1"/>
  <c r="AB1528" i="1"/>
  <c r="AA1528" i="1"/>
  <c r="T1528" i="1"/>
  <c r="T1529" i="1" s="1"/>
  <c r="T1530" i="1" s="1"/>
  <c r="T1531" i="1" s="1"/>
  <c r="T1532" i="1" s="1"/>
  <c r="T1533" i="1" s="1"/>
  <c r="T1534" i="1" s="1"/>
  <c r="T1535" i="1" s="1"/>
  <c r="T1536" i="1" s="1"/>
  <c r="T1537" i="1" s="1"/>
  <c r="T1538" i="1" s="1"/>
  <c r="T1539" i="1" s="1"/>
  <c r="T1540" i="1" s="1"/>
  <c r="T1541" i="1" s="1"/>
  <c r="T1542" i="1" s="1"/>
  <c r="T1543" i="1" s="1"/>
  <c r="T1544" i="1" s="1"/>
  <c r="T1545" i="1" s="1"/>
  <c r="T1546" i="1" s="1"/>
  <c r="T1547" i="1" s="1"/>
  <c r="T1548" i="1" s="1"/>
  <c r="T1549" i="1" s="1"/>
  <c r="T1550" i="1" s="1"/>
  <c r="T1551" i="1" s="1"/>
  <c r="T1552" i="1" s="1"/>
  <c r="AE1507" i="1"/>
  <c r="AE1508" i="1" s="1"/>
  <c r="AE1509" i="1" s="1"/>
  <c r="AE1510" i="1" s="1"/>
  <c r="AE1511" i="1" s="1"/>
  <c r="AE1512" i="1" s="1"/>
  <c r="AE1513" i="1" s="1"/>
  <c r="AE1514" i="1" s="1"/>
  <c r="AE1515" i="1" s="1"/>
  <c r="AE1516" i="1" s="1"/>
  <c r="AE1517" i="1" s="1"/>
  <c r="AE1518" i="1" s="1"/>
  <c r="AE1519" i="1" s="1"/>
  <c r="AE1520" i="1" s="1"/>
  <c r="AE1521" i="1" s="1"/>
  <c r="AE1522" i="1" s="1"/>
  <c r="AE1523" i="1" s="1"/>
  <c r="AE1524" i="1" s="1"/>
  <c r="AE1525" i="1" s="1"/>
  <c r="AE1526" i="1" s="1"/>
  <c r="AE1506" i="1"/>
  <c r="AD1506" i="1"/>
  <c r="AD1507" i="1" s="1"/>
  <c r="AD1508" i="1" s="1"/>
  <c r="AD1509" i="1" s="1"/>
  <c r="AD1510" i="1" s="1"/>
  <c r="AD1511" i="1" s="1"/>
  <c r="AD1512" i="1" s="1"/>
  <c r="AD1513" i="1" s="1"/>
  <c r="AD1514" i="1" s="1"/>
  <c r="AD1515" i="1" s="1"/>
  <c r="AD1516" i="1" s="1"/>
  <c r="AD1517" i="1" s="1"/>
  <c r="AD1518" i="1" s="1"/>
  <c r="AD1519" i="1" s="1"/>
  <c r="AD1520" i="1" s="1"/>
  <c r="AD1521" i="1" s="1"/>
  <c r="AD1522" i="1" s="1"/>
  <c r="AD1523" i="1" s="1"/>
  <c r="AD1524" i="1" s="1"/>
  <c r="AD1525" i="1" s="1"/>
  <c r="AD1526" i="1" s="1"/>
  <c r="AC1506" i="1"/>
  <c r="AC1507" i="1" s="1"/>
  <c r="AC1508" i="1" s="1"/>
  <c r="AC1509" i="1" s="1"/>
  <c r="AC1510" i="1" s="1"/>
  <c r="AC1511" i="1" s="1"/>
  <c r="AC1512" i="1" s="1"/>
  <c r="AC1513" i="1" s="1"/>
  <c r="AC1514" i="1" s="1"/>
  <c r="AC1515" i="1" s="1"/>
  <c r="AC1516" i="1" s="1"/>
  <c r="AC1517" i="1" s="1"/>
  <c r="AC1518" i="1" s="1"/>
  <c r="AC1519" i="1" s="1"/>
  <c r="AC1520" i="1" s="1"/>
  <c r="AC1521" i="1" s="1"/>
  <c r="AC1522" i="1" s="1"/>
  <c r="AC1523" i="1" s="1"/>
  <c r="AC1524" i="1" s="1"/>
  <c r="AC1525" i="1" s="1"/>
  <c r="AC1526" i="1" s="1"/>
  <c r="AB1506" i="1"/>
  <c r="AB1507" i="1" s="1"/>
  <c r="AB1508" i="1" s="1"/>
  <c r="AB1509" i="1" s="1"/>
  <c r="AB1510" i="1" s="1"/>
  <c r="AB1511" i="1" s="1"/>
  <c r="AB1512" i="1" s="1"/>
  <c r="AB1513" i="1" s="1"/>
  <c r="AB1514" i="1" s="1"/>
  <c r="AB1515" i="1" s="1"/>
  <c r="AB1516" i="1" s="1"/>
  <c r="AB1517" i="1" s="1"/>
  <c r="AB1518" i="1" s="1"/>
  <c r="AB1519" i="1" s="1"/>
  <c r="AB1520" i="1" s="1"/>
  <c r="AB1521" i="1" s="1"/>
  <c r="AB1522" i="1" s="1"/>
  <c r="AB1523" i="1" s="1"/>
  <c r="AB1524" i="1" s="1"/>
  <c r="AB1525" i="1" s="1"/>
  <c r="AB1526" i="1" s="1"/>
  <c r="AG1505" i="1"/>
  <c r="AG1506" i="1" s="1"/>
  <c r="AG1507" i="1" s="1"/>
  <c r="AG1508" i="1" s="1"/>
  <c r="AG1509" i="1" s="1"/>
  <c r="AG1510" i="1" s="1"/>
  <c r="AG1511" i="1" s="1"/>
  <c r="AG1512" i="1" s="1"/>
  <c r="AG1513" i="1" s="1"/>
  <c r="AG1514" i="1" s="1"/>
  <c r="AG1515" i="1" s="1"/>
  <c r="AG1516" i="1" s="1"/>
  <c r="AG1517" i="1" s="1"/>
  <c r="AG1518" i="1" s="1"/>
  <c r="AG1519" i="1" s="1"/>
  <c r="AG1520" i="1" s="1"/>
  <c r="AG1521" i="1" s="1"/>
  <c r="AG1522" i="1" s="1"/>
  <c r="AG1523" i="1" s="1"/>
  <c r="AG1524" i="1" s="1"/>
  <c r="AG1525" i="1" s="1"/>
  <c r="AG1526" i="1" s="1"/>
  <c r="AF1505" i="1"/>
  <c r="AF1506" i="1" s="1"/>
  <c r="AF1507" i="1" s="1"/>
  <c r="AF1508" i="1" s="1"/>
  <c r="AF1509" i="1" s="1"/>
  <c r="AF1510" i="1" s="1"/>
  <c r="AF1511" i="1" s="1"/>
  <c r="AF1512" i="1" s="1"/>
  <c r="AF1513" i="1" s="1"/>
  <c r="AF1514" i="1" s="1"/>
  <c r="AF1515" i="1" s="1"/>
  <c r="AF1516" i="1" s="1"/>
  <c r="AF1517" i="1" s="1"/>
  <c r="AF1518" i="1" s="1"/>
  <c r="AF1519" i="1" s="1"/>
  <c r="AF1520" i="1" s="1"/>
  <c r="AF1521" i="1" s="1"/>
  <c r="AF1522" i="1" s="1"/>
  <c r="AF1523" i="1" s="1"/>
  <c r="AF1524" i="1" s="1"/>
  <c r="AF1525" i="1" s="1"/>
  <c r="AF1526" i="1" s="1"/>
  <c r="AE1505" i="1"/>
  <c r="AD1505" i="1"/>
  <c r="AC1505" i="1"/>
  <c r="AB1505" i="1"/>
  <c r="AA1505" i="1"/>
  <c r="AA1506" i="1" s="1"/>
  <c r="AA1507" i="1" s="1"/>
  <c r="AA1508" i="1" s="1"/>
  <c r="AA1509" i="1" s="1"/>
  <c r="AA1510" i="1" s="1"/>
  <c r="AA1511" i="1" s="1"/>
  <c r="AA1512" i="1" s="1"/>
  <c r="AA1513" i="1" s="1"/>
  <c r="AA1514" i="1" s="1"/>
  <c r="AA1515" i="1" s="1"/>
  <c r="AA1516" i="1" s="1"/>
  <c r="AA1517" i="1" s="1"/>
  <c r="AA1518" i="1" s="1"/>
  <c r="AA1519" i="1" s="1"/>
  <c r="AA1520" i="1" s="1"/>
  <c r="AA1521" i="1" s="1"/>
  <c r="AA1522" i="1" s="1"/>
  <c r="AA1523" i="1" s="1"/>
  <c r="AA1524" i="1" s="1"/>
  <c r="AA1525" i="1" s="1"/>
  <c r="AA1526" i="1" s="1"/>
  <c r="T1505" i="1"/>
  <c r="T1506" i="1" s="1"/>
  <c r="T1507" i="1" s="1"/>
  <c r="T1508" i="1" s="1"/>
  <c r="T1509" i="1" s="1"/>
  <c r="T1510" i="1" s="1"/>
  <c r="T1511" i="1" s="1"/>
  <c r="T1512" i="1" s="1"/>
  <c r="T1513" i="1" s="1"/>
  <c r="T1514" i="1" s="1"/>
  <c r="T1515" i="1" s="1"/>
  <c r="T1516" i="1" s="1"/>
  <c r="T1517" i="1" s="1"/>
  <c r="T1518" i="1" s="1"/>
  <c r="T1519" i="1" s="1"/>
  <c r="T1520" i="1" s="1"/>
  <c r="T1521" i="1" s="1"/>
  <c r="T1522" i="1" s="1"/>
  <c r="T1523" i="1" s="1"/>
  <c r="T1524" i="1" s="1"/>
  <c r="T1525" i="1" s="1"/>
  <c r="T1526" i="1" s="1"/>
  <c r="AG1503" i="1"/>
  <c r="AF1503" i="1"/>
  <c r="AE1503" i="1"/>
  <c r="AD1503" i="1"/>
  <c r="AC1503" i="1"/>
  <c r="AB1503" i="1"/>
  <c r="AA1503" i="1"/>
  <c r="T1503" i="1"/>
  <c r="S1490" i="1"/>
  <c r="S1491" i="1" s="1"/>
  <c r="S1492" i="1" s="1"/>
  <c r="S1493" i="1" s="1"/>
  <c r="S1494" i="1" s="1"/>
  <c r="S1495" i="1" s="1"/>
  <c r="S1496" i="1" s="1"/>
  <c r="S1497" i="1" s="1"/>
  <c r="S1498" i="1" s="1"/>
  <c r="S1499" i="1" s="1"/>
  <c r="S1500" i="1" s="1"/>
  <c r="S1501" i="1" s="1"/>
  <c r="S1502" i="1" s="1"/>
  <c r="S1503" i="1" s="1"/>
  <c r="S1504" i="1" s="1"/>
  <c r="S1505" i="1" s="1"/>
  <c r="S1506" i="1" s="1"/>
  <c r="S1507" i="1" s="1"/>
  <c r="S1508" i="1" s="1"/>
  <c r="S1509" i="1" s="1"/>
  <c r="S1510" i="1" s="1"/>
  <c r="S1511" i="1" s="1"/>
  <c r="S1512" i="1" s="1"/>
  <c r="S1513" i="1" s="1"/>
  <c r="S1514" i="1" s="1"/>
  <c r="S1515" i="1" s="1"/>
  <c r="S1516" i="1" s="1"/>
  <c r="S1517" i="1" s="1"/>
  <c r="S1518" i="1" s="1"/>
  <c r="S1519" i="1" s="1"/>
  <c r="S1520" i="1" s="1"/>
  <c r="S1521" i="1" s="1"/>
  <c r="S1522" i="1" s="1"/>
  <c r="S1523" i="1" s="1"/>
  <c r="S1524" i="1" s="1"/>
  <c r="S1525" i="1" s="1"/>
  <c r="S1526" i="1" s="1"/>
  <c r="S1527" i="1" s="1"/>
  <c r="S1528" i="1" s="1"/>
  <c r="S1529" i="1" s="1"/>
  <c r="S1530" i="1" s="1"/>
  <c r="S1531" i="1" s="1"/>
  <c r="S1532" i="1" s="1"/>
  <c r="S1533" i="1" s="1"/>
  <c r="S1534" i="1" s="1"/>
  <c r="S1535" i="1" s="1"/>
  <c r="S1536" i="1" s="1"/>
  <c r="S1537" i="1" s="1"/>
  <c r="S1538" i="1" s="1"/>
  <c r="S1539" i="1" s="1"/>
  <c r="S1540" i="1" s="1"/>
  <c r="S1541" i="1" s="1"/>
  <c r="S1542" i="1" s="1"/>
  <c r="S1543" i="1" s="1"/>
  <c r="S1544" i="1" s="1"/>
  <c r="S1545" i="1" s="1"/>
  <c r="S1546" i="1" s="1"/>
  <c r="S1547" i="1" s="1"/>
  <c r="S1548" i="1" s="1"/>
  <c r="S1549" i="1" s="1"/>
  <c r="AE1488" i="1"/>
  <c r="AE1489" i="1" s="1"/>
  <c r="AE1490" i="1" s="1"/>
  <c r="AE1491" i="1" s="1"/>
  <c r="AE1492" i="1" s="1"/>
  <c r="AE1493" i="1" s="1"/>
  <c r="AE1494" i="1" s="1"/>
  <c r="AE1495" i="1" s="1"/>
  <c r="AE1496" i="1" s="1"/>
  <c r="AE1497" i="1" s="1"/>
  <c r="AE1498" i="1" s="1"/>
  <c r="AE1499" i="1" s="1"/>
  <c r="AE1500" i="1" s="1"/>
  <c r="AE1501" i="1" s="1"/>
  <c r="S1488" i="1"/>
  <c r="S1489" i="1" s="1"/>
  <c r="AG1485" i="1"/>
  <c r="AG1486" i="1" s="1"/>
  <c r="AG1487" i="1" s="1"/>
  <c r="AG1488" i="1" s="1"/>
  <c r="AG1489" i="1" s="1"/>
  <c r="AG1490" i="1" s="1"/>
  <c r="AG1491" i="1" s="1"/>
  <c r="AG1492" i="1" s="1"/>
  <c r="AG1493" i="1" s="1"/>
  <c r="AG1494" i="1" s="1"/>
  <c r="AG1495" i="1" s="1"/>
  <c r="AG1496" i="1" s="1"/>
  <c r="AG1497" i="1" s="1"/>
  <c r="AG1498" i="1" s="1"/>
  <c r="AG1499" i="1" s="1"/>
  <c r="AG1500" i="1" s="1"/>
  <c r="AG1501" i="1" s="1"/>
  <c r="AF1485" i="1"/>
  <c r="AF1486" i="1" s="1"/>
  <c r="AF1487" i="1" s="1"/>
  <c r="AF1488" i="1" s="1"/>
  <c r="AF1489" i="1" s="1"/>
  <c r="AF1490" i="1" s="1"/>
  <c r="AF1491" i="1" s="1"/>
  <c r="AF1492" i="1" s="1"/>
  <c r="AF1493" i="1" s="1"/>
  <c r="AF1494" i="1" s="1"/>
  <c r="AF1495" i="1" s="1"/>
  <c r="AF1496" i="1" s="1"/>
  <c r="AF1497" i="1" s="1"/>
  <c r="AF1498" i="1" s="1"/>
  <c r="AF1499" i="1" s="1"/>
  <c r="AF1500" i="1" s="1"/>
  <c r="AF1501" i="1" s="1"/>
  <c r="AF1484" i="1"/>
  <c r="AE1484" i="1"/>
  <c r="AE1485" i="1" s="1"/>
  <c r="AE1486" i="1" s="1"/>
  <c r="AE1487" i="1" s="1"/>
  <c r="AD1484" i="1"/>
  <c r="AD1485" i="1" s="1"/>
  <c r="AD1486" i="1" s="1"/>
  <c r="AD1487" i="1" s="1"/>
  <c r="AD1488" i="1" s="1"/>
  <c r="AD1489" i="1" s="1"/>
  <c r="AD1490" i="1" s="1"/>
  <c r="AD1491" i="1" s="1"/>
  <c r="AD1492" i="1" s="1"/>
  <c r="AD1493" i="1" s="1"/>
  <c r="AD1494" i="1" s="1"/>
  <c r="AD1495" i="1" s="1"/>
  <c r="AD1496" i="1" s="1"/>
  <c r="AD1497" i="1" s="1"/>
  <c r="AD1498" i="1" s="1"/>
  <c r="AD1499" i="1" s="1"/>
  <c r="AD1500" i="1" s="1"/>
  <c r="AD1501" i="1" s="1"/>
  <c r="AC1484" i="1"/>
  <c r="AC1485" i="1" s="1"/>
  <c r="AC1486" i="1" s="1"/>
  <c r="AC1487" i="1" s="1"/>
  <c r="AC1488" i="1" s="1"/>
  <c r="AC1489" i="1" s="1"/>
  <c r="AC1490" i="1" s="1"/>
  <c r="AC1491" i="1" s="1"/>
  <c r="AC1492" i="1" s="1"/>
  <c r="AC1493" i="1" s="1"/>
  <c r="AC1494" i="1" s="1"/>
  <c r="AC1495" i="1" s="1"/>
  <c r="AC1496" i="1" s="1"/>
  <c r="AC1497" i="1" s="1"/>
  <c r="AC1498" i="1" s="1"/>
  <c r="AC1499" i="1" s="1"/>
  <c r="AC1500" i="1" s="1"/>
  <c r="AC1501" i="1" s="1"/>
  <c r="AG1483" i="1"/>
  <c r="AG1484" i="1" s="1"/>
  <c r="AF1483" i="1"/>
  <c r="AE1483" i="1"/>
  <c r="AD1483" i="1"/>
  <c r="AC1483" i="1"/>
  <c r="AB1483" i="1"/>
  <c r="AB1484" i="1" s="1"/>
  <c r="AB1485" i="1" s="1"/>
  <c r="AB1486" i="1" s="1"/>
  <c r="AB1487" i="1" s="1"/>
  <c r="AB1488" i="1" s="1"/>
  <c r="AB1489" i="1" s="1"/>
  <c r="AB1490" i="1" s="1"/>
  <c r="AB1491" i="1" s="1"/>
  <c r="AB1492" i="1" s="1"/>
  <c r="AB1493" i="1" s="1"/>
  <c r="AB1494" i="1" s="1"/>
  <c r="AB1495" i="1" s="1"/>
  <c r="AB1496" i="1" s="1"/>
  <c r="AB1497" i="1" s="1"/>
  <c r="AB1498" i="1" s="1"/>
  <c r="AB1499" i="1" s="1"/>
  <c r="AB1500" i="1" s="1"/>
  <c r="AB1501" i="1" s="1"/>
  <c r="AA1483" i="1"/>
  <c r="AA1484" i="1" s="1"/>
  <c r="AA1485" i="1" s="1"/>
  <c r="AA1486" i="1" s="1"/>
  <c r="AA1487" i="1" s="1"/>
  <c r="AA1488" i="1" s="1"/>
  <c r="AA1489" i="1" s="1"/>
  <c r="AA1490" i="1" s="1"/>
  <c r="AA1491" i="1" s="1"/>
  <c r="AA1492" i="1" s="1"/>
  <c r="AA1493" i="1" s="1"/>
  <c r="AA1494" i="1" s="1"/>
  <c r="AA1495" i="1" s="1"/>
  <c r="AA1496" i="1" s="1"/>
  <c r="AA1497" i="1" s="1"/>
  <c r="AA1498" i="1" s="1"/>
  <c r="AA1499" i="1" s="1"/>
  <c r="AA1500" i="1" s="1"/>
  <c r="AA1501" i="1" s="1"/>
  <c r="T1483" i="1"/>
  <c r="T1484" i="1" s="1"/>
  <c r="T1485" i="1" s="1"/>
  <c r="T1486" i="1" s="1"/>
  <c r="T1487" i="1" s="1"/>
  <c r="T1488" i="1" s="1"/>
  <c r="T1489" i="1" s="1"/>
  <c r="T1490" i="1" s="1"/>
  <c r="T1491" i="1" s="1"/>
  <c r="T1492" i="1" s="1"/>
  <c r="T1493" i="1" s="1"/>
  <c r="T1494" i="1" s="1"/>
  <c r="T1495" i="1" s="1"/>
  <c r="T1496" i="1" s="1"/>
  <c r="T1497" i="1" s="1"/>
  <c r="T1498" i="1" s="1"/>
  <c r="T1499" i="1" s="1"/>
  <c r="T1500" i="1" s="1"/>
  <c r="T1501" i="1" s="1"/>
  <c r="AB1462" i="1"/>
  <c r="AB1463" i="1" s="1"/>
  <c r="AB1464" i="1" s="1"/>
  <c r="AB1465" i="1" s="1"/>
  <c r="AB1466" i="1" s="1"/>
  <c r="AB1467" i="1" s="1"/>
  <c r="AB1468" i="1" s="1"/>
  <c r="AB1469" i="1" s="1"/>
  <c r="AB1470" i="1" s="1"/>
  <c r="AB1471" i="1" s="1"/>
  <c r="AB1472" i="1" s="1"/>
  <c r="AB1473" i="1" s="1"/>
  <c r="AB1474" i="1" s="1"/>
  <c r="AB1475" i="1" s="1"/>
  <c r="AB1476" i="1" s="1"/>
  <c r="AB1477" i="1" s="1"/>
  <c r="AB1478" i="1" s="1"/>
  <c r="AB1479" i="1" s="1"/>
  <c r="AB1480" i="1" s="1"/>
  <c r="AB1481" i="1" s="1"/>
  <c r="AG1460" i="1"/>
  <c r="AG1461" i="1" s="1"/>
  <c r="AG1462" i="1" s="1"/>
  <c r="AG1463" i="1" s="1"/>
  <c r="AG1464" i="1" s="1"/>
  <c r="AG1465" i="1" s="1"/>
  <c r="AG1466" i="1" s="1"/>
  <c r="AG1467" i="1" s="1"/>
  <c r="AG1468" i="1" s="1"/>
  <c r="AG1469" i="1" s="1"/>
  <c r="AG1470" i="1" s="1"/>
  <c r="AG1471" i="1" s="1"/>
  <c r="AG1472" i="1" s="1"/>
  <c r="AG1473" i="1" s="1"/>
  <c r="AG1474" i="1" s="1"/>
  <c r="AG1475" i="1" s="1"/>
  <c r="AG1476" i="1" s="1"/>
  <c r="AG1477" i="1" s="1"/>
  <c r="AG1478" i="1" s="1"/>
  <c r="AG1479" i="1" s="1"/>
  <c r="AG1480" i="1" s="1"/>
  <c r="AG1481" i="1" s="1"/>
  <c r="AG1459" i="1"/>
  <c r="AE1459" i="1"/>
  <c r="AE1460" i="1" s="1"/>
  <c r="AE1461" i="1" s="1"/>
  <c r="AE1462" i="1" s="1"/>
  <c r="AE1463" i="1" s="1"/>
  <c r="AE1464" i="1" s="1"/>
  <c r="AE1465" i="1" s="1"/>
  <c r="AE1466" i="1" s="1"/>
  <c r="AE1467" i="1" s="1"/>
  <c r="AE1468" i="1" s="1"/>
  <c r="AE1469" i="1" s="1"/>
  <c r="AE1470" i="1" s="1"/>
  <c r="AE1471" i="1" s="1"/>
  <c r="AE1472" i="1" s="1"/>
  <c r="AE1473" i="1" s="1"/>
  <c r="AE1474" i="1" s="1"/>
  <c r="AE1475" i="1" s="1"/>
  <c r="AE1476" i="1" s="1"/>
  <c r="AE1477" i="1" s="1"/>
  <c r="AE1478" i="1" s="1"/>
  <c r="AE1479" i="1" s="1"/>
  <c r="AE1480" i="1" s="1"/>
  <c r="AE1481" i="1" s="1"/>
  <c r="AD1459" i="1"/>
  <c r="AD1460" i="1" s="1"/>
  <c r="AD1461" i="1" s="1"/>
  <c r="AD1462" i="1" s="1"/>
  <c r="AD1463" i="1" s="1"/>
  <c r="AD1464" i="1" s="1"/>
  <c r="AD1465" i="1" s="1"/>
  <c r="AD1466" i="1" s="1"/>
  <c r="AD1467" i="1" s="1"/>
  <c r="AD1468" i="1" s="1"/>
  <c r="AD1469" i="1" s="1"/>
  <c r="AD1470" i="1" s="1"/>
  <c r="AD1471" i="1" s="1"/>
  <c r="AD1472" i="1" s="1"/>
  <c r="AD1473" i="1" s="1"/>
  <c r="AD1474" i="1" s="1"/>
  <c r="AD1475" i="1" s="1"/>
  <c r="AD1476" i="1" s="1"/>
  <c r="AD1477" i="1" s="1"/>
  <c r="AD1478" i="1" s="1"/>
  <c r="AD1479" i="1" s="1"/>
  <c r="AD1480" i="1" s="1"/>
  <c r="AD1481" i="1" s="1"/>
  <c r="AG1458" i="1"/>
  <c r="AD1458" i="1"/>
  <c r="AC1458" i="1"/>
  <c r="AC1459" i="1" s="1"/>
  <c r="AC1460" i="1" s="1"/>
  <c r="AC1461" i="1" s="1"/>
  <c r="AC1462" i="1" s="1"/>
  <c r="AC1463" i="1" s="1"/>
  <c r="AC1464" i="1" s="1"/>
  <c r="AC1465" i="1" s="1"/>
  <c r="AC1466" i="1" s="1"/>
  <c r="AC1467" i="1" s="1"/>
  <c r="AC1468" i="1" s="1"/>
  <c r="AC1469" i="1" s="1"/>
  <c r="AC1470" i="1" s="1"/>
  <c r="AC1471" i="1" s="1"/>
  <c r="AC1472" i="1" s="1"/>
  <c r="AC1473" i="1" s="1"/>
  <c r="AC1474" i="1" s="1"/>
  <c r="AC1475" i="1" s="1"/>
  <c r="AC1476" i="1" s="1"/>
  <c r="AC1477" i="1" s="1"/>
  <c r="AC1478" i="1" s="1"/>
  <c r="AC1479" i="1" s="1"/>
  <c r="AC1480" i="1" s="1"/>
  <c r="AC1481" i="1" s="1"/>
  <c r="AB1458" i="1"/>
  <c r="AB1459" i="1" s="1"/>
  <c r="AB1460" i="1" s="1"/>
  <c r="AB1461" i="1" s="1"/>
  <c r="AA1458" i="1"/>
  <c r="AA1459" i="1" s="1"/>
  <c r="AA1460" i="1" s="1"/>
  <c r="AA1461" i="1" s="1"/>
  <c r="AA1462" i="1" s="1"/>
  <c r="AA1463" i="1" s="1"/>
  <c r="AA1464" i="1" s="1"/>
  <c r="AA1465" i="1" s="1"/>
  <c r="AA1466" i="1" s="1"/>
  <c r="AA1467" i="1" s="1"/>
  <c r="AA1468" i="1" s="1"/>
  <c r="AA1469" i="1" s="1"/>
  <c r="AA1470" i="1" s="1"/>
  <c r="AA1471" i="1" s="1"/>
  <c r="AA1472" i="1" s="1"/>
  <c r="AA1473" i="1" s="1"/>
  <c r="AA1474" i="1" s="1"/>
  <c r="AA1475" i="1" s="1"/>
  <c r="AA1476" i="1" s="1"/>
  <c r="AA1477" i="1" s="1"/>
  <c r="AA1478" i="1" s="1"/>
  <c r="AA1479" i="1" s="1"/>
  <c r="AA1480" i="1" s="1"/>
  <c r="AA1481" i="1" s="1"/>
  <c r="AG1457" i="1"/>
  <c r="AF1457" i="1"/>
  <c r="AF1458" i="1" s="1"/>
  <c r="AF1459" i="1" s="1"/>
  <c r="AF1460" i="1" s="1"/>
  <c r="AF1461" i="1" s="1"/>
  <c r="AF1462" i="1" s="1"/>
  <c r="AF1463" i="1" s="1"/>
  <c r="AF1464" i="1" s="1"/>
  <c r="AF1465" i="1" s="1"/>
  <c r="AF1466" i="1" s="1"/>
  <c r="AF1467" i="1" s="1"/>
  <c r="AF1468" i="1" s="1"/>
  <c r="AF1469" i="1" s="1"/>
  <c r="AF1470" i="1" s="1"/>
  <c r="AF1471" i="1" s="1"/>
  <c r="AF1472" i="1" s="1"/>
  <c r="AF1473" i="1" s="1"/>
  <c r="AF1474" i="1" s="1"/>
  <c r="AF1475" i="1" s="1"/>
  <c r="AF1476" i="1" s="1"/>
  <c r="AF1477" i="1" s="1"/>
  <c r="AF1478" i="1" s="1"/>
  <c r="AF1479" i="1" s="1"/>
  <c r="AF1480" i="1" s="1"/>
  <c r="AF1481" i="1" s="1"/>
  <c r="AE1457" i="1"/>
  <c r="AE1458" i="1" s="1"/>
  <c r="AD1457" i="1"/>
  <c r="AC1457" i="1"/>
  <c r="AB1457" i="1"/>
  <c r="AA1457" i="1"/>
  <c r="T1457" i="1"/>
  <c r="T1458" i="1" s="1"/>
  <c r="T1459" i="1" s="1"/>
  <c r="T1460" i="1" s="1"/>
  <c r="T1461" i="1" s="1"/>
  <c r="T1462" i="1" s="1"/>
  <c r="T1463" i="1" s="1"/>
  <c r="T1464" i="1" s="1"/>
  <c r="T1465" i="1" s="1"/>
  <c r="T1466" i="1" s="1"/>
  <c r="T1467" i="1" s="1"/>
  <c r="T1468" i="1" s="1"/>
  <c r="T1469" i="1" s="1"/>
  <c r="T1470" i="1" s="1"/>
  <c r="T1471" i="1" s="1"/>
  <c r="T1472" i="1" s="1"/>
  <c r="T1473" i="1" s="1"/>
  <c r="T1474" i="1" s="1"/>
  <c r="T1475" i="1" s="1"/>
  <c r="T1476" i="1" s="1"/>
  <c r="T1477" i="1" s="1"/>
  <c r="T1478" i="1" s="1"/>
  <c r="T1479" i="1" s="1"/>
  <c r="T1480" i="1" s="1"/>
  <c r="T1481" i="1" s="1"/>
  <c r="AC1449" i="1"/>
  <c r="AC1450" i="1" s="1"/>
  <c r="AC1451" i="1" s="1"/>
  <c r="AC1452" i="1" s="1"/>
  <c r="AC1453" i="1" s="1"/>
  <c r="AC1454" i="1" s="1"/>
  <c r="AC1455" i="1" s="1"/>
  <c r="AC1437" i="1"/>
  <c r="AC1438" i="1" s="1"/>
  <c r="AC1439" i="1" s="1"/>
  <c r="AC1440" i="1" s="1"/>
  <c r="AC1441" i="1" s="1"/>
  <c r="AC1442" i="1" s="1"/>
  <c r="AC1443" i="1" s="1"/>
  <c r="AC1444" i="1" s="1"/>
  <c r="AC1445" i="1" s="1"/>
  <c r="AC1446" i="1" s="1"/>
  <c r="AC1447" i="1" s="1"/>
  <c r="AC1448" i="1" s="1"/>
  <c r="AF1434" i="1"/>
  <c r="AF1435" i="1" s="1"/>
  <c r="AF1436" i="1" s="1"/>
  <c r="AF1437" i="1" s="1"/>
  <c r="AF1438" i="1" s="1"/>
  <c r="AF1439" i="1" s="1"/>
  <c r="AF1440" i="1" s="1"/>
  <c r="AF1441" i="1" s="1"/>
  <c r="AF1442" i="1" s="1"/>
  <c r="AF1443" i="1" s="1"/>
  <c r="AF1444" i="1" s="1"/>
  <c r="AF1445" i="1" s="1"/>
  <c r="AF1446" i="1" s="1"/>
  <c r="AF1447" i="1" s="1"/>
  <c r="AF1448" i="1" s="1"/>
  <c r="AF1449" i="1" s="1"/>
  <c r="AF1450" i="1" s="1"/>
  <c r="AF1451" i="1" s="1"/>
  <c r="AF1452" i="1" s="1"/>
  <c r="AF1453" i="1" s="1"/>
  <c r="AF1454" i="1" s="1"/>
  <c r="AF1455" i="1" s="1"/>
  <c r="AC1433" i="1"/>
  <c r="AC1434" i="1" s="1"/>
  <c r="AC1435" i="1" s="1"/>
  <c r="AC1436" i="1" s="1"/>
  <c r="AA1432" i="1"/>
  <c r="AA1433" i="1" s="1"/>
  <c r="AA1434" i="1" s="1"/>
  <c r="AA1435" i="1" s="1"/>
  <c r="AA1436" i="1" s="1"/>
  <c r="AA1437" i="1" s="1"/>
  <c r="AA1438" i="1" s="1"/>
  <c r="AA1439" i="1" s="1"/>
  <c r="AA1440" i="1" s="1"/>
  <c r="AA1441" i="1" s="1"/>
  <c r="AA1442" i="1" s="1"/>
  <c r="AA1443" i="1" s="1"/>
  <c r="AA1444" i="1" s="1"/>
  <c r="AA1445" i="1" s="1"/>
  <c r="AA1446" i="1" s="1"/>
  <c r="AA1447" i="1" s="1"/>
  <c r="AA1448" i="1" s="1"/>
  <c r="AA1449" i="1" s="1"/>
  <c r="AA1450" i="1" s="1"/>
  <c r="AA1451" i="1" s="1"/>
  <c r="AA1452" i="1" s="1"/>
  <c r="AA1453" i="1" s="1"/>
  <c r="AA1454" i="1" s="1"/>
  <c r="AA1455" i="1" s="1"/>
  <c r="T1432" i="1"/>
  <c r="T1433" i="1" s="1"/>
  <c r="T1434" i="1" s="1"/>
  <c r="T1435" i="1" s="1"/>
  <c r="T1436" i="1" s="1"/>
  <c r="T1437" i="1" s="1"/>
  <c r="T1438" i="1" s="1"/>
  <c r="T1439" i="1" s="1"/>
  <c r="T1440" i="1" s="1"/>
  <c r="T1441" i="1" s="1"/>
  <c r="T1442" i="1" s="1"/>
  <c r="T1443" i="1" s="1"/>
  <c r="T1444" i="1" s="1"/>
  <c r="T1445" i="1" s="1"/>
  <c r="T1446" i="1" s="1"/>
  <c r="T1447" i="1" s="1"/>
  <c r="T1448" i="1" s="1"/>
  <c r="T1449" i="1" s="1"/>
  <c r="T1450" i="1" s="1"/>
  <c r="T1451" i="1" s="1"/>
  <c r="T1452" i="1" s="1"/>
  <c r="T1453" i="1" s="1"/>
  <c r="T1454" i="1" s="1"/>
  <c r="T1455" i="1" s="1"/>
  <c r="S1432" i="1"/>
  <c r="S1433" i="1" s="1"/>
  <c r="S1434" i="1" s="1"/>
  <c r="S1435" i="1" s="1"/>
  <c r="S1436" i="1" s="1"/>
  <c r="S1437" i="1" s="1"/>
  <c r="S1438" i="1" s="1"/>
  <c r="S1439" i="1" s="1"/>
  <c r="S1440" i="1" s="1"/>
  <c r="S1441" i="1" s="1"/>
  <c r="S1442" i="1" s="1"/>
  <c r="S1443" i="1" s="1"/>
  <c r="S1444" i="1" s="1"/>
  <c r="S1445" i="1" s="1"/>
  <c r="S1446" i="1" s="1"/>
  <c r="S1447" i="1" s="1"/>
  <c r="S1448" i="1" s="1"/>
  <c r="S1449" i="1" s="1"/>
  <c r="S1450" i="1" s="1"/>
  <c r="S1451" i="1" s="1"/>
  <c r="S1452" i="1" s="1"/>
  <c r="S1453" i="1" s="1"/>
  <c r="S1454" i="1" s="1"/>
  <c r="S1455" i="1" s="1"/>
  <c r="S1456" i="1" s="1"/>
  <c r="S1457" i="1" s="1"/>
  <c r="S1458" i="1" s="1"/>
  <c r="S1459" i="1" s="1"/>
  <c r="S1460" i="1" s="1"/>
  <c r="S1461" i="1" s="1"/>
  <c r="S1462" i="1" s="1"/>
  <c r="S1463" i="1" s="1"/>
  <c r="S1464" i="1" s="1"/>
  <c r="S1465" i="1" s="1"/>
  <c r="S1466" i="1" s="1"/>
  <c r="S1467" i="1" s="1"/>
  <c r="S1468" i="1" s="1"/>
  <c r="S1469" i="1" s="1"/>
  <c r="S1470" i="1" s="1"/>
  <c r="S1471" i="1" s="1"/>
  <c r="S1472" i="1" s="1"/>
  <c r="S1473" i="1" s="1"/>
  <c r="S1474" i="1" s="1"/>
  <c r="S1475" i="1" s="1"/>
  <c r="S1476" i="1" s="1"/>
  <c r="S1477" i="1" s="1"/>
  <c r="S1478" i="1" s="1"/>
  <c r="S1479" i="1" s="1"/>
  <c r="S1480" i="1" s="1"/>
  <c r="S1481" i="1" s="1"/>
  <c r="S1482" i="1" s="1"/>
  <c r="S1483" i="1" s="1"/>
  <c r="S1484" i="1" s="1"/>
  <c r="S1485" i="1" s="1"/>
  <c r="S1486" i="1" s="1"/>
  <c r="S1431" i="1"/>
  <c r="AG1430" i="1"/>
  <c r="AG1431" i="1" s="1"/>
  <c r="AG1432" i="1" s="1"/>
  <c r="AG1433" i="1" s="1"/>
  <c r="AG1434" i="1" s="1"/>
  <c r="AG1435" i="1" s="1"/>
  <c r="AG1436" i="1" s="1"/>
  <c r="AG1437" i="1" s="1"/>
  <c r="AG1438" i="1" s="1"/>
  <c r="AG1439" i="1" s="1"/>
  <c r="AG1440" i="1" s="1"/>
  <c r="AG1441" i="1" s="1"/>
  <c r="AG1442" i="1" s="1"/>
  <c r="AG1443" i="1" s="1"/>
  <c r="AG1444" i="1" s="1"/>
  <c r="AG1445" i="1" s="1"/>
  <c r="AG1446" i="1" s="1"/>
  <c r="AG1447" i="1" s="1"/>
  <c r="AG1448" i="1" s="1"/>
  <c r="AG1449" i="1" s="1"/>
  <c r="AG1450" i="1" s="1"/>
  <c r="AG1451" i="1" s="1"/>
  <c r="AG1452" i="1" s="1"/>
  <c r="AG1453" i="1" s="1"/>
  <c r="AG1454" i="1" s="1"/>
  <c r="AG1455" i="1" s="1"/>
  <c r="AF1430" i="1"/>
  <c r="AF1431" i="1" s="1"/>
  <c r="AF1432" i="1" s="1"/>
  <c r="AF1433" i="1" s="1"/>
  <c r="AE1430" i="1"/>
  <c r="AE1431" i="1" s="1"/>
  <c r="AE1432" i="1" s="1"/>
  <c r="AE1433" i="1" s="1"/>
  <c r="AE1434" i="1" s="1"/>
  <c r="AE1435" i="1" s="1"/>
  <c r="AE1436" i="1" s="1"/>
  <c r="AE1437" i="1" s="1"/>
  <c r="AE1438" i="1" s="1"/>
  <c r="AE1439" i="1" s="1"/>
  <c r="AE1440" i="1" s="1"/>
  <c r="AE1441" i="1" s="1"/>
  <c r="AE1442" i="1" s="1"/>
  <c r="AE1443" i="1" s="1"/>
  <c r="AE1444" i="1" s="1"/>
  <c r="AE1445" i="1" s="1"/>
  <c r="AE1446" i="1" s="1"/>
  <c r="AE1447" i="1" s="1"/>
  <c r="AE1448" i="1" s="1"/>
  <c r="AE1449" i="1" s="1"/>
  <c r="AE1450" i="1" s="1"/>
  <c r="AE1451" i="1" s="1"/>
  <c r="AE1452" i="1" s="1"/>
  <c r="AE1453" i="1" s="1"/>
  <c r="AE1454" i="1" s="1"/>
  <c r="AE1455" i="1" s="1"/>
  <c r="AA1430" i="1"/>
  <c r="AA1431" i="1" s="1"/>
  <c r="T1430" i="1"/>
  <c r="T1431" i="1" s="1"/>
  <c r="S1430" i="1"/>
  <c r="AG1429" i="1"/>
  <c r="AF1429" i="1"/>
  <c r="AE1429" i="1"/>
  <c r="AD1429" i="1"/>
  <c r="AD1430" i="1" s="1"/>
  <c r="AD1431" i="1" s="1"/>
  <c r="AD1432" i="1" s="1"/>
  <c r="AD1433" i="1" s="1"/>
  <c r="AD1434" i="1" s="1"/>
  <c r="AD1435" i="1" s="1"/>
  <c r="AD1436" i="1" s="1"/>
  <c r="AD1437" i="1" s="1"/>
  <c r="AD1438" i="1" s="1"/>
  <c r="AD1439" i="1" s="1"/>
  <c r="AD1440" i="1" s="1"/>
  <c r="AD1441" i="1" s="1"/>
  <c r="AD1442" i="1" s="1"/>
  <c r="AD1443" i="1" s="1"/>
  <c r="AD1444" i="1" s="1"/>
  <c r="AD1445" i="1" s="1"/>
  <c r="AD1446" i="1" s="1"/>
  <c r="AD1447" i="1" s="1"/>
  <c r="AD1448" i="1" s="1"/>
  <c r="AD1449" i="1" s="1"/>
  <c r="AD1450" i="1" s="1"/>
  <c r="AD1451" i="1" s="1"/>
  <c r="AD1452" i="1" s="1"/>
  <c r="AD1453" i="1" s="1"/>
  <c r="AD1454" i="1" s="1"/>
  <c r="AD1455" i="1" s="1"/>
  <c r="AC1429" i="1"/>
  <c r="AC1430" i="1" s="1"/>
  <c r="AC1431" i="1" s="1"/>
  <c r="AC1432" i="1" s="1"/>
  <c r="AB1429" i="1"/>
  <c r="AB1430" i="1" s="1"/>
  <c r="AB1431" i="1" s="1"/>
  <c r="AB1432" i="1" s="1"/>
  <c r="AB1433" i="1" s="1"/>
  <c r="AB1434" i="1" s="1"/>
  <c r="AB1435" i="1" s="1"/>
  <c r="AB1436" i="1" s="1"/>
  <c r="AB1437" i="1" s="1"/>
  <c r="AB1438" i="1" s="1"/>
  <c r="AB1439" i="1" s="1"/>
  <c r="AB1440" i="1" s="1"/>
  <c r="AB1441" i="1" s="1"/>
  <c r="AB1442" i="1" s="1"/>
  <c r="AB1443" i="1" s="1"/>
  <c r="AB1444" i="1" s="1"/>
  <c r="AB1445" i="1" s="1"/>
  <c r="AB1446" i="1" s="1"/>
  <c r="AB1447" i="1" s="1"/>
  <c r="AB1448" i="1" s="1"/>
  <c r="AB1449" i="1" s="1"/>
  <c r="AB1450" i="1" s="1"/>
  <c r="AB1451" i="1" s="1"/>
  <c r="AB1452" i="1" s="1"/>
  <c r="AB1453" i="1" s="1"/>
  <c r="AB1454" i="1" s="1"/>
  <c r="AB1455" i="1" s="1"/>
  <c r="AA1429" i="1"/>
  <c r="T1429" i="1"/>
  <c r="S1429" i="1"/>
  <c r="T1424" i="1"/>
  <c r="T1425" i="1" s="1"/>
  <c r="AG1423" i="1"/>
  <c r="AG1424" i="1" s="1"/>
  <c r="AG1425" i="1" s="1"/>
  <c r="AG1422" i="1"/>
  <c r="AF1422" i="1"/>
  <c r="AF1423" i="1" s="1"/>
  <c r="AF1424" i="1" s="1"/>
  <c r="AF1425" i="1" s="1"/>
  <c r="AD1422" i="1"/>
  <c r="AD1423" i="1" s="1"/>
  <c r="AD1424" i="1" s="1"/>
  <c r="AD1425" i="1" s="1"/>
  <c r="AG1421" i="1"/>
  <c r="AD1421" i="1"/>
  <c r="AC1421" i="1"/>
  <c r="AC1422" i="1" s="1"/>
  <c r="AC1423" i="1" s="1"/>
  <c r="AC1424" i="1" s="1"/>
  <c r="AC1425" i="1" s="1"/>
  <c r="AB1421" i="1"/>
  <c r="AB1422" i="1" s="1"/>
  <c r="AB1423" i="1" s="1"/>
  <c r="AB1424" i="1" s="1"/>
  <c r="AB1425" i="1" s="1"/>
  <c r="AA1421" i="1"/>
  <c r="AA1422" i="1" s="1"/>
  <c r="AA1423" i="1" s="1"/>
  <c r="AA1424" i="1" s="1"/>
  <c r="AA1425" i="1" s="1"/>
  <c r="AG1420" i="1"/>
  <c r="AF1420" i="1"/>
  <c r="AF1421" i="1" s="1"/>
  <c r="AE1420" i="1"/>
  <c r="AE1421" i="1" s="1"/>
  <c r="AE1422" i="1" s="1"/>
  <c r="AE1423" i="1" s="1"/>
  <c r="AE1424" i="1" s="1"/>
  <c r="AE1425" i="1" s="1"/>
  <c r="AD1420" i="1"/>
  <c r="AC1420" i="1"/>
  <c r="AB1420" i="1"/>
  <c r="AA1420" i="1"/>
  <c r="T1420" i="1"/>
  <c r="T1421" i="1" s="1"/>
  <c r="T1422" i="1" s="1"/>
  <c r="T1423" i="1" s="1"/>
  <c r="AD1418" i="1"/>
  <c r="AC1418" i="1"/>
  <c r="AB1418" i="1"/>
  <c r="AG1417" i="1"/>
  <c r="AG1418" i="1" s="1"/>
  <c r="AF1417" i="1"/>
  <c r="AF1418" i="1" s="1"/>
  <c r="AE1417" i="1"/>
  <c r="AE1418" i="1" s="1"/>
  <c r="AD1417" i="1"/>
  <c r="AC1417" i="1"/>
  <c r="AB1417" i="1"/>
  <c r="AA1417" i="1"/>
  <c r="AA1418" i="1" s="1"/>
  <c r="T1417" i="1"/>
  <c r="T1418" i="1" s="1"/>
  <c r="AE1415" i="1"/>
  <c r="AD1415" i="1"/>
  <c r="AC1415" i="1"/>
  <c r="AC1414" i="1"/>
  <c r="T1414" i="1"/>
  <c r="T1415" i="1" s="1"/>
  <c r="AE1413" i="1"/>
  <c r="AE1414" i="1" s="1"/>
  <c r="AD1413" i="1"/>
  <c r="AD1414" i="1" s="1"/>
  <c r="AC1413" i="1"/>
  <c r="T1413" i="1"/>
  <c r="AG1412" i="1"/>
  <c r="AG1413" i="1" s="1"/>
  <c r="AG1414" i="1" s="1"/>
  <c r="AG1415" i="1" s="1"/>
  <c r="AF1412" i="1"/>
  <c r="AF1413" i="1" s="1"/>
  <c r="AF1414" i="1" s="1"/>
  <c r="AF1415" i="1" s="1"/>
  <c r="AE1412" i="1"/>
  <c r="AD1412" i="1"/>
  <c r="AC1412" i="1"/>
  <c r="AB1412" i="1"/>
  <c r="AB1413" i="1" s="1"/>
  <c r="AB1414" i="1" s="1"/>
  <c r="AB1415" i="1" s="1"/>
  <c r="AA1412" i="1"/>
  <c r="AA1413" i="1" s="1"/>
  <c r="AA1414" i="1" s="1"/>
  <c r="AA1415" i="1" s="1"/>
  <c r="T1412" i="1"/>
  <c r="T1404" i="1"/>
  <c r="T1405" i="1" s="1"/>
  <c r="T1406" i="1" s="1"/>
  <c r="T1407" i="1" s="1"/>
  <c r="T1408" i="1" s="1"/>
  <c r="T1409" i="1" s="1"/>
  <c r="T1410" i="1" s="1"/>
  <c r="AF1402" i="1"/>
  <c r="AF1403" i="1" s="1"/>
  <c r="AF1404" i="1" s="1"/>
  <c r="AF1405" i="1" s="1"/>
  <c r="AF1406" i="1" s="1"/>
  <c r="AF1407" i="1" s="1"/>
  <c r="AF1408" i="1" s="1"/>
  <c r="AF1409" i="1" s="1"/>
  <c r="AF1410" i="1" s="1"/>
  <c r="AD1402" i="1"/>
  <c r="AD1403" i="1" s="1"/>
  <c r="AD1404" i="1" s="1"/>
  <c r="AD1405" i="1" s="1"/>
  <c r="AD1406" i="1" s="1"/>
  <c r="AD1407" i="1" s="1"/>
  <c r="AD1408" i="1" s="1"/>
  <c r="AD1409" i="1" s="1"/>
  <c r="AD1410" i="1" s="1"/>
  <c r="AD1401" i="1"/>
  <c r="AC1401" i="1"/>
  <c r="AC1402" i="1" s="1"/>
  <c r="AC1403" i="1" s="1"/>
  <c r="AC1404" i="1" s="1"/>
  <c r="AC1405" i="1" s="1"/>
  <c r="AC1406" i="1" s="1"/>
  <c r="AC1407" i="1" s="1"/>
  <c r="AC1408" i="1" s="1"/>
  <c r="AC1409" i="1" s="1"/>
  <c r="AC1410" i="1" s="1"/>
  <c r="AA1401" i="1"/>
  <c r="AA1402" i="1" s="1"/>
  <c r="AA1403" i="1" s="1"/>
  <c r="AA1404" i="1" s="1"/>
  <c r="AA1405" i="1" s="1"/>
  <c r="AA1406" i="1" s="1"/>
  <c r="AA1407" i="1" s="1"/>
  <c r="AA1408" i="1" s="1"/>
  <c r="AA1409" i="1" s="1"/>
  <c r="AA1410" i="1" s="1"/>
  <c r="AF1400" i="1"/>
  <c r="AF1401" i="1" s="1"/>
  <c r="AE1400" i="1"/>
  <c r="AE1401" i="1" s="1"/>
  <c r="AE1402" i="1" s="1"/>
  <c r="AE1403" i="1" s="1"/>
  <c r="AE1404" i="1" s="1"/>
  <c r="AE1405" i="1" s="1"/>
  <c r="AE1406" i="1" s="1"/>
  <c r="AE1407" i="1" s="1"/>
  <c r="AE1408" i="1" s="1"/>
  <c r="AE1409" i="1" s="1"/>
  <c r="AE1410" i="1" s="1"/>
  <c r="AD1400" i="1"/>
  <c r="AA1400" i="1"/>
  <c r="T1400" i="1"/>
  <c r="T1401" i="1" s="1"/>
  <c r="T1402" i="1" s="1"/>
  <c r="T1403" i="1" s="1"/>
  <c r="AG1399" i="1"/>
  <c r="AG1400" i="1" s="1"/>
  <c r="AG1401" i="1" s="1"/>
  <c r="AG1402" i="1" s="1"/>
  <c r="AG1403" i="1" s="1"/>
  <c r="AG1404" i="1" s="1"/>
  <c r="AG1405" i="1" s="1"/>
  <c r="AG1406" i="1" s="1"/>
  <c r="AG1407" i="1" s="1"/>
  <c r="AG1408" i="1" s="1"/>
  <c r="AG1409" i="1" s="1"/>
  <c r="AG1410" i="1" s="1"/>
  <c r="AF1399" i="1"/>
  <c r="AE1399" i="1"/>
  <c r="AD1399" i="1"/>
  <c r="AC1399" i="1"/>
  <c r="AC1400" i="1" s="1"/>
  <c r="AB1399" i="1"/>
  <c r="AB1400" i="1" s="1"/>
  <c r="AB1401" i="1" s="1"/>
  <c r="AB1402" i="1" s="1"/>
  <c r="AB1403" i="1" s="1"/>
  <c r="AB1404" i="1" s="1"/>
  <c r="AB1405" i="1" s="1"/>
  <c r="AB1406" i="1" s="1"/>
  <c r="AB1407" i="1" s="1"/>
  <c r="AB1408" i="1" s="1"/>
  <c r="AB1409" i="1" s="1"/>
  <c r="AB1410" i="1" s="1"/>
  <c r="AA1399" i="1"/>
  <c r="T1399" i="1"/>
  <c r="AG1393" i="1"/>
  <c r="AG1394" i="1" s="1"/>
  <c r="AG1395" i="1" s="1"/>
  <c r="AG1396" i="1" s="1"/>
  <c r="AG1397" i="1" s="1"/>
  <c r="AE1393" i="1"/>
  <c r="AE1394" i="1" s="1"/>
  <c r="AE1395" i="1" s="1"/>
  <c r="AE1396" i="1" s="1"/>
  <c r="AE1397" i="1" s="1"/>
  <c r="AE1392" i="1"/>
  <c r="AC1392" i="1"/>
  <c r="AC1393" i="1" s="1"/>
  <c r="AC1394" i="1" s="1"/>
  <c r="AC1395" i="1" s="1"/>
  <c r="AC1396" i="1" s="1"/>
  <c r="AC1397" i="1" s="1"/>
  <c r="AG1391" i="1"/>
  <c r="AG1392" i="1" s="1"/>
  <c r="AF1391" i="1"/>
  <c r="AF1392" i="1" s="1"/>
  <c r="AF1393" i="1" s="1"/>
  <c r="AF1394" i="1" s="1"/>
  <c r="AF1395" i="1" s="1"/>
  <c r="AF1396" i="1" s="1"/>
  <c r="AF1397" i="1" s="1"/>
  <c r="AE1391" i="1"/>
  <c r="AB1391" i="1"/>
  <c r="AB1392" i="1" s="1"/>
  <c r="AB1393" i="1" s="1"/>
  <c r="AB1394" i="1" s="1"/>
  <c r="AB1395" i="1" s="1"/>
  <c r="AB1396" i="1" s="1"/>
  <c r="AB1397" i="1" s="1"/>
  <c r="AA1391" i="1"/>
  <c r="AA1392" i="1" s="1"/>
  <c r="AA1393" i="1" s="1"/>
  <c r="AA1394" i="1" s="1"/>
  <c r="AA1395" i="1" s="1"/>
  <c r="AA1396" i="1" s="1"/>
  <c r="AA1397" i="1" s="1"/>
  <c r="T1391" i="1"/>
  <c r="T1392" i="1" s="1"/>
  <c r="T1393" i="1" s="1"/>
  <c r="T1394" i="1" s="1"/>
  <c r="T1395" i="1" s="1"/>
  <c r="T1396" i="1" s="1"/>
  <c r="T1397" i="1" s="1"/>
  <c r="AG1390" i="1"/>
  <c r="AF1390" i="1"/>
  <c r="AE1390" i="1"/>
  <c r="AD1390" i="1"/>
  <c r="AD1391" i="1" s="1"/>
  <c r="AD1392" i="1" s="1"/>
  <c r="AD1393" i="1" s="1"/>
  <c r="AD1394" i="1" s="1"/>
  <c r="AD1395" i="1" s="1"/>
  <c r="AD1396" i="1" s="1"/>
  <c r="AD1397" i="1" s="1"/>
  <c r="AC1390" i="1"/>
  <c r="AC1391" i="1" s="1"/>
  <c r="AB1390" i="1"/>
  <c r="AA1390" i="1"/>
  <c r="T1390" i="1"/>
  <c r="S1389" i="1"/>
  <c r="S1390" i="1" s="1"/>
  <c r="S1391" i="1" s="1"/>
  <c r="S1392" i="1" s="1"/>
  <c r="S1393" i="1" s="1"/>
  <c r="S1394" i="1" s="1"/>
  <c r="S1395" i="1" s="1"/>
  <c r="S1396" i="1" s="1"/>
  <c r="S1397" i="1" s="1"/>
  <c r="S1398" i="1" s="1"/>
  <c r="S1399" i="1" s="1"/>
  <c r="S1400" i="1" s="1"/>
  <c r="S1401" i="1" s="1"/>
  <c r="S1402" i="1" s="1"/>
  <c r="S1403" i="1" s="1"/>
  <c r="S1404" i="1" s="1"/>
  <c r="S1405" i="1" s="1"/>
  <c r="S1406" i="1" s="1"/>
  <c r="S1407" i="1" s="1"/>
  <c r="S1408" i="1" s="1"/>
  <c r="S1409" i="1" s="1"/>
  <c r="S1410" i="1" s="1"/>
  <c r="S1411" i="1" s="1"/>
  <c r="S1412" i="1" s="1"/>
  <c r="S1413" i="1" s="1"/>
  <c r="S1414" i="1" s="1"/>
  <c r="S1415" i="1" s="1"/>
  <c r="S1416" i="1" s="1"/>
  <c r="S1417" i="1" s="1"/>
  <c r="S1418" i="1" s="1"/>
  <c r="S1419" i="1" s="1"/>
  <c r="S1420" i="1" s="1"/>
  <c r="S1421" i="1" s="1"/>
  <c r="S1422" i="1" s="1"/>
  <c r="S1423" i="1" s="1"/>
  <c r="S1424" i="1" s="1"/>
  <c r="S1425" i="1" s="1"/>
  <c r="S1426" i="1" s="1"/>
  <c r="S1427" i="1" s="1"/>
  <c r="AG1388" i="1"/>
  <c r="AF1388" i="1"/>
  <c r="AE1388" i="1"/>
  <c r="AD1388" i="1"/>
  <c r="AC1388" i="1"/>
  <c r="AB1388" i="1"/>
  <c r="AA1388" i="1"/>
  <c r="T1388" i="1"/>
  <c r="S1388" i="1"/>
  <c r="AE1370" i="1"/>
  <c r="AE1371" i="1" s="1"/>
  <c r="AE1372" i="1" s="1"/>
  <c r="AE1373" i="1" s="1"/>
  <c r="AE1374" i="1" s="1"/>
  <c r="AE1375" i="1" s="1"/>
  <c r="AE1376" i="1" s="1"/>
  <c r="AE1377" i="1" s="1"/>
  <c r="AE1378" i="1" s="1"/>
  <c r="AE1379" i="1" s="1"/>
  <c r="AE1380" i="1" s="1"/>
  <c r="AE1381" i="1" s="1"/>
  <c r="AE1382" i="1" s="1"/>
  <c r="AE1383" i="1" s="1"/>
  <c r="AE1384" i="1" s="1"/>
  <c r="AE1385" i="1" s="1"/>
  <c r="AE1386" i="1" s="1"/>
  <c r="AD1370" i="1"/>
  <c r="AD1371" i="1" s="1"/>
  <c r="AD1372" i="1" s="1"/>
  <c r="AD1373" i="1" s="1"/>
  <c r="AD1374" i="1" s="1"/>
  <c r="AD1375" i="1" s="1"/>
  <c r="AD1376" i="1" s="1"/>
  <c r="AD1377" i="1" s="1"/>
  <c r="AD1378" i="1" s="1"/>
  <c r="AD1379" i="1" s="1"/>
  <c r="AD1380" i="1" s="1"/>
  <c r="AD1381" i="1" s="1"/>
  <c r="AD1382" i="1" s="1"/>
  <c r="AD1383" i="1" s="1"/>
  <c r="AD1384" i="1" s="1"/>
  <c r="AD1385" i="1" s="1"/>
  <c r="AD1386" i="1" s="1"/>
  <c r="AB1369" i="1"/>
  <c r="AB1370" i="1" s="1"/>
  <c r="AB1371" i="1" s="1"/>
  <c r="AB1372" i="1" s="1"/>
  <c r="AB1373" i="1" s="1"/>
  <c r="AB1374" i="1" s="1"/>
  <c r="AB1375" i="1" s="1"/>
  <c r="AB1376" i="1" s="1"/>
  <c r="AB1377" i="1" s="1"/>
  <c r="AB1378" i="1" s="1"/>
  <c r="AB1379" i="1" s="1"/>
  <c r="AB1380" i="1" s="1"/>
  <c r="AB1381" i="1" s="1"/>
  <c r="AB1382" i="1" s="1"/>
  <c r="AB1383" i="1" s="1"/>
  <c r="AB1384" i="1" s="1"/>
  <c r="AB1385" i="1" s="1"/>
  <c r="AB1386" i="1" s="1"/>
  <c r="T1368" i="1"/>
  <c r="T1369" i="1" s="1"/>
  <c r="T1370" i="1" s="1"/>
  <c r="T1371" i="1" s="1"/>
  <c r="T1372" i="1" s="1"/>
  <c r="T1373" i="1" s="1"/>
  <c r="T1374" i="1" s="1"/>
  <c r="T1375" i="1" s="1"/>
  <c r="T1376" i="1" s="1"/>
  <c r="T1377" i="1" s="1"/>
  <c r="T1378" i="1" s="1"/>
  <c r="T1379" i="1" s="1"/>
  <c r="T1380" i="1" s="1"/>
  <c r="T1381" i="1" s="1"/>
  <c r="T1382" i="1" s="1"/>
  <c r="T1383" i="1" s="1"/>
  <c r="T1384" i="1" s="1"/>
  <c r="T1385" i="1" s="1"/>
  <c r="T1386" i="1" s="1"/>
  <c r="AG1367" i="1"/>
  <c r="AG1368" i="1" s="1"/>
  <c r="AG1369" i="1" s="1"/>
  <c r="AG1370" i="1" s="1"/>
  <c r="AG1371" i="1" s="1"/>
  <c r="AG1372" i="1" s="1"/>
  <c r="AG1373" i="1" s="1"/>
  <c r="AG1374" i="1" s="1"/>
  <c r="AG1375" i="1" s="1"/>
  <c r="AG1376" i="1" s="1"/>
  <c r="AG1377" i="1" s="1"/>
  <c r="AG1378" i="1" s="1"/>
  <c r="AG1379" i="1" s="1"/>
  <c r="AG1380" i="1" s="1"/>
  <c r="AG1381" i="1" s="1"/>
  <c r="AG1382" i="1" s="1"/>
  <c r="AG1383" i="1" s="1"/>
  <c r="AG1384" i="1" s="1"/>
  <c r="AG1385" i="1" s="1"/>
  <c r="AG1386" i="1" s="1"/>
  <c r="AB1367" i="1"/>
  <c r="AB1368" i="1" s="1"/>
  <c r="T1367" i="1"/>
  <c r="AG1366" i="1"/>
  <c r="AF1366" i="1"/>
  <c r="AF1367" i="1" s="1"/>
  <c r="AF1368" i="1" s="1"/>
  <c r="AF1369" i="1" s="1"/>
  <c r="AF1370" i="1" s="1"/>
  <c r="AF1371" i="1" s="1"/>
  <c r="AF1372" i="1" s="1"/>
  <c r="AF1373" i="1" s="1"/>
  <c r="AF1374" i="1" s="1"/>
  <c r="AF1375" i="1" s="1"/>
  <c r="AF1376" i="1" s="1"/>
  <c r="AF1377" i="1" s="1"/>
  <c r="AF1378" i="1" s="1"/>
  <c r="AF1379" i="1" s="1"/>
  <c r="AF1380" i="1" s="1"/>
  <c r="AF1381" i="1" s="1"/>
  <c r="AF1382" i="1" s="1"/>
  <c r="AF1383" i="1" s="1"/>
  <c r="AF1384" i="1" s="1"/>
  <c r="AF1385" i="1" s="1"/>
  <c r="AF1386" i="1" s="1"/>
  <c r="AE1366" i="1"/>
  <c r="AE1367" i="1" s="1"/>
  <c r="AE1368" i="1" s="1"/>
  <c r="AE1369" i="1" s="1"/>
  <c r="AD1366" i="1"/>
  <c r="AD1367" i="1" s="1"/>
  <c r="AD1368" i="1" s="1"/>
  <c r="AD1369" i="1" s="1"/>
  <c r="AC1366" i="1"/>
  <c r="AC1367" i="1" s="1"/>
  <c r="AC1368" i="1" s="1"/>
  <c r="AC1369" i="1" s="1"/>
  <c r="AC1370" i="1" s="1"/>
  <c r="AC1371" i="1" s="1"/>
  <c r="AC1372" i="1" s="1"/>
  <c r="AC1373" i="1" s="1"/>
  <c r="AC1374" i="1" s="1"/>
  <c r="AC1375" i="1" s="1"/>
  <c r="AC1376" i="1" s="1"/>
  <c r="AC1377" i="1" s="1"/>
  <c r="AC1378" i="1" s="1"/>
  <c r="AC1379" i="1" s="1"/>
  <c r="AC1380" i="1" s="1"/>
  <c r="AC1381" i="1" s="1"/>
  <c r="AC1382" i="1" s="1"/>
  <c r="AC1383" i="1" s="1"/>
  <c r="AC1384" i="1" s="1"/>
  <c r="AC1385" i="1" s="1"/>
  <c r="AC1386" i="1" s="1"/>
  <c r="AB1366" i="1"/>
  <c r="AA1366" i="1"/>
  <c r="AA1367" i="1" s="1"/>
  <c r="AA1368" i="1" s="1"/>
  <c r="AA1369" i="1" s="1"/>
  <c r="AA1370" i="1" s="1"/>
  <c r="AA1371" i="1" s="1"/>
  <c r="AA1372" i="1" s="1"/>
  <c r="AA1373" i="1" s="1"/>
  <c r="AA1374" i="1" s="1"/>
  <c r="AA1375" i="1" s="1"/>
  <c r="AA1376" i="1" s="1"/>
  <c r="AA1377" i="1" s="1"/>
  <c r="AA1378" i="1" s="1"/>
  <c r="AA1379" i="1" s="1"/>
  <c r="AA1380" i="1" s="1"/>
  <c r="AA1381" i="1" s="1"/>
  <c r="AA1382" i="1" s="1"/>
  <c r="AA1383" i="1" s="1"/>
  <c r="AA1384" i="1" s="1"/>
  <c r="AA1385" i="1" s="1"/>
  <c r="AA1386" i="1" s="1"/>
  <c r="T1366" i="1"/>
  <c r="T1363" i="1"/>
  <c r="T1364" i="1" s="1"/>
  <c r="AF1361" i="1"/>
  <c r="AF1362" i="1" s="1"/>
  <c r="AF1363" i="1" s="1"/>
  <c r="AF1364" i="1" s="1"/>
  <c r="AE1361" i="1"/>
  <c r="AE1362" i="1" s="1"/>
  <c r="AE1363" i="1" s="1"/>
  <c r="AE1364" i="1" s="1"/>
  <c r="AD1361" i="1"/>
  <c r="AD1362" i="1" s="1"/>
  <c r="AD1363" i="1" s="1"/>
  <c r="AD1364" i="1" s="1"/>
  <c r="AD1360" i="1"/>
  <c r="AC1360" i="1"/>
  <c r="AC1361" i="1" s="1"/>
  <c r="AC1362" i="1" s="1"/>
  <c r="AC1363" i="1" s="1"/>
  <c r="AC1364" i="1" s="1"/>
  <c r="AB1360" i="1"/>
  <c r="AB1361" i="1" s="1"/>
  <c r="AB1362" i="1" s="1"/>
  <c r="AB1363" i="1" s="1"/>
  <c r="AB1364" i="1" s="1"/>
  <c r="AA1360" i="1"/>
  <c r="AA1361" i="1" s="1"/>
  <c r="AA1362" i="1" s="1"/>
  <c r="AA1363" i="1" s="1"/>
  <c r="AA1364" i="1" s="1"/>
  <c r="AG1359" i="1"/>
  <c r="AG1360" i="1" s="1"/>
  <c r="AG1361" i="1" s="1"/>
  <c r="AG1362" i="1" s="1"/>
  <c r="AG1363" i="1" s="1"/>
  <c r="AG1364" i="1" s="1"/>
  <c r="AF1359" i="1"/>
  <c r="AF1360" i="1" s="1"/>
  <c r="AE1359" i="1"/>
  <c r="AE1360" i="1" s="1"/>
  <c r="AD1359" i="1"/>
  <c r="AC1359" i="1"/>
  <c r="AB1359" i="1"/>
  <c r="AA1359" i="1"/>
  <c r="T1359" i="1"/>
  <c r="T1360" i="1" s="1"/>
  <c r="T1361" i="1" s="1"/>
  <c r="T1362" i="1" s="1"/>
  <c r="AD1357" i="1"/>
  <c r="AC1357" i="1"/>
  <c r="S1357" i="1"/>
  <c r="S1358" i="1" s="1"/>
  <c r="S1359" i="1" s="1"/>
  <c r="S1360" i="1" s="1"/>
  <c r="S1361" i="1" s="1"/>
  <c r="S1362" i="1" s="1"/>
  <c r="S1363" i="1" s="1"/>
  <c r="S1364" i="1" s="1"/>
  <c r="S1365" i="1" s="1"/>
  <c r="S1366" i="1" s="1"/>
  <c r="S1367" i="1" s="1"/>
  <c r="S1368" i="1" s="1"/>
  <c r="S1369" i="1" s="1"/>
  <c r="S1370" i="1" s="1"/>
  <c r="S1371" i="1" s="1"/>
  <c r="S1372" i="1" s="1"/>
  <c r="S1373" i="1" s="1"/>
  <c r="S1374" i="1" s="1"/>
  <c r="S1375" i="1" s="1"/>
  <c r="S1376" i="1" s="1"/>
  <c r="S1377" i="1" s="1"/>
  <c r="S1378" i="1" s="1"/>
  <c r="S1379" i="1" s="1"/>
  <c r="S1380" i="1" s="1"/>
  <c r="S1381" i="1" s="1"/>
  <c r="S1382" i="1" s="1"/>
  <c r="S1383" i="1" s="1"/>
  <c r="S1384" i="1" s="1"/>
  <c r="S1385" i="1" s="1"/>
  <c r="S1386" i="1" s="1"/>
  <c r="AG1356" i="1"/>
  <c r="AG1357" i="1" s="1"/>
  <c r="AF1356" i="1"/>
  <c r="AF1357" i="1" s="1"/>
  <c r="AE1356" i="1"/>
  <c r="AE1357" i="1" s="1"/>
  <c r="AD1356" i="1"/>
  <c r="AC1356" i="1"/>
  <c r="AB1356" i="1"/>
  <c r="AB1357" i="1" s="1"/>
  <c r="AA1356" i="1"/>
  <c r="AA1357" i="1" s="1"/>
  <c r="T1356" i="1"/>
  <c r="T1357" i="1" s="1"/>
  <c r="S1356" i="1"/>
  <c r="AE1354" i="1"/>
  <c r="AD1354" i="1"/>
  <c r="AC1354" i="1"/>
  <c r="AG1353" i="1"/>
  <c r="AG1354" i="1" s="1"/>
  <c r="AF1353" i="1"/>
  <c r="AF1354" i="1" s="1"/>
  <c r="AE1353" i="1"/>
  <c r="AB1353" i="1"/>
  <c r="AB1354" i="1" s="1"/>
  <c r="AA1353" i="1"/>
  <c r="AA1354" i="1" s="1"/>
  <c r="T1353" i="1"/>
  <c r="T1354" i="1" s="1"/>
  <c r="AG1352" i="1"/>
  <c r="AF1352" i="1"/>
  <c r="AE1352" i="1"/>
  <c r="AD1352" i="1"/>
  <c r="AD1353" i="1" s="1"/>
  <c r="AC1352" i="1"/>
  <c r="AC1353" i="1" s="1"/>
  <c r="AB1352" i="1"/>
  <c r="AA1352" i="1"/>
  <c r="T1352" i="1"/>
  <c r="AG1350" i="1"/>
  <c r="AF1350" i="1"/>
  <c r="AF1349" i="1"/>
  <c r="AE1349" i="1"/>
  <c r="AE1350" i="1" s="1"/>
  <c r="AD1349" i="1"/>
  <c r="AD1350" i="1" s="1"/>
  <c r="AC1349" i="1"/>
  <c r="AC1350" i="1" s="1"/>
  <c r="AF1348" i="1"/>
  <c r="AC1348" i="1"/>
  <c r="AB1348" i="1"/>
  <c r="AB1349" i="1" s="1"/>
  <c r="AB1350" i="1" s="1"/>
  <c r="AA1348" i="1"/>
  <c r="AA1349" i="1" s="1"/>
  <c r="AA1350" i="1" s="1"/>
  <c r="AG1347" i="1"/>
  <c r="AG1348" i="1" s="1"/>
  <c r="AG1349" i="1" s="1"/>
  <c r="AF1347" i="1"/>
  <c r="AE1347" i="1"/>
  <c r="AE1348" i="1" s="1"/>
  <c r="AD1347" i="1"/>
  <c r="AD1348" i="1" s="1"/>
  <c r="AC1347" i="1"/>
  <c r="AB1347" i="1"/>
  <c r="AA1347" i="1"/>
  <c r="T1347" i="1"/>
  <c r="T1348" i="1" s="1"/>
  <c r="T1349" i="1" s="1"/>
  <c r="T1350" i="1" s="1"/>
  <c r="AD1344" i="1"/>
  <c r="AD1345" i="1" s="1"/>
  <c r="AC1339" i="1"/>
  <c r="AC1340" i="1" s="1"/>
  <c r="AC1341" i="1" s="1"/>
  <c r="AC1342" i="1" s="1"/>
  <c r="AC1343" i="1" s="1"/>
  <c r="AC1344" i="1" s="1"/>
  <c r="AC1345" i="1" s="1"/>
  <c r="S1338" i="1"/>
  <c r="S1339" i="1" s="1"/>
  <c r="S1340" i="1" s="1"/>
  <c r="S1341" i="1" s="1"/>
  <c r="S1342" i="1" s="1"/>
  <c r="S1343" i="1" s="1"/>
  <c r="S1344" i="1" s="1"/>
  <c r="S1345" i="1" s="1"/>
  <c r="S1346" i="1" s="1"/>
  <c r="S1347" i="1" s="1"/>
  <c r="S1348" i="1" s="1"/>
  <c r="S1349" i="1" s="1"/>
  <c r="S1350" i="1" s="1"/>
  <c r="S1351" i="1" s="1"/>
  <c r="S1352" i="1" s="1"/>
  <c r="S1353" i="1" s="1"/>
  <c r="S1354" i="1" s="1"/>
  <c r="AD1336" i="1"/>
  <c r="AD1337" i="1" s="1"/>
  <c r="AD1338" i="1" s="1"/>
  <c r="AD1339" i="1" s="1"/>
  <c r="AD1340" i="1" s="1"/>
  <c r="AD1341" i="1" s="1"/>
  <c r="AD1342" i="1" s="1"/>
  <c r="AD1343" i="1" s="1"/>
  <c r="T1336" i="1"/>
  <c r="T1337" i="1" s="1"/>
  <c r="T1338" i="1" s="1"/>
  <c r="T1339" i="1" s="1"/>
  <c r="T1340" i="1" s="1"/>
  <c r="T1341" i="1" s="1"/>
  <c r="T1342" i="1" s="1"/>
  <c r="T1343" i="1" s="1"/>
  <c r="T1344" i="1" s="1"/>
  <c r="T1345" i="1" s="1"/>
  <c r="AF1332" i="1"/>
  <c r="AF1333" i="1" s="1"/>
  <c r="AF1334" i="1" s="1"/>
  <c r="AF1335" i="1" s="1"/>
  <c r="AF1336" i="1" s="1"/>
  <c r="AF1337" i="1" s="1"/>
  <c r="AF1338" i="1" s="1"/>
  <c r="AF1339" i="1" s="1"/>
  <c r="AF1340" i="1" s="1"/>
  <c r="AF1341" i="1" s="1"/>
  <c r="AF1342" i="1" s="1"/>
  <c r="AF1343" i="1" s="1"/>
  <c r="AF1344" i="1" s="1"/>
  <c r="AF1345" i="1" s="1"/>
  <c r="AE1332" i="1"/>
  <c r="AE1333" i="1" s="1"/>
  <c r="AE1334" i="1" s="1"/>
  <c r="AE1335" i="1" s="1"/>
  <c r="AE1336" i="1" s="1"/>
  <c r="AE1337" i="1" s="1"/>
  <c r="AE1338" i="1" s="1"/>
  <c r="AE1339" i="1" s="1"/>
  <c r="AE1340" i="1" s="1"/>
  <c r="AE1341" i="1" s="1"/>
  <c r="AE1342" i="1" s="1"/>
  <c r="AE1343" i="1" s="1"/>
  <c r="AE1344" i="1" s="1"/>
  <c r="AE1345" i="1" s="1"/>
  <c r="AC1331" i="1"/>
  <c r="AC1332" i="1" s="1"/>
  <c r="AC1333" i="1" s="1"/>
  <c r="AC1334" i="1" s="1"/>
  <c r="AC1335" i="1" s="1"/>
  <c r="AC1336" i="1" s="1"/>
  <c r="AC1337" i="1" s="1"/>
  <c r="AC1338" i="1" s="1"/>
  <c r="AB1331" i="1"/>
  <c r="AB1332" i="1" s="1"/>
  <c r="AB1333" i="1" s="1"/>
  <c r="AB1334" i="1" s="1"/>
  <c r="AB1335" i="1" s="1"/>
  <c r="AB1336" i="1" s="1"/>
  <c r="AB1337" i="1" s="1"/>
  <c r="AB1338" i="1" s="1"/>
  <c r="AB1339" i="1" s="1"/>
  <c r="AB1340" i="1" s="1"/>
  <c r="AB1341" i="1" s="1"/>
  <c r="AB1342" i="1" s="1"/>
  <c r="AB1343" i="1" s="1"/>
  <c r="AB1344" i="1" s="1"/>
  <c r="AB1345" i="1" s="1"/>
  <c r="AF1330" i="1"/>
  <c r="AF1331" i="1" s="1"/>
  <c r="AA1330" i="1"/>
  <c r="AA1331" i="1" s="1"/>
  <c r="AA1332" i="1" s="1"/>
  <c r="AA1333" i="1" s="1"/>
  <c r="AA1334" i="1" s="1"/>
  <c r="AA1335" i="1" s="1"/>
  <c r="AA1336" i="1" s="1"/>
  <c r="AA1337" i="1" s="1"/>
  <c r="AA1338" i="1" s="1"/>
  <c r="AA1339" i="1" s="1"/>
  <c r="AA1340" i="1" s="1"/>
  <c r="AA1341" i="1" s="1"/>
  <c r="AA1342" i="1" s="1"/>
  <c r="AA1343" i="1" s="1"/>
  <c r="AA1344" i="1" s="1"/>
  <c r="AA1345" i="1" s="1"/>
  <c r="S1330" i="1"/>
  <c r="S1331" i="1" s="1"/>
  <c r="S1332" i="1" s="1"/>
  <c r="S1333" i="1" s="1"/>
  <c r="S1334" i="1" s="1"/>
  <c r="S1335" i="1" s="1"/>
  <c r="S1336" i="1" s="1"/>
  <c r="S1337" i="1" s="1"/>
  <c r="AG1329" i="1"/>
  <c r="AG1330" i="1" s="1"/>
  <c r="AG1331" i="1" s="1"/>
  <c r="AG1332" i="1" s="1"/>
  <c r="AG1333" i="1" s="1"/>
  <c r="AG1334" i="1" s="1"/>
  <c r="AG1335" i="1" s="1"/>
  <c r="AG1336" i="1" s="1"/>
  <c r="AG1337" i="1" s="1"/>
  <c r="AG1338" i="1" s="1"/>
  <c r="AG1339" i="1" s="1"/>
  <c r="AG1340" i="1" s="1"/>
  <c r="AG1341" i="1" s="1"/>
  <c r="AG1342" i="1" s="1"/>
  <c r="AG1343" i="1" s="1"/>
  <c r="AG1344" i="1" s="1"/>
  <c r="AG1345" i="1" s="1"/>
  <c r="AF1329" i="1"/>
  <c r="AE1329" i="1"/>
  <c r="AE1330" i="1" s="1"/>
  <c r="AE1331" i="1" s="1"/>
  <c r="AD1329" i="1"/>
  <c r="AD1330" i="1" s="1"/>
  <c r="AD1331" i="1" s="1"/>
  <c r="AD1332" i="1" s="1"/>
  <c r="AD1333" i="1" s="1"/>
  <c r="AD1334" i="1" s="1"/>
  <c r="AD1335" i="1" s="1"/>
  <c r="AC1329" i="1"/>
  <c r="AC1330" i="1" s="1"/>
  <c r="AB1329" i="1"/>
  <c r="AB1330" i="1" s="1"/>
  <c r="AA1329" i="1"/>
  <c r="T1329" i="1"/>
  <c r="T1330" i="1" s="1"/>
  <c r="T1331" i="1" s="1"/>
  <c r="T1332" i="1" s="1"/>
  <c r="T1333" i="1" s="1"/>
  <c r="T1334" i="1" s="1"/>
  <c r="T1335" i="1" s="1"/>
  <c r="S1329" i="1"/>
  <c r="AG1311" i="1"/>
  <c r="AG1312" i="1" s="1"/>
  <c r="AG1313" i="1" s="1"/>
  <c r="AG1314" i="1" s="1"/>
  <c r="AG1315" i="1" s="1"/>
  <c r="AG1316" i="1" s="1"/>
  <c r="AG1317" i="1" s="1"/>
  <c r="AG1318" i="1" s="1"/>
  <c r="AG1319" i="1" s="1"/>
  <c r="AG1320" i="1" s="1"/>
  <c r="AG1321" i="1" s="1"/>
  <c r="AG1322" i="1" s="1"/>
  <c r="AG1323" i="1" s="1"/>
  <c r="AG1324" i="1" s="1"/>
  <c r="AG1325" i="1" s="1"/>
  <c r="AG1326" i="1" s="1"/>
  <c r="AG1327" i="1" s="1"/>
  <c r="AE1311" i="1"/>
  <c r="AE1312" i="1" s="1"/>
  <c r="AE1313" i="1" s="1"/>
  <c r="AE1314" i="1" s="1"/>
  <c r="AE1315" i="1" s="1"/>
  <c r="AE1316" i="1" s="1"/>
  <c r="AE1317" i="1" s="1"/>
  <c r="AE1318" i="1" s="1"/>
  <c r="AE1319" i="1" s="1"/>
  <c r="AE1320" i="1" s="1"/>
  <c r="AE1321" i="1" s="1"/>
  <c r="AE1322" i="1" s="1"/>
  <c r="AE1323" i="1" s="1"/>
  <c r="AE1324" i="1" s="1"/>
  <c r="AE1325" i="1" s="1"/>
  <c r="AE1326" i="1" s="1"/>
  <c r="AE1327" i="1" s="1"/>
  <c r="AD1311" i="1"/>
  <c r="AD1312" i="1" s="1"/>
  <c r="AD1313" i="1" s="1"/>
  <c r="AD1314" i="1" s="1"/>
  <c r="AD1315" i="1" s="1"/>
  <c r="AD1316" i="1" s="1"/>
  <c r="AD1317" i="1" s="1"/>
  <c r="AD1318" i="1" s="1"/>
  <c r="AD1319" i="1" s="1"/>
  <c r="AD1320" i="1" s="1"/>
  <c r="AD1321" i="1" s="1"/>
  <c r="AD1322" i="1" s="1"/>
  <c r="AD1323" i="1" s="1"/>
  <c r="AD1324" i="1" s="1"/>
  <c r="AD1325" i="1" s="1"/>
  <c r="AD1326" i="1" s="1"/>
  <c r="AD1327" i="1" s="1"/>
  <c r="AC1311" i="1"/>
  <c r="AC1312" i="1" s="1"/>
  <c r="AC1313" i="1" s="1"/>
  <c r="AC1314" i="1" s="1"/>
  <c r="AC1315" i="1" s="1"/>
  <c r="AC1316" i="1" s="1"/>
  <c r="AC1317" i="1" s="1"/>
  <c r="AC1318" i="1" s="1"/>
  <c r="AC1319" i="1" s="1"/>
  <c r="AC1320" i="1" s="1"/>
  <c r="AC1321" i="1" s="1"/>
  <c r="AC1322" i="1" s="1"/>
  <c r="AC1323" i="1" s="1"/>
  <c r="AC1324" i="1" s="1"/>
  <c r="AC1325" i="1" s="1"/>
  <c r="AC1326" i="1" s="1"/>
  <c r="AC1327" i="1" s="1"/>
  <c r="AG1310" i="1"/>
  <c r="AF1310" i="1"/>
  <c r="AF1311" i="1" s="1"/>
  <c r="AF1312" i="1" s="1"/>
  <c r="AF1313" i="1" s="1"/>
  <c r="AF1314" i="1" s="1"/>
  <c r="AF1315" i="1" s="1"/>
  <c r="AF1316" i="1" s="1"/>
  <c r="AF1317" i="1" s="1"/>
  <c r="AF1318" i="1" s="1"/>
  <c r="AF1319" i="1" s="1"/>
  <c r="AF1320" i="1" s="1"/>
  <c r="AF1321" i="1" s="1"/>
  <c r="AF1322" i="1" s="1"/>
  <c r="AF1323" i="1" s="1"/>
  <c r="AF1324" i="1" s="1"/>
  <c r="AF1325" i="1" s="1"/>
  <c r="AF1326" i="1" s="1"/>
  <c r="AF1327" i="1" s="1"/>
  <c r="AE1310" i="1"/>
  <c r="AD1310" i="1"/>
  <c r="AC1310" i="1"/>
  <c r="AB1310" i="1"/>
  <c r="AB1311" i="1" s="1"/>
  <c r="AB1312" i="1" s="1"/>
  <c r="AB1313" i="1" s="1"/>
  <c r="AB1314" i="1" s="1"/>
  <c r="AB1315" i="1" s="1"/>
  <c r="AB1316" i="1" s="1"/>
  <c r="AB1317" i="1" s="1"/>
  <c r="AB1318" i="1" s="1"/>
  <c r="AB1319" i="1" s="1"/>
  <c r="AB1320" i="1" s="1"/>
  <c r="AB1321" i="1" s="1"/>
  <c r="AB1322" i="1" s="1"/>
  <c r="AB1323" i="1" s="1"/>
  <c r="AB1324" i="1" s="1"/>
  <c r="AB1325" i="1" s="1"/>
  <c r="AB1326" i="1" s="1"/>
  <c r="AB1327" i="1" s="1"/>
  <c r="AA1310" i="1"/>
  <c r="AA1311" i="1" s="1"/>
  <c r="AA1312" i="1" s="1"/>
  <c r="AA1313" i="1" s="1"/>
  <c r="AA1314" i="1" s="1"/>
  <c r="AA1315" i="1" s="1"/>
  <c r="AA1316" i="1" s="1"/>
  <c r="AA1317" i="1" s="1"/>
  <c r="AA1318" i="1" s="1"/>
  <c r="AA1319" i="1" s="1"/>
  <c r="AA1320" i="1" s="1"/>
  <c r="AA1321" i="1" s="1"/>
  <c r="AA1322" i="1" s="1"/>
  <c r="AA1323" i="1" s="1"/>
  <c r="AA1324" i="1" s="1"/>
  <c r="AA1325" i="1" s="1"/>
  <c r="AA1326" i="1" s="1"/>
  <c r="AA1327" i="1" s="1"/>
  <c r="T1310" i="1"/>
  <c r="T1311" i="1" s="1"/>
  <c r="T1312" i="1" s="1"/>
  <c r="T1313" i="1" s="1"/>
  <c r="T1314" i="1" s="1"/>
  <c r="T1315" i="1" s="1"/>
  <c r="T1316" i="1" s="1"/>
  <c r="T1317" i="1" s="1"/>
  <c r="T1318" i="1" s="1"/>
  <c r="T1319" i="1" s="1"/>
  <c r="T1320" i="1" s="1"/>
  <c r="T1321" i="1" s="1"/>
  <c r="T1322" i="1" s="1"/>
  <c r="T1323" i="1" s="1"/>
  <c r="T1324" i="1" s="1"/>
  <c r="T1325" i="1" s="1"/>
  <c r="T1326" i="1" s="1"/>
  <c r="T1327" i="1" s="1"/>
  <c r="AC1293" i="1"/>
  <c r="AC1294" i="1" s="1"/>
  <c r="AC1295" i="1" s="1"/>
  <c r="AC1296" i="1" s="1"/>
  <c r="AC1297" i="1" s="1"/>
  <c r="AC1298" i="1" s="1"/>
  <c r="AC1299" i="1" s="1"/>
  <c r="AC1300" i="1" s="1"/>
  <c r="AC1301" i="1" s="1"/>
  <c r="AC1302" i="1" s="1"/>
  <c r="AC1303" i="1" s="1"/>
  <c r="AC1304" i="1" s="1"/>
  <c r="AC1305" i="1" s="1"/>
  <c r="AC1306" i="1" s="1"/>
  <c r="AC1307" i="1" s="1"/>
  <c r="AC1308" i="1" s="1"/>
  <c r="AB1293" i="1"/>
  <c r="AB1294" i="1" s="1"/>
  <c r="AB1295" i="1" s="1"/>
  <c r="AB1296" i="1" s="1"/>
  <c r="AB1297" i="1" s="1"/>
  <c r="AB1298" i="1" s="1"/>
  <c r="AB1299" i="1" s="1"/>
  <c r="AB1300" i="1" s="1"/>
  <c r="AB1301" i="1" s="1"/>
  <c r="AB1302" i="1" s="1"/>
  <c r="AB1303" i="1" s="1"/>
  <c r="AB1304" i="1" s="1"/>
  <c r="AB1305" i="1" s="1"/>
  <c r="AB1306" i="1" s="1"/>
  <c r="AB1307" i="1" s="1"/>
  <c r="AB1308" i="1" s="1"/>
  <c r="AF1292" i="1"/>
  <c r="AF1293" i="1" s="1"/>
  <c r="AF1294" i="1" s="1"/>
  <c r="AF1295" i="1" s="1"/>
  <c r="AF1296" i="1" s="1"/>
  <c r="AF1297" i="1" s="1"/>
  <c r="AF1298" i="1" s="1"/>
  <c r="AF1299" i="1" s="1"/>
  <c r="AF1300" i="1" s="1"/>
  <c r="AF1301" i="1" s="1"/>
  <c r="AF1302" i="1" s="1"/>
  <c r="AF1303" i="1" s="1"/>
  <c r="AF1304" i="1" s="1"/>
  <c r="AF1305" i="1" s="1"/>
  <c r="AF1306" i="1" s="1"/>
  <c r="AF1307" i="1" s="1"/>
  <c r="AF1308" i="1" s="1"/>
  <c r="AB1292" i="1"/>
  <c r="AG1291" i="1"/>
  <c r="AG1292" i="1" s="1"/>
  <c r="AG1293" i="1" s="1"/>
  <c r="AG1294" i="1" s="1"/>
  <c r="AG1295" i="1" s="1"/>
  <c r="AG1296" i="1" s="1"/>
  <c r="AG1297" i="1" s="1"/>
  <c r="AG1298" i="1" s="1"/>
  <c r="AG1299" i="1" s="1"/>
  <c r="AG1300" i="1" s="1"/>
  <c r="AG1301" i="1" s="1"/>
  <c r="AG1302" i="1" s="1"/>
  <c r="AG1303" i="1" s="1"/>
  <c r="AG1304" i="1" s="1"/>
  <c r="AG1305" i="1" s="1"/>
  <c r="AG1306" i="1" s="1"/>
  <c r="AG1307" i="1" s="1"/>
  <c r="AG1308" i="1" s="1"/>
  <c r="AC1291" i="1"/>
  <c r="AC1292" i="1" s="1"/>
  <c r="AB1291" i="1"/>
  <c r="AA1291" i="1"/>
  <c r="AA1292" i="1" s="1"/>
  <c r="AA1293" i="1" s="1"/>
  <c r="AA1294" i="1" s="1"/>
  <c r="AA1295" i="1" s="1"/>
  <c r="AA1296" i="1" s="1"/>
  <c r="AA1297" i="1" s="1"/>
  <c r="AA1298" i="1" s="1"/>
  <c r="AA1299" i="1" s="1"/>
  <c r="AA1300" i="1" s="1"/>
  <c r="AA1301" i="1" s="1"/>
  <c r="AA1302" i="1" s="1"/>
  <c r="AA1303" i="1" s="1"/>
  <c r="AA1304" i="1" s="1"/>
  <c r="AA1305" i="1" s="1"/>
  <c r="AA1306" i="1" s="1"/>
  <c r="AA1307" i="1" s="1"/>
  <c r="AA1308" i="1" s="1"/>
  <c r="AG1290" i="1"/>
  <c r="AF1290" i="1"/>
  <c r="AF1291" i="1" s="1"/>
  <c r="AE1290" i="1"/>
  <c r="AE1291" i="1" s="1"/>
  <c r="AE1292" i="1" s="1"/>
  <c r="AE1293" i="1" s="1"/>
  <c r="AE1294" i="1" s="1"/>
  <c r="AE1295" i="1" s="1"/>
  <c r="AE1296" i="1" s="1"/>
  <c r="AE1297" i="1" s="1"/>
  <c r="AE1298" i="1" s="1"/>
  <c r="AE1299" i="1" s="1"/>
  <c r="AE1300" i="1" s="1"/>
  <c r="AE1301" i="1" s="1"/>
  <c r="AE1302" i="1" s="1"/>
  <c r="AE1303" i="1" s="1"/>
  <c r="AE1304" i="1" s="1"/>
  <c r="AE1305" i="1" s="1"/>
  <c r="AE1306" i="1" s="1"/>
  <c r="AE1307" i="1" s="1"/>
  <c r="AE1308" i="1" s="1"/>
  <c r="AD1290" i="1"/>
  <c r="AD1291" i="1" s="1"/>
  <c r="AD1292" i="1" s="1"/>
  <c r="AD1293" i="1" s="1"/>
  <c r="AD1294" i="1" s="1"/>
  <c r="AD1295" i="1" s="1"/>
  <c r="AD1296" i="1" s="1"/>
  <c r="AD1297" i="1" s="1"/>
  <c r="AD1298" i="1" s="1"/>
  <c r="AD1299" i="1" s="1"/>
  <c r="AD1300" i="1" s="1"/>
  <c r="AD1301" i="1" s="1"/>
  <c r="AD1302" i="1" s="1"/>
  <c r="AD1303" i="1" s="1"/>
  <c r="AD1304" i="1" s="1"/>
  <c r="AD1305" i="1" s="1"/>
  <c r="AD1306" i="1" s="1"/>
  <c r="AD1307" i="1" s="1"/>
  <c r="AD1308" i="1" s="1"/>
  <c r="AC1290" i="1"/>
  <c r="AB1290" i="1"/>
  <c r="AA1290" i="1"/>
  <c r="T1290" i="1"/>
  <c r="T1291" i="1" s="1"/>
  <c r="T1292" i="1" s="1"/>
  <c r="T1293" i="1" s="1"/>
  <c r="T1294" i="1" s="1"/>
  <c r="T1295" i="1" s="1"/>
  <c r="T1296" i="1" s="1"/>
  <c r="T1297" i="1" s="1"/>
  <c r="T1298" i="1" s="1"/>
  <c r="T1299" i="1" s="1"/>
  <c r="T1300" i="1" s="1"/>
  <c r="T1301" i="1" s="1"/>
  <c r="T1302" i="1" s="1"/>
  <c r="T1303" i="1" s="1"/>
  <c r="T1304" i="1" s="1"/>
  <c r="T1305" i="1" s="1"/>
  <c r="T1306" i="1" s="1"/>
  <c r="T1307" i="1" s="1"/>
  <c r="T1308" i="1" s="1"/>
  <c r="AU1272" i="1"/>
  <c r="AU1271" i="1"/>
  <c r="AS1271" i="1"/>
  <c r="AS1272" i="1" s="1"/>
  <c r="AR1271" i="1"/>
  <c r="AR1272" i="1" s="1"/>
  <c r="AK1271" i="1"/>
  <c r="AK1272" i="1" s="1"/>
  <c r="AX1270" i="1"/>
  <c r="AX1271" i="1" s="1"/>
  <c r="AX1272" i="1" s="1"/>
  <c r="AW1270" i="1"/>
  <c r="AW1271" i="1" s="1"/>
  <c r="AW1272" i="1" s="1"/>
  <c r="AV1270" i="1"/>
  <c r="AV1271" i="1" s="1"/>
  <c r="AV1272" i="1" s="1"/>
  <c r="AU1270" i="1"/>
  <c r="AT1270" i="1"/>
  <c r="AT1271" i="1" s="1"/>
  <c r="AT1272" i="1" s="1"/>
  <c r="AS1270" i="1"/>
  <c r="AR1270" i="1"/>
  <c r="AK1270" i="1"/>
  <c r="AE1267" i="1"/>
  <c r="AE1268" i="1" s="1"/>
  <c r="AE1269" i="1" s="1"/>
  <c r="AE1270" i="1" s="1"/>
  <c r="AE1271" i="1" s="1"/>
  <c r="AE1272" i="1" s="1"/>
  <c r="AE1273" i="1" s="1"/>
  <c r="AE1274" i="1" s="1"/>
  <c r="AE1275" i="1" s="1"/>
  <c r="AE1276" i="1" s="1"/>
  <c r="AE1277" i="1" s="1"/>
  <c r="AE1278" i="1" s="1"/>
  <c r="AE1279" i="1" s="1"/>
  <c r="AE1280" i="1" s="1"/>
  <c r="AE1281" i="1" s="1"/>
  <c r="AE1282" i="1" s="1"/>
  <c r="AE1283" i="1" s="1"/>
  <c r="AE1284" i="1" s="1"/>
  <c r="AE1285" i="1" s="1"/>
  <c r="AE1286" i="1" s="1"/>
  <c r="AE1287" i="1" s="1"/>
  <c r="AE1288" i="1" s="1"/>
  <c r="AC1267" i="1"/>
  <c r="AC1268" i="1" s="1"/>
  <c r="AC1269" i="1" s="1"/>
  <c r="AC1270" i="1" s="1"/>
  <c r="AC1271" i="1" s="1"/>
  <c r="AC1272" i="1" s="1"/>
  <c r="AC1273" i="1" s="1"/>
  <c r="AC1274" i="1" s="1"/>
  <c r="AC1275" i="1" s="1"/>
  <c r="AC1276" i="1" s="1"/>
  <c r="AC1277" i="1" s="1"/>
  <c r="AC1278" i="1" s="1"/>
  <c r="AC1279" i="1" s="1"/>
  <c r="AC1280" i="1" s="1"/>
  <c r="AC1281" i="1" s="1"/>
  <c r="AC1282" i="1" s="1"/>
  <c r="AC1283" i="1" s="1"/>
  <c r="AC1284" i="1" s="1"/>
  <c r="AC1285" i="1" s="1"/>
  <c r="AC1286" i="1" s="1"/>
  <c r="AC1287" i="1" s="1"/>
  <c r="AC1288" i="1" s="1"/>
  <c r="S1267" i="1"/>
  <c r="S1268" i="1" s="1"/>
  <c r="S1269" i="1" s="1"/>
  <c r="S1270" i="1" s="1"/>
  <c r="S1271" i="1" s="1"/>
  <c r="S1272" i="1" s="1"/>
  <c r="S1273" i="1" s="1"/>
  <c r="S1274" i="1" s="1"/>
  <c r="S1275" i="1" s="1"/>
  <c r="S1276" i="1" s="1"/>
  <c r="S1277" i="1" s="1"/>
  <c r="S1278" i="1" s="1"/>
  <c r="S1279" i="1" s="1"/>
  <c r="S1280" i="1" s="1"/>
  <c r="S1281" i="1" s="1"/>
  <c r="S1282" i="1" s="1"/>
  <c r="S1283" i="1" s="1"/>
  <c r="S1284" i="1" s="1"/>
  <c r="S1285" i="1" s="1"/>
  <c r="S1286" i="1" s="1"/>
  <c r="S1287" i="1" s="1"/>
  <c r="S1288" i="1" s="1"/>
  <c r="S1289" i="1" s="1"/>
  <c r="S1290" i="1" s="1"/>
  <c r="S1291" i="1" s="1"/>
  <c r="S1292" i="1" s="1"/>
  <c r="S1293" i="1" s="1"/>
  <c r="S1294" i="1" s="1"/>
  <c r="S1295" i="1" s="1"/>
  <c r="S1296" i="1" s="1"/>
  <c r="S1297" i="1" s="1"/>
  <c r="S1298" i="1" s="1"/>
  <c r="S1299" i="1" s="1"/>
  <c r="S1300" i="1" s="1"/>
  <c r="S1301" i="1" s="1"/>
  <c r="S1302" i="1" s="1"/>
  <c r="S1303" i="1" s="1"/>
  <c r="S1304" i="1" s="1"/>
  <c r="S1305" i="1" s="1"/>
  <c r="S1306" i="1" s="1"/>
  <c r="S1307" i="1" s="1"/>
  <c r="S1308" i="1" s="1"/>
  <c r="S1309" i="1" s="1"/>
  <c r="S1310" i="1" s="1"/>
  <c r="S1311" i="1" s="1"/>
  <c r="S1312" i="1" s="1"/>
  <c r="S1313" i="1" s="1"/>
  <c r="S1314" i="1" s="1"/>
  <c r="S1315" i="1" s="1"/>
  <c r="S1316" i="1" s="1"/>
  <c r="S1317" i="1" s="1"/>
  <c r="S1318" i="1" s="1"/>
  <c r="S1319" i="1" s="1"/>
  <c r="S1320" i="1" s="1"/>
  <c r="S1321" i="1" s="1"/>
  <c r="S1322" i="1" s="1"/>
  <c r="S1323" i="1" s="1"/>
  <c r="S1324" i="1" s="1"/>
  <c r="S1325" i="1" s="1"/>
  <c r="S1326" i="1" s="1"/>
  <c r="S1327" i="1" s="1"/>
  <c r="AG1266" i="1"/>
  <c r="AG1267" i="1" s="1"/>
  <c r="AG1268" i="1" s="1"/>
  <c r="AG1269" i="1" s="1"/>
  <c r="AG1270" i="1" s="1"/>
  <c r="AG1271" i="1" s="1"/>
  <c r="AG1272" i="1" s="1"/>
  <c r="AG1273" i="1" s="1"/>
  <c r="AG1274" i="1" s="1"/>
  <c r="AG1275" i="1" s="1"/>
  <c r="AG1276" i="1" s="1"/>
  <c r="AG1277" i="1" s="1"/>
  <c r="AG1278" i="1" s="1"/>
  <c r="AG1279" i="1" s="1"/>
  <c r="AG1280" i="1" s="1"/>
  <c r="AG1281" i="1" s="1"/>
  <c r="AG1282" i="1" s="1"/>
  <c r="AG1283" i="1" s="1"/>
  <c r="AG1284" i="1" s="1"/>
  <c r="AG1285" i="1" s="1"/>
  <c r="AG1286" i="1" s="1"/>
  <c r="AG1287" i="1" s="1"/>
  <c r="AG1288" i="1" s="1"/>
  <c r="AF1266" i="1"/>
  <c r="AF1267" i="1" s="1"/>
  <c r="AF1268" i="1" s="1"/>
  <c r="AF1269" i="1" s="1"/>
  <c r="AF1270" i="1" s="1"/>
  <c r="AF1271" i="1" s="1"/>
  <c r="AF1272" i="1" s="1"/>
  <c r="AF1273" i="1" s="1"/>
  <c r="AF1274" i="1" s="1"/>
  <c r="AF1275" i="1" s="1"/>
  <c r="AF1276" i="1" s="1"/>
  <c r="AF1277" i="1" s="1"/>
  <c r="AF1278" i="1" s="1"/>
  <c r="AF1279" i="1" s="1"/>
  <c r="AF1280" i="1" s="1"/>
  <c r="AF1281" i="1" s="1"/>
  <c r="AF1282" i="1" s="1"/>
  <c r="AF1283" i="1" s="1"/>
  <c r="AF1284" i="1" s="1"/>
  <c r="AF1285" i="1" s="1"/>
  <c r="AF1286" i="1" s="1"/>
  <c r="AF1287" i="1" s="1"/>
  <c r="AF1288" i="1" s="1"/>
  <c r="AE1266" i="1"/>
  <c r="AD1266" i="1"/>
  <c r="AD1267" i="1" s="1"/>
  <c r="AD1268" i="1" s="1"/>
  <c r="AD1269" i="1" s="1"/>
  <c r="AD1270" i="1" s="1"/>
  <c r="AD1271" i="1" s="1"/>
  <c r="AD1272" i="1" s="1"/>
  <c r="AD1273" i="1" s="1"/>
  <c r="AD1274" i="1" s="1"/>
  <c r="AD1275" i="1" s="1"/>
  <c r="AD1276" i="1" s="1"/>
  <c r="AD1277" i="1" s="1"/>
  <c r="AD1278" i="1" s="1"/>
  <c r="AD1279" i="1" s="1"/>
  <c r="AD1280" i="1" s="1"/>
  <c r="AD1281" i="1" s="1"/>
  <c r="AD1282" i="1" s="1"/>
  <c r="AD1283" i="1" s="1"/>
  <c r="AD1284" i="1" s="1"/>
  <c r="AD1285" i="1" s="1"/>
  <c r="AD1286" i="1" s="1"/>
  <c r="AD1287" i="1" s="1"/>
  <c r="AD1288" i="1" s="1"/>
  <c r="AC1266" i="1"/>
  <c r="AB1266" i="1"/>
  <c r="AB1267" i="1" s="1"/>
  <c r="AB1268" i="1" s="1"/>
  <c r="AB1269" i="1" s="1"/>
  <c r="AB1270" i="1" s="1"/>
  <c r="AB1271" i="1" s="1"/>
  <c r="AB1272" i="1" s="1"/>
  <c r="AB1273" i="1" s="1"/>
  <c r="AB1274" i="1" s="1"/>
  <c r="AB1275" i="1" s="1"/>
  <c r="AB1276" i="1" s="1"/>
  <c r="AB1277" i="1" s="1"/>
  <c r="AB1278" i="1" s="1"/>
  <c r="AB1279" i="1" s="1"/>
  <c r="AB1280" i="1" s="1"/>
  <c r="AB1281" i="1" s="1"/>
  <c r="AB1282" i="1" s="1"/>
  <c r="AB1283" i="1" s="1"/>
  <c r="AB1284" i="1" s="1"/>
  <c r="AB1285" i="1" s="1"/>
  <c r="AB1286" i="1" s="1"/>
  <c r="AB1287" i="1" s="1"/>
  <c r="AB1288" i="1" s="1"/>
  <c r="AA1266" i="1"/>
  <c r="AA1267" i="1" s="1"/>
  <c r="AA1268" i="1" s="1"/>
  <c r="AA1269" i="1" s="1"/>
  <c r="AA1270" i="1" s="1"/>
  <c r="AA1271" i="1" s="1"/>
  <c r="AA1272" i="1" s="1"/>
  <c r="AA1273" i="1" s="1"/>
  <c r="AA1274" i="1" s="1"/>
  <c r="AA1275" i="1" s="1"/>
  <c r="AA1276" i="1" s="1"/>
  <c r="AA1277" i="1" s="1"/>
  <c r="AA1278" i="1" s="1"/>
  <c r="AA1279" i="1" s="1"/>
  <c r="AA1280" i="1" s="1"/>
  <c r="AA1281" i="1" s="1"/>
  <c r="AA1282" i="1" s="1"/>
  <c r="AA1283" i="1" s="1"/>
  <c r="AA1284" i="1" s="1"/>
  <c r="AA1285" i="1" s="1"/>
  <c r="AA1286" i="1" s="1"/>
  <c r="AA1287" i="1" s="1"/>
  <c r="AA1288" i="1" s="1"/>
  <c r="T1266" i="1"/>
  <c r="T1267" i="1" s="1"/>
  <c r="T1268" i="1" s="1"/>
  <c r="T1269" i="1" s="1"/>
  <c r="T1270" i="1" s="1"/>
  <c r="T1271" i="1" s="1"/>
  <c r="T1272" i="1" s="1"/>
  <c r="T1273" i="1" s="1"/>
  <c r="T1274" i="1" s="1"/>
  <c r="T1275" i="1" s="1"/>
  <c r="T1276" i="1" s="1"/>
  <c r="T1277" i="1" s="1"/>
  <c r="T1278" i="1" s="1"/>
  <c r="T1279" i="1" s="1"/>
  <c r="T1280" i="1" s="1"/>
  <c r="T1281" i="1" s="1"/>
  <c r="T1282" i="1" s="1"/>
  <c r="T1283" i="1" s="1"/>
  <c r="T1284" i="1" s="1"/>
  <c r="T1285" i="1" s="1"/>
  <c r="T1286" i="1" s="1"/>
  <c r="T1287" i="1" s="1"/>
  <c r="T1288" i="1" s="1"/>
  <c r="S1266" i="1"/>
  <c r="M1266" i="1"/>
  <c r="L1266" i="1"/>
  <c r="N1265" i="1"/>
  <c r="N1266" i="1" s="1"/>
  <c r="M1265" i="1"/>
  <c r="L1265" i="1"/>
  <c r="J1265" i="1"/>
  <c r="J1266" i="1" s="1"/>
  <c r="P1264" i="1"/>
  <c r="P1265" i="1" s="1"/>
  <c r="P1266" i="1" s="1"/>
  <c r="O1264" i="1"/>
  <c r="O1265" i="1" s="1"/>
  <c r="O1266" i="1" s="1"/>
  <c r="N1264" i="1"/>
  <c r="M1264" i="1"/>
  <c r="L1264" i="1"/>
  <c r="K1264" i="1"/>
  <c r="K1265" i="1" s="1"/>
  <c r="K1266" i="1" s="1"/>
  <c r="J1264" i="1"/>
  <c r="C1264" i="1"/>
  <c r="C1265" i="1" s="1"/>
  <c r="C1266" i="1" s="1"/>
  <c r="AF1263" i="1"/>
  <c r="AF1264" i="1" s="1"/>
  <c r="AC1262" i="1"/>
  <c r="AC1263" i="1" s="1"/>
  <c r="AC1264" i="1" s="1"/>
  <c r="AF1261" i="1"/>
  <c r="AF1262" i="1" s="1"/>
  <c r="AC1260" i="1"/>
  <c r="AC1261" i="1" s="1"/>
  <c r="N1260" i="1"/>
  <c r="N1261" i="1" s="1"/>
  <c r="N1262" i="1" s="1"/>
  <c r="AF1259" i="1"/>
  <c r="AF1260" i="1" s="1"/>
  <c r="AE1259" i="1"/>
  <c r="AE1260" i="1" s="1"/>
  <c r="AE1261" i="1" s="1"/>
  <c r="AE1262" i="1" s="1"/>
  <c r="AE1263" i="1" s="1"/>
  <c r="AE1264" i="1" s="1"/>
  <c r="AD1259" i="1"/>
  <c r="AD1260" i="1" s="1"/>
  <c r="AD1261" i="1" s="1"/>
  <c r="AD1262" i="1" s="1"/>
  <c r="AD1263" i="1" s="1"/>
  <c r="AD1264" i="1" s="1"/>
  <c r="AB1259" i="1"/>
  <c r="AB1260" i="1" s="1"/>
  <c r="AB1261" i="1" s="1"/>
  <c r="AB1262" i="1" s="1"/>
  <c r="AB1263" i="1" s="1"/>
  <c r="AB1264" i="1" s="1"/>
  <c r="AG1258" i="1"/>
  <c r="AG1259" i="1" s="1"/>
  <c r="AG1260" i="1" s="1"/>
  <c r="AG1261" i="1" s="1"/>
  <c r="AG1262" i="1" s="1"/>
  <c r="AG1263" i="1" s="1"/>
  <c r="AG1264" i="1" s="1"/>
  <c r="AE1258" i="1"/>
  <c r="AC1258" i="1"/>
  <c r="AC1259" i="1" s="1"/>
  <c r="AB1258" i="1"/>
  <c r="AA1258" i="1"/>
  <c r="AA1259" i="1" s="1"/>
  <c r="AA1260" i="1" s="1"/>
  <c r="AA1261" i="1" s="1"/>
  <c r="AA1262" i="1" s="1"/>
  <c r="AA1263" i="1" s="1"/>
  <c r="AA1264" i="1" s="1"/>
  <c r="N1258" i="1"/>
  <c r="N1259" i="1" s="1"/>
  <c r="M1258" i="1"/>
  <c r="M1259" i="1" s="1"/>
  <c r="M1260" i="1" s="1"/>
  <c r="M1261" i="1" s="1"/>
  <c r="M1262" i="1" s="1"/>
  <c r="C1258" i="1"/>
  <c r="C1259" i="1" s="1"/>
  <c r="C1260" i="1" s="1"/>
  <c r="C1261" i="1" s="1"/>
  <c r="C1262" i="1" s="1"/>
  <c r="AG1257" i="1"/>
  <c r="AF1257" i="1"/>
  <c r="AF1258" i="1" s="1"/>
  <c r="AE1257" i="1"/>
  <c r="AD1257" i="1"/>
  <c r="AD1258" i="1" s="1"/>
  <c r="AC1257" i="1"/>
  <c r="AB1257" i="1"/>
  <c r="AA1257" i="1"/>
  <c r="T1257" i="1"/>
  <c r="T1258" i="1" s="1"/>
  <c r="T1259" i="1" s="1"/>
  <c r="T1260" i="1" s="1"/>
  <c r="T1261" i="1" s="1"/>
  <c r="T1262" i="1" s="1"/>
  <c r="T1263" i="1" s="1"/>
  <c r="T1264" i="1" s="1"/>
  <c r="P1257" i="1"/>
  <c r="P1258" i="1" s="1"/>
  <c r="P1259" i="1" s="1"/>
  <c r="P1260" i="1" s="1"/>
  <c r="P1261" i="1" s="1"/>
  <c r="P1262" i="1" s="1"/>
  <c r="N1257" i="1"/>
  <c r="L1257" i="1"/>
  <c r="L1258" i="1" s="1"/>
  <c r="L1259" i="1" s="1"/>
  <c r="L1260" i="1" s="1"/>
  <c r="L1261" i="1" s="1"/>
  <c r="L1262" i="1" s="1"/>
  <c r="K1257" i="1"/>
  <c r="K1258" i="1" s="1"/>
  <c r="K1259" i="1" s="1"/>
  <c r="K1260" i="1" s="1"/>
  <c r="K1261" i="1" s="1"/>
  <c r="K1262" i="1" s="1"/>
  <c r="J1257" i="1"/>
  <c r="J1258" i="1" s="1"/>
  <c r="J1259" i="1" s="1"/>
  <c r="J1260" i="1" s="1"/>
  <c r="J1261" i="1" s="1"/>
  <c r="J1262" i="1" s="1"/>
  <c r="AS1256" i="1"/>
  <c r="AS1257" i="1" s="1"/>
  <c r="AS1258" i="1" s="1"/>
  <c r="AS1259" i="1" s="1"/>
  <c r="AS1260" i="1" s="1"/>
  <c r="AS1261" i="1" s="1"/>
  <c r="AS1262" i="1" s="1"/>
  <c r="AS1263" i="1" s="1"/>
  <c r="AS1264" i="1" s="1"/>
  <c r="AS1265" i="1" s="1"/>
  <c r="AS1266" i="1" s="1"/>
  <c r="AS1267" i="1" s="1"/>
  <c r="AS1268" i="1" s="1"/>
  <c r="P1256" i="1"/>
  <c r="O1256" i="1"/>
  <c r="O1257" i="1" s="1"/>
  <c r="O1258" i="1" s="1"/>
  <c r="O1259" i="1" s="1"/>
  <c r="O1260" i="1" s="1"/>
  <c r="O1261" i="1" s="1"/>
  <c r="O1262" i="1" s="1"/>
  <c r="N1256" i="1"/>
  <c r="M1256" i="1"/>
  <c r="M1257" i="1" s="1"/>
  <c r="L1256" i="1"/>
  <c r="K1256" i="1"/>
  <c r="J1256" i="1"/>
  <c r="C1256" i="1"/>
  <c r="C1257" i="1" s="1"/>
  <c r="AX1255" i="1"/>
  <c r="AX1256" i="1" s="1"/>
  <c r="AX1257" i="1" s="1"/>
  <c r="AX1258" i="1" s="1"/>
  <c r="AX1259" i="1" s="1"/>
  <c r="AX1260" i="1" s="1"/>
  <c r="AX1261" i="1" s="1"/>
  <c r="AX1262" i="1" s="1"/>
  <c r="AX1263" i="1" s="1"/>
  <c r="AX1264" i="1" s="1"/>
  <c r="AX1265" i="1" s="1"/>
  <c r="AX1266" i="1" s="1"/>
  <c r="AX1267" i="1" s="1"/>
  <c r="AX1268" i="1" s="1"/>
  <c r="AS1254" i="1"/>
  <c r="AS1255" i="1" s="1"/>
  <c r="T1253" i="1"/>
  <c r="T1254" i="1" s="1"/>
  <c r="T1255" i="1" s="1"/>
  <c r="AS1252" i="1"/>
  <c r="AS1253" i="1" s="1"/>
  <c r="AE1252" i="1"/>
  <c r="AE1253" i="1" s="1"/>
  <c r="AE1254" i="1" s="1"/>
  <c r="AE1255" i="1" s="1"/>
  <c r="AC1252" i="1"/>
  <c r="AC1253" i="1" s="1"/>
  <c r="AC1254" i="1" s="1"/>
  <c r="AC1255" i="1" s="1"/>
  <c r="AX1251" i="1"/>
  <c r="AX1252" i="1" s="1"/>
  <c r="AX1253" i="1" s="1"/>
  <c r="AX1254" i="1" s="1"/>
  <c r="AV1251" i="1"/>
  <c r="AV1252" i="1" s="1"/>
  <c r="AV1253" i="1" s="1"/>
  <c r="AV1254" i="1" s="1"/>
  <c r="AV1255" i="1" s="1"/>
  <c r="AV1256" i="1" s="1"/>
  <c r="AV1257" i="1" s="1"/>
  <c r="AV1258" i="1" s="1"/>
  <c r="AV1259" i="1" s="1"/>
  <c r="AV1260" i="1" s="1"/>
  <c r="AV1261" i="1" s="1"/>
  <c r="AV1262" i="1" s="1"/>
  <c r="AV1263" i="1" s="1"/>
  <c r="AV1264" i="1" s="1"/>
  <c r="AV1265" i="1" s="1"/>
  <c r="AV1266" i="1" s="1"/>
  <c r="AV1267" i="1" s="1"/>
  <c r="AV1268" i="1" s="1"/>
  <c r="AU1251" i="1"/>
  <c r="AU1252" i="1" s="1"/>
  <c r="AU1253" i="1" s="1"/>
  <c r="AU1254" i="1" s="1"/>
  <c r="AU1255" i="1" s="1"/>
  <c r="AU1256" i="1" s="1"/>
  <c r="AU1257" i="1" s="1"/>
  <c r="AU1258" i="1" s="1"/>
  <c r="AU1259" i="1" s="1"/>
  <c r="AU1260" i="1" s="1"/>
  <c r="AU1261" i="1" s="1"/>
  <c r="AU1262" i="1" s="1"/>
  <c r="AU1263" i="1" s="1"/>
  <c r="AU1264" i="1" s="1"/>
  <c r="AU1265" i="1" s="1"/>
  <c r="AU1266" i="1" s="1"/>
  <c r="AU1267" i="1" s="1"/>
  <c r="AU1268" i="1" s="1"/>
  <c r="AT1251" i="1"/>
  <c r="AT1252" i="1" s="1"/>
  <c r="AT1253" i="1" s="1"/>
  <c r="AT1254" i="1" s="1"/>
  <c r="AT1255" i="1" s="1"/>
  <c r="AT1256" i="1" s="1"/>
  <c r="AT1257" i="1" s="1"/>
  <c r="AT1258" i="1" s="1"/>
  <c r="AT1259" i="1" s="1"/>
  <c r="AT1260" i="1" s="1"/>
  <c r="AT1261" i="1" s="1"/>
  <c r="AT1262" i="1" s="1"/>
  <c r="AT1263" i="1" s="1"/>
  <c r="AT1264" i="1" s="1"/>
  <c r="AT1265" i="1" s="1"/>
  <c r="AT1266" i="1" s="1"/>
  <c r="AT1267" i="1" s="1"/>
  <c r="AT1268" i="1" s="1"/>
  <c r="AF1251" i="1"/>
  <c r="AF1252" i="1" s="1"/>
  <c r="AF1253" i="1" s="1"/>
  <c r="AF1254" i="1" s="1"/>
  <c r="AF1255" i="1" s="1"/>
  <c r="AB1251" i="1"/>
  <c r="AB1252" i="1" s="1"/>
  <c r="AB1253" i="1" s="1"/>
  <c r="AB1254" i="1" s="1"/>
  <c r="AB1255" i="1" s="1"/>
  <c r="AA1251" i="1"/>
  <c r="AA1252" i="1" s="1"/>
  <c r="AA1253" i="1" s="1"/>
  <c r="AA1254" i="1" s="1"/>
  <c r="AA1255" i="1" s="1"/>
  <c r="T1251" i="1"/>
  <c r="T1252" i="1" s="1"/>
  <c r="AX1250" i="1"/>
  <c r="AW1250" i="1"/>
  <c r="AW1251" i="1" s="1"/>
  <c r="AW1252" i="1" s="1"/>
  <c r="AW1253" i="1" s="1"/>
  <c r="AW1254" i="1" s="1"/>
  <c r="AW1255" i="1" s="1"/>
  <c r="AW1256" i="1" s="1"/>
  <c r="AW1257" i="1" s="1"/>
  <c r="AW1258" i="1" s="1"/>
  <c r="AW1259" i="1" s="1"/>
  <c r="AW1260" i="1" s="1"/>
  <c r="AW1261" i="1" s="1"/>
  <c r="AW1262" i="1" s="1"/>
  <c r="AW1263" i="1" s="1"/>
  <c r="AW1264" i="1" s="1"/>
  <c r="AW1265" i="1" s="1"/>
  <c r="AW1266" i="1" s="1"/>
  <c r="AW1267" i="1" s="1"/>
  <c r="AW1268" i="1" s="1"/>
  <c r="AV1250" i="1"/>
  <c r="AU1250" i="1"/>
  <c r="AT1250" i="1"/>
  <c r="AS1250" i="1"/>
  <c r="AS1251" i="1" s="1"/>
  <c r="AR1250" i="1"/>
  <c r="AR1251" i="1" s="1"/>
  <c r="AR1252" i="1" s="1"/>
  <c r="AR1253" i="1" s="1"/>
  <c r="AR1254" i="1" s="1"/>
  <c r="AR1255" i="1" s="1"/>
  <c r="AR1256" i="1" s="1"/>
  <c r="AR1257" i="1" s="1"/>
  <c r="AR1258" i="1" s="1"/>
  <c r="AR1259" i="1" s="1"/>
  <c r="AR1260" i="1" s="1"/>
  <c r="AR1261" i="1" s="1"/>
  <c r="AR1262" i="1" s="1"/>
  <c r="AR1263" i="1" s="1"/>
  <c r="AR1264" i="1" s="1"/>
  <c r="AR1265" i="1" s="1"/>
  <c r="AR1266" i="1" s="1"/>
  <c r="AR1267" i="1" s="1"/>
  <c r="AR1268" i="1" s="1"/>
  <c r="AK1250" i="1"/>
  <c r="AK1251" i="1" s="1"/>
  <c r="AK1252" i="1" s="1"/>
  <c r="AK1253" i="1" s="1"/>
  <c r="AK1254" i="1" s="1"/>
  <c r="AK1255" i="1" s="1"/>
  <c r="AK1256" i="1" s="1"/>
  <c r="AK1257" i="1" s="1"/>
  <c r="AK1258" i="1" s="1"/>
  <c r="AK1259" i="1" s="1"/>
  <c r="AK1260" i="1" s="1"/>
  <c r="AK1261" i="1" s="1"/>
  <c r="AK1262" i="1" s="1"/>
  <c r="AK1263" i="1" s="1"/>
  <c r="AK1264" i="1" s="1"/>
  <c r="AK1265" i="1" s="1"/>
  <c r="AK1266" i="1" s="1"/>
  <c r="AK1267" i="1" s="1"/>
  <c r="AK1268" i="1" s="1"/>
  <c r="AG1250" i="1"/>
  <c r="AG1251" i="1" s="1"/>
  <c r="AG1252" i="1" s="1"/>
  <c r="AG1253" i="1" s="1"/>
  <c r="AG1254" i="1" s="1"/>
  <c r="AG1255" i="1" s="1"/>
  <c r="AF1250" i="1"/>
  <c r="AE1250" i="1"/>
  <c r="AE1251" i="1" s="1"/>
  <c r="AD1250" i="1"/>
  <c r="AD1251" i="1" s="1"/>
  <c r="AD1252" i="1" s="1"/>
  <c r="AD1253" i="1" s="1"/>
  <c r="AD1254" i="1" s="1"/>
  <c r="AD1255" i="1" s="1"/>
  <c r="AC1250" i="1"/>
  <c r="AC1251" i="1" s="1"/>
  <c r="AB1250" i="1"/>
  <c r="AA1250" i="1"/>
  <c r="T1250" i="1"/>
  <c r="AF1247" i="1"/>
  <c r="AF1248" i="1" s="1"/>
  <c r="AD1247" i="1"/>
  <c r="AD1248" i="1" s="1"/>
  <c r="AB1247" i="1"/>
  <c r="AB1248" i="1" s="1"/>
  <c r="AG1246" i="1"/>
  <c r="AG1247" i="1" s="1"/>
  <c r="AG1248" i="1" s="1"/>
  <c r="AF1246" i="1"/>
  <c r="AE1246" i="1"/>
  <c r="AE1247" i="1" s="1"/>
  <c r="AE1248" i="1" s="1"/>
  <c r="AD1246" i="1"/>
  <c r="AC1246" i="1"/>
  <c r="AC1247" i="1" s="1"/>
  <c r="AC1248" i="1" s="1"/>
  <c r="AB1246" i="1"/>
  <c r="AA1246" i="1"/>
  <c r="AA1247" i="1" s="1"/>
  <c r="AA1248" i="1" s="1"/>
  <c r="T1246" i="1"/>
  <c r="T1247" i="1" s="1"/>
  <c r="T1248" i="1" s="1"/>
  <c r="AV1245" i="1"/>
  <c r="AV1246" i="1" s="1"/>
  <c r="AV1247" i="1" s="1"/>
  <c r="AV1248" i="1" s="1"/>
  <c r="AR1245" i="1"/>
  <c r="AR1246" i="1" s="1"/>
  <c r="AR1247" i="1" s="1"/>
  <c r="AR1248" i="1" s="1"/>
  <c r="AW1244" i="1"/>
  <c r="AW1245" i="1" s="1"/>
  <c r="AW1246" i="1" s="1"/>
  <c r="AW1247" i="1" s="1"/>
  <c r="AW1248" i="1" s="1"/>
  <c r="AS1244" i="1"/>
  <c r="AS1245" i="1" s="1"/>
  <c r="AS1246" i="1" s="1"/>
  <c r="AS1247" i="1" s="1"/>
  <c r="AS1248" i="1" s="1"/>
  <c r="AR1244" i="1"/>
  <c r="AK1244" i="1"/>
  <c r="AK1245" i="1" s="1"/>
  <c r="AK1246" i="1" s="1"/>
  <c r="AK1247" i="1" s="1"/>
  <c r="AK1248" i="1" s="1"/>
  <c r="K1244" i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J1244" i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C1244" i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AX1243" i="1"/>
  <c r="AX1244" i="1" s="1"/>
  <c r="AX1245" i="1" s="1"/>
  <c r="AX1246" i="1" s="1"/>
  <c r="AX1247" i="1" s="1"/>
  <c r="AX1248" i="1" s="1"/>
  <c r="AW1243" i="1"/>
  <c r="AV1243" i="1"/>
  <c r="AV1244" i="1" s="1"/>
  <c r="AU1243" i="1"/>
  <c r="AU1244" i="1" s="1"/>
  <c r="AU1245" i="1" s="1"/>
  <c r="AU1246" i="1" s="1"/>
  <c r="AU1247" i="1" s="1"/>
  <c r="AU1248" i="1" s="1"/>
  <c r="AT1243" i="1"/>
  <c r="AT1244" i="1" s="1"/>
  <c r="AT1245" i="1" s="1"/>
  <c r="AT1246" i="1" s="1"/>
  <c r="AT1247" i="1" s="1"/>
  <c r="AT1248" i="1" s="1"/>
  <c r="AS1243" i="1"/>
  <c r="AR1243" i="1"/>
  <c r="AK1243" i="1"/>
  <c r="AG1243" i="1"/>
  <c r="AG1244" i="1" s="1"/>
  <c r="P1243" i="1"/>
  <c r="P1244" i="1" s="1"/>
  <c r="P1245" i="1" s="1"/>
  <c r="P1246" i="1" s="1"/>
  <c r="P1247" i="1" s="1"/>
  <c r="P1248" i="1" s="1"/>
  <c r="P1249" i="1" s="1"/>
  <c r="P1250" i="1" s="1"/>
  <c r="P1251" i="1" s="1"/>
  <c r="P1252" i="1" s="1"/>
  <c r="P1253" i="1" s="1"/>
  <c r="P1254" i="1" s="1"/>
  <c r="J1243" i="1"/>
  <c r="P1242" i="1"/>
  <c r="O1242" i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N1242" i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M1242" i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L1242" i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K1242" i="1"/>
  <c r="K1243" i="1" s="1"/>
  <c r="J1242" i="1"/>
  <c r="C1242" i="1"/>
  <c r="C1243" i="1" s="1"/>
  <c r="AC1239" i="1"/>
  <c r="AC1240" i="1" s="1"/>
  <c r="AC1241" i="1" s="1"/>
  <c r="AC1242" i="1" s="1"/>
  <c r="AC1243" i="1" s="1"/>
  <c r="AC1244" i="1" s="1"/>
  <c r="J1237" i="1"/>
  <c r="J1238" i="1" s="1"/>
  <c r="J1239" i="1" s="1"/>
  <c r="J1240" i="1" s="1"/>
  <c r="K1236" i="1"/>
  <c r="K1237" i="1" s="1"/>
  <c r="K1238" i="1" s="1"/>
  <c r="K1239" i="1" s="1"/>
  <c r="K1240" i="1" s="1"/>
  <c r="T1235" i="1"/>
  <c r="T1236" i="1" s="1"/>
  <c r="T1237" i="1" s="1"/>
  <c r="T1238" i="1" s="1"/>
  <c r="T1239" i="1" s="1"/>
  <c r="T1240" i="1" s="1"/>
  <c r="T1241" i="1" s="1"/>
  <c r="T1242" i="1" s="1"/>
  <c r="T1243" i="1" s="1"/>
  <c r="T1244" i="1" s="1"/>
  <c r="O1234" i="1"/>
  <c r="O1235" i="1" s="1"/>
  <c r="O1236" i="1" s="1"/>
  <c r="O1237" i="1" s="1"/>
  <c r="O1238" i="1" s="1"/>
  <c r="O1239" i="1" s="1"/>
  <c r="O1240" i="1" s="1"/>
  <c r="K1234" i="1"/>
  <c r="K1235" i="1" s="1"/>
  <c r="P1233" i="1"/>
  <c r="P1234" i="1" s="1"/>
  <c r="P1235" i="1" s="1"/>
  <c r="P1236" i="1" s="1"/>
  <c r="P1237" i="1" s="1"/>
  <c r="P1238" i="1" s="1"/>
  <c r="P1239" i="1" s="1"/>
  <c r="P1240" i="1" s="1"/>
  <c r="C1233" i="1"/>
  <c r="C1234" i="1" s="1"/>
  <c r="C1235" i="1" s="1"/>
  <c r="C1236" i="1" s="1"/>
  <c r="C1237" i="1" s="1"/>
  <c r="C1238" i="1" s="1"/>
  <c r="C1239" i="1" s="1"/>
  <c r="C1240" i="1" s="1"/>
  <c r="AX1232" i="1"/>
  <c r="AX1233" i="1" s="1"/>
  <c r="AX1234" i="1" s="1"/>
  <c r="AX1235" i="1" s="1"/>
  <c r="AX1236" i="1" s="1"/>
  <c r="AX1237" i="1" s="1"/>
  <c r="AX1238" i="1" s="1"/>
  <c r="AX1239" i="1" s="1"/>
  <c r="AX1240" i="1" s="1"/>
  <c r="AX1241" i="1" s="1"/>
  <c r="AE1232" i="1"/>
  <c r="AE1233" i="1" s="1"/>
  <c r="AE1234" i="1" s="1"/>
  <c r="AE1235" i="1" s="1"/>
  <c r="AE1236" i="1" s="1"/>
  <c r="AE1237" i="1" s="1"/>
  <c r="AE1238" i="1" s="1"/>
  <c r="AE1239" i="1" s="1"/>
  <c r="AE1240" i="1" s="1"/>
  <c r="AE1241" i="1" s="1"/>
  <c r="AE1242" i="1" s="1"/>
  <c r="AE1243" i="1" s="1"/>
  <c r="AE1244" i="1" s="1"/>
  <c r="AC1232" i="1"/>
  <c r="AC1233" i="1" s="1"/>
  <c r="AC1234" i="1" s="1"/>
  <c r="AC1235" i="1" s="1"/>
  <c r="AC1236" i="1" s="1"/>
  <c r="AC1237" i="1" s="1"/>
  <c r="AC1238" i="1" s="1"/>
  <c r="T1232" i="1"/>
  <c r="T1233" i="1" s="1"/>
  <c r="T1234" i="1" s="1"/>
  <c r="K1232" i="1"/>
  <c r="K1233" i="1" s="1"/>
  <c r="T1231" i="1"/>
  <c r="P1231" i="1"/>
  <c r="P1232" i="1" s="1"/>
  <c r="O1231" i="1"/>
  <c r="O1232" i="1" s="1"/>
  <c r="O1233" i="1" s="1"/>
  <c r="N1231" i="1"/>
  <c r="N1232" i="1" s="1"/>
  <c r="N1233" i="1" s="1"/>
  <c r="N1234" i="1" s="1"/>
  <c r="N1235" i="1" s="1"/>
  <c r="N1236" i="1" s="1"/>
  <c r="N1237" i="1" s="1"/>
  <c r="N1238" i="1" s="1"/>
  <c r="N1239" i="1" s="1"/>
  <c r="N1240" i="1" s="1"/>
  <c r="M1231" i="1"/>
  <c r="M1232" i="1" s="1"/>
  <c r="M1233" i="1" s="1"/>
  <c r="M1234" i="1" s="1"/>
  <c r="M1235" i="1" s="1"/>
  <c r="M1236" i="1" s="1"/>
  <c r="M1237" i="1" s="1"/>
  <c r="M1238" i="1" s="1"/>
  <c r="M1239" i="1" s="1"/>
  <c r="M1240" i="1" s="1"/>
  <c r="L1231" i="1"/>
  <c r="L1232" i="1" s="1"/>
  <c r="L1233" i="1" s="1"/>
  <c r="L1234" i="1" s="1"/>
  <c r="L1235" i="1" s="1"/>
  <c r="L1236" i="1" s="1"/>
  <c r="L1237" i="1" s="1"/>
  <c r="L1238" i="1" s="1"/>
  <c r="L1239" i="1" s="1"/>
  <c r="L1240" i="1" s="1"/>
  <c r="K1231" i="1"/>
  <c r="J1231" i="1"/>
  <c r="J1232" i="1" s="1"/>
  <c r="J1233" i="1" s="1"/>
  <c r="J1234" i="1" s="1"/>
  <c r="J1235" i="1" s="1"/>
  <c r="J1236" i="1" s="1"/>
  <c r="C1231" i="1"/>
  <c r="C1232" i="1" s="1"/>
  <c r="AG1230" i="1"/>
  <c r="AG1231" i="1" s="1"/>
  <c r="AG1232" i="1" s="1"/>
  <c r="AG1233" i="1" s="1"/>
  <c r="AG1234" i="1" s="1"/>
  <c r="AG1235" i="1" s="1"/>
  <c r="AG1236" i="1" s="1"/>
  <c r="AG1237" i="1" s="1"/>
  <c r="AG1238" i="1" s="1"/>
  <c r="AG1239" i="1" s="1"/>
  <c r="AG1240" i="1" s="1"/>
  <c r="AG1241" i="1" s="1"/>
  <c r="AG1242" i="1" s="1"/>
  <c r="AF1230" i="1"/>
  <c r="AF1231" i="1" s="1"/>
  <c r="AF1232" i="1" s="1"/>
  <c r="AF1233" i="1" s="1"/>
  <c r="AF1234" i="1" s="1"/>
  <c r="AF1235" i="1" s="1"/>
  <c r="AF1236" i="1" s="1"/>
  <c r="AF1237" i="1" s="1"/>
  <c r="AF1238" i="1" s="1"/>
  <c r="AF1239" i="1" s="1"/>
  <c r="AF1240" i="1" s="1"/>
  <c r="AF1241" i="1" s="1"/>
  <c r="AF1242" i="1" s="1"/>
  <c r="AF1243" i="1" s="1"/>
  <c r="AF1244" i="1" s="1"/>
  <c r="AE1230" i="1"/>
  <c r="AE1231" i="1" s="1"/>
  <c r="AC1230" i="1"/>
  <c r="AC1231" i="1" s="1"/>
  <c r="T1230" i="1"/>
  <c r="AG1229" i="1"/>
  <c r="AF1229" i="1"/>
  <c r="AE1229" i="1"/>
  <c r="AD1229" i="1"/>
  <c r="AD1230" i="1" s="1"/>
  <c r="AD1231" i="1" s="1"/>
  <c r="AD1232" i="1" s="1"/>
  <c r="AD1233" i="1" s="1"/>
  <c r="AD1234" i="1" s="1"/>
  <c r="AD1235" i="1" s="1"/>
  <c r="AD1236" i="1" s="1"/>
  <c r="AD1237" i="1" s="1"/>
  <c r="AD1238" i="1" s="1"/>
  <c r="AD1239" i="1" s="1"/>
  <c r="AD1240" i="1" s="1"/>
  <c r="AD1241" i="1" s="1"/>
  <c r="AD1242" i="1" s="1"/>
  <c r="AD1243" i="1" s="1"/>
  <c r="AD1244" i="1" s="1"/>
  <c r="AC1229" i="1"/>
  <c r="AB1229" i="1"/>
  <c r="AB1230" i="1" s="1"/>
  <c r="AB1231" i="1" s="1"/>
  <c r="AB1232" i="1" s="1"/>
  <c r="AB1233" i="1" s="1"/>
  <c r="AB1234" i="1" s="1"/>
  <c r="AB1235" i="1" s="1"/>
  <c r="AB1236" i="1" s="1"/>
  <c r="AB1237" i="1" s="1"/>
  <c r="AB1238" i="1" s="1"/>
  <c r="AB1239" i="1" s="1"/>
  <c r="AB1240" i="1" s="1"/>
  <c r="AB1241" i="1" s="1"/>
  <c r="AB1242" i="1" s="1"/>
  <c r="AB1243" i="1" s="1"/>
  <c r="AB1244" i="1" s="1"/>
  <c r="AA1229" i="1"/>
  <c r="AA1230" i="1" s="1"/>
  <c r="AA1231" i="1" s="1"/>
  <c r="AA1232" i="1" s="1"/>
  <c r="AA1233" i="1" s="1"/>
  <c r="AA1234" i="1" s="1"/>
  <c r="AA1235" i="1" s="1"/>
  <c r="AA1236" i="1" s="1"/>
  <c r="AA1237" i="1" s="1"/>
  <c r="AA1238" i="1" s="1"/>
  <c r="AA1239" i="1" s="1"/>
  <c r="AA1240" i="1" s="1"/>
  <c r="AA1241" i="1" s="1"/>
  <c r="AA1242" i="1" s="1"/>
  <c r="AA1243" i="1" s="1"/>
  <c r="AA1244" i="1" s="1"/>
  <c r="T1229" i="1"/>
  <c r="P1229" i="1"/>
  <c r="M1229" i="1"/>
  <c r="AJ1228" i="1"/>
  <c r="AJ1229" i="1" s="1"/>
  <c r="AJ1230" i="1" s="1"/>
  <c r="AJ1231" i="1" s="1"/>
  <c r="AJ1232" i="1" s="1"/>
  <c r="AJ1233" i="1" s="1"/>
  <c r="AJ1234" i="1" s="1"/>
  <c r="AJ1235" i="1" s="1"/>
  <c r="AJ1236" i="1" s="1"/>
  <c r="AJ1237" i="1" s="1"/>
  <c r="AJ1238" i="1" s="1"/>
  <c r="AJ1239" i="1" s="1"/>
  <c r="AJ1240" i="1" s="1"/>
  <c r="AJ1241" i="1" s="1"/>
  <c r="AJ1242" i="1" s="1"/>
  <c r="AJ1243" i="1" s="1"/>
  <c r="AJ1244" i="1" s="1"/>
  <c r="AJ1245" i="1" s="1"/>
  <c r="AJ1246" i="1" s="1"/>
  <c r="AJ1247" i="1" s="1"/>
  <c r="AJ1248" i="1" s="1"/>
  <c r="AJ1249" i="1" s="1"/>
  <c r="AJ1250" i="1" s="1"/>
  <c r="AJ1251" i="1" s="1"/>
  <c r="AJ1252" i="1" s="1"/>
  <c r="AJ1253" i="1" s="1"/>
  <c r="AJ1254" i="1" s="1"/>
  <c r="AJ1255" i="1" s="1"/>
  <c r="AJ1256" i="1" s="1"/>
  <c r="AJ1257" i="1" s="1"/>
  <c r="AJ1258" i="1" s="1"/>
  <c r="AJ1259" i="1" s="1"/>
  <c r="AJ1260" i="1" s="1"/>
  <c r="AJ1261" i="1" s="1"/>
  <c r="AJ1262" i="1" s="1"/>
  <c r="AJ1263" i="1" s="1"/>
  <c r="AJ1264" i="1" s="1"/>
  <c r="AJ1265" i="1" s="1"/>
  <c r="AJ1266" i="1" s="1"/>
  <c r="AJ1267" i="1" s="1"/>
  <c r="AJ1268" i="1" s="1"/>
  <c r="AJ1269" i="1" s="1"/>
  <c r="AJ1270" i="1" s="1"/>
  <c r="AJ1271" i="1" s="1"/>
  <c r="AJ1272" i="1" s="1"/>
  <c r="AJ1227" i="1"/>
  <c r="AJ1226" i="1"/>
  <c r="AF1226" i="1"/>
  <c r="AF1227" i="1" s="1"/>
  <c r="AX1225" i="1"/>
  <c r="AX1226" i="1" s="1"/>
  <c r="AX1227" i="1" s="1"/>
  <c r="AX1228" i="1" s="1"/>
  <c r="AX1229" i="1" s="1"/>
  <c r="AX1230" i="1" s="1"/>
  <c r="AX1231" i="1" s="1"/>
  <c r="AJ1225" i="1"/>
  <c r="AW1224" i="1"/>
  <c r="AW1225" i="1" s="1"/>
  <c r="AW1226" i="1" s="1"/>
  <c r="AW1227" i="1" s="1"/>
  <c r="AW1228" i="1" s="1"/>
  <c r="AW1229" i="1" s="1"/>
  <c r="AW1230" i="1" s="1"/>
  <c r="AW1231" i="1" s="1"/>
  <c r="AW1232" i="1" s="1"/>
  <c r="AW1233" i="1" s="1"/>
  <c r="AW1234" i="1" s="1"/>
  <c r="AW1235" i="1" s="1"/>
  <c r="AW1236" i="1" s="1"/>
  <c r="AW1237" i="1" s="1"/>
  <c r="AW1238" i="1" s="1"/>
  <c r="AW1239" i="1" s="1"/>
  <c r="AW1240" i="1" s="1"/>
  <c r="AW1241" i="1" s="1"/>
  <c r="AU1224" i="1"/>
  <c r="AU1225" i="1" s="1"/>
  <c r="AU1226" i="1" s="1"/>
  <c r="AU1227" i="1" s="1"/>
  <c r="AU1228" i="1" s="1"/>
  <c r="AU1229" i="1" s="1"/>
  <c r="AU1230" i="1" s="1"/>
  <c r="AU1231" i="1" s="1"/>
  <c r="AU1232" i="1" s="1"/>
  <c r="AU1233" i="1" s="1"/>
  <c r="AU1234" i="1" s="1"/>
  <c r="AU1235" i="1" s="1"/>
  <c r="AU1236" i="1" s="1"/>
  <c r="AU1237" i="1" s="1"/>
  <c r="AU1238" i="1" s="1"/>
  <c r="AU1239" i="1" s="1"/>
  <c r="AU1240" i="1" s="1"/>
  <c r="AU1241" i="1" s="1"/>
  <c r="AT1224" i="1"/>
  <c r="AT1225" i="1" s="1"/>
  <c r="AT1226" i="1" s="1"/>
  <c r="AT1227" i="1" s="1"/>
  <c r="AT1228" i="1" s="1"/>
  <c r="AT1229" i="1" s="1"/>
  <c r="AT1230" i="1" s="1"/>
  <c r="AT1231" i="1" s="1"/>
  <c r="AT1232" i="1" s="1"/>
  <c r="AT1233" i="1" s="1"/>
  <c r="AT1234" i="1" s="1"/>
  <c r="AT1235" i="1" s="1"/>
  <c r="AT1236" i="1" s="1"/>
  <c r="AT1237" i="1" s="1"/>
  <c r="AT1238" i="1" s="1"/>
  <c r="AT1239" i="1" s="1"/>
  <c r="AT1240" i="1" s="1"/>
  <c r="AT1241" i="1" s="1"/>
  <c r="AS1224" i="1"/>
  <c r="AS1225" i="1" s="1"/>
  <c r="AS1226" i="1" s="1"/>
  <c r="AS1227" i="1" s="1"/>
  <c r="AS1228" i="1" s="1"/>
  <c r="AS1229" i="1" s="1"/>
  <c r="AS1230" i="1" s="1"/>
  <c r="AS1231" i="1" s="1"/>
  <c r="AS1232" i="1" s="1"/>
  <c r="AS1233" i="1" s="1"/>
  <c r="AS1234" i="1" s="1"/>
  <c r="AS1235" i="1" s="1"/>
  <c r="AS1236" i="1" s="1"/>
  <c r="AS1237" i="1" s="1"/>
  <c r="AS1238" i="1" s="1"/>
  <c r="AS1239" i="1" s="1"/>
  <c r="AS1240" i="1" s="1"/>
  <c r="AS1241" i="1" s="1"/>
  <c r="M1224" i="1"/>
  <c r="M1225" i="1" s="1"/>
  <c r="M1226" i="1" s="1"/>
  <c r="M1227" i="1" s="1"/>
  <c r="M1228" i="1" s="1"/>
  <c r="AX1223" i="1"/>
  <c r="AX1224" i="1" s="1"/>
  <c r="AW1223" i="1"/>
  <c r="AV1223" i="1"/>
  <c r="AV1224" i="1" s="1"/>
  <c r="AV1225" i="1" s="1"/>
  <c r="AV1226" i="1" s="1"/>
  <c r="AV1227" i="1" s="1"/>
  <c r="AV1228" i="1" s="1"/>
  <c r="AV1229" i="1" s="1"/>
  <c r="AV1230" i="1" s="1"/>
  <c r="AV1231" i="1" s="1"/>
  <c r="AV1232" i="1" s="1"/>
  <c r="AV1233" i="1" s="1"/>
  <c r="AV1234" i="1" s="1"/>
  <c r="AV1235" i="1" s="1"/>
  <c r="AV1236" i="1" s="1"/>
  <c r="AV1237" i="1" s="1"/>
  <c r="AV1238" i="1" s="1"/>
  <c r="AV1239" i="1" s="1"/>
  <c r="AV1240" i="1" s="1"/>
  <c r="AV1241" i="1" s="1"/>
  <c r="AU1223" i="1"/>
  <c r="AT1223" i="1"/>
  <c r="AS1223" i="1"/>
  <c r="AR1223" i="1"/>
  <c r="AR1224" i="1" s="1"/>
  <c r="AR1225" i="1" s="1"/>
  <c r="AR1226" i="1" s="1"/>
  <c r="AR1227" i="1" s="1"/>
  <c r="AR1228" i="1" s="1"/>
  <c r="AR1229" i="1" s="1"/>
  <c r="AR1230" i="1" s="1"/>
  <c r="AR1231" i="1" s="1"/>
  <c r="AR1232" i="1" s="1"/>
  <c r="AR1233" i="1" s="1"/>
  <c r="AR1234" i="1" s="1"/>
  <c r="AR1235" i="1" s="1"/>
  <c r="AR1236" i="1" s="1"/>
  <c r="AR1237" i="1" s="1"/>
  <c r="AR1238" i="1" s="1"/>
  <c r="AR1239" i="1" s="1"/>
  <c r="AR1240" i="1" s="1"/>
  <c r="AR1241" i="1" s="1"/>
  <c r="AK1223" i="1"/>
  <c r="AK1224" i="1" s="1"/>
  <c r="AK1225" i="1" s="1"/>
  <c r="AK1226" i="1" s="1"/>
  <c r="AK1227" i="1" s="1"/>
  <c r="AK1228" i="1" s="1"/>
  <c r="AK1229" i="1" s="1"/>
  <c r="AK1230" i="1" s="1"/>
  <c r="AK1231" i="1" s="1"/>
  <c r="AK1232" i="1" s="1"/>
  <c r="AK1233" i="1" s="1"/>
  <c r="AK1234" i="1" s="1"/>
  <c r="AK1235" i="1" s="1"/>
  <c r="AK1236" i="1" s="1"/>
  <c r="AK1237" i="1" s="1"/>
  <c r="AK1238" i="1" s="1"/>
  <c r="AK1239" i="1" s="1"/>
  <c r="AK1240" i="1" s="1"/>
  <c r="AK1241" i="1" s="1"/>
  <c r="J1223" i="1"/>
  <c r="J1224" i="1" s="1"/>
  <c r="J1225" i="1" s="1"/>
  <c r="J1226" i="1" s="1"/>
  <c r="J1227" i="1" s="1"/>
  <c r="J1228" i="1" s="1"/>
  <c r="J1229" i="1" s="1"/>
  <c r="P1222" i="1"/>
  <c r="P1223" i="1" s="1"/>
  <c r="P1224" i="1" s="1"/>
  <c r="P1225" i="1" s="1"/>
  <c r="P1226" i="1" s="1"/>
  <c r="P1227" i="1" s="1"/>
  <c r="P1228" i="1" s="1"/>
  <c r="N1222" i="1"/>
  <c r="N1223" i="1" s="1"/>
  <c r="N1224" i="1" s="1"/>
  <c r="N1225" i="1" s="1"/>
  <c r="N1226" i="1" s="1"/>
  <c r="N1227" i="1" s="1"/>
  <c r="N1228" i="1" s="1"/>
  <c r="N1229" i="1" s="1"/>
  <c r="L1222" i="1"/>
  <c r="L1223" i="1" s="1"/>
  <c r="L1224" i="1" s="1"/>
  <c r="L1225" i="1" s="1"/>
  <c r="L1226" i="1" s="1"/>
  <c r="L1227" i="1" s="1"/>
  <c r="L1228" i="1" s="1"/>
  <c r="L1229" i="1" s="1"/>
  <c r="K1222" i="1"/>
  <c r="K1223" i="1" s="1"/>
  <c r="K1224" i="1" s="1"/>
  <c r="K1225" i="1" s="1"/>
  <c r="K1226" i="1" s="1"/>
  <c r="K1227" i="1" s="1"/>
  <c r="K1228" i="1" s="1"/>
  <c r="K1229" i="1" s="1"/>
  <c r="J1222" i="1"/>
  <c r="AG1221" i="1"/>
  <c r="AG1222" i="1" s="1"/>
  <c r="AG1223" i="1" s="1"/>
  <c r="AG1224" i="1" s="1"/>
  <c r="AG1225" i="1" s="1"/>
  <c r="AG1226" i="1" s="1"/>
  <c r="AG1227" i="1" s="1"/>
  <c r="AE1221" i="1"/>
  <c r="AE1222" i="1" s="1"/>
  <c r="AE1223" i="1" s="1"/>
  <c r="AE1224" i="1" s="1"/>
  <c r="AE1225" i="1" s="1"/>
  <c r="AE1226" i="1" s="1"/>
  <c r="AE1227" i="1" s="1"/>
  <c r="AC1221" i="1"/>
  <c r="AC1222" i="1" s="1"/>
  <c r="AC1223" i="1" s="1"/>
  <c r="AC1224" i="1" s="1"/>
  <c r="AC1225" i="1" s="1"/>
  <c r="AC1226" i="1" s="1"/>
  <c r="AC1227" i="1" s="1"/>
  <c r="P1220" i="1"/>
  <c r="P1221" i="1" s="1"/>
  <c r="J1220" i="1"/>
  <c r="J1221" i="1" s="1"/>
  <c r="P1219" i="1"/>
  <c r="O1219" i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N1219" i="1"/>
  <c r="N1220" i="1" s="1"/>
  <c r="N1221" i="1" s="1"/>
  <c r="M1219" i="1"/>
  <c r="M1220" i="1" s="1"/>
  <c r="M1221" i="1" s="1"/>
  <c r="M1222" i="1" s="1"/>
  <c r="M1223" i="1" s="1"/>
  <c r="L1219" i="1"/>
  <c r="L1220" i="1" s="1"/>
  <c r="L1221" i="1" s="1"/>
  <c r="K1219" i="1"/>
  <c r="K1220" i="1" s="1"/>
  <c r="K1221" i="1" s="1"/>
  <c r="J1219" i="1"/>
  <c r="C1219" i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AG1218" i="1"/>
  <c r="AG1219" i="1" s="1"/>
  <c r="AG1220" i="1" s="1"/>
  <c r="AG1217" i="1"/>
  <c r="AD1217" i="1"/>
  <c r="AD1218" i="1" s="1"/>
  <c r="AD1219" i="1" s="1"/>
  <c r="AD1220" i="1" s="1"/>
  <c r="AD1221" i="1" s="1"/>
  <c r="AD1222" i="1" s="1"/>
  <c r="AD1223" i="1" s="1"/>
  <c r="AD1224" i="1" s="1"/>
  <c r="AD1225" i="1" s="1"/>
  <c r="AD1226" i="1" s="1"/>
  <c r="AD1227" i="1" s="1"/>
  <c r="T1217" i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AG1216" i="1"/>
  <c r="AF1216" i="1"/>
  <c r="AF1217" i="1" s="1"/>
  <c r="AF1218" i="1" s="1"/>
  <c r="AF1219" i="1" s="1"/>
  <c r="AF1220" i="1" s="1"/>
  <c r="AF1221" i="1" s="1"/>
  <c r="AF1222" i="1" s="1"/>
  <c r="AF1223" i="1" s="1"/>
  <c r="AF1224" i="1" s="1"/>
  <c r="AF1225" i="1" s="1"/>
  <c r="AE1216" i="1"/>
  <c r="AE1217" i="1" s="1"/>
  <c r="AE1218" i="1" s="1"/>
  <c r="AE1219" i="1" s="1"/>
  <c r="AE1220" i="1" s="1"/>
  <c r="AD1216" i="1"/>
  <c r="AC1216" i="1"/>
  <c r="AC1217" i="1" s="1"/>
  <c r="AC1218" i="1" s="1"/>
  <c r="AC1219" i="1" s="1"/>
  <c r="AC1220" i="1" s="1"/>
  <c r="AB1216" i="1"/>
  <c r="AB1217" i="1" s="1"/>
  <c r="AB1218" i="1" s="1"/>
  <c r="AB1219" i="1" s="1"/>
  <c r="AB1220" i="1" s="1"/>
  <c r="AB1221" i="1" s="1"/>
  <c r="AB1222" i="1" s="1"/>
  <c r="AB1223" i="1" s="1"/>
  <c r="AB1224" i="1" s="1"/>
  <c r="AB1225" i="1" s="1"/>
  <c r="AB1226" i="1" s="1"/>
  <c r="AB1227" i="1" s="1"/>
  <c r="AA1216" i="1"/>
  <c r="AA1217" i="1" s="1"/>
  <c r="AA1218" i="1" s="1"/>
  <c r="AA1219" i="1" s="1"/>
  <c r="AA1220" i="1" s="1"/>
  <c r="AA1221" i="1" s="1"/>
  <c r="AA1222" i="1" s="1"/>
  <c r="AA1223" i="1" s="1"/>
  <c r="AA1224" i="1" s="1"/>
  <c r="AA1225" i="1" s="1"/>
  <c r="AA1226" i="1" s="1"/>
  <c r="AA1227" i="1" s="1"/>
  <c r="T1216" i="1"/>
  <c r="J1212" i="1"/>
  <c r="J1213" i="1" s="1"/>
  <c r="J1214" i="1" s="1"/>
  <c r="J1215" i="1" s="1"/>
  <c r="J1216" i="1" s="1"/>
  <c r="J1217" i="1" s="1"/>
  <c r="O1211" i="1"/>
  <c r="O1212" i="1" s="1"/>
  <c r="O1213" i="1" s="1"/>
  <c r="O1214" i="1" s="1"/>
  <c r="O1215" i="1" s="1"/>
  <c r="O1216" i="1" s="1"/>
  <c r="O1217" i="1" s="1"/>
  <c r="N1211" i="1"/>
  <c r="N1212" i="1" s="1"/>
  <c r="N1213" i="1" s="1"/>
  <c r="N1214" i="1" s="1"/>
  <c r="N1215" i="1" s="1"/>
  <c r="N1216" i="1" s="1"/>
  <c r="N1217" i="1" s="1"/>
  <c r="P1210" i="1"/>
  <c r="P1211" i="1" s="1"/>
  <c r="P1212" i="1" s="1"/>
  <c r="P1213" i="1" s="1"/>
  <c r="P1214" i="1" s="1"/>
  <c r="P1215" i="1" s="1"/>
  <c r="P1216" i="1" s="1"/>
  <c r="P1217" i="1" s="1"/>
  <c r="AC1209" i="1"/>
  <c r="AC1210" i="1" s="1"/>
  <c r="AC1211" i="1" s="1"/>
  <c r="AC1212" i="1" s="1"/>
  <c r="AC1213" i="1" s="1"/>
  <c r="AC1214" i="1" s="1"/>
  <c r="J1209" i="1"/>
  <c r="J1210" i="1" s="1"/>
  <c r="J1211" i="1" s="1"/>
  <c r="C1209" i="1"/>
  <c r="C1210" i="1" s="1"/>
  <c r="C1211" i="1" s="1"/>
  <c r="C1212" i="1" s="1"/>
  <c r="C1213" i="1" s="1"/>
  <c r="C1214" i="1" s="1"/>
  <c r="C1215" i="1" s="1"/>
  <c r="C1216" i="1" s="1"/>
  <c r="C1217" i="1" s="1"/>
  <c r="AF1208" i="1"/>
  <c r="AF1209" i="1" s="1"/>
  <c r="AF1210" i="1" s="1"/>
  <c r="AF1211" i="1" s="1"/>
  <c r="AF1212" i="1" s="1"/>
  <c r="AF1213" i="1" s="1"/>
  <c r="AF1214" i="1" s="1"/>
  <c r="P1208" i="1"/>
  <c r="P1209" i="1" s="1"/>
  <c r="O1208" i="1"/>
  <c r="O1209" i="1" s="1"/>
  <c r="O1210" i="1" s="1"/>
  <c r="N1208" i="1"/>
  <c r="N1209" i="1" s="1"/>
  <c r="N1210" i="1" s="1"/>
  <c r="M1208" i="1"/>
  <c r="M1209" i="1" s="1"/>
  <c r="M1210" i="1" s="1"/>
  <c r="M1211" i="1" s="1"/>
  <c r="M1212" i="1" s="1"/>
  <c r="M1213" i="1" s="1"/>
  <c r="M1214" i="1" s="1"/>
  <c r="M1215" i="1" s="1"/>
  <c r="M1216" i="1" s="1"/>
  <c r="M1217" i="1" s="1"/>
  <c r="L1208" i="1"/>
  <c r="L1209" i="1" s="1"/>
  <c r="L1210" i="1" s="1"/>
  <c r="L1211" i="1" s="1"/>
  <c r="L1212" i="1" s="1"/>
  <c r="L1213" i="1" s="1"/>
  <c r="L1214" i="1" s="1"/>
  <c r="L1215" i="1" s="1"/>
  <c r="L1216" i="1" s="1"/>
  <c r="L1217" i="1" s="1"/>
  <c r="K1208" i="1"/>
  <c r="K1209" i="1" s="1"/>
  <c r="K1210" i="1" s="1"/>
  <c r="K1211" i="1" s="1"/>
  <c r="K1212" i="1" s="1"/>
  <c r="K1213" i="1" s="1"/>
  <c r="K1214" i="1" s="1"/>
  <c r="K1215" i="1" s="1"/>
  <c r="K1216" i="1" s="1"/>
  <c r="K1217" i="1" s="1"/>
  <c r="J1208" i="1"/>
  <c r="C1208" i="1"/>
  <c r="AF1207" i="1"/>
  <c r="T1207" i="1"/>
  <c r="T1208" i="1" s="1"/>
  <c r="T1209" i="1" s="1"/>
  <c r="T1210" i="1" s="1"/>
  <c r="T1211" i="1" s="1"/>
  <c r="T1212" i="1" s="1"/>
  <c r="T1213" i="1" s="1"/>
  <c r="T1214" i="1" s="1"/>
  <c r="S1207" i="1"/>
  <c r="S1208" i="1" s="1"/>
  <c r="S1209" i="1" s="1"/>
  <c r="S1210" i="1" s="1"/>
  <c r="S1211" i="1" s="1"/>
  <c r="S1212" i="1" s="1"/>
  <c r="S1213" i="1" s="1"/>
  <c r="S1214" i="1" s="1"/>
  <c r="S1215" i="1" s="1"/>
  <c r="S1216" i="1" s="1"/>
  <c r="S1217" i="1" s="1"/>
  <c r="S1218" i="1" s="1"/>
  <c r="S1219" i="1" s="1"/>
  <c r="S1220" i="1" s="1"/>
  <c r="S1221" i="1" s="1"/>
  <c r="S1222" i="1" s="1"/>
  <c r="S1223" i="1" s="1"/>
  <c r="S1224" i="1" s="1"/>
  <c r="S1225" i="1" s="1"/>
  <c r="S1226" i="1" s="1"/>
  <c r="S1227" i="1" s="1"/>
  <c r="S1228" i="1" s="1"/>
  <c r="S1229" i="1" s="1"/>
  <c r="S1230" i="1" s="1"/>
  <c r="S1231" i="1" s="1"/>
  <c r="S1232" i="1" s="1"/>
  <c r="S1233" i="1" s="1"/>
  <c r="S1234" i="1" s="1"/>
  <c r="S1235" i="1" s="1"/>
  <c r="S1236" i="1" s="1"/>
  <c r="S1237" i="1" s="1"/>
  <c r="S1238" i="1" s="1"/>
  <c r="S1239" i="1" s="1"/>
  <c r="S1240" i="1" s="1"/>
  <c r="S1241" i="1" s="1"/>
  <c r="S1242" i="1" s="1"/>
  <c r="S1243" i="1" s="1"/>
  <c r="S1244" i="1" s="1"/>
  <c r="S1245" i="1" s="1"/>
  <c r="S1246" i="1" s="1"/>
  <c r="S1247" i="1" s="1"/>
  <c r="S1248" i="1" s="1"/>
  <c r="S1249" i="1" s="1"/>
  <c r="S1250" i="1" s="1"/>
  <c r="S1251" i="1" s="1"/>
  <c r="S1252" i="1" s="1"/>
  <c r="S1253" i="1" s="1"/>
  <c r="S1254" i="1" s="1"/>
  <c r="S1255" i="1" s="1"/>
  <c r="S1256" i="1" s="1"/>
  <c r="S1257" i="1" s="1"/>
  <c r="S1258" i="1" s="1"/>
  <c r="S1259" i="1" s="1"/>
  <c r="S1260" i="1" s="1"/>
  <c r="S1261" i="1" s="1"/>
  <c r="S1262" i="1" s="1"/>
  <c r="S1263" i="1" s="1"/>
  <c r="S1264" i="1" s="1"/>
  <c r="AG1206" i="1"/>
  <c r="AG1207" i="1" s="1"/>
  <c r="AG1208" i="1" s="1"/>
  <c r="AG1209" i="1" s="1"/>
  <c r="AG1210" i="1" s="1"/>
  <c r="AG1211" i="1" s="1"/>
  <c r="AG1212" i="1" s="1"/>
  <c r="AG1213" i="1" s="1"/>
  <c r="AG1214" i="1" s="1"/>
  <c r="AF1206" i="1"/>
  <c r="AE1206" i="1"/>
  <c r="AE1207" i="1" s="1"/>
  <c r="AE1208" i="1" s="1"/>
  <c r="AE1209" i="1" s="1"/>
  <c r="AE1210" i="1" s="1"/>
  <c r="AE1211" i="1" s="1"/>
  <c r="AE1212" i="1" s="1"/>
  <c r="AE1213" i="1" s="1"/>
  <c r="AE1214" i="1" s="1"/>
  <c r="AD1206" i="1"/>
  <c r="AD1207" i="1" s="1"/>
  <c r="AD1208" i="1" s="1"/>
  <c r="AD1209" i="1" s="1"/>
  <c r="AD1210" i="1" s="1"/>
  <c r="AD1211" i="1" s="1"/>
  <c r="AD1212" i="1" s="1"/>
  <c r="AD1213" i="1" s="1"/>
  <c r="AD1214" i="1" s="1"/>
  <c r="AC1206" i="1"/>
  <c r="AC1207" i="1" s="1"/>
  <c r="AC1208" i="1" s="1"/>
  <c r="AB1206" i="1"/>
  <c r="AB1207" i="1" s="1"/>
  <c r="AB1208" i="1" s="1"/>
  <c r="AB1209" i="1" s="1"/>
  <c r="AB1210" i="1" s="1"/>
  <c r="AB1211" i="1" s="1"/>
  <c r="AB1212" i="1" s="1"/>
  <c r="AB1213" i="1" s="1"/>
  <c r="AB1214" i="1" s="1"/>
  <c r="AA1206" i="1"/>
  <c r="AA1207" i="1" s="1"/>
  <c r="AA1208" i="1" s="1"/>
  <c r="AA1209" i="1" s="1"/>
  <c r="AA1210" i="1" s="1"/>
  <c r="AA1211" i="1" s="1"/>
  <c r="AA1212" i="1" s="1"/>
  <c r="AA1213" i="1" s="1"/>
  <c r="AA1214" i="1" s="1"/>
  <c r="T1206" i="1"/>
  <c r="S1206" i="1"/>
  <c r="B1206" i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AR1204" i="1"/>
  <c r="AR1205" i="1" s="1"/>
  <c r="AR1206" i="1" s="1"/>
  <c r="AR1207" i="1" s="1"/>
  <c r="AR1208" i="1" s="1"/>
  <c r="AR1209" i="1" s="1"/>
  <c r="AR1210" i="1" s="1"/>
  <c r="AR1211" i="1" s="1"/>
  <c r="AR1212" i="1" s="1"/>
  <c r="AR1213" i="1" s="1"/>
  <c r="AR1214" i="1" s="1"/>
  <c r="AR1215" i="1" s="1"/>
  <c r="AR1216" i="1" s="1"/>
  <c r="AR1217" i="1" s="1"/>
  <c r="AR1218" i="1" s="1"/>
  <c r="AR1219" i="1" s="1"/>
  <c r="AR1220" i="1" s="1"/>
  <c r="AR1221" i="1" s="1"/>
  <c r="AW1203" i="1"/>
  <c r="AW1204" i="1" s="1"/>
  <c r="AW1205" i="1" s="1"/>
  <c r="AW1206" i="1" s="1"/>
  <c r="AW1207" i="1" s="1"/>
  <c r="AW1208" i="1" s="1"/>
  <c r="AW1209" i="1" s="1"/>
  <c r="AW1210" i="1" s="1"/>
  <c r="AW1211" i="1" s="1"/>
  <c r="AW1212" i="1" s="1"/>
  <c r="AW1213" i="1" s="1"/>
  <c r="AW1214" i="1" s="1"/>
  <c r="AW1215" i="1" s="1"/>
  <c r="AW1216" i="1" s="1"/>
  <c r="AW1217" i="1" s="1"/>
  <c r="AW1218" i="1" s="1"/>
  <c r="AW1219" i="1" s="1"/>
  <c r="AW1220" i="1" s="1"/>
  <c r="AW1221" i="1" s="1"/>
  <c r="AX1202" i="1"/>
  <c r="AX1203" i="1" s="1"/>
  <c r="AX1204" i="1" s="1"/>
  <c r="AX1205" i="1" s="1"/>
  <c r="AX1206" i="1" s="1"/>
  <c r="AX1207" i="1" s="1"/>
  <c r="AX1208" i="1" s="1"/>
  <c r="AX1209" i="1" s="1"/>
  <c r="AX1210" i="1" s="1"/>
  <c r="AX1211" i="1" s="1"/>
  <c r="AX1212" i="1" s="1"/>
  <c r="AX1213" i="1" s="1"/>
  <c r="AX1214" i="1" s="1"/>
  <c r="AX1215" i="1" s="1"/>
  <c r="AX1216" i="1" s="1"/>
  <c r="AX1217" i="1" s="1"/>
  <c r="AX1218" i="1" s="1"/>
  <c r="AX1219" i="1" s="1"/>
  <c r="AX1220" i="1" s="1"/>
  <c r="AX1221" i="1" s="1"/>
  <c r="AW1202" i="1"/>
  <c r="AK1202" i="1"/>
  <c r="AK1203" i="1" s="1"/>
  <c r="AK1204" i="1" s="1"/>
  <c r="AK1205" i="1" s="1"/>
  <c r="AK1206" i="1" s="1"/>
  <c r="AK1207" i="1" s="1"/>
  <c r="AK1208" i="1" s="1"/>
  <c r="AK1209" i="1" s="1"/>
  <c r="AK1210" i="1" s="1"/>
  <c r="AK1211" i="1" s="1"/>
  <c r="AK1212" i="1" s="1"/>
  <c r="AK1213" i="1" s="1"/>
  <c r="AK1214" i="1" s="1"/>
  <c r="AK1215" i="1" s="1"/>
  <c r="AK1216" i="1" s="1"/>
  <c r="AK1217" i="1" s="1"/>
  <c r="AK1218" i="1" s="1"/>
  <c r="AK1219" i="1" s="1"/>
  <c r="AK1220" i="1" s="1"/>
  <c r="AK1221" i="1" s="1"/>
  <c r="AX1201" i="1"/>
  <c r="AW1201" i="1"/>
  <c r="AV1201" i="1"/>
  <c r="AV1202" i="1" s="1"/>
  <c r="AV1203" i="1" s="1"/>
  <c r="AV1204" i="1" s="1"/>
  <c r="AV1205" i="1" s="1"/>
  <c r="AV1206" i="1" s="1"/>
  <c r="AV1207" i="1" s="1"/>
  <c r="AV1208" i="1" s="1"/>
  <c r="AV1209" i="1" s="1"/>
  <c r="AV1210" i="1" s="1"/>
  <c r="AV1211" i="1" s="1"/>
  <c r="AV1212" i="1" s="1"/>
  <c r="AV1213" i="1" s="1"/>
  <c r="AV1214" i="1" s="1"/>
  <c r="AV1215" i="1" s="1"/>
  <c r="AV1216" i="1" s="1"/>
  <c r="AV1217" i="1" s="1"/>
  <c r="AV1218" i="1" s="1"/>
  <c r="AV1219" i="1" s="1"/>
  <c r="AV1220" i="1" s="1"/>
  <c r="AV1221" i="1" s="1"/>
  <c r="AU1201" i="1"/>
  <c r="AU1202" i="1" s="1"/>
  <c r="AU1203" i="1" s="1"/>
  <c r="AU1204" i="1" s="1"/>
  <c r="AU1205" i="1" s="1"/>
  <c r="AU1206" i="1" s="1"/>
  <c r="AU1207" i="1" s="1"/>
  <c r="AU1208" i="1" s="1"/>
  <c r="AU1209" i="1" s="1"/>
  <c r="AU1210" i="1" s="1"/>
  <c r="AU1211" i="1" s="1"/>
  <c r="AU1212" i="1" s="1"/>
  <c r="AU1213" i="1" s="1"/>
  <c r="AU1214" i="1" s="1"/>
  <c r="AU1215" i="1" s="1"/>
  <c r="AU1216" i="1" s="1"/>
  <c r="AU1217" i="1" s="1"/>
  <c r="AU1218" i="1" s="1"/>
  <c r="AU1219" i="1" s="1"/>
  <c r="AU1220" i="1" s="1"/>
  <c r="AU1221" i="1" s="1"/>
  <c r="AT1201" i="1"/>
  <c r="AT1202" i="1" s="1"/>
  <c r="AT1203" i="1" s="1"/>
  <c r="AT1204" i="1" s="1"/>
  <c r="AT1205" i="1" s="1"/>
  <c r="AT1206" i="1" s="1"/>
  <c r="AT1207" i="1" s="1"/>
  <c r="AT1208" i="1" s="1"/>
  <c r="AT1209" i="1" s="1"/>
  <c r="AT1210" i="1" s="1"/>
  <c r="AT1211" i="1" s="1"/>
  <c r="AT1212" i="1" s="1"/>
  <c r="AT1213" i="1" s="1"/>
  <c r="AT1214" i="1" s="1"/>
  <c r="AT1215" i="1" s="1"/>
  <c r="AT1216" i="1" s="1"/>
  <c r="AT1217" i="1" s="1"/>
  <c r="AT1218" i="1" s="1"/>
  <c r="AT1219" i="1" s="1"/>
  <c r="AT1220" i="1" s="1"/>
  <c r="AT1221" i="1" s="1"/>
  <c r="AS1201" i="1"/>
  <c r="AS1202" i="1" s="1"/>
  <c r="AS1203" i="1" s="1"/>
  <c r="AS1204" i="1" s="1"/>
  <c r="AS1205" i="1" s="1"/>
  <c r="AS1206" i="1" s="1"/>
  <c r="AS1207" i="1" s="1"/>
  <c r="AS1208" i="1" s="1"/>
  <c r="AS1209" i="1" s="1"/>
  <c r="AS1210" i="1" s="1"/>
  <c r="AS1211" i="1" s="1"/>
  <c r="AS1212" i="1" s="1"/>
  <c r="AS1213" i="1" s="1"/>
  <c r="AS1214" i="1" s="1"/>
  <c r="AS1215" i="1" s="1"/>
  <c r="AS1216" i="1" s="1"/>
  <c r="AS1217" i="1" s="1"/>
  <c r="AS1218" i="1" s="1"/>
  <c r="AS1219" i="1" s="1"/>
  <c r="AS1220" i="1" s="1"/>
  <c r="AS1221" i="1" s="1"/>
  <c r="AR1201" i="1"/>
  <c r="AR1202" i="1" s="1"/>
  <c r="AR1203" i="1" s="1"/>
  <c r="AK1201" i="1"/>
  <c r="O1201" i="1"/>
  <c r="O1202" i="1" s="1"/>
  <c r="O1203" i="1" s="1"/>
  <c r="O1204" i="1" s="1"/>
  <c r="O1205" i="1" s="1"/>
  <c r="O1206" i="1" s="1"/>
  <c r="N1201" i="1"/>
  <c r="N1202" i="1" s="1"/>
  <c r="N1203" i="1" s="1"/>
  <c r="N1204" i="1" s="1"/>
  <c r="N1205" i="1" s="1"/>
  <c r="N1206" i="1" s="1"/>
  <c r="N1199" i="1"/>
  <c r="N1200" i="1" s="1"/>
  <c r="M1199" i="1"/>
  <c r="M1200" i="1" s="1"/>
  <c r="M1201" i="1" s="1"/>
  <c r="M1202" i="1" s="1"/>
  <c r="M1203" i="1" s="1"/>
  <c r="M1204" i="1" s="1"/>
  <c r="M1205" i="1" s="1"/>
  <c r="M1206" i="1" s="1"/>
  <c r="L1199" i="1"/>
  <c r="L1200" i="1" s="1"/>
  <c r="L1201" i="1" s="1"/>
  <c r="L1202" i="1" s="1"/>
  <c r="L1203" i="1" s="1"/>
  <c r="L1204" i="1" s="1"/>
  <c r="L1205" i="1" s="1"/>
  <c r="L1206" i="1" s="1"/>
  <c r="K1199" i="1"/>
  <c r="K1200" i="1" s="1"/>
  <c r="K1201" i="1" s="1"/>
  <c r="K1202" i="1" s="1"/>
  <c r="K1203" i="1" s="1"/>
  <c r="K1204" i="1" s="1"/>
  <c r="K1205" i="1" s="1"/>
  <c r="K1206" i="1" s="1"/>
  <c r="P1198" i="1"/>
  <c r="P1199" i="1" s="1"/>
  <c r="P1200" i="1" s="1"/>
  <c r="P1201" i="1" s="1"/>
  <c r="P1202" i="1" s="1"/>
  <c r="P1203" i="1" s="1"/>
  <c r="P1204" i="1" s="1"/>
  <c r="P1205" i="1" s="1"/>
  <c r="P1206" i="1" s="1"/>
  <c r="O1198" i="1"/>
  <c r="O1199" i="1" s="1"/>
  <c r="O1200" i="1" s="1"/>
  <c r="N1198" i="1"/>
  <c r="M1198" i="1"/>
  <c r="L1198" i="1"/>
  <c r="K1198" i="1"/>
  <c r="J1198" i="1"/>
  <c r="J1199" i="1" s="1"/>
  <c r="J1200" i="1" s="1"/>
  <c r="J1201" i="1" s="1"/>
  <c r="J1202" i="1" s="1"/>
  <c r="J1203" i="1" s="1"/>
  <c r="J1204" i="1" s="1"/>
  <c r="J1205" i="1" s="1"/>
  <c r="J1206" i="1" s="1"/>
  <c r="C1198" i="1"/>
  <c r="C1199" i="1" s="1"/>
  <c r="C1200" i="1" s="1"/>
  <c r="C1201" i="1" s="1"/>
  <c r="C1202" i="1" s="1"/>
  <c r="C1203" i="1" s="1"/>
  <c r="C1204" i="1" s="1"/>
  <c r="C1205" i="1" s="1"/>
  <c r="C1206" i="1" s="1"/>
  <c r="T1195" i="1"/>
  <c r="T1196" i="1" s="1"/>
  <c r="T1197" i="1" s="1"/>
  <c r="T1198" i="1" s="1"/>
  <c r="T1199" i="1" s="1"/>
  <c r="T1200" i="1" s="1"/>
  <c r="T1201" i="1" s="1"/>
  <c r="T1202" i="1" s="1"/>
  <c r="T1203" i="1" s="1"/>
  <c r="T1204" i="1" s="1"/>
  <c r="AT1194" i="1"/>
  <c r="AT1195" i="1" s="1"/>
  <c r="AT1196" i="1" s="1"/>
  <c r="AT1197" i="1" s="1"/>
  <c r="AT1198" i="1" s="1"/>
  <c r="AT1199" i="1" s="1"/>
  <c r="AA1194" i="1"/>
  <c r="AA1195" i="1" s="1"/>
  <c r="AA1196" i="1" s="1"/>
  <c r="AA1197" i="1" s="1"/>
  <c r="AA1198" i="1" s="1"/>
  <c r="AA1199" i="1" s="1"/>
  <c r="AA1200" i="1" s="1"/>
  <c r="AA1201" i="1" s="1"/>
  <c r="AA1202" i="1" s="1"/>
  <c r="AA1203" i="1" s="1"/>
  <c r="AA1204" i="1" s="1"/>
  <c r="T1194" i="1"/>
  <c r="K1194" i="1"/>
  <c r="K1195" i="1" s="1"/>
  <c r="K1196" i="1" s="1"/>
  <c r="C1194" i="1"/>
  <c r="C1195" i="1" s="1"/>
  <c r="C1196" i="1" s="1"/>
  <c r="AE1193" i="1"/>
  <c r="AE1194" i="1" s="1"/>
  <c r="AE1195" i="1" s="1"/>
  <c r="AE1196" i="1" s="1"/>
  <c r="AE1197" i="1" s="1"/>
  <c r="AE1198" i="1" s="1"/>
  <c r="AE1199" i="1" s="1"/>
  <c r="AE1200" i="1" s="1"/>
  <c r="AE1201" i="1" s="1"/>
  <c r="AE1202" i="1" s="1"/>
  <c r="AE1203" i="1" s="1"/>
  <c r="AE1204" i="1" s="1"/>
  <c r="P1193" i="1"/>
  <c r="P1194" i="1" s="1"/>
  <c r="P1195" i="1" s="1"/>
  <c r="P1196" i="1" s="1"/>
  <c r="O1193" i="1"/>
  <c r="O1194" i="1" s="1"/>
  <c r="O1195" i="1" s="1"/>
  <c r="O1196" i="1" s="1"/>
  <c r="N1193" i="1"/>
  <c r="N1194" i="1" s="1"/>
  <c r="N1195" i="1" s="1"/>
  <c r="N1196" i="1" s="1"/>
  <c r="M1193" i="1"/>
  <c r="M1194" i="1" s="1"/>
  <c r="M1195" i="1" s="1"/>
  <c r="M1196" i="1" s="1"/>
  <c r="L1193" i="1"/>
  <c r="L1194" i="1" s="1"/>
  <c r="L1195" i="1" s="1"/>
  <c r="L1196" i="1" s="1"/>
  <c r="K1193" i="1"/>
  <c r="J1193" i="1"/>
  <c r="J1194" i="1" s="1"/>
  <c r="J1195" i="1" s="1"/>
  <c r="J1196" i="1" s="1"/>
  <c r="C1193" i="1"/>
  <c r="AS1192" i="1"/>
  <c r="AS1193" i="1" s="1"/>
  <c r="AS1194" i="1" s="1"/>
  <c r="AS1195" i="1" s="1"/>
  <c r="AS1196" i="1" s="1"/>
  <c r="AS1197" i="1" s="1"/>
  <c r="AS1198" i="1" s="1"/>
  <c r="AS1199" i="1" s="1"/>
  <c r="AK1192" i="1"/>
  <c r="AK1193" i="1" s="1"/>
  <c r="AK1194" i="1" s="1"/>
  <c r="AK1195" i="1" s="1"/>
  <c r="AK1196" i="1" s="1"/>
  <c r="AK1197" i="1" s="1"/>
  <c r="AK1198" i="1" s="1"/>
  <c r="AK1199" i="1" s="1"/>
  <c r="AG1192" i="1"/>
  <c r="AG1193" i="1" s="1"/>
  <c r="AG1194" i="1" s="1"/>
  <c r="AG1195" i="1" s="1"/>
  <c r="AG1196" i="1" s="1"/>
  <c r="AG1197" i="1" s="1"/>
  <c r="AG1198" i="1" s="1"/>
  <c r="AG1199" i="1" s="1"/>
  <c r="AG1200" i="1" s="1"/>
  <c r="AG1201" i="1" s="1"/>
  <c r="AG1202" i="1" s="1"/>
  <c r="AG1203" i="1" s="1"/>
  <c r="AG1204" i="1" s="1"/>
  <c r="AF1192" i="1"/>
  <c r="AF1193" i="1" s="1"/>
  <c r="AF1194" i="1" s="1"/>
  <c r="AF1195" i="1" s="1"/>
  <c r="AF1196" i="1" s="1"/>
  <c r="AF1197" i="1" s="1"/>
  <c r="AF1198" i="1" s="1"/>
  <c r="AF1199" i="1" s="1"/>
  <c r="AF1200" i="1" s="1"/>
  <c r="AF1201" i="1" s="1"/>
  <c r="AF1202" i="1" s="1"/>
  <c r="AF1203" i="1" s="1"/>
  <c r="AF1204" i="1" s="1"/>
  <c r="AE1192" i="1"/>
  <c r="AK1191" i="1"/>
  <c r="AG1191" i="1"/>
  <c r="AF1191" i="1"/>
  <c r="AE1191" i="1"/>
  <c r="AD1191" i="1"/>
  <c r="AD1192" i="1" s="1"/>
  <c r="AD1193" i="1" s="1"/>
  <c r="AD1194" i="1" s="1"/>
  <c r="AD1195" i="1" s="1"/>
  <c r="AD1196" i="1" s="1"/>
  <c r="AD1197" i="1" s="1"/>
  <c r="AD1198" i="1" s="1"/>
  <c r="AD1199" i="1" s="1"/>
  <c r="AD1200" i="1" s="1"/>
  <c r="AD1201" i="1" s="1"/>
  <c r="AD1202" i="1" s="1"/>
  <c r="AD1203" i="1" s="1"/>
  <c r="AD1204" i="1" s="1"/>
  <c r="AC1191" i="1"/>
  <c r="AC1192" i="1" s="1"/>
  <c r="AC1193" i="1" s="1"/>
  <c r="AC1194" i="1" s="1"/>
  <c r="AC1195" i="1" s="1"/>
  <c r="AC1196" i="1" s="1"/>
  <c r="AC1197" i="1" s="1"/>
  <c r="AC1198" i="1" s="1"/>
  <c r="AC1199" i="1" s="1"/>
  <c r="AC1200" i="1" s="1"/>
  <c r="AC1201" i="1" s="1"/>
  <c r="AC1202" i="1" s="1"/>
  <c r="AC1203" i="1" s="1"/>
  <c r="AC1204" i="1" s="1"/>
  <c r="AB1191" i="1"/>
  <c r="AB1192" i="1" s="1"/>
  <c r="AB1193" i="1" s="1"/>
  <c r="AB1194" i="1" s="1"/>
  <c r="AB1195" i="1" s="1"/>
  <c r="AB1196" i="1" s="1"/>
  <c r="AB1197" i="1" s="1"/>
  <c r="AB1198" i="1" s="1"/>
  <c r="AB1199" i="1" s="1"/>
  <c r="AB1200" i="1" s="1"/>
  <c r="AB1201" i="1" s="1"/>
  <c r="AB1202" i="1" s="1"/>
  <c r="AB1203" i="1" s="1"/>
  <c r="AB1204" i="1" s="1"/>
  <c r="AA1191" i="1"/>
  <c r="AA1192" i="1" s="1"/>
  <c r="AA1193" i="1" s="1"/>
  <c r="T1191" i="1"/>
  <c r="T1192" i="1" s="1"/>
  <c r="T1193" i="1" s="1"/>
  <c r="AW1190" i="1"/>
  <c r="AW1191" i="1" s="1"/>
  <c r="AW1192" i="1" s="1"/>
  <c r="AW1193" i="1" s="1"/>
  <c r="AW1194" i="1" s="1"/>
  <c r="AW1195" i="1" s="1"/>
  <c r="AW1196" i="1" s="1"/>
  <c r="AW1197" i="1" s="1"/>
  <c r="AW1198" i="1" s="1"/>
  <c r="AW1199" i="1" s="1"/>
  <c r="AT1190" i="1"/>
  <c r="AT1191" i="1" s="1"/>
  <c r="AT1192" i="1" s="1"/>
  <c r="AT1193" i="1" s="1"/>
  <c r="AS1190" i="1"/>
  <c r="AS1191" i="1" s="1"/>
  <c r="AR1190" i="1"/>
  <c r="AR1191" i="1" s="1"/>
  <c r="AR1192" i="1" s="1"/>
  <c r="AR1193" i="1" s="1"/>
  <c r="AR1194" i="1" s="1"/>
  <c r="AR1195" i="1" s="1"/>
  <c r="AR1196" i="1" s="1"/>
  <c r="AR1197" i="1" s="1"/>
  <c r="AR1198" i="1" s="1"/>
  <c r="AR1199" i="1" s="1"/>
  <c r="AK1190" i="1"/>
  <c r="J1190" i="1"/>
  <c r="AX1189" i="1"/>
  <c r="AX1190" i="1" s="1"/>
  <c r="AX1191" i="1" s="1"/>
  <c r="AX1192" i="1" s="1"/>
  <c r="AX1193" i="1" s="1"/>
  <c r="AX1194" i="1" s="1"/>
  <c r="AX1195" i="1" s="1"/>
  <c r="AX1196" i="1" s="1"/>
  <c r="AX1197" i="1" s="1"/>
  <c r="AX1198" i="1" s="1"/>
  <c r="AX1199" i="1" s="1"/>
  <c r="AW1189" i="1"/>
  <c r="AV1189" i="1"/>
  <c r="AV1190" i="1" s="1"/>
  <c r="AV1191" i="1" s="1"/>
  <c r="AV1192" i="1" s="1"/>
  <c r="AV1193" i="1" s="1"/>
  <c r="AV1194" i="1" s="1"/>
  <c r="AV1195" i="1" s="1"/>
  <c r="AV1196" i="1" s="1"/>
  <c r="AV1197" i="1" s="1"/>
  <c r="AV1198" i="1" s="1"/>
  <c r="AV1199" i="1" s="1"/>
  <c r="AU1189" i="1"/>
  <c r="AU1190" i="1" s="1"/>
  <c r="AU1191" i="1" s="1"/>
  <c r="AU1192" i="1" s="1"/>
  <c r="AU1193" i="1" s="1"/>
  <c r="AU1194" i="1" s="1"/>
  <c r="AU1195" i="1" s="1"/>
  <c r="AU1196" i="1" s="1"/>
  <c r="AU1197" i="1" s="1"/>
  <c r="AU1198" i="1" s="1"/>
  <c r="AU1199" i="1" s="1"/>
  <c r="AT1189" i="1"/>
  <c r="AS1189" i="1"/>
  <c r="AR1189" i="1"/>
  <c r="AK1189" i="1"/>
  <c r="P1187" i="1"/>
  <c r="P1188" i="1" s="1"/>
  <c r="P1189" i="1" s="1"/>
  <c r="P1190" i="1" s="1"/>
  <c r="P1191" i="1" s="1"/>
  <c r="J1185" i="1"/>
  <c r="J1186" i="1" s="1"/>
  <c r="J1187" i="1" s="1"/>
  <c r="J1188" i="1" s="1"/>
  <c r="J1189" i="1" s="1"/>
  <c r="C1185" i="1"/>
  <c r="C1186" i="1" s="1"/>
  <c r="C1187" i="1" s="1"/>
  <c r="C1188" i="1" s="1"/>
  <c r="C1189" i="1" s="1"/>
  <c r="C1190" i="1" s="1"/>
  <c r="N1184" i="1"/>
  <c r="N1185" i="1" s="1"/>
  <c r="N1186" i="1" s="1"/>
  <c r="N1187" i="1" s="1"/>
  <c r="N1188" i="1" s="1"/>
  <c r="N1189" i="1" s="1"/>
  <c r="N1190" i="1" s="1"/>
  <c r="M1184" i="1"/>
  <c r="M1185" i="1" s="1"/>
  <c r="M1186" i="1" s="1"/>
  <c r="M1187" i="1" s="1"/>
  <c r="M1188" i="1" s="1"/>
  <c r="M1189" i="1" s="1"/>
  <c r="M1190" i="1" s="1"/>
  <c r="L1184" i="1"/>
  <c r="L1185" i="1" s="1"/>
  <c r="L1186" i="1" s="1"/>
  <c r="L1187" i="1" s="1"/>
  <c r="L1188" i="1" s="1"/>
  <c r="L1189" i="1" s="1"/>
  <c r="L1190" i="1" s="1"/>
  <c r="K1184" i="1"/>
  <c r="K1185" i="1" s="1"/>
  <c r="K1186" i="1" s="1"/>
  <c r="K1187" i="1" s="1"/>
  <c r="K1188" i="1" s="1"/>
  <c r="K1189" i="1" s="1"/>
  <c r="K1190" i="1" s="1"/>
  <c r="AV1183" i="1"/>
  <c r="AV1184" i="1" s="1"/>
  <c r="AV1185" i="1" s="1"/>
  <c r="AV1186" i="1" s="1"/>
  <c r="P1183" i="1"/>
  <c r="P1184" i="1" s="1"/>
  <c r="P1185" i="1" s="1"/>
  <c r="P1186" i="1" s="1"/>
  <c r="O1183" i="1"/>
  <c r="O1184" i="1" s="1"/>
  <c r="O1185" i="1" s="1"/>
  <c r="O1186" i="1" s="1"/>
  <c r="O1187" i="1" s="1"/>
  <c r="O1188" i="1" s="1"/>
  <c r="O1189" i="1" s="1"/>
  <c r="O1190" i="1" s="1"/>
  <c r="O1191" i="1" s="1"/>
  <c r="N1183" i="1"/>
  <c r="M1183" i="1"/>
  <c r="L1183" i="1"/>
  <c r="K1183" i="1"/>
  <c r="J1183" i="1"/>
  <c r="J1184" i="1" s="1"/>
  <c r="C1183" i="1"/>
  <c r="C1184" i="1" s="1"/>
  <c r="AW1182" i="1"/>
  <c r="AW1183" i="1" s="1"/>
  <c r="AW1184" i="1" s="1"/>
  <c r="AW1185" i="1" s="1"/>
  <c r="AW1186" i="1" s="1"/>
  <c r="AW1187" i="1" s="1"/>
  <c r="AV1182" i="1"/>
  <c r="AU1182" i="1"/>
  <c r="AU1183" i="1" s="1"/>
  <c r="AU1184" i="1" s="1"/>
  <c r="AU1185" i="1" s="1"/>
  <c r="AU1186" i="1" s="1"/>
  <c r="AS1182" i="1"/>
  <c r="AS1183" i="1" s="1"/>
  <c r="AS1184" i="1" s="1"/>
  <c r="AS1185" i="1" s="1"/>
  <c r="AS1186" i="1" s="1"/>
  <c r="AX1181" i="1"/>
  <c r="AX1182" i="1" s="1"/>
  <c r="AX1183" i="1" s="1"/>
  <c r="AX1184" i="1" s="1"/>
  <c r="AX1185" i="1" s="1"/>
  <c r="AX1186" i="1" s="1"/>
  <c r="AX1187" i="1" s="1"/>
  <c r="AW1181" i="1"/>
  <c r="AV1181" i="1"/>
  <c r="AU1181" i="1"/>
  <c r="AT1181" i="1"/>
  <c r="AT1182" i="1" s="1"/>
  <c r="AT1183" i="1" s="1"/>
  <c r="AT1184" i="1" s="1"/>
  <c r="AT1185" i="1" s="1"/>
  <c r="AT1186" i="1" s="1"/>
  <c r="AS1181" i="1"/>
  <c r="AR1181" i="1"/>
  <c r="AR1182" i="1" s="1"/>
  <c r="AR1183" i="1" s="1"/>
  <c r="AR1184" i="1" s="1"/>
  <c r="AR1185" i="1" s="1"/>
  <c r="AR1186" i="1" s="1"/>
  <c r="AK1181" i="1"/>
  <c r="AK1182" i="1" s="1"/>
  <c r="AK1183" i="1" s="1"/>
  <c r="AK1184" i="1" s="1"/>
  <c r="AK1185" i="1" s="1"/>
  <c r="AK1186" i="1" s="1"/>
  <c r="AS1178" i="1"/>
  <c r="AS1179" i="1" s="1"/>
  <c r="AJ1178" i="1"/>
  <c r="AJ1179" i="1" s="1"/>
  <c r="AJ1180" i="1" s="1"/>
  <c r="AJ1181" i="1" s="1"/>
  <c r="AJ1182" i="1" s="1"/>
  <c r="AJ1183" i="1" s="1"/>
  <c r="AJ1184" i="1" s="1"/>
  <c r="AJ1185" i="1" s="1"/>
  <c r="AJ1186" i="1" s="1"/>
  <c r="AJ1187" i="1" s="1"/>
  <c r="AJ1188" i="1" s="1"/>
  <c r="AJ1189" i="1" s="1"/>
  <c r="AJ1190" i="1" s="1"/>
  <c r="AJ1191" i="1" s="1"/>
  <c r="AJ1192" i="1" s="1"/>
  <c r="AJ1193" i="1" s="1"/>
  <c r="AJ1194" i="1" s="1"/>
  <c r="AJ1195" i="1" s="1"/>
  <c r="AJ1196" i="1" s="1"/>
  <c r="AJ1197" i="1" s="1"/>
  <c r="AJ1198" i="1" s="1"/>
  <c r="AJ1199" i="1" s="1"/>
  <c r="AJ1200" i="1" s="1"/>
  <c r="AJ1201" i="1" s="1"/>
  <c r="AJ1202" i="1" s="1"/>
  <c r="AJ1203" i="1" s="1"/>
  <c r="AJ1204" i="1" s="1"/>
  <c r="AJ1205" i="1" s="1"/>
  <c r="AJ1206" i="1" s="1"/>
  <c r="AJ1207" i="1" s="1"/>
  <c r="AJ1208" i="1" s="1"/>
  <c r="AJ1209" i="1" s="1"/>
  <c r="AJ1210" i="1" s="1"/>
  <c r="AJ1211" i="1" s="1"/>
  <c r="AJ1212" i="1" s="1"/>
  <c r="AJ1213" i="1" s="1"/>
  <c r="AJ1214" i="1" s="1"/>
  <c r="AJ1215" i="1" s="1"/>
  <c r="AJ1216" i="1" s="1"/>
  <c r="AJ1217" i="1" s="1"/>
  <c r="AJ1218" i="1" s="1"/>
  <c r="AJ1219" i="1" s="1"/>
  <c r="AJ1220" i="1" s="1"/>
  <c r="AJ1221" i="1" s="1"/>
  <c r="AJ1222" i="1" s="1"/>
  <c r="AJ1223" i="1" s="1"/>
  <c r="AV1177" i="1"/>
  <c r="AV1178" i="1" s="1"/>
  <c r="AV1179" i="1" s="1"/>
  <c r="AU1177" i="1"/>
  <c r="AU1178" i="1" s="1"/>
  <c r="AU1179" i="1" s="1"/>
  <c r="AT1177" i="1"/>
  <c r="AT1178" i="1" s="1"/>
  <c r="AT1179" i="1" s="1"/>
  <c r="AS1177" i="1"/>
  <c r="AX1176" i="1"/>
  <c r="AX1177" i="1" s="1"/>
  <c r="AX1178" i="1" s="1"/>
  <c r="AX1179" i="1" s="1"/>
  <c r="AW1176" i="1"/>
  <c r="AW1177" i="1" s="1"/>
  <c r="AW1178" i="1" s="1"/>
  <c r="AW1179" i="1" s="1"/>
  <c r="AV1176" i="1"/>
  <c r="AU1176" i="1"/>
  <c r="AT1176" i="1"/>
  <c r="AS1176" i="1"/>
  <c r="AR1176" i="1"/>
  <c r="AR1177" i="1" s="1"/>
  <c r="AR1178" i="1" s="1"/>
  <c r="AR1179" i="1" s="1"/>
  <c r="AK1176" i="1"/>
  <c r="AK1177" i="1" s="1"/>
  <c r="AK1178" i="1" s="1"/>
  <c r="AK1179" i="1" s="1"/>
  <c r="C1174" i="1"/>
  <c r="C1175" i="1" s="1"/>
  <c r="C1176" i="1" s="1"/>
  <c r="C1177" i="1" s="1"/>
  <c r="C1178" i="1" s="1"/>
  <c r="C1179" i="1" s="1"/>
  <c r="C1180" i="1" s="1"/>
  <c r="C1181" i="1" s="1"/>
  <c r="AF1173" i="1"/>
  <c r="AF1174" i="1" s="1"/>
  <c r="AF1175" i="1" s="1"/>
  <c r="AF1176" i="1" s="1"/>
  <c r="AF1177" i="1" s="1"/>
  <c r="AF1178" i="1" s="1"/>
  <c r="AF1179" i="1" s="1"/>
  <c r="AF1180" i="1" s="1"/>
  <c r="AF1181" i="1" s="1"/>
  <c r="AF1182" i="1" s="1"/>
  <c r="AF1183" i="1" s="1"/>
  <c r="AF1184" i="1" s="1"/>
  <c r="AF1185" i="1" s="1"/>
  <c r="AF1186" i="1" s="1"/>
  <c r="AF1187" i="1" s="1"/>
  <c r="AF1188" i="1" s="1"/>
  <c r="AF1189" i="1" s="1"/>
  <c r="AE1173" i="1"/>
  <c r="AE1174" i="1" s="1"/>
  <c r="AE1175" i="1" s="1"/>
  <c r="AE1176" i="1" s="1"/>
  <c r="AE1177" i="1" s="1"/>
  <c r="AE1178" i="1" s="1"/>
  <c r="AE1179" i="1" s="1"/>
  <c r="AE1180" i="1" s="1"/>
  <c r="AE1181" i="1" s="1"/>
  <c r="AE1182" i="1" s="1"/>
  <c r="AE1183" i="1" s="1"/>
  <c r="AE1184" i="1" s="1"/>
  <c r="AE1185" i="1" s="1"/>
  <c r="AE1186" i="1" s="1"/>
  <c r="AE1187" i="1" s="1"/>
  <c r="AE1188" i="1" s="1"/>
  <c r="AE1189" i="1" s="1"/>
  <c r="P1173" i="1"/>
  <c r="P1174" i="1" s="1"/>
  <c r="P1175" i="1" s="1"/>
  <c r="P1176" i="1" s="1"/>
  <c r="P1177" i="1" s="1"/>
  <c r="P1178" i="1" s="1"/>
  <c r="P1179" i="1" s="1"/>
  <c r="P1180" i="1" s="1"/>
  <c r="P1181" i="1" s="1"/>
  <c r="L1173" i="1"/>
  <c r="L1174" i="1" s="1"/>
  <c r="L1175" i="1" s="1"/>
  <c r="L1176" i="1" s="1"/>
  <c r="L1177" i="1" s="1"/>
  <c r="L1178" i="1" s="1"/>
  <c r="L1179" i="1" s="1"/>
  <c r="L1180" i="1" s="1"/>
  <c r="L1181" i="1" s="1"/>
  <c r="K1173" i="1"/>
  <c r="K1174" i="1" s="1"/>
  <c r="K1175" i="1" s="1"/>
  <c r="K1176" i="1" s="1"/>
  <c r="K1177" i="1" s="1"/>
  <c r="K1178" i="1" s="1"/>
  <c r="K1179" i="1" s="1"/>
  <c r="K1180" i="1" s="1"/>
  <c r="K1181" i="1" s="1"/>
  <c r="J1173" i="1"/>
  <c r="J1174" i="1" s="1"/>
  <c r="J1175" i="1" s="1"/>
  <c r="J1176" i="1" s="1"/>
  <c r="J1177" i="1" s="1"/>
  <c r="J1178" i="1" s="1"/>
  <c r="J1179" i="1" s="1"/>
  <c r="J1180" i="1" s="1"/>
  <c r="J1181" i="1" s="1"/>
  <c r="C1173" i="1"/>
  <c r="AG1172" i="1"/>
  <c r="AG1173" i="1" s="1"/>
  <c r="AG1174" i="1" s="1"/>
  <c r="AG1175" i="1" s="1"/>
  <c r="AG1176" i="1" s="1"/>
  <c r="AG1177" i="1" s="1"/>
  <c r="AG1178" i="1" s="1"/>
  <c r="AG1179" i="1" s="1"/>
  <c r="AG1180" i="1" s="1"/>
  <c r="AG1181" i="1" s="1"/>
  <c r="AG1182" i="1" s="1"/>
  <c r="AG1183" i="1" s="1"/>
  <c r="AG1184" i="1" s="1"/>
  <c r="AG1185" i="1" s="1"/>
  <c r="AG1186" i="1" s="1"/>
  <c r="AG1187" i="1" s="1"/>
  <c r="AG1188" i="1" s="1"/>
  <c r="AG1189" i="1" s="1"/>
  <c r="AF1172" i="1"/>
  <c r="AE1172" i="1"/>
  <c r="AA1172" i="1"/>
  <c r="AA1173" i="1" s="1"/>
  <c r="AA1174" i="1" s="1"/>
  <c r="AA1175" i="1" s="1"/>
  <c r="AA1176" i="1" s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AA1187" i="1" s="1"/>
  <c r="AA1188" i="1" s="1"/>
  <c r="AA1189" i="1" s="1"/>
  <c r="P1172" i="1"/>
  <c r="O1172" i="1"/>
  <c r="O1173" i="1" s="1"/>
  <c r="O1174" i="1" s="1"/>
  <c r="O1175" i="1" s="1"/>
  <c r="O1176" i="1" s="1"/>
  <c r="O1177" i="1" s="1"/>
  <c r="O1178" i="1" s="1"/>
  <c r="O1179" i="1" s="1"/>
  <c r="O1180" i="1" s="1"/>
  <c r="O1181" i="1" s="1"/>
  <c r="N1172" i="1"/>
  <c r="N1173" i="1" s="1"/>
  <c r="N1174" i="1" s="1"/>
  <c r="N1175" i="1" s="1"/>
  <c r="N1176" i="1" s="1"/>
  <c r="N1177" i="1" s="1"/>
  <c r="N1178" i="1" s="1"/>
  <c r="N1179" i="1" s="1"/>
  <c r="N1180" i="1" s="1"/>
  <c r="N1181" i="1" s="1"/>
  <c r="M1172" i="1"/>
  <c r="M1173" i="1" s="1"/>
  <c r="M1174" i="1" s="1"/>
  <c r="M1175" i="1" s="1"/>
  <c r="M1176" i="1" s="1"/>
  <c r="M1177" i="1" s="1"/>
  <c r="M1178" i="1" s="1"/>
  <c r="M1179" i="1" s="1"/>
  <c r="M1180" i="1" s="1"/>
  <c r="M1181" i="1" s="1"/>
  <c r="L1172" i="1"/>
  <c r="K1172" i="1"/>
  <c r="J1172" i="1"/>
  <c r="C1172" i="1"/>
  <c r="AG1171" i="1"/>
  <c r="AF1171" i="1"/>
  <c r="AE1171" i="1"/>
  <c r="AD1171" i="1"/>
  <c r="AD1172" i="1" s="1"/>
  <c r="AD1173" i="1" s="1"/>
  <c r="AD1174" i="1" s="1"/>
  <c r="AD1175" i="1" s="1"/>
  <c r="AD1176" i="1" s="1"/>
  <c r="AD1177" i="1" s="1"/>
  <c r="AD1178" i="1" s="1"/>
  <c r="AD1179" i="1" s="1"/>
  <c r="AD1180" i="1" s="1"/>
  <c r="AD1181" i="1" s="1"/>
  <c r="AD1182" i="1" s="1"/>
  <c r="AD1183" i="1" s="1"/>
  <c r="AD1184" i="1" s="1"/>
  <c r="AD1185" i="1" s="1"/>
  <c r="AD1186" i="1" s="1"/>
  <c r="AD1187" i="1" s="1"/>
  <c r="AD1188" i="1" s="1"/>
  <c r="AD1189" i="1" s="1"/>
  <c r="AC1171" i="1"/>
  <c r="AC1172" i="1" s="1"/>
  <c r="AC1173" i="1" s="1"/>
  <c r="AC1174" i="1" s="1"/>
  <c r="AC1175" i="1" s="1"/>
  <c r="AC1176" i="1" s="1"/>
  <c r="AC1177" i="1" s="1"/>
  <c r="AC1178" i="1" s="1"/>
  <c r="AC1179" i="1" s="1"/>
  <c r="AC1180" i="1" s="1"/>
  <c r="AC1181" i="1" s="1"/>
  <c r="AC1182" i="1" s="1"/>
  <c r="AC1183" i="1" s="1"/>
  <c r="AC1184" i="1" s="1"/>
  <c r="AC1185" i="1" s="1"/>
  <c r="AC1186" i="1" s="1"/>
  <c r="AC1187" i="1" s="1"/>
  <c r="AC1188" i="1" s="1"/>
  <c r="AC1189" i="1" s="1"/>
  <c r="AB1171" i="1"/>
  <c r="AB1172" i="1" s="1"/>
  <c r="AB1173" i="1" s="1"/>
  <c r="AB1174" i="1" s="1"/>
  <c r="AB1175" i="1" s="1"/>
  <c r="AB1176" i="1" s="1"/>
  <c r="AB1177" i="1" s="1"/>
  <c r="AB1178" i="1" s="1"/>
  <c r="AB1179" i="1" s="1"/>
  <c r="AB1180" i="1" s="1"/>
  <c r="AB1181" i="1" s="1"/>
  <c r="AB1182" i="1" s="1"/>
  <c r="AB1183" i="1" s="1"/>
  <c r="AB1184" i="1" s="1"/>
  <c r="AB1185" i="1" s="1"/>
  <c r="AB1186" i="1" s="1"/>
  <c r="AB1187" i="1" s="1"/>
  <c r="AB1188" i="1" s="1"/>
  <c r="AB1189" i="1" s="1"/>
  <c r="AA1171" i="1"/>
  <c r="T1171" i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C1170" i="1"/>
  <c r="AV1169" i="1"/>
  <c r="AV1170" i="1" s="1"/>
  <c r="AV1171" i="1" s="1"/>
  <c r="AV1172" i="1" s="1"/>
  <c r="AV1173" i="1" s="1"/>
  <c r="AV1174" i="1" s="1"/>
  <c r="L1169" i="1"/>
  <c r="L1170" i="1" s="1"/>
  <c r="C1169" i="1"/>
  <c r="O1168" i="1"/>
  <c r="O1169" i="1" s="1"/>
  <c r="O1170" i="1" s="1"/>
  <c r="L1168" i="1"/>
  <c r="K1168" i="1"/>
  <c r="K1169" i="1" s="1"/>
  <c r="K1170" i="1" s="1"/>
  <c r="J1168" i="1"/>
  <c r="J1169" i="1" s="1"/>
  <c r="J1170" i="1" s="1"/>
  <c r="C1168" i="1"/>
  <c r="P1167" i="1"/>
  <c r="P1168" i="1" s="1"/>
  <c r="P1169" i="1" s="1"/>
  <c r="P1170" i="1" s="1"/>
  <c r="O1167" i="1"/>
  <c r="N1167" i="1"/>
  <c r="N1168" i="1" s="1"/>
  <c r="N1169" i="1" s="1"/>
  <c r="N1170" i="1" s="1"/>
  <c r="M1167" i="1"/>
  <c r="M1168" i="1" s="1"/>
  <c r="M1169" i="1" s="1"/>
  <c r="M1170" i="1" s="1"/>
  <c r="L1167" i="1"/>
  <c r="K1167" i="1"/>
  <c r="J1167" i="1"/>
  <c r="C1167" i="1"/>
  <c r="AW1166" i="1"/>
  <c r="AW1167" i="1" s="1"/>
  <c r="AW1168" i="1" s="1"/>
  <c r="AW1169" i="1" s="1"/>
  <c r="AW1170" i="1" s="1"/>
  <c r="AW1171" i="1" s="1"/>
  <c r="AW1172" i="1" s="1"/>
  <c r="AW1173" i="1" s="1"/>
  <c r="AW1174" i="1" s="1"/>
  <c r="AC1166" i="1"/>
  <c r="AC1167" i="1" s="1"/>
  <c r="AC1168" i="1" s="1"/>
  <c r="AC1169" i="1" s="1"/>
  <c r="AR1165" i="1"/>
  <c r="AR1166" i="1" s="1"/>
  <c r="AR1167" i="1" s="1"/>
  <c r="AR1168" i="1" s="1"/>
  <c r="AR1169" i="1" s="1"/>
  <c r="AR1170" i="1" s="1"/>
  <c r="AR1171" i="1" s="1"/>
  <c r="AR1172" i="1" s="1"/>
  <c r="AR1173" i="1" s="1"/>
  <c r="AR1174" i="1" s="1"/>
  <c r="AA1164" i="1"/>
  <c r="AA1165" i="1" s="1"/>
  <c r="AA1166" i="1" s="1"/>
  <c r="AA1167" i="1" s="1"/>
  <c r="AA1168" i="1" s="1"/>
  <c r="AA1169" i="1" s="1"/>
  <c r="AD1163" i="1"/>
  <c r="AD1164" i="1" s="1"/>
  <c r="AD1165" i="1" s="1"/>
  <c r="AD1166" i="1" s="1"/>
  <c r="AD1167" i="1" s="1"/>
  <c r="AD1168" i="1" s="1"/>
  <c r="AD1169" i="1" s="1"/>
  <c r="AA1163" i="1"/>
  <c r="T1163" i="1"/>
  <c r="T1164" i="1" s="1"/>
  <c r="T1165" i="1" s="1"/>
  <c r="T1166" i="1" s="1"/>
  <c r="T1167" i="1" s="1"/>
  <c r="T1168" i="1" s="1"/>
  <c r="T1169" i="1" s="1"/>
  <c r="AW1162" i="1"/>
  <c r="AW1163" i="1" s="1"/>
  <c r="AW1164" i="1" s="1"/>
  <c r="AW1165" i="1" s="1"/>
  <c r="AG1162" i="1"/>
  <c r="AG1163" i="1" s="1"/>
  <c r="AG1164" i="1" s="1"/>
  <c r="AG1165" i="1" s="1"/>
  <c r="AG1166" i="1" s="1"/>
  <c r="AG1167" i="1" s="1"/>
  <c r="AG1168" i="1" s="1"/>
  <c r="AG1169" i="1" s="1"/>
  <c r="AF1162" i="1"/>
  <c r="AF1163" i="1" s="1"/>
  <c r="AF1164" i="1" s="1"/>
  <c r="AF1165" i="1" s="1"/>
  <c r="AF1166" i="1" s="1"/>
  <c r="AF1167" i="1" s="1"/>
  <c r="AF1168" i="1" s="1"/>
  <c r="AF1169" i="1" s="1"/>
  <c r="AE1162" i="1"/>
  <c r="AE1163" i="1" s="1"/>
  <c r="AE1164" i="1" s="1"/>
  <c r="AE1165" i="1" s="1"/>
  <c r="AE1166" i="1" s="1"/>
  <c r="AE1167" i="1" s="1"/>
  <c r="AE1168" i="1" s="1"/>
  <c r="AE1169" i="1" s="1"/>
  <c r="AD1162" i="1"/>
  <c r="AC1162" i="1"/>
  <c r="AC1163" i="1" s="1"/>
  <c r="AC1164" i="1" s="1"/>
  <c r="AC1165" i="1" s="1"/>
  <c r="AB1162" i="1"/>
  <c r="AB1163" i="1" s="1"/>
  <c r="AB1164" i="1" s="1"/>
  <c r="AB1165" i="1" s="1"/>
  <c r="AB1166" i="1" s="1"/>
  <c r="AB1167" i="1" s="1"/>
  <c r="AB1168" i="1" s="1"/>
  <c r="AB1169" i="1" s="1"/>
  <c r="AA1162" i="1"/>
  <c r="T1162" i="1"/>
  <c r="C1162" i="1"/>
  <c r="C1163" i="1" s="1"/>
  <c r="C1164" i="1" s="1"/>
  <c r="C1165" i="1" s="1"/>
  <c r="AR1161" i="1"/>
  <c r="AR1162" i="1" s="1"/>
  <c r="AR1163" i="1" s="1"/>
  <c r="AR1164" i="1" s="1"/>
  <c r="K1160" i="1"/>
  <c r="K1161" i="1" s="1"/>
  <c r="K1162" i="1" s="1"/>
  <c r="K1163" i="1" s="1"/>
  <c r="K1164" i="1" s="1"/>
  <c r="K1165" i="1" s="1"/>
  <c r="AX1159" i="1"/>
  <c r="AX1160" i="1" s="1"/>
  <c r="AX1161" i="1" s="1"/>
  <c r="AX1162" i="1" s="1"/>
  <c r="AX1163" i="1" s="1"/>
  <c r="AX1164" i="1" s="1"/>
  <c r="AX1165" i="1" s="1"/>
  <c r="AX1166" i="1" s="1"/>
  <c r="AX1167" i="1" s="1"/>
  <c r="AX1168" i="1" s="1"/>
  <c r="AX1169" i="1" s="1"/>
  <c r="AX1170" i="1" s="1"/>
  <c r="AX1171" i="1" s="1"/>
  <c r="AX1172" i="1" s="1"/>
  <c r="AX1173" i="1" s="1"/>
  <c r="AX1174" i="1" s="1"/>
  <c r="AW1159" i="1"/>
  <c r="AW1160" i="1" s="1"/>
  <c r="AW1161" i="1" s="1"/>
  <c r="N1159" i="1"/>
  <c r="N1160" i="1" s="1"/>
  <c r="N1161" i="1" s="1"/>
  <c r="N1162" i="1" s="1"/>
  <c r="N1163" i="1" s="1"/>
  <c r="N1164" i="1" s="1"/>
  <c r="N1165" i="1" s="1"/>
  <c r="K1159" i="1"/>
  <c r="J1159" i="1"/>
  <c r="J1160" i="1" s="1"/>
  <c r="J1161" i="1" s="1"/>
  <c r="J1162" i="1" s="1"/>
  <c r="J1163" i="1" s="1"/>
  <c r="J1164" i="1" s="1"/>
  <c r="J1165" i="1" s="1"/>
  <c r="C1159" i="1"/>
  <c r="C1160" i="1" s="1"/>
  <c r="C1161" i="1" s="1"/>
  <c r="AX1158" i="1"/>
  <c r="AW1158" i="1"/>
  <c r="AS1158" i="1"/>
  <c r="AS1159" i="1" s="1"/>
  <c r="AS1160" i="1" s="1"/>
  <c r="AS1161" i="1" s="1"/>
  <c r="AS1162" i="1" s="1"/>
  <c r="AS1163" i="1" s="1"/>
  <c r="AS1164" i="1" s="1"/>
  <c r="AS1165" i="1" s="1"/>
  <c r="AS1166" i="1" s="1"/>
  <c r="AS1167" i="1" s="1"/>
  <c r="AS1168" i="1" s="1"/>
  <c r="AS1169" i="1" s="1"/>
  <c r="AS1170" i="1" s="1"/>
  <c r="AS1171" i="1" s="1"/>
  <c r="AS1172" i="1" s="1"/>
  <c r="AS1173" i="1" s="1"/>
  <c r="AS1174" i="1" s="1"/>
  <c r="N1158" i="1"/>
  <c r="M1158" i="1"/>
  <c r="M1159" i="1" s="1"/>
  <c r="M1160" i="1" s="1"/>
  <c r="M1161" i="1" s="1"/>
  <c r="M1162" i="1" s="1"/>
  <c r="M1163" i="1" s="1"/>
  <c r="M1164" i="1" s="1"/>
  <c r="M1165" i="1" s="1"/>
  <c r="L1158" i="1"/>
  <c r="L1159" i="1" s="1"/>
  <c r="L1160" i="1" s="1"/>
  <c r="L1161" i="1" s="1"/>
  <c r="L1162" i="1" s="1"/>
  <c r="L1163" i="1" s="1"/>
  <c r="L1164" i="1" s="1"/>
  <c r="L1165" i="1" s="1"/>
  <c r="K1158" i="1"/>
  <c r="J1158" i="1"/>
  <c r="C1158" i="1"/>
  <c r="AX1157" i="1"/>
  <c r="AW1157" i="1"/>
  <c r="AV1157" i="1"/>
  <c r="AV1158" i="1" s="1"/>
  <c r="AV1159" i="1" s="1"/>
  <c r="AV1160" i="1" s="1"/>
  <c r="AV1161" i="1" s="1"/>
  <c r="AV1162" i="1" s="1"/>
  <c r="AV1163" i="1" s="1"/>
  <c r="AV1164" i="1" s="1"/>
  <c r="AV1165" i="1" s="1"/>
  <c r="AV1166" i="1" s="1"/>
  <c r="AV1167" i="1" s="1"/>
  <c r="AV1168" i="1" s="1"/>
  <c r="AU1157" i="1"/>
  <c r="AU1158" i="1" s="1"/>
  <c r="AU1159" i="1" s="1"/>
  <c r="AU1160" i="1" s="1"/>
  <c r="AU1161" i="1" s="1"/>
  <c r="AU1162" i="1" s="1"/>
  <c r="AU1163" i="1" s="1"/>
  <c r="AU1164" i="1" s="1"/>
  <c r="AU1165" i="1" s="1"/>
  <c r="AU1166" i="1" s="1"/>
  <c r="AU1167" i="1" s="1"/>
  <c r="AU1168" i="1" s="1"/>
  <c r="AU1169" i="1" s="1"/>
  <c r="AU1170" i="1" s="1"/>
  <c r="AU1171" i="1" s="1"/>
  <c r="AU1172" i="1" s="1"/>
  <c r="AU1173" i="1" s="1"/>
  <c r="AU1174" i="1" s="1"/>
  <c r="AT1157" i="1"/>
  <c r="AT1158" i="1" s="1"/>
  <c r="AT1159" i="1" s="1"/>
  <c r="AT1160" i="1" s="1"/>
  <c r="AT1161" i="1" s="1"/>
  <c r="AT1162" i="1" s="1"/>
  <c r="AT1163" i="1" s="1"/>
  <c r="AT1164" i="1" s="1"/>
  <c r="AT1165" i="1" s="1"/>
  <c r="AT1166" i="1" s="1"/>
  <c r="AT1167" i="1" s="1"/>
  <c r="AT1168" i="1" s="1"/>
  <c r="AT1169" i="1" s="1"/>
  <c r="AT1170" i="1" s="1"/>
  <c r="AT1171" i="1" s="1"/>
  <c r="AT1172" i="1" s="1"/>
  <c r="AT1173" i="1" s="1"/>
  <c r="AT1174" i="1" s="1"/>
  <c r="AS1157" i="1"/>
  <c r="AR1157" i="1"/>
  <c r="AR1158" i="1" s="1"/>
  <c r="AR1159" i="1" s="1"/>
  <c r="AR1160" i="1" s="1"/>
  <c r="AK1157" i="1"/>
  <c r="AK1158" i="1" s="1"/>
  <c r="AK1159" i="1" s="1"/>
  <c r="AK1160" i="1" s="1"/>
  <c r="AK1161" i="1" s="1"/>
  <c r="AK1162" i="1" s="1"/>
  <c r="AK1163" i="1" s="1"/>
  <c r="AK1164" i="1" s="1"/>
  <c r="AK1165" i="1" s="1"/>
  <c r="AK1166" i="1" s="1"/>
  <c r="AK1167" i="1" s="1"/>
  <c r="AK1168" i="1" s="1"/>
  <c r="AK1169" i="1" s="1"/>
  <c r="AK1170" i="1" s="1"/>
  <c r="AK1171" i="1" s="1"/>
  <c r="AK1172" i="1" s="1"/>
  <c r="AK1173" i="1" s="1"/>
  <c r="AK1174" i="1" s="1"/>
  <c r="P1157" i="1"/>
  <c r="P1158" i="1" s="1"/>
  <c r="P1159" i="1" s="1"/>
  <c r="P1160" i="1" s="1"/>
  <c r="P1161" i="1" s="1"/>
  <c r="P1162" i="1" s="1"/>
  <c r="P1163" i="1" s="1"/>
  <c r="P1164" i="1" s="1"/>
  <c r="P1165" i="1" s="1"/>
  <c r="O1157" i="1"/>
  <c r="O1158" i="1" s="1"/>
  <c r="O1159" i="1" s="1"/>
  <c r="O1160" i="1" s="1"/>
  <c r="O1161" i="1" s="1"/>
  <c r="O1162" i="1" s="1"/>
  <c r="O1163" i="1" s="1"/>
  <c r="O1164" i="1" s="1"/>
  <c r="O1165" i="1" s="1"/>
  <c r="N1157" i="1"/>
  <c r="M1157" i="1"/>
  <c r="L1157" i="1"/>
  <c r="K1157" i="1"/>
  <c r="J1157" i="1"/>
  <c r="C1157" i="1"/>
  <c r="AD1156" i="1"/>
  <c r="AD1157" i="1" s="1"/>
  <c r="AD1158" i="1" s="1"/>
  <c r="AD1159" i="1" s="1"/>
  <c r="AD1160" i="1" s="1"/>
  <c r="AB1154" i="1"/>
  <c r="AB1155" i="1" s="1"/>
  <c r="AB1156" i="1" s="1"/>
  <c r="AB1157" i="1" s="1"/>
  <c r="AB1158" i="1" s="1"/>
  <c r="AB1159" i="1" s="1"/>
  <c r="AB1160" i="1" s="1"/>
  <c r="AJ1152" i="1"/>
  <c r="AJ1153" i="1" s="1"/>
  <c r="AJ1154" i="1" s="1"/>
  <c r="AJ1155" i="1" s="1"/>
  <c r="AJ1156" i="1" s="1"/>
  <c r="AJ1157" i="1" s="1"/>
  <c r="AJ1158" i="1" s="1"/>
  <c r="AJ1159" i="1" s="1"/>
  <c r="AJ1160" i="1" s="1"/>
  <c r="AJ1161" i="1" s="1"/>
  <c r="AJ1162" i="1" s="1"/>
  <c r="AJ1163" i="1" s="1"/>
  <c r="AJ1164" i="1" s="1"/>
  <c r="AJ1165" i="1" s="1"/>
  <c r="AJ1166" i="1" s="1"/>
  <c r="AJ1167" i="1" s="1"/>
  <c r="AJ1168" i="1" s="1"/>
  <c r="AJ1169" i="1" s="1"/>
  <c r="AJ1170" i="1" s="1"/>
  <c r="AJ1171" i="1" s="1"/>
  <c r="AJ1172" i="1" s="1"/>
  <c r="AJ1173" i="1" s="1"/>
  <c r="AJ1174" i="1" s="1"/>
  <c r="AJ1175" i="1" s="1"/>
  <c r="AJ1176" i="1" s="1"/>
  <c r="T1151" i="1"/>
  <c r="T1152" i="1" s="1"/>
  <c r="T1153" i="1" s="1"/>
  <c r="T1154" i="1" s="1"/>
  <c r="T1155" i="1" s="1"/>
  <c r="T1156" i="1" s="1"/>
  <c r="T1157" i="1" s="1"/>
  <c r="T1158" i="1" s="1"/>
  <c r="T1159" i="1" s="1"/>
  <c r="T1160" i="1" s="1"/>
  <c r="AF1149" i="1"/>
  <c r="AF1150" i="1" s="1"/>
  <c r="AF1151" i="1" s="1"/>
  <c r="AF1152" i="1" s="1"/>
  <c r="AF1153" i="1" s="1"/>
  <c r="AF1154" i="1" s="1"/>
  <c r="AF1155" i="1" s="1"/>
  <c r="AF1156" i="1" s="1"/>
  <c r="AF1157" i="1" s="1"/>
  <c r="AF1158" i="1" s="1"/>
  <c r="AF1159" i="1" s="1"/>
  <c r="AF1160" i="1" s="1"/>
  <c r="L1149" i="1"/>
  <c r="L1150" i="1" s="1"/>
  <c r="L1151" i="1" s="1"/>
  <c r="L1152" i="1" s="1"/>
  <c r="L1153" i="1" s="1"/>
  <c r="L1154" i="1" s="1"/>
  <c r="L1155" i="1" s="1"/>
  <c r="AA1148" i="1"/>
  <c r="AA1149" i="1" s="1"/>
  <c r="AA1150" i="1" s="1"/>
  <c r="AA1151" i="1" s="1"/>
  <c r="AA1152" i="1" s="1"/>
  <c r="AA1153" i="1" s="1"/>
  <c r="AA1154" i="1" s="1"/>
  <c r="AA1155" i="1" s="1"/>
  <c r="AA1156" i="1" s="1"/>
  <c r="AA1157" i="1" s="1"/>
  <c r="AA1158" i="1" s="1"/>
  <c r="AA1159" i="1" s="1"/>
  <c r="AA1160" i="1" s="1"/>
  <c r="O1148" i="1"/>
  <c r="O1149" i="1" s="1"/>
  <c r="O1150" i="1" s="1"/>
  <c r="O1151" i="1" s="1"/>
  <c r="O1152" i="1" s="1"/>
  <c r="O1153" i="1" s="1"/>
  <c r="O1154" i="1" s="1"/>
  <c r="O1155" i="1" s="1"/>
  <c r="AD1147" i="1"/>
  <c r="AD1148" i="1" s="1"/>
  <c r="AD1149" i="1" s="1"/>
  <c r="AD1150" i="1" s="1"/>
  <c r="AD1151" i="1" s="1"/>
  <c r="AD1152" i="1" s="1"/>
  <c r="AD1153" i="1" s="1"/>
  <c r="AD1154" i="1" s="1"/>
  <c r="AD1155" i="1" s="1"/>
  <c r="AA1147" i="1"/>
  <c r="T1147" i="1"/>
  <c r="T1148" i="1" s="1"/>
  <c r="T1149" i="1" s="1"/>
  <c r="T1150" i="1" s="1"/>
  <c r="S1147" i="1"/>
  <c r="S1148" i="1" s="1"/>
  <c r="S1149" i="1" s="1"/>
  <c r="S1150" i="1" s="1"/>
  <c r="S1151" i="1" s="1"/>
  <c r="S1152" i="1" s="1"/>
  <c r="S1153" i="1" s="1"/>
  <c r="S1154" i="1" s="1"/>
  <c r="S1155" i="1" s="1"/>
  <c r="S1156" i="1" s="1"/>
  <c r="S1157" i="1" s="1"/>
  <c r="S1158" i="1" s="1"/>
  <c r="S1159" i="1" s="1"/>
  <c r="S1160" i="1" s="1"/>
  <c r="S1161" i="1" s="1"/>
  <c r="S1162" i="1" s="1"/>
  <c r="S1163" i="1" s="1"/>
  <c r="S1164" i="1" s="1"/>
  <c r="S1165" i="1" s="1"/>
  <c r="S1166" i="1" s="1"/>
  <c r="S1167" i="1" s="1"/>
  <c r="S1168" i="1" s="1"/>
  <c r="S1169" i="1" s="1"/>
  <c r="S1170" i="1" s="1"/>
  <c r="S1171" i="1" s="1"/>
  <c r="S1172" i="1" s="1"/>
  <c r="S1173" i="1" s="1"/>
  <c r="S1174" i="1" s="1"/>
  <c r="S1175" i="1" s="1"/>
  <c r="S1176" i="1" s="1"/>
  <c r="S1177" i="1" s="1"/>
  <c r="S1178" i="1" s="1"/>
  <c r="S1179" i="1" s="1"/>
  <c r="S1180" i="1" s="1"/>
  <c r="S1181" i="1" s="1"/>
  <c r="S1182" i="1" s="1"/>
  <c r="S1183" i="1" s="1"/>
  <c r="S1184" i="1" s="1"/>
  <c r="S1185" i="1" s="1"/>
  <c r="S1186" i="1" s="1"/>
  <c r="S1187" i="1" s="1"/>
  <c r="S1188" i="1" s="1"/>
  <c r="S1189" i="1" s="1"/>
  <c r="S1190" i="1" s="1"/>
  <c r="S1191" i="1" s="1"/>
  <c r="S1192" i="1" s="1"/>
  <c r="S1193" i="1" s="1"/>
  <c r="S1194" i="1" s="1"/>
  <c r="S1195" i="1" s="1"/>
  <c r="S1196" i="1" s="1"/>
  <c r="S1197" i="1" s="1"/>
  <c r="S1198" i="1" s="1"/>
  <c r="S1199" i="1" s="1"/>
  <c r="S1200" i="1" s="1"/>
  <c r="S1201" i="1" s="1"/>
  <c r="S1202" i="1" s="1"/>
  <c r="S1203" i="1" s="1"/>
  <c r="S1204" i="1" s="1"/>
  <c r="AW1146" i="1"/>
  <c r="AW1147" i="1" s="1"/>
  <c r="AW1148" i="1" s="1"/>
  <c r="AW1149" i="1" s="1"/>
  <c r="AW1150" i="1" s="1"/>
  <c r="AW1151" i="1" s="1"/>
  <c r="AW1152" i="1" s="1"/>
  <c r="AW1153" i="1" s="1"/>
  <c r="AW1154" i="1" s="1"/>
  <c r="AW1155" i="1" s="1"/>
  <c r="AG1146" i="1"/>
  <c r="AG1147" i="1" s="1"/>
  <c r="AG1148" i="1" s="1"/>
  <c r="AG1149" i="1" s="1"/>
  <c r="AG1150" i="1" s="1"/>
  <c r="AG1151" i="1" s="1"/>
  <c r="AG1152" i="1" s="1"/>
  <c r="AG1153" i="1" s="1"/>
  <c r="AG1154" i="1" s="1"/>
  <c r="AG1155" i="1" s="1"/>
  <c r="AG1156" i="1" s="1"/>
  <c r="AG1157" i="1" s="1"/>
  <c r="AG1158" i="1" s="1"/>
  <c r="AG1159" i="1" s="1"/>
  <c r="AG1160" i="1" s="1"/>
  <c r="AF1146" i="1"/>
  <c r="AF1147" i="1" s="1"/>
  <c r="AF1148" i="1" s="1"/>
  <c r="AE1146" i="1"/>
  <c r="AE1147" i="1" s="1"/>
  <c r="AE1148" i="1" s="1"/>
  <c r="AE1149" i="1" s="1"/>
  <c r="AE1150" i="1" s="1"/>
  <c r="AE1151" i="1" s="1"/>
  <c r="AE1152" i="1" s="1"/>
  <c r="AE1153" i="1" s="1"/>
  <c r="AE1154" i="1" s="1"/>
  <c r="AE1155" i="1" s="1"/>
  <c r="AE1156" i="1" s="1"/>
  <c r="AE1157" i="1" s="1"/>
  <c r="AE1158" i="1" s="1"/>
  <c r="AE1159" i="1" s="1"/>
  <c r="AE1160" i="1" s="1"/>
  <c r="AD1146" i="1"/>
  <c r="AC1146" i="1"/>
  <c r="AC1147" i="1" s="1"/>
  <c r="AC1148" i="1" s="1"/>
  <c r="AC1149" i="1" s="1"/>
  <c r="AC1150" i="1" s="1"/>
  <c r="AC1151" i="1" s="1"/>
  <c r="AC1152" i="1" s="1"/>
  <c r="AC1153" i="1" s="1"/>
  <c r="AC1154" i="1" s="1"/>
  <c r="AC1155" i="1" s="1"/>
  <c r="AC1156" i="1" s="1"/>
  <c r="AC1157" i="1" s="1"/>
  <c r="AC1158" i="1" s="1"/>
  <c r="AC1159" i="1" s="1"/>
  <c r="AC1160" i="1" s="1"/>
  <c r="AB1146" i="1"/>
  <c r="AB1147" i="1" s="1"/>
  <c r="AB1148" i="1" s="1"/>
  <c r="AB1149" i="1" s="1"/>
  <c r="AB1150" i="1" s="1"/>
  <c r="AB1151" i="1" s="1"/>
  <c r="AB1152" i="1" s="1"/>
  <c r="AB1153" i="1" s="1"/>
  <c r="AA1146" i="1"/>
  <c r="T1146" i="1"/>
  <c r="S1146" i="1"/>
  <c r="M1146" i="1"/>
  <c r="M1147" i="1" s="1"/>
  <c r="M1148" i="1" s="1"/>
  <c r="M1149" i="1" s="1"/>
  <c r="M1150" i="1" s="1"/>
  <c r="M1151" i="1" s="1"/>
  <c r="M1152" i="1" s="1"/>
  <c r="M1153" i="1" s="1"/>
  <c r="M1154" i="1" s="1"/>
  <c r="M1155" i="1" s="1"/>
  <c r="L1146" i="1"/>
  <c r="L1147" i="1" s="1"/>
  <c r="L1148" i="1" s="1"/>
  <c r="K1146" i="1"/>
  <c r="K1147" i="1" s="1"/>
  <c r="K1148" i="1" s="1"/>
  <c r="K1149" i="1" s="1"/>
  <c r="K1150" i="1" s="1"/>
  <c r="K1151" i="1" s="1"/>
  <c r="K1152" i="1" s="1"/>
  <c r="K1153" i="1" s="1"/>
  <c r="K1154" i="1" s="1"/>
  <c r="K1155" i="1" s="1"/>
  <c r="P1145" i="1"/>
  <c r="P1146" i="1" s="1"/>
  <c r="P1147" i="1" s="1"/>
  <c r="P1148" i="1" s="1"/>
  <c r="P1149" i="1" s="1"/>
  <c r="P1150" i="1" s="1"/>
  <c r="P1151" i="1" s="1"/>
  <c r="P1152" i="1" s="1"/>
  <c r="P1153" i="1" s="1"/>
  <c r="P1154" i="1" s="1"/>
  <c r="P1155" i="1" s="1"/>
  <c r="O1145" i="1"/>
  <c r="O1146" i="1" s="1"/>
  <c r="O1147" i="1" s="1"/>
  <c r="N1145" i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M1145" i="1"/>
  <c r="L1145" i="1"/>
  <c r="K1145" i="1"/>
  <c r="AD1144" i="1"/>
  <c r="P1144" i="1"/>
  <c r="O1144" i="1"/>
  <c r="N1144" i="1"/>
  <c r="M1144" i="1"/>
  <c r="L1144" i="1"/>
  <c r="K1144" i="1"/>
  <c r="J1144" i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C1144" i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B1144" i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AW1143" i="1"/>
  <c r="AW1144" i="1" s="1"/>
  <c r="AW1145" i="1" s="1"/>
  <c r="AD1143" i="1"/>
  <c r="AU1142" i="1"/>
  <c r="AU1143" i="1" s="1"/>
  <c r="AU1144" i="1" s="1"/>
  <c r="AU1145" i="1" s="1"/>
  <c r="AU1146" i="1" s="1"/>
  <c r="AU1147" i="1" s="1"/>
  <c r="AU1148" i="1" s="1"/>
  <c r="AU1149" i="1" s="1"/>
  <c r="AU1150" i="1" s="1"/>
  <c r="AU1151" i="1" s="1"/>
  <c r="AU1152" i="1" s="1"/>
  <c r="AU1153" i="1" s="1"/>
  <c r="AU1154" i="1" s="1"/>
  <c r="AU1155" i="1" s="1"/>
  <c r="AK1142" i="1"/>
  <c r="AK1143" i="1" s="1"/>
  <c r="AK1144" i="1" s="1"/>
  <c r="AK1145" i="1" s="1"/>
  <c r="AK1146" i="1" s="1"/>
  <c r="AK1147" i="1" s="1"/>
  <c r="AK1148" i="1" s="1"/>
  <c r="AK1149" i="1" s="1"/>
  <c r="AK1150" i="1" s="1"/>
  <c r="AK1151" i="1" s="1"/>
  <c r="AK1152" i="1" s="1"/>
  <c r="AK1153" i="1" s="1"/>
  <c r="AK1154" i="1" s="1"/>
  <c r="AK1155" i="1" s="1"/>
  <c r="AX1141" i="1"/>
  <c r="AX1142" i="1" s="1"/>
  <c r="AX1143" i="1" s="1"/>
  <c r="AX1144" i="1" s="1"/>
  <c r="AX1145" i="1" s="1"/>
  <c r="AX1146" i="1" s="1"/>
  <c r="AX1147" i="1" s="1"/>
  <c r="AX1148" i="1" s="1"/>
  <c r="AX1149" i="1" s="1"/>
  <c r="AX1150" i="1" s="1"/>
  <c r="AX1151" i="1" s="1"/>
  <c r="AX1152" i="1" s="1"/>
  <c r="AX1153" i="1" s="1"/>
  <c r="AX1154" i="1" s="1"/>
  <c r="AX1155" i="1" s="1"/>
  <c r="AW1141" i="1"/>
  <c r="AW1142" i="1" s="1"/>
  <c r="AV1141" i="1"/>
  <c r="AV1142" i="1" s="1"/>
  <c r="AV1143" i="1" s="1"/>
  <c r="AV1144" i="1" s="1"/>
  <c r="AV1145" i="1" s="1"/>
  <c r="AV1146" i="1" s="1"/>
  <c r="AV1147" i="1" s="1"/>
  <c r="AV1148" i="1" s="1"/>
  <c r="AV1149" i="1" s="1"/>
  <c r="AV1150" i="1" s="1"/>
  <c r="AV1151" i="1" s="1"/>
  <c r="AV1152" i="1" s="1"/>
  <c r="AV1153" i="1" s="1"/>
  <c r="AV1154" i="1" s="1"/>
  <c r="AV1155" i="1" s="1"/>
  <c r="AU1141" i="1"/>
  <c r="AT1141" i="1"/>
  <c r="AT1142" i="1" s="1"/>
  <c r="AT1143" i="1" s="1"/>
  <c r="AT1144" i="1" s="1"/>
  <c r="AT1145" i="1" s="1"/>
  <c r="AT1146" i="1" s="1"/>
  <c r="AT1147" i="1" s="1"/>
  <c r="AT1148" i="1" s="1"/>
  <c r="AT1149" i="1" s="1"/>
  <c r="AT1150" i="1" s="1"/>
  <c r="AT1151" i="1" s="1"/>
  <c r="AT1152" i="1" s="1"/>
  <c r="AT1153" i="1" s="1"/>
  <c r="AT1154" i="1" s="1"/>
  <c r="AT1155" i="1" s="1"/>
  <c r="AS1141" i="1"/>
  <c r="AS1142" i="1" s="1"/>
  <c r="AS1143" i="1" s="1"/>
  <c r="AS1144" i="1" s="1"/>
  <c r="AS1145" i="1" s="1"/>
  <c r="AS1146" i="1" s="1"/>
  <c r="AS1147" i="1" s="1"/>
  <c r="AS1148" i="1" s="1"/>
  <c r="AS1149" i="1" s="1"/>
  <c r="AS1150" i="1" s="1"/>
  <c r="AS1151" i="1" s="1"/>
  <c r="AS1152" i="1" s="1"/>
  <c r="AS1153" i="1" s="1"/>
  <c r="AS1154" i="1" s="1"/>
  <c r="AS1155" i="1" s="1"/>
  <c r="AR1141" i="1"/>
  <c r="AR1142" i="1" s="1"/>
  <c r="AR1143" i="1" s="1"/>
  <c r="AR1144" i="1" s="1"/>
  <c r="AR1145" i="1" s="1"/>
  <c r="AR1146" i="1" s="1"/>
  <c r="AR1147" i="1" s="1"/>
  <c r="AR1148" i="1" s="1"/>
  <c r="AR1149" i="1" s="1"/>
  <c r="AR1150" i="1" s="1"/>
  <c r="AR1151" i="1" s="1"/>
  <c r="AR1152" i="1" s="1"/>
  <c r="AR1153" i="1" s="1"/>
  <c r="AR1154" i="1" s="1"/>
  <c r="AR1155" i="1" s="1"/>
  <c r="AK1141" i="1"/>
  <c r="AD1141" i="1"/>
  <c r="AD1142" i="1" s="1"/>
  <c r="AA1141" i="1"/>
  <c r="AA1142" i="1" s="1"/>
  <c r="AA1143" i="1" s="1"/>
  <c r="AA1144" i="1" s="1"/>
  <c r="P1141" i="1"/>
  <c r="P1142" i="1" s="1"/>
  <c r="J1141" i="1"/>
  <c r="J1142" i="1" s="1"/>
  <c r="C1141" i="1"/>
  <c r="C1142" i="1" s="1"/>
  <c r="AG1140" i="1"/>
  <c r="AG1141" i="1" s="1"/>
  <c r="AG1142" i="1" s="1"/>
  <c r="AG1143" i="1" s="1"/>
  <c r="AG1144" i="1" s="1"/>
  <c r="P1140" i="1"/>
  <c r="O1140" i="1"/>
  <c r="O1141" i="1" s="1"/>
  <c r="O1142" i="1" s="1"/>
  <c r="N1140" i="1"/>
  <c r="N1141" i="1" s="1"/>
  <c r="N1142" i="1" s="1"/>
  <c r="M1140" i="1"/>
  <c r="M1141" i="1" s="1"/>
  <c r="M1142" i="1" s="1"/>
  <c r="L1140" i="1"/>
  <c r="L1141" i="1" s="1"/>
  <c r="L1142" i="1" s="1"/>
  <c r="K1140" i="1"/>
  <c r="K1141" i="1" s="1"/>
  <c r="K1142" i="1" s="1"/>
  <c r="J1140" i="1"/>
  <c r="C1140" i="1"/>
  <c r="AB1139" i="1"/>
  <c r="AB1140" i="1" s="1"/>
  <c r="AB1141" i="1" s="1"/>
  <c r="AB1142" i="1" s="1"/>
  <c r="AB1143" i="1" s="1"/>
  <c r="AB1144" i="1" s="1"/>
  <c r="AE1138" i="1"/>
  <c r="AE1139" i="1" s="1"/>
  <c r="AE1140" i="1" s="1"/>
  <c r="AE1141" i="1" s="1"/>
  <c r="AE1142" i="1" s="1"/>
  <c r="AE1143" i="1" s="1"/>
  <c r="AE1144" i="1" s="1"/>
  <c r="AD1138" i="1"/>
  <c r="AD1139" i="1" s="1"/>
  <c r="AD1140" i="1" s="1"/>
  <c r="AG1137" i="1"/>
  <c r="AG1138" i="1" s="1"/>
  <c r="AG1139" i="1" s="1"/>
  <c r="AF1137" i="1"/>
  <c r="AF1138" i="1" s="1"/>
  <c r="AF1139" i="1" s="1"/>
  <c r="AF1140" i="1" s="1"/>
  <c r="AF1141" i="1" s="1"/>
  <c r="AF1142" i="1" s="1"/>
  <c r="AF1143" i="1" s="1"/>
  <c r="AF1144" i="1" s="1"/>
  <c r="AE1137" i="1"/>
  <c r="AD1137" i="1"/>
  <c r="AK1136" i="1"/>
  <c r="AK1137" i="1" s="1"/>
  <c r="AK1138" i="1" s="1"/>
  <c r="AK1139" i="1" s="1"/>
  <c r="AG1136" i="1"/>
  <c r="AF1136" i="1"/>
  <c r="AE1136" i="1"/>
  <c r="AD1136" i="1"/>
  <c r="AC1136" i="1"/>
  <c r="AC1137" i="1" s="1"/>
  <c r="AC1138" i="1" s="1"/>
  <c r="AC1139" i="1" s="1"/>
  <c r="AC1140" i="1" s="1"/>
  <c r="AC1141" i="1" s="1"/>
  <c r="AC1142" i="1" s="1"/>
  <c r="AC1143" i="1" s="1"/>
  <c r="AC1144" i="1" s="1"/>
  <c r="AB1136" i="1"/>
  <c r="AB1137" i="1" s="1"/>
  <c r="AB1138" i="1" s="1"/>
  <c r="AA1136" i="1"/>
  <c r="AA1137" i="1" s="1"/>
  <c r="AA1138" i="1" s="1"/>
  <c r="AA1139" i="1" s="1"/>
  <c r="AA1140" i="1" s="1"/>
  <c r="T1136" i="1"/>
  <c r="T1137" i="1" s="1"/>
  <c r="T1138" i="1" s="1"/>
  <c r="T1139" i="1" s="1"/>
  <c r="T1140" i="1" s="1"/>
  <c r="T1141" i="1" s="1"/>
  <c r="T1142" i="1" s="1"/>
  <c r="T1143" i="1" s="1"/>
  <c r="T1144" i="1" s="1"/>
  <c r="C1136" i="1"/>
  <c r="C1137" i="1" s="1"/>
  <c r="C1138" i="1" s="1"/>
  <c r="P1135" i="1"/>
  <c r="P1136" i="1" s="1"/>
  <c r="P1137" i="1" s="1"/>
  <c r="P1138" i="1" s="1"/>
  <c r="L1135" i="1"/>
  <c r="L1136" i="1" s="1"/>
  <c r="L1137" i="1" s="1"/>
  <c r="L1138" i="1" s="1"/>
  <c r="K1135" i="1"/>
  <c r="K1136" i="1" s="1"/>
  <c r="K1137" i="1" s="1"/>
  <c r="K1138" i="1" s="1"/>
  <c r="AJ1134" i="1"/>
  <c r="AJ1135" i="1" s="1"/>
  <c r="AJ1136" i="1" s="1"/>
  <c r="AJ1137" i="1" s="1"/>
  <c r="AJ1138" i="1" s="1"/>
  <c r="AJ1139" i="1" s="1"/>
  <c r="AJ1140" i="1" s="1"/>
  <c r="AJ1141" i="1" s="1"/>
  <c r="AJ1142" i="1" s="1"/>
  <c r="AJ1143" i="1" s="1"/>
  <c r="AJ1144" i="1" s="1"/>
  <c r="AJ1145" i="1" s="1"/>
  <c r="AJ1146" i="1" s="1"/>
  <c r="AJ1147" i="1" s="1"/>
  <c r="AJ1148" i="1" s="1"/>
  <c r="AJ1149" i="1" s="1"/>
  <c r="AJ1150" i="1" s="1"/>
  <c r="AJ1151" i="1" s="1"/>
  <c r="AG1134" i="1"/>
  <c r="T1134" i="1"/>
  <c r="P1134" i="1"/>
  <c r="N1134" i="1"/>
  <c r="N1135" i="1" s="1"/>
  <c r="N1136" i="1" s="1"/>
  <c r="N1137" i="1" s="1"/>
  <c r="N1138" i="1" s="1"/>
  <c r="AU1133" i="1"/>
  <c r="AU1134" i="1" s="1"/>
  <c r="AU1135" i="1" s="1"/>
  <c r="AU1136" i="1" s="1"/>
  <c r="AU1137" i="1" s="1"/>
  <c r="AU1138" i="1" s="1"/>
  <c r="AU1139" i="1" s="1"/>
  <c r="T1133" i="1"/>
  <c r="P1133" i="1"/>
  <c r="J1133" i="1"/>
  <c r="J1134" i="1" s="1"/>
  <c r="J1135" i="1" s="1"/>
  <c r="J1136" i="1" s="1"/>
  <c r="J1137" i="1" s="1"/>
  <c r="J1138" i="1" s="1"/>
  <c r="AX1132" i="1"/>
  <c r="AX1133" i="1" s="1"/>
  <c r="AX1134" i="1" s="1"/>
  <c r="AX1135" i="1" s="1"/>
  <c r="AX1136" i="1" s="1"/>
  <c r="AX1137" i="1" s="1"/>
  <c r="AX1138" i="1" s="1"/>
  <c r="AX1139" i="1" s="1"/>
  <c r="AV1132" i="1"/>
  <c r="AV1133" i="1" s="1"/>
  <c r="AV1134" i="1" s="1"/>
  <c r="AV1135" i="1" s="1"/>
  <c r="AV1136" i="1" s="1"/>
  <c r="AV1137" i="1" s="1"/>
  <c r="AV1138" i="1" s="1"/>
  <c r="AV1139" i="1" s="1"/>
  <c r="AU1132" i="1"/>
  <c r="AG1132" i="1"/>
  <c r="AG1133" i="1" s="1"/>
  <c r="AF1132" i="1"/>
  <c r="AF1133" i="1" s="1"/>
  <c r="AF1134" i="1" s="1"/>
  <c r="AE1132" i="1"/>
  <c r="AE1133" i="1" s="1"/>
  <c r="AE1134" i="1" s="1"/>
  <c r="AD1132" i="1"/>
  <c r="AD1133" i="1" s="1"/>
  <c r="AD1134" i="1" s="1"/>
  <c r="AC1132" i="1"/>
  <c r="AC1133" i="1" s="1"/>
  <c r="AC1134" i="1" s="1"/>
  <c r="AB1132" i="1"/>
  <c r="AB1133" i="1" s="1"/>
  <c r="AB1134" i="1" s="1"/>
  <c r="AA1132" i="1"/>
  <c r="AA1133" i="1" s="1"/>
  <c r="AA1134" i="1" s="1"/>
  <c r="T1132" i="1"/>
  <c r="M1132" i="1"/>
  <c r="M1133" i="1" s="1"/>
  <c r="M1134" i="1" s="1"/>
  <c r="M1135" i="1" s="1"/>
  <c r="M1136" i="1" s="1"/>
  <c r="M1137" i="1" s="1"/>
  <c r="M1138" i="1" s="1"/>
  <c r="L1132" i="1"/>
  <c r="L1133" i="1" s="1"/>
  <c r="L1134" i="1" s="1"/>
  <c r="K1132" i="1"/>
  <c r="K1133" i="1" s="1"/>
  <c r="K1134" i="1" s="1"/>
  <c r="J1132" i="1"/>
  <c r="C1132" i="1"/>
  <c r="C1133" i="1" s="1"/>
  <c r="C1134" i="1" s="1"/>
  <c r="C1135" i="1" s="1"/>
  <c r="AK1131" i="1"/>
  <c r="AK1132" i="1" s="1"/>
  <c r="AK1133" i="1" s="1"/>
  <c r="AK1134" i="1" s="1"/>
  <c r="AK1135" i="1" s="1"/>
  <c r="AJ1131" i="1"/>
  <c r="AJ1132" i="1" s="1"/>
  <c r="AJ1133" i="1" s="1"/>
  <c r="P1131" i="1"/>
  <c r="P1132" i="1" s="1"/>
  <c r="O1131" i="1"/>
  <c r="O1132" i="1" s="1"/>
  <c r="O1133" i="1" s="1"/>
  <c r="O1134" i="1" s="1"/>
  <c r="O1135" i="1" s="1"/>
  <c r="O1136" i="1" s="1"/>
  <c r="O1137" i="1" s="1"/>
  <c r="O1138" i="1" s="1"/>
  <c r="N1131" i="1"/>
  <c r="N1132" i="1" s="1"/>
  <c r="N1133" i="1" s="1"/>
  <c r="M1131" i="1"/>
  <c r="L1131" i="1"/>
  <c r="K1131" i="1"/>
  <c r="J1131" i="1"/>
  <c r="C1131" i="1"/>
  <c r="AX1130" i="1"/>
  <c r="AX1131" i="1" s="1"/>
  <c r="AW1130" i="1"/>
  <c r="AW1131" i="1" s="1"/>
  <c r="AW1132" i="1" s="1"/>
  <c r="AW1133" i="1" s="1"/>
  <c r="AW1134" i="1" s="1"/>
  <c r="AW1135" i="1" s="1"/>
  <c r="AW1136" i="1" s="1"/>
  <c r="AW1137" i="1" s="1"/>
  <c r="AW1138" i="1" s="1"/>
  <c r="AW1139" i="1" s="1"/>
  <c r="AV1130" i="1"/>
  <c r="AV1131" i="1" s="1"/>
  <c r="AU1130" i="1"/>
  <c r="AU1131" i="1" s="1"/>
  <c r="AT1130" i="1"/>
  <c r="AT1131" i="1" s="1"/>
  <c r="AT1132" i="1" s="1"/>
  <c r="AT1133" i="1" s="1"/>
  <c r="AT1134" i="1" s="1"/>
  <c r="AT1135" i="1" s="1"/>
  <c r="AT1136" i="1" s="1"/>
  <c r="AT1137" i="1" s="1"/>
  <c r="AT1138" i="1" s="1"/>
  <c r="AT1139" i="1" s="1"/>
  <c r="AX1129" i="1"/>
  <c r="AW1129" i="1"/>
  <c r="AV1129" i="1"/>
  <c r="AU1129" i="1"/>
  <c r="AT1129" i="1"/>
  <c r="AS1129" i="1"/>
  <c r="AS1130" i="1" s="1"/>
  <c r="AS1131" i="1" s="1"/>
  <c r="AS1132" i="1" s="1"/>
  <c r="AS1133" i="1" s="1"/>
  <c r="AS1134" i="1" s="1"/>
  <c r="AS1135" i="1" s="1"/>
  <c r="AS1136" i="1" s="1"/>
  <c r="AS1137" i="1" s="1"/>
  <c r="AS1138" i="1" s="1"/>
  <c r="AS1139" i="1" s="1"/>
  <c r="AR1129" i="1"/>
  <c r="AR1130" i="1" s="1"/>
  <c r="AR1131" i="1" s="1"/>
  <c r="AR1132" i="1" s="1"/>
  <c r="AR1133" i="1" s="1"/>
  <c r="AR1134" i="1" s="1"/>
  <c r="AR1135" i="1" s="1"/>
  <c r="AR1136" i="1" s="1"/>
  <c r="AR1137" i="1" s="1"/>
  <c r="AR1138" i="1" s="1"/>
  <c r="AR1139" i="1" s="1"/>
  <c r="AK1129" i="1"/>
  <c r="AK1130" i="1" s="1"/>
  <c r="P1129" i="1"/>
  <c r="O1129" i="1"/>
  <c r="N1129" i="1"/>
  <c r="M1129" i="1"/>
  <c r="T1128" i="1"/>
  <c r="T1129" i="1" s="1"/>
  <c r="T1130" i="1" s="1"/>
  <c r="P1128" i="1"/>
  <c r="O1128" i="1"/>
  <c r="N1128" i="1"/>
  <c r="M1128" i="1"/>
  <c r="L1128" i="1"/>
  <c r="L1129" i="1" s="1"/>
  <c r="K1128" i="1"/>
  <c r="K1129" i="1" s="1"/>
  <c r="J1128" i="1"/>
  <c r="J1129" i="1" s="1"/>
  <c r="C1128" i="1"/>
  <c r="C1129" i="1" s="1"/>
  <c r="AW1125" i="1"/>
  <c r="AW1126" i="1" s="1"/>
  <c r="AW1127" i="1" s="1"/>
  <c r="L1124" i="1"/>
  <c r="L1125" i="1" s="1"/>
  <c r="L1126" i="1" s="1"/>
  <c r="J1124" i="1"/>
  <c r="J1125" i="1" s="1"/>
  <c r="J1126" i="1" s="1"/>
  <c r="O1123" i="1"/>
  <c r="O1124" i="1" s="1"/>
  <c r="O1125" i="1" s="1"/>
  <c r="O1126" i="1" s="1"/>
  <c r="K1123" i="1"/>
  <c r="K1124" i="1" s="1"/>
  <c r="K1125" i="1" s="1"/>
  <c r="K1126" i="1" s="1"/>
  <c r="T1122" i="1"/>
  <c r="T1123" i="1" s="1"/>
  <c r="T1124" i="1" s="1"/>
  <c r="T1125" i="1" s="1"/>
  <c r="T1126" i="1" s="1"/>
  <c r="T1127" i="1" s="1"/>
  <c r="P1122" i="1"/>
  <c r="P1123" i="1" s="1"/>
  <c r="P1124" i="1" s="1"/>
  <c r="P1125" i="1" s="1"/>
  <c r="P1126" i="1" s="1"/>
  <c r="O1122" i="1"/>
  <c r="N1122" i="1"/>
  <c r="N1123" i="1" s="1"/>
  <c r="N1124" i="1" s="1"/>
  <c r="N1125" i="1" s="1"/>
  <c r="N1126" i="1" s="1"/>
  <c r="AU1121" i="1"/>
  <c r="AU1122" i="1" s="1"/>
  <c r="AU1123" i="1" s="1"/>
  <c r="AU1124" i="1" s="1"/>
  <c r="AU1125" i="1" s="1"/>
  <c r="AU1126" i="1" s="1"/>
  <c r="AU1127" i="1" s="1"/>
  <c r="AG1121" i="1"/>
  <c r="AG1122" i="1" s="1"/>
  <c r="AG1123" i="1" s="1"/>
  <c r="AG1124" i="1" s="1"/>
  <c r="AG1125" i="1" s="1"/>
  <c r="AG1126" i="1" s="1"/>
  <c r="AG1127" i="1" s="1"/>
  <c r="AG1128" i="1" s="1"/>
  <c r="AG1129" i="1" s="1"/>
  <c r="AG1130" i="1" s="1"/>
  <c r="T1121" i="1"/>
  <c r="P1121" i="1"/>
  <c r="O1121" i="1"/>
  <c r="N1121" i="1"/>
  <c r="M1121" i="1"/>
  <c r="M1122" i="1" s="1"/>
  <c r="M1123" i="1" s="1"/>
  <c r="M1124" i="1" s="1"/>
  <c r="M1125" i="1" s="1"/>
  <c r="M1126" i="1" s="1"/>
  <c r="L1121" i="1"/>
  <c r="L1122" i="1" s="1"/>
  <c r="L1123" i="1" s="1"/>
  <c r="K1121" i="1"/>
  <c r="K1122" i="1" s="1"/>
  <c r="J1121" i="1"/>
  <c r="J1122" i="1" s="1"/>
  <c r="J1123" i="1" s="1"/>
  <c r="C1121" i="1"/>
  <c r="C1122" i="1" s="1"/>
  <c r="C1123" i="1" s="1"/>
  <c r="C1124" i="1" s="1"/>
  <c r="C1125" i="1" s="1"/>
  <c r="C1126" i="1" s="1"/>
  <c r="AX1120" i="1"/>
  <c r="AX1121" i="1" s="1"/>
  <c r="AX1122" i="1" s="1"/>
  <c r="AX1123" i="1" s="1"/>
  <c r="AX1124" i="1" s="1"/>
  <c r="AX1125" i="1" s="1"/>
  <c r="AX1126" i="1" s="1"/>
  <c r="AX1127" i="1" s="1"/>
  <c r="AG1120" i="1"/>
  <c r="AU1119" i="1"/>
  <c r="AU1120" i="1" s="1"/>
  <c r="AS1119" i="1"/>
  <c r="AS1120" i="1" s="1"/>
  <c r="AS1121" i="1" s="1"/>
  <c r="AS1122" i="1" s="1"/>
  <c r="AS1123" i="1" s="1"/>
  <c r="AS1124" i="1" s="1"/>
  <c r="AS1125" i="1" s="1"/>
  <c r="AS1126" i="1" s="1"/>
  <c r="AS1127" i="1" s="1"/>
  <c r="AB1119" i="1"/>
  <c r="AB1120" i="1" s="1"/>
  <c r="AB1121" i="1" s="1"/>
  <c r="AB1122" i="1" s="1"/>
  <c r="AB1123" i="1" s="1"/>
  <c r="AB1124" i="1" s="1"/>
  <c r="AB1125" i="1" s="1"/>
  <c r="AB1126" i="1" s="1"/>
  <c r="AB1127" i="1" s="1"/>
  <c r="AB1128" i="1" s="1"/>
  <c r="AB1129" i="1" s="1"/>
  <c r="AB1130" i="1" s="1"/>
  <c r="T1119" i="1"/>
  <c r="T1120" i="1" s="1"/>
  <c r="AX1118" i="1"/>
  <c r="AX1119" i="1" s="1"/>
  <c r="AV1118" i="1"/>
  <c r="AV1119" i="1" s="1"/>
  <c r="AV1120" i="1" s="1"/>
  <c r="AV1121" i="1" s="1"/>
  <c r="AV1122" i="1" s="1"/>
  <c r="AV1123" i="1" s="1"/>
  <c r="AV1124" i="1" s="1"/>
  <c r="AV1125" i="1" s="1"/>
  <c r="AV1126" i="1" s="1"/>
  <c r="AV1127" i="1" s="1"/>
  <c r="AU1118" i="1"/>
  <c r="AG1118" i="1"/>
  <c r="AG1119" i="1" s="1"/>
  <c r="AF1118" i="1"/>
  <c r="AF1119" i="1" s="1"/>
  <c r="AF1120" i="1" s="1"/>
  <c r="AF1121" i="1" s="1"/>
  <c r="AF1122" i="1" s="1"/>
  <c r="AF1123" i="1" s="1"/>
  <c r="AF1124" i="1" s="1"/>
  <c r="AF1125" i="1" s="1"/>
  <c r="AF1126" i="1" s="1"/>
  <c r="AF1127" i="1" s="1"/>
  <c r="AF1128" i="1" s="1"/>
  <c r="AF1129" i="1" s="1"/>
  <c r="AF1130" i="1" s="1"/>
  <c r="AE1118" i="1"/>
  <c r="AE1119" i="1" s="1"/>
  <c r="AE1120" i="1" s="1"/>
  <c r="AE1121" i="1" s="1"/>
  <c r="AE1122" i="1" s="1"/>
  <c r="AE1123" i="1" s="1"/>
  <c r="AE1124" i="1" s="1"/>
  <c r="AE1125" i="1" s="1"/>
  <c r="AE1126" i="1" s="1"/>
  <c r="AE1127" i="1" s="1"/>
  <c r="AE1128" i="1" s="1"/>
  <c r="AE1129" i="1" s="1"/>
  <c r="AE1130" i="1" s="1"/>
  <c r="AC1118" i="1"/>
  <c r="AC1119" i="1" s="1"/>
  <c r="AC1120" i="1" s="1"/>
  <c r="AC1121" i="1" s="1"/>
  <c r="AC1122" i="1" s="1"/>
  <c r="AC1123" i="1" s="1"/>
  <c r="AC1124" i="1" s="1"/>
  <c r="AC1125" i="1" s="1"/>
  <c r="AC1126" i="1" s="1"/>
  <c r="AC1127" i="1" s="1"/>
  <c r="AC1128" i="1" s="1"/>
  <c r="AC1129" i="1" s="1"/>
  <c r="AC1130" i="1" s="1"/>
  <c r="AB1118" i="1"/>
  <c r="AA1118" i="1"/>
  <c r="AA1119" i="1" s="1"/>
  <c r="AA1120" i="1" s="1"/>
  <c r="AA1121" i="1" s="1"/>
  <c r="AA1122" i="1" s="1"/>
  <c r="AA1123" i="1" s="1"/>
  <c r="AA1124" i="1" s="1"/>
  <c r="AA1125" i="1" s="1"/>
  <c r="AA1126" i="1" s="1"/>
  <c r="AA1127" i="1" s="1"/>
  <c r="AA1128" i="1" s="1"/>
  <c r="AA1129" i="1" s="1"/>
  <c r="AA1130" i="1" s="1"/>
  <c r="T1118" i="1"/>
  <c r="AX1117" i="1"/>
  <c r="AW1117" i="1"/>
  <c r="AW1118" i="1" s="1"/>
  <c r="AW1119" i="1" s="1"/>
  <c r="AW1120" i="1" s="1"/>
  <c r="AW1121" i="1" s="1"/>
  <c r="AW1122" i="1" s="1"/>
  <c r="AW1123" i="1" s="1"/>
  <c r="AW1124" i="1" s="1"/>
  <c r="AG1117" i="1"/>
  <c r="AF1117" i="1"/>
  <c r="AE1117" i="1"/>
  <c r="AD1117" i="1"/>
  <c r="AD1118" i="1" s="1"/>
  <c r="AD1119" i="1" s="1"/>
  <c r="AD1120" i="1" s="1"/>
  <c r="AD1121" i="1" s="1"/>
  <c r="AD1122" i="1" s="1"/>
  <c r="AD1123" i="1" s="1"/>
  <c r="AD1124" i="1" s="1"/>
  <c r="AD1125" i="1" s="1"/>
  <c r="AD1126" i="1" s="1"/>
  <c r="AD1127" i="1" s="1"/>
  <c r="AD1128" i="1" s="1"/>
  <c r="AD1129" i="1" s="1"/>
  <c r="AD1130" i="1" s="1"/>
  <c r="AC1117" i="1"/>
  <c r="AB1117" i="1"/>
  <c r="AA1117" i="1"/>
  <c r="T1117" i="1"/>
  <c r="AX1116" i="1"/>
  <c r="AW1116" i="1"/>
  <c r="AV1116" i="1"/>
  <c r="AV1117" i="1" s="1"/>
  <c r="AU1116" i="1"/>
  <c r="AU1117" i="1" s="1"/>
  <c r="AT1116" i="1"/>
  <c r="AT1117" i="1" s="1"/>
  <c r="AT1118" i="1" s="1"/>
  <c r="AT1119" i="1" s="1"/>
  <c r="AT1120" i="1" s="1"/>
  <c r="AT1121" i="1" s="1"/>
  <c r="AT1122" i="1" s="1"/>
  <c r="AT1123" i="1" s="1"/>
  <c r="AT1124" i="1" s="1"/>
  <c r="AT1125" i="1" s="1"/>
  <c r="AT1126" i="1" s="1"/>
  <c r="AT1127" i="1" s="1"/>
  <c r="AS1116" i="1"/>
  <c r="AS1117" i="1" s="1"/>
  <c r="AS1118" i="1" s="1"/>
  <c r="AR1116" i="1"/>
  <c r="AR1117" i="1" s="1"/>
  <c r="AR1118" i="1" s="1"/>
  <c r="AR1119" i="1" s="1"/>
  <c r="AR1120" i="1" s="1"/>
  <c r="AR1121" i="1" s="1"/>
  <c r="AR1122" i="1" s="1"/>
  <c r="AR1123" i="1" s="1"/>
  <c r="AR1124" i="1" s="1"/>
  <c r="AR1125" i="1" s="1"/>
  <c r="AR1126" i="1" s="1"/>
  <c r="AR1127" i="1" s="1"/>
  <c r="AK1116" i="1"/>
  <c r="AK1117" i="1" s="1"/>
  <c r="AK1118" i="1" s="1"/>
  <c r="AK1119" i="1" s="1"/>
  <c r="AK1120" i="1" s="1"/>
  <c r="AK1121" i="1" s="1"/>
  <c r="AK1122" i="1" s="1"/>
  <c r="AK1123" i="1" s="1"/>
  <c r="AK1124" i="1" s="1"/>
  <c r="AK1125" i="1" s="1"/>
  <c r="AK1126" i="1" s="1"/>
  <c r="AK1127" i="1" s="1"/>
  <c r="K1115" i="1"/>
  <c r="K1116" i="1" s="1"/>
  <c r="K1117" i="1" s="1"/>
  <c r="K1118" i="1" s="1"/>
  <c r="K1119" i="1" s="1"/>
  <c r="L1113" i="1"/>
  <c r="L1114" i="1" s="1"/>
  <c r="L1115" i="1" s="1"/>
  <c r="L1116" i="1" s="1"/>
  <c r="L1117" i="1" s="1"/>
  <c r="L1118" i="1" s="1"/>
  <c r="L1119" i="1" s="1"/>
  <c r="AF1112" i="1"/>
  <c r="AF1113" i="1" s="1"/>
  <c r="AF1114" i="1" s="1"/>
  <c r="AF1115" i="1" s="1"/>
  <c r="P1112" i="1"/>
  <c r="P1113" i="1" s="1"/>
  <c r="P1114" i="1" s="1"/>
  <c r="P1115" i="1" s="1"/>
  <c r="P1116" i="1" s="1"/>
  <c r="P1117" i="1" s="1"/>
  <c r="P1118" i="1" s="1"/>
  <c r="P1119" i="1" s="1"/>
  <c r="M1112" i="1"/>
  <c r="M1113" i="1" s="1"/>
  <c r="M1114" i="1" s="1"/>
  <c r="M1115" i="1" s="1"/>
  <c r="M1116" i="1" s="1"/>
  <c r="M1117" i="1" s="1"/>
  <c r="M1118" i="1" s="1"/>
  <c r="M1119" i="1" s="1"/>
  <c r="K1112" i="1"/>
  <c r="K1113" i="1" s="1"/>
  <c r="K1114" i="1" s="1"/>
  <c r="C1112" i="1"/>
  <c r="C1113" i="1" s="1"/>
  <c r="C1114" i="1" s="1"/>
  <c r="C1115" i="1" s="1"/>
  <c r="C1116" i="1" s="1"/>
  <c r="C1117" i="1" s="1"/>
  <c r="C1118" i="1" s="1"/>
  <c r="C1119" i="1" s="1"/>
  <c r="AE1111" i="1"/>
  <c r="AE1112" i="1" s="1"/>
  <c r="AE1113" i="1" s="1"/>
  <c r="AE1114" i="1" s="1"/>
  <c r="AE1115" i="1" s="1"/>
  <c r="T1111" i="1"/>
  <c r="T1112" i="1" s="1"/>
  <c r="T1113" i="1" s="1"/>
  <c r="T1114" i="1" s="1"/>
  <c r="T1115" i="1" s="1"/>
  <c r="P1111" i="1"/>
  <c r="N1111" i="1"/>
  <c r="N1112" i="1" s="1"/>
  <c r="N1113" i="1" s="1"/>
  <c r="N1114" i="1" s="1"/>
  <c r="N1115" i="1" s="1"/>
  <c r="N1116" i="1" s="1"/>
  <c r="N1117" i="1" s="1"/>
  <c r="N1118" i="1" s="1"/>
  <c r="N1119" i="1" s="1"/>
  <c r="M1111" i="1"/>
  <c r="L1111" i="1"/>
  <c r="L1112" i="1" s="1"/>
  <c r="K1111" i="1"/>
  <c r="P1110" i="1"/>
  <c r="O1110" i="1"/>
  <c r="O1111" i="1" s="1"/>
  <c r="O1112" i="1" s="1"/>
  <c r="O1113" i="1" s="1"/>
  <c r="O1114" i="1" s="1"/>
  <c r="O1115" i="1" s="1"/>
  <c r="O1116" i="1" s="1"/>
  <c r="O1117" i="1" s="1"/>
  <c r="O1118" i="1" s="1"/>
  <c r="O1119" i="1" s="1"/>
  <c r="N1110" i="1"/>
  <c r="M1110" i="1"/>
  <c r="L1110" i="1"/>
  <c r="K1110" i="1"/>
  <c r="J1110" i="1"/>
  <c r="J1111" i="1" s="1"/>
  <c r="J1112" i="1" s="1"/>
  <c r="J1113" i="1" s="1"/>
  <c r="J1114" i="1" s="1"/>
  <c r="J1115" i="1" s="1"/>
  <c r="J1116" i="1" s="1"/>
  <c r="J1117" i="1" s="1"/>
  <c r="J1118" i="1" s="1"/>
  <c r="J1119" i="1" s="1"/>
  <c r="C1110" i="1"/>
  <c r="C1111" i="1" s="1"/>
  <c r="AF1109" i="1"/>
  <c r="AF1110" i="1" s="1"/>
  <c r="AF1111" i="1" s="1"/>
  <c r="P1108" i="1"/>
  <c r="O1108" i="1"/>
  <c r="N1108" i="1"/>
  <c r="M1108" i="1"/>
  <c r="L1108" i="1"/>
  <c r="K1108" i="1"/>
  <c r="J1108" i="1"/>
  <c r="C1108" i="1"/>
  <c r="AG1107" i="1"/>
  <c r="AG1108" i="1" s="1"/>
  <c r="AG1109" i="1" s="1"/>
  <c r="AG1110" i="1" s="1"/>
  <c r="AG1111" i="1" s="1"/>
  <c r="AG1112" i="1" s="1"/>
  <c r="AG1113" i="1" s="1"/>
  <c r="AG1114" i="1" s="1"/>
  <c r="AG1115" i="1" s="1"/>
  <c r="AE1107" i="1"/>
  <c r="AE1108" i="1" s="1"/>
  <c r="AE1109" i="1" s="1"/>
  <c r="AE1110" i="1" s="1"/>
  <c r="AC1107" i="1"/>
  <c r="AC1108" i="1" s="1"/>
  <c r="AC1109" i="1" s="1"/>
  <c r="AC1110" i="1" s="1"/>
  <c r="AC1111" i="1" s="1"/>
  <c r="AC1112" i="1" s="1"/>
  <c r="AC1113" i="1" s="1"/>
  <c r="AC1114" i="1" s="1"/>
  <c r="AC1115" i="1" s="1"/>
  <c r="AA1107" i="1"/>
  <c r="AA1108" i="1" s="1"/>
  <c r="AA1109" i="1" s="1"/>
  <c r="AA1110" i="1" s="1"/>
  <c r="AA1111" i="1" s="1"/>
  <c r="AA1112" i="1" s="1"/>
  <c r="AA1113" i="1" s="1"/>
  <c r="AA1114" i="1" s="1"/>
  <c r="AA1115" i="1" s="1"/>
  <c r="AG1106" i="1"/>
  <c r="AF1106" i="1"/>
  <c r="AF1107" i="1" s="1"/>
  <c r="AF1108" i="1" s="1"/>
  <c r="AE1106" i="1"/>
  <c r="AD1106" i="1"/>
  <c r="AD1107" i="1" s="1"/>
  <c r="AD1108" i="1" s="1"/>
  <c r="AD1109" i="1" s="1"/>
  <c r="AD1110" i="1" s="1"/>
  <c r="AD1111" i="1" s="1"/>
  <c r="AD1112" i="1" s="1"/>
  <c r="AD1113" i="1" s="1"/>
  <c r="AD1114" i="1" s="1"/>
  <c r="AD1115" i="1" s="1"/>
  <c r="AC1106" i="1"/>
  <c r="AB1106" i="1"/>
  <c r="AB1107" i="1" s="1"/>
  <c r="AB1108" i="1" s="1"/>
  <c r="AB1109" i="1" s="1"/>
  <c r="AB1110" i="1" s="1"/>
  <c r="AB1111" i="1" s="1"/>
  <c r="AB1112" i="1" s="1"/>
  <c r="AB1113" i="1" s="1"/>
  <c r="AB1114" i="1" s="1"/>
  <c r="AB1115" i="1" s="1"/>
  <c r="AA1106" i="1"/>
  <c r="T1106" i="1"/>
  <c r="T1107" i="1" s="1"/>
  <c r="T1108" i="1" s="1"/>
  <c r="T1109" i="1" s="1"/>
  <c r="T1110" i="1" s="1"/>
  <c r="P1103" i="1"/>
  <c r="P1104" i="1" s="1"/>
  <c r="P1105" i="1" s="1"/>
  <c r="P1106" i="1" s="1"/>
  <c r="K1103" i="1"/>
  <c r="K1104" i="1" s="1"/>
  <c r="K1105" i="1" s="1"/>
  <c r="K1106" i="1" s="1"/>
  <c r="C1103" i="1"/>
  <c r="C1104" i="1" s="1"/>
  <c r="C1105" i="1" s="1"/>
  <c r="C1106" i="1" s="1"/>
  <c r="P1102" i="1"/>
  <c r="N1102" i="1"/>
  <c r="N1103" i="1" s="1"/>
  <c r="N1104" i="1" s="1"/>
  <c r="N1105" i="1" s="1"/>
  <c r="N1106" i="1" s="1"/>
  <c r="L1102" i="1"/>
  <c r="L1103" i="1" s="1"/>
  <c r="L1104" i="1" s="1"/>
  <c r="L1105" i="1" s="1"/>
  <c r="L1106" i="1" s="1"/>
  <c r="J1102" i="1"/>
  <c r="J1103" i="1" s="1"/>
  <c r="J1104" i="1" s="1"/>
  <c r="J1105" i="1" s="1"/>
  <c r="J1106" i="1" s="1"/>
  <c r="P1101" i="1"/>
  <c r="O1101" i="1"/>
  <c r="O1102" i="1" s="1"/>
  <c r="O1103" i="1" s="1"/>
  <c r="O1104" i="1" s="1"/>
  <c r="O1105" i="1" s="1"/>
  <c r="O1106" i="1" s="1"/>
  <c r="N1101" i="1"/>
  <c r="M1101" i="1"/>
  <c r="M1102" i="1" s="1"/>
  <c r="M1103" i="1" s="1"/>
  <c r="M1104" i="1" s="1"/>
  <c r="M1105" i="1" s="1"/>
  <c r="M1106" i="1" s="1"/>
  <c r="L1101" i="1"/>
  <c r="K1101" i="1"/>
  <c r="K1102" i="1" s="1"/>
  <c r="J1101" i="1"/>
  <c r="C1101" i="1"/>
  <c r="C1102" i="1" s="1"/>
  <c r="AB1099" i="1"/>
  <c r="AB1100" i="1" s="1"/>
  <c r="AB1101" i="1" s="1"/>
  <c r="AB1102" i="1" s="1"/>
  <c r="AB1103" i="1" s="1"/>
  <c r="AB1104" i="1" s="1"/>
  <c r="O1099" i="1"/>
  <c r="M1099" i="1"/>
  <c r="K1099" i="1"/>
  <c r="AV1098" i="1"/>
  <c r="AV1099" i="1" s="1"/>
  <c r="AV1100" i="1" s="1"/>
  <c r="AV1101" i="1" s="1"/>
  <c r="AV1102" i="1" s="1"/>
  <c r="AV1103" i="1" s="1"/>
  <c r="AV1104" i="1" s="1"/>
  <c r="AV1105" i="1" s="1"/>
  <c r="AV1106" i="1" s="1"/>
  <c r="AV1107" i="1" s="1"/>
  <c r="AV1108" i="1" s="1"/>
  <c r="AV1109" i="1" s="1"/>
  <c r="AV1110" i="1" s="1"/>
  <c r="AV1111" i="1" s="1"/>
  <c r="AV1112" i="1" s="1"/>
  <c r="AV1113" i="1" s="1"/>
  <c r="AV1114" i="1" s="1"/>
  <c r="AB1098" i="1"/>
  <c r="P1098" i="1"/>
  <c r="P1099" i="1" s="1"/>
  <c r="O1098" i="1"/>
  <c r="N1098" i="1"/>
  <c r="N1099" i="1" s="1"/>
  <c r="M1098" i="1"/>
  <c r="L1098" i="1"/>
  <c r="L1099" i="1" s="1"/>
  <c r="K1098" i="1"/>
  <c r="J1098" i="1"/>
  <c r="J1099" i="1" s="1"/>
  <c r="C1098" i="1"/>
  <c r="C1099" i="1" s="1"/>
  <c r="AE1097" i="1"/>
  <c r="AE1098" i="1" s="1"/>
  <c r="AE1099" i="1" s="1"/>
  <c r="AE1100" i="1" s="1"/>
  <c r="AE1101" i="1" s="1"/>
  <c r="AE1102" i="1" s="1"/>
  <c r="AE1103" i="1" s="1"/>
  <c r="AE1104" i="1" s="1"/>
  <c r="T1096" i="1"/>
  <c r="T1097" i="1" s="1"/>
  <c r="T1098" i="1" s="1"/>
  <c r="T1099" i="1" s="1"/>
  <c r="T1100" i="1" s="1"/>
  <c r="T1101" i="1" s="1"/>
  <c r="T1102" i="1" s="1"/>
  <c r="T1103" i="1" s="1"/>
  <c r="T1104" i="1" s="1"/>
  <c r="P1096" i="1"/>
  <c r="N1096" i="1"/>
  <c r="L1096" i="1"/>
  <c r="C1096" i="1"/>
  <c r="AW1095" i="1"/>
  <c r="AW1096" i="1" s="1"/>
  <c r="AW1097" i="1" s="1"/>
  <c r="AW1098" i="1" s="1"/>
  <c r="AW1099" i="1" s="1"/>
  <c r="AW1100" i="1" s="1"/>
  <c r="AW1101" i="1" s="1"/>
  <c r="AW1102" i="1" s="1"/>
  <c r="AW1103" i="1" s="1"/>
  <c r="AW1104" i="1" s="1"/>
  <c r="AW1105" i="1" s="1"/>
  <c r="AW1106" i="1" s="1"/>
  <c r="AW1107" i="1" s="1"/>
  <c r="AW1108" i="1" s="1"/>
  <c r="AW1109" i="1" s="1"/>
  <c r="AW1110" i="1" s="1"/>
  <c r="AW1111" i="1" s="1"/>
  <c r="AW1112" i="1" s="1"/>
  <c r="AW1113" i="1" s="1"/>
  <c r="AW1114" i="1" s="1"/>
  <c r="AE1095" i="1"/>
  <c r="AE1096" i="1" s="1"/>
  <c r="AC1095" i="1"/>
  <c r="AC1096" i="1" s="1"/>
  <c r="AC1097" i="1" s="1"/>
  <c r="AC1098" i="1" s="1"/>
  <c r="AC1099" i="1" s="1"/>
  <c r="AC1100" i="1" s="1"/>
  <c r="AC1101" i="1" s="1"/>
  <c r="AC1102" i="1" s="1"/>
  <c r="AC1103" i="1" s="1"/>
  <c r="AC1104" i="1" s="1"/>
  <c r="AA1095" i="1"/>
  <c r="AA1096" i="1" s="1"/>
  <c r="AA1097" i="1" s="1"/>
  <c r="AA1098" i="1" s="1"/>
  <c r="AA1099" i="1" s="1"/>
  <c r="AA1100" i="1" s="1"/>
  <c r="AA1101" i="1" s="1"/>
  <c r="AA1102" i="1" s="1"/>
  <c r="AA1103" i="1" s="1"/>
  <c r="AA1104" i="1" s="1"/>
  <c r="P1095" i="1"/>
  <c r="O1095" i="1"/>
  <c r="O1096" i="1" s="1"/>
  <c r="N1095" i="1"/>
  <c r="M1095" i="1"/>
  <c r="M1096" i="1" s="1"/>
  <c r="L1095" i="1"/>
  <c r="K1095" i="1"/>
  <c r="K1096" i="1" s="1"/>
  <c r="J1095" i="1"/>
  <c r="J1096" i="1" s="1"/>
  <c r="C1095" i="1"/>
  <c r="AV1094" i="1"/>
  <c r="AV1095" i="1" s="1"/>
  <c r="AV1096" i="1" s="1"/>
  <c r="AV1097" i="1" s="1"/>
  <c r="AT1094" i="1"/>
  <c r="AT1095" i="1" s="1"/>
  <c r="AT1096" i="1" s="1"/>
  <c r="AT1097" i="1" s="1"/>
  <c r="AT1098" i="1" s="1"/>
  <c r="AT1099" i="1" s="1"/>
  <c r="AT1100" i="1" s="1"/>
  <c r="AT1101" i="1" s="1"/>
  <c r="AT1102" i="1" s="1"/>
  <c r="AT1103" i="1" s="1"/>
  <c r="AT1104" i="1" s="1"/>
  <c r="AT1105" i="1" s="1"/>
  <c r="AT1106" i="1" s="1"/>
  <c r="AT1107" i="1" s="1"/>
  <c r="AT1108" i="1" s="1"/>
  <c r="AT1109" i="1" s="1"/>
  <c r="AT1110" i="1" s="1"/>
  <c r="AT1111" i="1" s="1"/>
  <c r="AT1112" i="1" s="1"/>
  <c r="AT1113" i="1" s="1"/>
  <c r="AT1114" i="1" s="1"/>
  <c r="AK1094" i="1"/>
  <c r="AK1095" i="1" s="1"/>
  <c r="AK1096" i="1" s="1"/>
  <c r="AK1097" i="1" s="1"/>
  <c r="AK1098" i="1" s="1"/>
  <c r="AK1099" i="1" s="1"/>
  <c r="AK1100" i="1" s="1"/>
  <c r="AK1101" i="1" s="1"/>
  <c r="AK1102" i="1" s="1"/>
  <c r="AK1103" i="1" s="1"/>
  <c r="AK1104" i="1" s="1"/>
  <c r="AK1105" i="1" s="1"/>
  <c r="AK1106" i="1" s="1"/>
  <c r="AK1107" i="1" s="1"/>
  <c r="AK1108" i="1" s="1"/>
  <c r="AK1109" i="1" s="1"/>
  <c r="AK1110" i="1" s="1"/>
  <c r="AK1111" i="1" s="1"/>
  <c r="AK1112" i="1" s="1"/>
  <c r="AK1113" i="1" s="1"/>
  <c r="AK1114" i="1" s="1"/>
  <c r="AG1094" i="1"/>
  <c r="AG1095" i="1" s="1"/>
  <c r="AG1096" i="1" s="1"/>
  <c r="AG1097" i="1" s="1"/>
  <c r="AG1098" i="1" s="1"/>
  <c r="AG1099" i="1" s="1"/>
  <c r="AG1100" i="1" s="1"/>
  <c r="AG1101" i="1" s="1"/>
  <c r="AG1102" i="1" s="1"/>
  <c r="AG1103" i="1" s="1"/>
  <c r="AG1104" i="1" s="1"/>
  <c r="AF1094" i="1"/>
  <c r="AF1095" i="1" s="1"/>
  <c r="AF1096" i="1" s="1"/>
  <c r="AF1097" i="1" s="1"/>
  <c r="AF1098" i="1" s="1"/>
  <c r="AF1099" i="1" s="1"/>
  <c r="AF1100" i="1" s="1"/>
  <c r="AF1101" i="1" s="1"/>
  <c r="AF1102" i="1" s="1"/>
  <c r="AF1103" i="1" s="1"/>
  <c r="AF1104" i="1" s="1"/>
  <c r="AE1094" i="1"/>
  <c r="AD1094" i="1"/>
  <c r="AD1095" i="1" s="1"/>
  <c r="AD1096" i="1" s="1"/>
  <c r="AD1097" i="1" s="1"/>
  <c r="AD1098" i="1" s="1"/>
  <c r="AD1099" i="1" s="1"/>
  <c r="AD1100" i="1" s="1"/>
  <c r="AD1101" i="1" s="1"/>
  <c r="AD1102" i="1" s="1"/>
  <c r="AD1103" i="1" s="1"/>
  <c r="AD1104" i="1" s="1"/>
  <c r="AC1094" i="1"/>
  <c r="AB1094" i="1"/>
  <c r="AB1095" i="1" s="1"/>
  <c r="AB1096" i="1" s="1"/>
  <c r="AB1097" i="1" s="1"/>
  <c r="AA1094" i="1"/>
  <c r="T1094" i="1"/>
  <c r="T1095" i="1" s="1"/>
  <c r="AX1093" i="1"/>
  <c r="AX1094" i="1" s="1"/>
  <c r="AX1095" i="1" s="1"/>
  <c r="AX1096" i="1" s="1"/>
  <c r="AX1097" i="1" s="1"/>
  <c r="AX1098" i="1" s="1"/>
  <c r="AX1099" i="1" s="1"/>
  <c r="AX1100" i="1" s="1"/>
  <c r="AX1101" i="1" s="1"/>
  <c r="AX1102" i="1" s="1"/>
  <c r="AX1103" i="1" s="1"/>
  <c r="AX1104" i="1" s="1"/>
  <c r="AX1105" i="1" s="1"/>
  <c r="AX1106" i="1" s="1"/>
  <c r="AX1107" i="1" s="1"/>
  <c r="AX1108" i="1" s="1"/>
  <c r="AX1109" i="1" s="1"/>
  <c r="AX1110" i="1" s="1"/>
  <c r="AX1111" i="1" s="1"/>
  <c r="AX1112" i="1" s="1"/>
  <c r="AX1113" i="1" s="1"/>
  <c r="AX1114" i="1" s="1"/>
  <c r="AW1093" i="1"/>
  <c r="AW1094" i="1" s="1"/>
  <c r="AU1093" i="1"/>
  <c r="AU1094" i="1" s="1"/>
  <c r="AU1095" i="1" s="1"/>
  <c r="AU1096" i="1" s="1"/>
  <c r="AU1097" i="1" s="1"/>
  <c r="AU1098" i="1" s="1"/>
  <c r="AU1099" i="1" s="1"/>
  <c r="AU1100" i="1" s="1"/>
  <c r="AU1101" i="1" s="1"/>
  <c r="AU1102" i="1" s="1"/>
  <c r="AU1103" i="1" s="1"/>
  <c r="AU1104" i="1" s="1"/>
  <c r="AU1105" i="1" s="1"/>
  <c r="AU1106" i="1" s="1"/>
  <c r="AU1107" i="1" s="1"/>
  <c r="AU1108" i="1" s="1"/>
  <c r="AU1109" i="1" s="1"/>
  <c r="AU1110" i="1" s="1"/>
  <c r="AU1111" i="1" s="1"/>
  <c r="AU1112" i="1" s="1"/>
  <c r="AU1113" i="1" s="1"/>
  <c r="AU1114" i="1" s="1"/>
  <c r="AK1093" i="1"/>
  <c r="N1093" i="1"/>
  <c r="K1093" i="1"/>
  <c r="AX1092" i="1"/>
  <c r="AW1092" i="1"/>
  <c r="AV1092" i="1"/>
  <c r="AV1093" i="1" s="1"/>
  <c r="AU1092" i="1"/>
  <c r="AT1092" i="1"/>
  <c r="AT1093" i="1" s="1"/>
  <c r="AS1092" i="1"/>
  <c r="AS1093" i="1" s="1"/>
  <c r="AS1094" i="1" s="1"/>
  <c r="AS1095" i="1" s="1"/>
  <c r="AS1096" i="1" s="1"/>
  <c r="AS1097" i="1" s="1"/>
  <c r="AS1098" i="1" s="1"/>
  <c r="AS1099" i="1" s="1"/>
  <c r="AS1100" i="1" s="1"/>
  <c r="AS1101" i="1" s="1"/>
  <c r="AS1102" i="1" s="1"/>
  <c r="AS1103" i="1" s="1"/>
  <c r="AS1104" i="1" s="1"/>
  <c r="AS1105" i="1" s="1"/>
  <c r="AS1106" i="1" s="1"/>
  <c r="AS1107" i="1" s="1"/>
  <c r="AS1108" i="1" s="1"/>
  <c r="AS1109" i="1" s="1"/>
  <c r="AS1110" i="1" s="1"/>
  <c r="AS1111" i="1" s="1"/>
  <c r="AS1112" i="1" s="1"/>
  <c r="AS1113" i="1" s="1"/>
  <c r="AS1114" i="1" s="1"/>
  <c r="AR1092" i="1"/>
  <c r="AR1093" i="1" s="1"/>
  <c r="AR1094" i="1" s="1"/>
  <c r="AR1095" i="1" s="1"/>
  <c r="AR1096" i="1" s="1"/>
  <c r="AR1097" i="1" s="1"/>
  <c r="AR1098" i="1" s="1"/>
  <c r="AR1099" i="1" s="1"/>
  <c r="AR1100" i="1" s="1"/>
  <c r="AR1101" i="1" s="1"/>
  <c r="AR1102" i="1" s="1"/>
  <c r="AR1103" i="1" s="1"/>
  <c r="AR1104" i="1" s="1"/>
  <c r="AR1105" i="1" s="1"/>
  <c r="AR1106" i="1" s="1"/>
  <c r="AR1107" i="1" s="1"/>
  <c r="AR1108" i="1" s="1"/>
  <c r="AR1109" i="1" s="1"/>
  <c r="AR1110" i="1" s="1"/>
  <c r="AR1111" i="1" s="1"/>
  <c r="AR1112" i="1" s="1"/>
  <c r="AR1113" i="1" s="1"/>
  <c r="AR1114" i="1" s="1"/>
  <c r="AK1092" i="1"/>
  <c r="AD1092" i="1"/>
  <c r="AB1092" i="1"/>
  <c r="T1092" i="1"/>
  <c r="P1092" i="1"/>
  <c r="P1093" i="1" s="1"/>
  <c r="N1092" i="1"/>
  <c r="J1092" i="1"/>
  <c r="J1093" i="1" s="1"/>
  <c r="AG1091" i="1"/>
  <c r="AG1092" i="1" s="1"/>
  <c r="AF1091" i="1"/>
  <c r="AF1092" i="1" s="1"/>
  <c r="AE1091" i="1"/>
  <c r="AE1092" i="1" s="1"/>
  <c r="AD1091" i="1"/>
  <c r="AC1091" i="1"/>
  <c r="AC1092" i="1" s="1"/>
  <c r="AB1091" i="1"/>
  <c r="AA1091" i="1"/>
  <c r="AA1092" i="1" s="1"/>
  <c r="T1091" i="1"/>
  <c r="P1091" i="1"/>
  <c r="O1091" i="1"/>
  <c r="O1092" i="1" s="1"/>
  <c r="O1093" i="1" s="1"/>
  <c r="N1091" i="1"/>
  <c r="M1091" i="1"/>
  <c r="M1092" i="1" s="1"/>
  <c r="M1093" i="1" s="1"/>
  <c r="L1091" i="1"/>
  <c r="L1092" i="1" s="1"/>
  <c r="L1093" i="1" s="1"/>
  <c r="K1091" i="1"/>
  <c r="K1092" i="1" s="1"/>
  <c r="J1091" i="1"/>
  <c r="C1091" i="1"/>
  <c r="C1092" i="1" s="1"/>
  <c r="C1093" i="1" s="1"/>
  <c r="B1090" i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AG1089" i="1"/>
  <c r="AE1089" i="1"/>
  <c r="P1089" i="1"/>
  <c r="O1089" i="1"/>
  <c r="N1089" i="1"/>
  <c r="M1089" i="1"/>
  <c r="L1089" i="1"/>
  <c r="K1089" i="1"/>
  <c r="J1089" i="1"/>
  <c r="C1089" i="1"/>
  <c r="AD1088" i="1"/>
  <c r="AD1089" i="1" s="1"/>
  <c r="AB1088" i="1"/>
  <c r="AB1089" i="1" s="1"/>
  <c r="B1088" i="1"/>
  <c r="B1089" i="1" s="1"/>
  <c r="AU1087" i="1"/>
  <c r="AU1088" i="1" s="1"/>
  <c r="AU1089" i="1" s="1"/>
  <c r="AU1090" i="1" s="1"/>
  <c r="AE1087" i="1"/>
  <c r="AE1088" i="1" s="1"/>
  <c r="AC1087" i="1"/>
  <c r="AC1088" i="1" s="1"/>
  <c r="AC1089" i="1" s="1"/>
  <c r="AA1087" i="1"/>
  <c r="AA1088" i="1" s="1"/>
  <c r="AA1089" i="1" s="1"/>
  <c r="P1087" i="1"/>
  <c r="O1087" i="1"/>
  <c r="N1087" i="1"/>
  <c r="M1087" i="1"/>
  <c r="L1087" i="1"/>
  <c r="K1087" i="1"/>
  <c r="J1087" i="1"/>
  <c r="C1087" i="1"/>
  <c r="AK1086" i="1"/>
  <c r="AK1087" i="1" s="1"/>
  <c r="AK1088" i="1" s="1"/>
  <c r="AK1089" i="1" s="1"/>
  <c r="AK1090" i="1" s="1"/>
  <c r="AG1086" i="1"/>
  <c r="AG1087" i="1" s="1"/>
  <c r="AG1088" i="1" s="1"/>
  <c r="AF1086" i="1"/>
  <c r="AF1087" i="1" s="1"/>
  <c r="AF1088" i="1" s="1"/>
  <c r="AF1089" i="1" s="1"/>
  <c r="AE1086" i="1"/>
  <c r="AD1086" i="1"/>
  <c r="AD1087" i="1" s="1"/>
  <c r="AC1086" i="1"/>
  <c r="AB1086" i="1"/>
  <c r="AB1087" i="1" s="1"/>
  <c r="AA1086" i="1"/>
  <c r="T1086" i="1"/>
  <c r="T1087" i="1" s="1"/>
  <c r="T1088" i="1" s="1"/>
  <c r="T1089" i="1" s="1"/>
  <c r="AU1085" i="1"/>
  <c r="AU1086" i="1" s="1"/>
  <c r="AK1085" i="1"/>
  <c r="O1085" i="1"/>
  <c r="B1085" i="1"/>
  <c r="B1086" i="1" s="1"/>
  <c r="B1087" i="1" s="1"/>
  <c r="AJ1084" i="1"/>
  <c r="AJ1085" i="1" s="1"/>
  <c r="AJ1086" i="1" s="1"/>
  <c r="AJ1087" i="1" s="1"/>
  <c r="AJ1088" i="1" s="1"/>
  <c r="AJ1089" i="1" s="1"/>
  <c r="AJ1090" i="1" s="1"/>
  <c r="AJ1091" i="1" s="1"/>
  <c r="AJ1092" i="1" s="1"/>
  <c r="AJ1093" i="1" s="1"/>
  <c r="AJ1094" i="1" s="1"/>
  <c r="AJ1095" i="1" s="1"/>
  <c r="AJ1096" i="1" s="1"/>
  <c r="AJ1097" i="1" s="1"/>
  <c r="AJ1098" i="1" s="1"/>
  <c r="AJ1099" i="1" s="1"/>
  <c r="AJ1100" i="1" s="1"/>
  <c r="AJ1101" i="1" s="1"/>
  <c r="AJ1102" i="1" s="1"/>
  <c r="AJ1103" i="1" s="1"/>
  <c r="AJ1104" i="1" s="1"/>
  <c r="AJ1105" i="1" s="1"/>
  <c r="AJ1106" i="1" s="1"/>
  <c r="AJ1107" i="1" s="1"/>
  <c r="AJ1108" i="1" s="1"/>
  <c r="AJ1109" i="1" s="1"/>
  <c r="AJ1110" i="1" s="1"/>
  <c r="AJ1111" i="1" s="1"/>
  <c r="AJ1112" i="1" s="1"/>
  <c r="AJ1113" i="1" s="1"/>
  <c r="AJ1114" i="1" s="1"/>
  <c r="AJ1115" i="1" s="1"/>
  <c r="AJ1116" i="1" s="1"/>
  <c r="AJ1117" i="1" s="1"/>
  <c r="AJ1118" i="1" s="1"/>
  <c r="AJ1119" i="1" s="1"/>
  <c r="AJ1120" i="1" s="1"/>
  <c r="AJ1121" i="1" s="1"/>
  <c r="AJ1122" i="1" s="1"/>
  <c r="AJ1123" i="1" s="1"/>
  <c r="AJ1124" i="1" s="1"/>
  <c r="AJ1125" i="1" s="1"/>
  <c r="AJ1126" i="1" s="1"/>
  <c r="AJ1127" i="1" s="1"/>
  <c r="AJ1128" i="1" s="1"/>
  <c r="AJ1129" i="1" s="1"/>
  <c r="AF1084" i="1"/>
  <c r="AD1084" i="1"/>
  <c r="AC1084" i="1"/>
  <c r="AB1084" i="1"/>
  <c r="T1084" i="1"/>
  <c r="P1084" i="1"/>
  <c r="P1085" i="1" s="1"/>
  <c r="O1084" i="1"/>
  <c r="AU1083" i="1"/>
  <c r="AU1084" i="1" s="1"/>
  <c r="AS1083" i="1"/>
  <c r="AS1084" i="1" s="1"/>
  <c r="AS1085" i="1" s="1"/>
  <c r="AS1086" i="1" s="1"/>
  <c r="AS1087" i="1" s="1"/>
  <c r="AS1088" i="1" s="1"/>
  <c r="AS1089" i="1" s="1"/>
  <c r="AS1090" i="1" s="1"/>
  <c r="AG1083" i="1"/>
  <c r="AG1084" i="1" s="1"/>
  <c r="AF1083" i="1"/>
  <c r="AE1083" i="1"/>
  <c r="AE1084" i="1" s="1"/>
  <c r="AD1083" i="1"/>
  <c r="AC1083" i="1"/>
  <c r="AB1083" i="1"/>
  <c r="AA1083" i="1"/>
  <c r="AA1084" i="1" s="1"/>
  <c r="T1083" i="1"/>
  <c r="AX1082" i="1"/>
  <c r="AX1083" i="1" s="1"/>
  <c r="AX1084" i="1" s="1"/>
  <c r="AX1085" i="1" s="1"/>
  <c r="AX1086" i="1" s="1"/>
  <c r="AX1087" i="1" s="1"/>
  <c r="AX1088" i="1" s="1"/>
  <c r="AX1089" i="1" s="1"/>
  <c r="AX1090" i="1" s="1"/>
  <c r="AW1082" i="1"/>
  <c r="AW1083" i="1" s="1"/>
  <c r="AW1084" i="1" s="1"/>
  <c r="AW1085" i="1" s="1"/>
  <c r="AW1086" i="1" s="1"/>
  <c r="AW1087" i="1" s="1"/>
  <c r="AW1088" i="1" s="1"/>
  <c r="AW1089" i="1" s="1"/>
  <c r="AW1090" i="1" s="1"/>
  <c r="AV1082" i="1"/>
  <c r="AV1083" i="1" s="1"/>
  <c r="AV1084" i="1" s="1"/>
  <c r="AV1085" i="1" s="1"/>
  <c r="AV1086" i="1" s="1"/>
  <c r="AV1087" i="1" s="1"/>
  <c r="AV1088" i="1" s="1"/>
  <c r="AV1089" i="1" s="1"/>
  <c r="AV1090" i="1" s="1"/>
  <c r="AU1082" i="1"/>
  <c r="AT1082" i="1"/>
  <c r="AT1083" i="1" s="1"/>
  <c r="AT1084" i="1" s="1"/>
  <c r="AT1085" i="1" s="1"/>
  <c r="AT1086" i="1" s="1"/>
  <c r="AT1087" i="1" s="1"/>
  <c r="AT1088" i="1" s="1"/>
  <c r="AT1089" i="1" s="1"/>
  <c r="AT1090" i="1" s="1"/>
  <c r="AS1082" i="1"/>
  <c r="AR1082" i="1"/>
  <c r="AR1083" i="1" s="1"/>
  <c r="AR1084" i="1" s="1"/>
  <c r="AR1085" i="1" s="1"/>
  <c r="AR1086" i="1" s="1"/>
  <c r="AR1087" i="1" s="1"/>
  <c r="AR1088" i="1" s="1"/>
  <c r="AR1089" i="1" s="1"/>
  <c r="AR1090" i="1" s="1"/>
  <c r="AK1082" i="1"/>
  <c r="AK1083" i="1" s="1"/>
  <c r="AK1084" i="1" s="1"/>
  <c r="AG1081" i="1"/>
  <c r="AF1081" i="1"/>
  <c r="AE1081" i="1"/>
  <c r="AC1081" i="1"/>
  <c r="AX1080" i="1"/>
  <c r="AW1080" i="1"/>
  <c r="AV1080" i="1"/>
  <c r="AU1080" i="1"/>
  <c r="AT1080" i="1"/>
  <c r="AS1080" i="1"/>
  <c r="AR1080" i="1"/>
  <c r="AK1080" i="1"/>
  <c r="AG1080" i="1"/>
  <c r="AF1080" i="1"/>
  <c r="AE1080" i="1"/>
  <c r="AD1080" i="1"/>
  <c r="AD1081" i="1" s="1"/>
  <c r="AC1080" i="1"/>
  <c r="AB1080" i="1"/>
  <c r="AB1081" i="1" s="1"/>
  <c r="AA1080" i="1"/>
  <c r="AA1081" i="1" s="1"/>
  <c r="T1080" i="1"/>
  <c r="T1081" i="1" s="1"/>
  <c r="S1080" i="1"/>
  <c r="S1081" i="1" s="1"/>
  <c r="S1082" i="1" s="1"/>
  <c r="S1083" i="1" s="1"/>
  <c r="S1084" i="1" s="1"/>
  <c r="S1085" i="1" s="1"/>
  <c r="S1086" i="1" s="1"/>
  <c r="S1087" i="1" s="1"/>
  <c r="S1088" i="1" s="1"/>
  <c r="S1089" i="1" s="1"/>
  <c r="S1090" i="1" s="1"/>
  <c r="S1091" i="1" s="1"/>
  <c r="S1092" i="1" s="1"/>
  <c r="S1093" i="1" s="1"/>
  <c r="S1094" i="1" s="1"/>
  <c r="S1095" i="1" s="1"/>
  <c r="S1096" i="1" s="1"/>
  <c r="S1097" i="1" s="1"/>
  <c r="S1098" i="1" s="1"/>
  <c r="S1099" i="1" s="1"/>
  <c r="S1100" i="1" s="1"/>
  <c r="S1101" i="1" s="1"/>
  <c r="S1102" i="1" s="1"/>
  <c r="S1103" i="1" s="1"/>
  <c r="S1104" i="1" s="1"/>
  <c r="S1105" i="1" s="1"/>
  <c r="S1106" i="1" s="1"/>
  <c r="S1107" i="1" s="1"/>
  <c r="S1108" i="1" s="1"/>
  <c r="S1109" i="1" s="1"/>
  <c r="S1110" i="1" s="1"/>
  <c r="S1111" i="1" s="1"/>
  <c r="S1112" i="1" s="1"/>
  <c r="S1113" i="1" s="1"/>
  <c r="S1114" i="1" s="1"/>
  <c r="S1115" i="1" s="1"/>
  <c r="S1116" i="1" s="1"/>
  <c r="S1117" i="1" s="1"/>
  <c r="S1118" i="1" s="1"/>
  <c r="S1119" i="1" s="1"/>
  <c r="S1120" i="1" s="1"/>
  <c r="S1121" i="1" s="1"/>
  <c r="S1122" i="1" s="1"/>
  <c r="S1123" i="1" s="1"/>
  <c r="S1124" i="1" s="1"/>
  <c r="S1125" i="1" s="1"/>
  <c r="S1126" i="1" s="1"/>
  <c r="S1127" i="1" s="1"/>
  <c r="S1128" i="1" s="1"/>
  <c r="S1129" i="1" s="1"/>
  <c r="S1130" i="1" s="1"/>
  <c r="S1131" i="1" s="1"/>
  <c r="S1132" i="1" s="1"/>
  <c r="S1133" i="1" s="1"/>
  <c r="S1134" i="1" s="1"/>
  <c r="S1135" i="1" s="1"/>
  <c r="S1136" i="1" s="1"/>
  <c r="S1137" i="1" s="1"/>
  <c r="S1138" i="1" s="1"/>
  <c r="S1139" i="1" s="1"/>
  <c r="S1140" i="1" s="1"/>
  <c r="S1141" i="1" s="1"/>
  <c r="S1142" i="1" s="1"/>
  <c r="S1143" i="1" s="1"/>
  <c r="S1144" i="1" s="1"/>
  <c r="AG1078" i="1"/>
  <c r="AF1078" i="1"/>
  <c r="AE1078" i="1"/>
  <c r="AD1078" i="1"/>
  <c r="AC1078" i="1"/>
  <c r="AB1078" i="1"/>
  <c r="AA1078" i="1"/>
  <c r="T1078" i="1"/>
  <c r="N1076" i="1"/>
  <c r="N1077" i="1" s="1"/>
  <c r="N1078" i="1" s="1"/>
  <c r="N1079" i="1" s="1"/>
  <c r="N1080" i="1" s="1"/>
  <c r="N1081" i="1" s="1"/>
  <c r="N1082" i="1" s="1"/>
  <c r="N1075" i="1"/>
  <c r="M1074" i="1"/>
  <c r="M1075" i="1" s="1"/>
  <c r="M1076" i="1" s="1"/>
  <c r="M1077" i="1" s="1"/>
  <c r="M1078" i="1" s="1"/>
  <c r="M1079" i="1" s="1"/>
  <c r="M1080" i="1" s="1"/>
  <c r="M1081" i="1" s="1"/>
  <c r="M1082" i="1" s="1"/>
  <c r="J1074" i="1"/>
  <c r="J1075" i="1" s="1"/>
  <c r="J1076" i="1" s="1"/>
  <c r="J1077" i="1" s="1"/>
  <c r="J1078" i="1" s="1"/>
  <c r="J1079" i="1" s="1"/>
  <c r="J1080" i="1" s="1"/>
  <c r="J1081" i="1" s="1"/>
  <c r="J1082" i="1" s="1"/>
  <c r="P1073" i="1"/>
  <c r="P1074" i="1" s="1"/>
  <c r="P1075" i="1" s="1"/>
  <c r="P1076" i="1" s="1"/>
  <c r="P1077" i="1" s="1"/>
  <c r="P1078" i="1" s="1"/>
  <c r="P1079" i="1" s="1"/>
  <c r="P1080" i="1" s="1"/>
  <c r="P1081" i="1" s="1"/>
  <c r="P1082" i="1" s="1"/>
  <c r="O1073" i="1"/>
  <c r="O1074" i="1" s="1"/>
  <c r="O1075" i="1" s="1"/>
  <c r="O1076" i="1" s="1"/>
  <c r="O1077" i="1" s="1"/>
  <c r="O1078" i="1" s="1"/>
  <c r="O1079" i="1" s="1"/>
  <c r="O1080" i="1" s="1"/>
  <c r="O1081" i="1" s="1"/>
  <c r="O1082" i="1" s="1"/>
  <c r="N1073" i="1"/>
  <c r="N1074" i="1" s="1"/>
  <c r="M1073" i="1"/>
  <c r="L1073" i="1"/>
  <c r="L1074" i="1" s="1"/>
  <c r="L1075" i="1" s="1"/>
  <c r="L1076" i="1" s="1"/>
  <c r="L1077" i="1" s="1"/>
  <c r="L1078" i="1" s="1"/>
  <c r="L1079" i="1" s="1"/>
  <c r="L1080" i="1" s="1"/>
  <c r="L1081" i="1" s="1"/>
  <c r="L1082" i="1" s="1"/>
  <c r="K1073" i="1"/>
  <c r="K1074" i="1" s="1"/>
  <c r="K1075" i="1" s="1"/>
  <c r="K1076" i="1" s="1"/>
  <c r="K1077" i="1" s="1"/>
  <c r="K1078" i="1" s="1"/>
  <c r="K1079" i="1" s="1"/>
  <c r="K1080" i="1" s="1"/>
  <c r="K1081" i="1" s="1"/>
  <c r="K1082" i="1" s="1"/>
  <c r="J1073" i="1"/>
  <c r="C1073" i="1"/>
  <c r="C1074" i="1" s="1"/>
  <c r="C1075" i="1" s="1"/>
  <c r="C1076" i="1" s="1"/>
  <c r="C1077" i="1" s="1"/>
  <c r="C1078" i="1" s="1"/>
  <c r="C1079" i="1" s="1"/>
  <c r="C1080" i="1" s="1"/>
  <c r="C1081" i="1" s="1"/>
  <c r="C1082" i="1" s="1"/>
  <c r="AS1071" i="1"/>
  <c r="AS1072" i="1" s="1"/>
  <c r="AS1073" i="1" s="1"/>
  <c r="AS1074" i="1" s="1"/>
  <c r="AS1075" i="1" s="1"/>
  <c r="AS1076" i="1" s="1"/>
  <c r="AS1077" i="1" s="1"/>
  <c r="AS1078" i="1" s="1"/>
  <c r="S1071" i="1"/>
  <c r="S1072" i="1" s="1"/>
  <c r="S1073" i="1" s="1"/>
  <c r="S1074" i="1" s="1"/>
  <c r="S1075" i="1" s="1"/>
  <c r="S1076" i="1" s="1"/>
  <c r="S1077" i="1" s="1"/>
  <c r="S1078" i="1" s="1"/>
  <c r="P1071" i="1"/>
  <c r="O1071" i="1"/>
  <c r="N1071" i="1"/>
  <c r="M1071" i="1"/>
  <c r="L1071" i="1"/>
  <c r="K1071" i="1"/>
  <c r="J1071" i="1"/>
  <c r="C1071" i="1"/>
  <c r="AB1070" i="1"/>
  <c r="AB1071" i="1" s="1"/>
  <c r="AB1072" i="1" s="1"/>
  <c r="AB1073" i="1" s="1"/>
  <c r="AB1074" i="1" s="1"/>
  <c r="AB1075" i="1" s="1"/>
  <c r="AB1076" i="1" s="1"/>
  <c r="AK1069" i="1"/>
  <c r="AK1070" i="1" s="1"/>
  <c r="AK1071" i="1" s="1"/>
  <c r="AK1072" i="1" s="1"/>
  <c r="AK1073" i="1" s="1"/>
  <c r="AK1074" i="1" s="1"/>
  <c r="AK1075" i="1" s="1"/>
  <c r="AK1076" i="1" s="1"/>
  <c r="AK1077" i="1" s="1"/>
  <c r="AK1078" i="1" s="1"/>
  <c r="AT1068" i="1"/>
  <c r="AT1069" i="1" s="1"/>
  <c r="AT1070" i="1" s="1"/>
  <c r="AT1071" i="1" s="1"/>
  <c r="AT1072" i="1" s="1"/>
  <c r="AT1073" i="1" s="1"/>
  <c r="AT1074" i="1" s="1"/>
  <c r="AT1075" i="1" s="1"/>
  <c r="AT1076" i="1" s="1"/>
  <c r="AT1077" i="1" s="1"/>
  <c r="AT1078" i="1" s="1"/>
  <c r="AW1067" i="1"/>
  <c r="AW1068" i="1" s="1"/>
  <c r="AW1069" i="1" s="1"/>
  <c r="AW1070" i="1" s="1"/>
  <c r="AW1071" i="1" s="1"/>
  <c r="AW1072" i="1" s="1"/>
  <c r="AW1073" i="1" s="1"/>
  <c r="AW1074" i="1" s="1"/>
  <c r="AW1075" i="1" s="1"/>
  <c r="AW1076" i="1" s="1"/>
  <c r="AW1077" i="1" s="1"/>
  <c r="AW1078" i="1" s="1"/>
  <c r="AC1067" i="1"/>
  <c r="AC1068" i="1" s="1"/>
  <c r="AC1069" i="1" s="1"/>
  <c r="AC1070" i="1" s="1"/>
  <c r="AC1071" i="1" s="1"/>
  <c r="AC1072" i="1" s="1"/>
  <c r="AC1073" i="1" s="1"/>
  <c r="AC1074" i="1" s="1"/>
  <c r="AC1075" i="1" s="1"/>
  <c r="AC1076" i="1" s="1"/>
  <c r="AK1065" i="1"/>
  <c r="AK1066" i="1" s="1"/>
  <c r="AK1067" i="1" s="1"/>
  <c r="AK1068" i="1" s="1"/>
  <c r="AT1064" i="1"/>
  <c r="AT1065" i="1" s="1"/>
  <c r="AT1066" i="1" s="1"/>
  <c r="AT1067" i="1" s="1"/>
  <c r="AK1064" i="1"/>
  <c r="AX1063" i="1"/>
  <c r="AX1064" i="1" s="1"/>
  <c r="AX1065" i="1" s="1"/>
  <c r="AX1066" i="1" s="1"/>
  <c r="AX1067" i="1" s="1"/>
  <c r="AX1068" i="1" s="1"/>
  <c r="AX1069" i="1" s="1"/>
  <c r="AX1070" i="1" s="1"/>
  <c r="AX1071" i="1" s="1"/>
  <c r="AX1072" i="1" s="1"/>
  <c r="AX1073" i="1" s="1"/>
  <c r="AX1074" i="1" s="1"/>
  <c r="AX1075" i="1" s="1"/>
  <c r="AX1076" i="1" s="1"/>
  <c r="AX1077" i="1" s="1"/>
  <c r="AX1078" i="1" s="1"/>
  <c r="AW1063" i="1"/>
  <c r="AW1064" i="1" s="1"/>
  <c r="AW1065" i="1" s="1"/>
  <c r="AW1066" i="1" s="1"/>
  <c r="AV1063" i="1"/>
  <c r="AV1064" i="1" s="1"/>
  <c r="AV1065" i="1" s="1"/>
  <c r="AV1066" i="1" s="1"/>
  <c r="AV1067" i="1" s="1"/>
  <c r="AV1068" i="1" s="1"/>
  <c r="AV1069" i="1" s="1"/>
  <c r="AV1070" i="1" s="1"/>
  <c r="AV1071" i="1" s="1"/>
  <c r="AV1072" i="1" s="1"/>
  <c r="AV1073" i="1" s="1"/>
  <c r="AV1074" i="1" s="1"/>
  <c r="AV1075" i="1" s="1"/>
  <c r="AV1076" i="1" s="1"/>
  <c r="AV1077" i="1" s="1"/>
  <c r="AV1078" i="1" s="1"/>
  <c r="AU1063" i="1"/>
  <c r="AU1064" i="1" s="1"/>
  <c r="AU1065" i="1" s="1"/>
  <c r="AU1066" i="1" s="1"/>
  <c r="AU1067" i="1" s="1"/>
  <c r="AU1068" i="1" s="1"/>
  <c r="AU1069" i="1" s="1"/>
  <c r="AU1070" i="1" s="1"/>
  <c r="AU1071" i="1" s="1"/>
  <c r="AU1072" i="1" s="1"/>
  <c r="AU1073" i="1" s="1"/>
  <c r="AU1074" i="1" s="1"/>
  <c r="AU1075" i="1" s="1"/>
  <c r="AU1076" i="1" s="1"/>
  <c r="AU1077" i="1" s="1"/>
  <c r="AU1078" i="1" s="1"/>
  <c r="AT1063" i="1"/>
  <c r="AS1063" i="1"/>
  <c r="AS1064" i="1" s="1"/>
  <c r="AS1065" i="1" s="1"/>
  <c r="AS1066" i="1" s="1"/>
  <c r="AS1067" i="1" s="1"/>
  <c r="AS1068" i="1" s="1"/>
  <c r="AS1069" i="1" s="1"/>
  <c r="AS1070" i="1" s="1"/>
  <c r="AR1063" i="1"/>
  <c r="AR1064" i="1" s="1"/>
  <c r="AR1065" i="1" s="1"/>
  <c r="AR1066" i="1" s="1"/>
  <c r="AR1067" i="1" s="1"/>
  <c r="AR1068" i="1" s="1"/>
  <c r="AR1069" i="1" s="1"/>
  <c r="AR1070" i="1" s="1"/>
  <c r="AR1071" i="1" s="1"/>
  <c r="AR1072" i="1" s="1"/>
  <c r="AR1073" i="1" s="1"/>
  <c r="AR1074" i="1" s="1"/>
  <c r="AR1075" i="1" s="1"/>
  <c r="AR1076" i="1" s="1"/>
  <c r="AR1077" i="1" s="1"/>
  <c r="AR1078" i="1" s="1"/>
  <c r="AK1063" i="1"/>
  <c r="AC1063" i="1"/>
  <c r="AC1064" i="1" s="1"/>
  <c r="AC1065" i="1" s="1"/>
  <c r="AC1066" i="1" s="1"/>
  <c r="P1062" i="1"/>
  <c r="P1063" i="1" s="1"/>
  <c r="P1064" i="1" s="1"/>
  <c r="P1065" i="1" s="1"/>
  <c r="P1066" i="1" s="1"/>
  <c r="P1067" i="1" s="1"/>
  <c r="P1068" i="1" s="1"/>
  <c r="P1069" i="1" s="1"/>
  <c r="M1062" i="1"/>
  <c r="M1063" i="1" s="1"/>
  <c r="M1064" i="1" s="1"/>
  <c r="M1065" i="1" s="1"/>
  <c r="M1066" i="1" s="1"/>
  <c r="M1067" i="1" s="1"/>
  <c r="M1068" i="1" s="1"/>
  <c r="M1069" i="1" s="1"/>
  <c r="AU1061" i="1"/>
  <c r="P1061" i="1"/>
  <c r="O1061" i="1"/>
  <c r="O1062" i="1" s="1"/>
  <c r="O1063" i="1" s="1"/>
  <c r="O1064" i="1" s="1"/>
  <c r="O1065" i="1" s="1"/>
  <c r="O1066" i="1" s="1"/>
  <c r="O1067" i="1" s="1"/>
  <c r="O1068" i="1" s="1"/>
  <c r="O1069" i="1" s="1"/>
  <c r="N1061" i="1"/>
  <c r="N1062" i="1" s="1"/>
  <c r="N1063" i="1" s="1"/>
  <c r="N1064" i="1" s="1"/>
  <c r="N1065" i="1" s="1"/>
  <c r="N1066" i="1" s="1"/>
  <c r="N1067" i="1" s="1"/>
  <c r="N1068" i="1" s="1"/>
  <c r="N1069" i="1" s="1"/>
  <c r="M1061" i="1"/>
  <c r="AD1060" i="1"/>
  <c r="AD1061" i="1" s="1"/>
  <c r="AD1062" i="1" s="1"/>
  <c r="AD1063" i="1" s="1"/>
  <c r="AD1064" i="1" s="1"/>
  <c r="AD1065" i="1" s="1"/>
  <c r="AD1066" i="1" s="1"/>
  <c r="AD1067" i="1" s="1"/>
  <c r="AD1068" i="1" s="1"/>
  <c r="AD1069" i="1" s="1"/>
  <c r="AD1070" i="1" s="1"/>
  <c r="AD1071" i="1" s="1"/>
  <c r="AD1072" i="1" s="1"/>
  <c r="AD1073" i="1" s="1"/>
  <c r="AD1074" i="1" s="1"/>
  <c r="AD1075" i="1" s="1"/>
  <c r="AD1076" i="1" s="1"/>
  <c r="P1060" i="1"/>
  <c r="O1060" i="1"/>
  <c r="N1060" i="1"/>
  <c r="M1060" i="1"/>
  <c r="L1060" i="1"/>
  <c r="L1061" i="1" s="1"/>
  <c r="L1062" i="1" s="1"/>
  <c r="L1063" i="1" s="1"/>
  <c r="L1064" i="1" s="1"/>
  <c r="L1065" i="1" s="1"/>
  <c r="L1066" i="1" s="1"/>
  <c r="L1067" i="1" s="1"/>
  <c r="L1068" i="1" s="1"/>
  <c r="L1069" i="1" s="1"/>
  <c r="K1060" i="1"/>
  <c r="K1061" i="1" s="1"/>
  <c r="K1062" i="1" s="1"/>
  <c r="K1063" i="1" s="1"/>
  <c r="K1064" i="1" s="1"/>
  <c r="K1065" i="1" s="1"/>
  <c r="K1066" i="1" s="1"/>
  <c r="K1067" i="1" s="1"/>
  <c r="K1068" i="1" s="1"/>
  <c r="K1069" i="1" s="1"/>
  <c r="J1060" i="1"/>
  <c r="J1061" i="1" s="1"/>
  <c r="J1062" i="1" s="1"/>
  <c r="J1063" i="1" s="1"/>
  <c r="J1064" i="1" s="1"/>
  <c r="J1065" i="1" s="1"/>
  <c r="J1066" i="1" s="1"/>
  <c r="J1067" i="1" s="1"/>
  <c r="J1068" i="1" s="1"/>
  <c r="J1069" i="1" s="1"/>
  <c r="C1060" i="1"/>
  <c r="C1061" i="1" s="1"/>
  <c r="C1062" i="1" s="1"/>
  <c r="C1063" i="1" s="1"/>
  <c r="C1064" i="1" s="1"/>
  <c r="C1065" i="1" s="1"/>
  <c r="C1066" i="1" s="1"/>
  <c r="C1067" i="1" s="1"/>
  <c r="C1068" i="1" s="1"/>
  <c r="C1069" i="1" s="1"/>
  <c r="AB1058" i="1"/>
  <c r="AB1059" i="1" s="1"/>
  <c r="AB1060" i="1" s="1"/>
  <c r="AB1061" i="1" s="1"/>
  <c r="AB1062" i="1" s="1"/>
  <c r="AB1063" i="1" s="1"/>
  <c r="AB1064" i="1" s="1"/>
  <c r="AB1065" i="1" s="1"/>
  <c r="AB1066" i="1" s="1"/>
  <c r="AB1067" i="1" s="1"/>
  <c r="AB1068" i="1" s="1"/>
  <c r="AB1069" i="1" s="1"/>
  <c r="AE1057" i="1"/>
  <c r="AE1058" i="1" s="1"/>
  <c r="AE1059" i="1" s="1"/>
  <c r="AE1060" i="1" s="1"/>
  <c r="AE1061" i="1" s="1"/>
  <c r="AE1062" i="1" s="1"/>
  <c r="AE1063" i="1" s="1"/>
  <c r="AE1064" i="1" s="1"/>
  <c r="AE1065" i="1" s="1"/>
  <c r="AE1066" i="1" s="1"/>
  <c r="AE1067" i="1" s="1"/>
  <c r="AE1068" i="1" s="1"/>
  <c r="AE1069" i="1" s="1"/>
  <c r="AE1070" i="1" s="1"/>
  <c r="AE1071" i="1" s="1"/>
  <c r="AE1072" i="1" s="1"/>
  <c r="AE1073" i="1" s="1"/>
  <c r="AE1074" i="1" s="1"/>
  <c r="AE1075" i="1" s="1"/>
  <c r="AE1076" i="1" s="1"/>
  <c r="AB1057" i="1"/>
  <c r="AA1057" i="1"/>
  <c r="AA1058" i="1" s="1"/>
  <c r="AA1059" i="1" s="1"/>
  <c r="AA1060" i="1" s="1"/>
  <c r="AA1061" i="1" s="1"/>
  <c r="AA1062" i="1" s="1"/>
  <c r="AA1063" i="1" s="1"/>
  <c r="AA1064" i="1" s="1"/>
  <c r="AA1065" i="1" s="1"/>
  <c r="AA1066" i="1" s="1"/>
  <c r="AA1067" i="1" s="1"/>
  <c r="AA1068" i="1" s="1"/>
  <c r="AA1069" i="1" s="1"/>
  <c r="AA1070" i="1" s="1"/>
  <c r="AA1071" i="1" s="1"/>
  <c r="AA1072" i="1" s="1"/>
  <c r="AA1073" i="1" s="1"/>
  <c r="AA1074" i="1" s="1"/>
  <c r="AA1075" i="1" s="1"/>
  <c r="AA1076" i="1" s="1"/>
  <c r="T1057" i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K1057" i="1"/>
  <c r="K1058" i="1" s="1"/>
  <c r="AG1056" i="1"/>
  <c r="AG1057" i="1" s="1"/>
  <c r="AG1058" i="1" s="1"/>
  <c r="AG1059" i="1" s="1"/>
  <c r="AG1060" i="1" s="1"/>
  <c r="AG1061" i="1" s="1"/>
  <c r="AG1062" i="1" s="1"/>
  <c r="AG1063" i="1" s="1"/>
  <c r="AG1064" i="1" s="1"/>
  <c r="AG1065" i="1" s="1"/>
  <c r="AG1066" i="1" s="1"/>
  <c r="AG1067" i="1" s="1"/>
  <c r="AG1068" i="1" s="1"/>
  <c r="AG1069" i="1" s="1"/>
  <c r="AG1070" i="1" s="1"/>
  <c r="AG1071" i="1" s="1"/>
  <c r="AG1072" i="1" s="1"/>
  <c r="AG1073" i="1" s="1"/>
  <c r="AG1074" i="1" s="1"/>
  <c r="AG1075" i="1" s="1"/>
  <c r="AG1076" i="1" s="1"/>
  <c r="AF1056" i="1"/>
  <c r="AF1057" i="1" s="1"/>
  <c r="AF1058" i="1" s="1"/>
  <c r="AF1059" i="1" s="1"/>
  <c r="AF1060" i="1" s="1"/>
  <c r="AF1061" i="1" s="1"/>
  <c r="AF1062" i="1" s="1"/>
  <c r="AF1063" i="1" s="1"/>
  <c r="AF1064" i="1" s="1"/>
  <c r="AF1065" i="1" s="1"/>
  <c r="AF1066" i="1" s="1"/>
  <c r="AF1067" i="1" s="1"/>
  <c r="AF1068" i="1" s="1"/>
  <c r="AF1069" i="1" s="1"/>
  <c r="AF1070" i="1" s="1"/>
  <c r="AF1071" i="1" s="1"/>
  <c r="AF1072" i="1" s="1"/>
  <c r="AF1073" i="1" s="1"/>
  <c r="AF1074" i="1" s="1"/>
  <c r="AF1075" i="1" s="1"/>
  <c r="AF1076" i="1" s="1"/>
  <c r="AE1056" i="1"/>
  <c r="AD1056" i="1"/>
  <c r="AD1057" i="1" s="1"/>
  <c r="AD1058" i="1" s="1"/>
  <c r="AD1059" i="1" s="1"/>
  <c r="AC1056" i="1"/>
  <c r="AC1057" i="1" s="1"/>
  <c r="AC1058" i="1" s="1"/>
  <c r="AC1059" i="1" s="1"/>
  <c r="AC1060" i="1" s="1"/>
  <c r="AC1061" i="1" s="1"/>
  <c r="AC1062" i="1" s="1"/>
  <c r="AB1056" i="1"/>
  <c r="AA1056" i="1"/>
  <c r="T1056" i="1"/>
  <c r="N1056" i="1"/>
  <c r="N1057" i="1" s="1"/>
  <c r="N1058" i="1" s="1"/>
  <c r="C1056" i="1"/>
  <c r="C1057" i="1" s="1"/>
  <c r="C1058" i="1" s="1"/>
  <c r="C1055" i="1"/>
  <c r="AU1054" i="1"/>
  <c r="AU1055" i="1" s="1"/>
  <c r="AU1056" i="1" s="1"/>
  <c r="AU1057" i="1" s="1"/>
  <c r="AU1058" i="1" s="1"/>
  <c r="AU1059" i="1" s="1"/>
  <c r="AU1060" i="1" s="1"/>
  <c r="AF1054" i="1"/>
  <c r="AC1054" i="1"/>
  <c r="L1054" i="1"/>
  <c r="L1055" i="1" s="1"/>
  <c r="L1056" i="1" s="1"/>
  <c r="L1057" i="1" s="1"/>
  <c r="L1058" i="1" s="1"/>
  <c r="C1054" i="1"/>
  <c r="AF1053" i="1"/>
  <c r="AE1053" i="1"/>
  <c r="AE1054" i="1" s="1"/>
  <c r="AD1053" i="1"/>
  <c r="AD1054" i="1" s="1"/>
  <c r="AC1053" i="1"/>
  <c r="P1053" i="1"/>
  <c r="P1054" i="1" s="1"/>
  <c r="P1055" i="1" s="1"/>
  <c r="P1056" i="1" s="1"/>
  <c r="P1057" i="1" s="1"/>
  <c r="P1058" i="1" s="1"/>
  <c r="O1053" i="1"/>
  <c r="O1054" i="1" s="1"/>
  <c r="O1055" i="1" s="1"/>
  <c r="O1056" i="1" s="1"/>
  <c r="O1057" i="1" s="1"/>
  <c r="O1058" i="1" s="1"/>
  <c r="N1053" i="1"/>
  <c r="N1054" i="1" s="1"/>
  <c r="N1055" i="1" s="1"/>
  <c r="M1053" i="1"/>
  <c r="M1054" i="1" s="1"/>
  <c r="M1055" i="1" s="1"/>
  <c r="M1056" i="1" s="1"/>
  <c r="M1057" i="1" s="1"/>
  <c r="M1058" i="1" s="1"/>
  <c r="L1053" i="1"/>
  <c r="K1053" i="1"/>
  <c r="K1054" i="1" s="1"/>
  <c r="K1055" i="1" s="1"/>
  <c r="K1056" i="1" s="1"/>
  <c r="J1053" i="1"/>
  <c r="J1054" i="1" s="1"/>
  <c r="J1055" i="1" s="1"/>
  <c r="J1056" i="1" s="1"/>
  <c r="J1057" i="1" s="1"/>
  <c r="J1058" i="1" s="1"/>
  <c r="C1053" i="1"/>
  <c r="AG1052" i="1"/>
  <c r="AG1053" i="1" s="1"/>
  <c r="AG1054" i="1" s="1"/>
  <c r="AF1052" i="1"/>
  <c r="AE1052" i="1"/>
  <c r="AD1052" i="1"/>
  <c r="AC1052" i="1"/>
  <c r="AB1052" i="1"/>
  <c r="AB1053" i="1" s="1"/>
  <c r="AB1054" i="1" s="1"/>
  <c r="AA1052" i="1"/>
  <c r="AA1053" i="1" s="1"/>
  <c r="AA1054" i="1" s="1"/>
  <c r="T1052" i="1"/>
  <c r="T1053" i="1" s="1"/>
  <c r="T1054" i="1" s="1"/>
  <c r="S1052" i="1"/>
  <c r="S1053" i="1" s="1"/>
  <c r="S1054" i="1" s="1"/>
  <c r="S1055" i="1" s="1"/>
  <c r="S1056" i="1" s="1"/>
  <c r="S1057" i="1" s="1"/>
  <c r="S1058" i="1" s="1"/>
  <c r="S1059" i="1" s="1"/>
  <c r="S1060" i="1" s="1"/>
  <c r="S1061" i="1" s="1"/>
  <c r="S1062" i="1" s="1"/>
  <c r="S1063" i="1" s="1"/>
  <c r="S1064" i="1" s="1"/>
  <c r="S1065" i="1" s="1"/>
  <c r="S1066" i="1" s="1"/>
  <c r="S1067" i="1" s="1"/>
  <c r="S1068" i="1" s="1"/>
  <c r="S1069" i="1" s="1"/>
  <c r="S1070" i="1" s="1"/>
  <c r="P1051" i="1"/>
  <c r="O1051" i="1"/>
  <c r="N1051" i="1"/>
  <c r="M1051" i="1"/>
  <c r="L1051" i="1"/>
  <c r="K1051" i="1"/>
  <c r="J1051" i="1"/>
  <c r="C1051" i="1"/>
  <c r="AU1050" i="1"/>
  <c r="AU1051" i="1" s="1"/>
  <c r="AU1052" i="1" s="1"/>
  <c r="AU1053" i="1" s="1"/>
  <c r="AJ1049" i="1"/>
  <c r="AJ1050" i="1" s="1"/>
  <c r="AJ1051" i="1" s="1"/>
  <c r="AJ1052" i="1" s="1"/>
  <c r="AJ1053" i="1" s="1"/>
  <c r="AJ1054" i="1" s="1"/>
  <c r="AJ1055" i="1" s="1"/>
  <c r="AJ1056" i="1" s="1"/>
  <c r="AJ1057" i="1" s="1"/>
  <c r="AJ1058" i="1" s="1"/>
  <c r="AJ1059" i="1" s="1"/>
  <c r="AJ1060" i="1" s="1"/>
  <c r="AJ1061" i="1" s="1"/>
  <c r="AJ1062" i="1" s="1"/>
  <c r="AJ1063" i="1" s="1"/>
  <c r="AJ1064" i="1" s="1"/>
  <c r="AJ1065" i="1" s="1"/>
  <c r="AJ1066" i="1" s="1"/>
  <c r="AJ1067" i="1" s="1"/>
  <c r="AJ1068" i="1" s="1"/>
  <c r="AJ1069" i="1" s="1"/>
  <c r="AJ1070" i="1" s="1"/>
  <c r="AJ1071" i="1" s="1"/>
  <c r="AJ1072" i="1" s="1"/>
  <c r="AJ1073" i="1" s="1"/>
  <c r="AJ1074" i="1" s="1"/>
  <c r="AJ1075" i="1" s="1"/>
  <c r="AJ1076" i="1" s="1"/>
  <c r="AJ1077" i="1" s="1"/>
  <c r="AJ1078" i="1" s="1"/>
  <c r="AJ1079" i="1" s="1"/>
  <c r="AJ1080" i="1" s="1"/>
  <c r="AJ1081" i="1" s="1"/>
  <c r="AJ1082" i="1" s="1"/>
  <c r="N1049" i="1"/>
  <c r="N1048" i="1"/>
  <c r="L1048" i="1"/>
  <c r="L1049" i="1" s="1"/>
  <c r="AV1047" i="1"/>
  <c r="AV1048" i="1" s="1"/>
  <c r="AV1049" i="1" s="1"/>
  <c r="AV1050" i="1" s="1"/>
  <c r="AV1051" i="1" s="1"/>
  <c r="AV1052" i="1" s="1"/>
  <c r="AV1053" i="1" s="1"/>
  <c r="AV1054" i="1" s="1"/>
  <c r="AV1055" i="1" s="1"/>
  <c r="AV1056" i="1" s="1"/>
  <c r="AV1057" i="1" s="1"/>
  <c r="AV1058" i="1" s="1"/>
  <c r="AV1059" i="1" s="1"/>
  <c r="AV1060" i="1" s="1"/>
  <c r="AV1061" i="1" s="1"/>
  <c r="AS1047" i="1"/>
  <c r="AS1048" i="1" s="1"/>
  <c r="AS1049" i="1" s="1"/>
  <c r="AS1050" i="1" s="1"/>
  <c r="AS1051" i="1" s="1"/>
  <c r="AS1052" i="1" s="1"/>
  <c r="AS1053" i="1" s="1"/>
  <c r="AS1054" i="1" s="1"/>
  <c r="AS1055" i="1" s="1"/>
  <c r="AS1056" i="1" s="1"/>
  <c r="AS1057" i="1" s="1"/>
  <c r="AS1058" i="1" s="1"/>
  <c r="AS1059" i="1" s="1"/>
  <c r="AS1060" i="1" s="1"/>
  <c r="AS1061" i="1" s="1"/>
  <c r="AK1047" i="1"/>
  <c r="AK1048" i="1" s="1"/>
  <c r="AK1049" i="1" s="1"/>
  <c r="AK1050" i="1" s="1"/>
  <c r="AK1051" i="1" s="1"/>
  <c r="AK1052" i="1" s="1"/>
  <c r="AK1053" i="1" s="1"/>
  <c r="AK1054" i="1" s="1"/>
  <c r="AK1055" i="1" s="1"/>
  <c r="AK1056" i="1" s="1"/>
  <c r="AK1057" i="1" s="1"/>
  <c r="AK1058" i="1" s="1"/>
  <c r="AK1059" i="1" s="1"/>
  <c r="AK1060" i="1" s="1"/>
  <c r="AK1061" i="1" s="1"/>
  <c r="P1047" i="1"/>
  <c r="P1048" i="1" s="1"/>
  <c r="P1049" i="1" s="1"/>
  <c r="O1047" i="1"/>
  <c r="O1048" i="1" s="1"/>
  <c r="O1049" i="1" s="1"/>
  <c r="N1047" i="1"/>
  <c r="AV1046" i="1"/>
  <c r="P1046" i="1"/>
  <c r="O1046" i="1"/>
  <c r="N1046" i="1"/>
  <c r="M1046" i="1"/>
  <c r="M1047" i="1" s="1"/>
  <c r="M1048" i="1" s="1"/>
  <c r="M1049" i="1" s="1"/>
  <c r="L1046" i="1"/>
  <c r="L1047" i="1" s="1"/>
  <c r="K1046" i="1"/>
  <c r="K1047" i="1" s="1"/>
  <c r="K1048" i="1" s="1"/>
  <c r="K1049" i="1" s="1"/>
  <c r="J1046" i="1"/>
  <c r="J1047" i="1" s="1"/>
  <c r="J1048" i="1" s="1"/>
  <c r="J1049" i="1" s="1"/>
  <c r="C1046" i="1"/>
  <c r="C1047" i="1" s="1"/>
  <c r="C1048" i="1" s="1"/>
  <c r="C1049" i="1" s="1"/>
  <c r="AX1045" i="1"/>
  <c r="AX1046" i="1" s="1"/>
  <c r="AX1047" i="1" s="1"/>
  <c r="AX1048" i="1" s="1"/>
  <c r="AX1049" i="1" s="1"/>
  <c r="AX1050" i="1" s="1"/>
  <c r="AX1051" i="1" s="1"/>
  <c r="AX1052" i="1" s="1"/>
  <c r="AX1053" i="1" s="1"/>
  <c r="AX1054" i="1" s="1"/>
  <c r="AX1055" i="1" s="1"/>
  <c r="AX1056" i="1" s="1"/>
  <c r="AX1057" i="1" s="1"/>
  <c r="AX1058" i="1" s="1"/>
  <c r="AX1059" i="1" s="1"/>
  <c r="AX1060" i="1" s="1"/>
  <c r="AX1061" i="1" s="1"/>
  <c r="AW1045" i="1"/>
  <c r="AW1046" i="1" s="1"/>
  <c r="AW1047" i="1" s="1"/>
  <c r="AW1048" i="1" s="1"/>
  <c r="AW1049" i="1" s="1"/>
  <c r="AW1050" i="1" s="1"/>
  <c r="AW1051" i="1" s="1"/>
  <c r="AW1052" i="1" s="1"/>
  <c r="AW1053" i="1" s="1"/>
  <c r="AW1054" i="1" s="1"/>
  <c r="AW1055" i="1" s="1"/>
  <c r="AW1056" i="1" s="1"/>
  <c r="AW1057" i="1" s="1"/>
  <c r="AW1058" i="1" s="1"/>
  <c r="AW1059" i="1" s="1"/>
  <c r="AW1060" i="1" s="1"/>
  <c r="AW1061" i="1" s="1"/>
  <c r="AX1044" i="1"/>
  <c r="AW1044" i="1"/>
  <c r="AV1044" i="1"/>
  <c r="AV1045" i="1" s="1"/>
  <c r="AU1044" i="1"/>
  <c r="AU1045" i="1" s="1"/>
  <c r="AU1046" i="1" s="1"/>
  <c r="AU1047" i="1" s="1"/>
  <c r="AU1048" i="1" s="1"/>
  <c r="AU1049" i="1" s="1"/>
  <c r="AT1044" i="1"/>
  <c r="AT1045" i="1" s="1"/>
  <c r="AT1046" i="1" s="1"/>
  <c r="AT1047" i="1" s="1"/>
  <c r="AT1048" i="1" s="1"/>
  <c r="AT1049" i="1" s="1"/>
  <c r="AT1050" i="1" s="1"/>
  <c r="AT1051" i="1" s="1"/>
  <c r="AT1052" i="1" s="1"/>
  <c r="AT1053" i="1" s="1"/>
  <c r="AT1054" i="1" s="1"/>
  <c r="AT1055" i="1" s="1"/>
  <c r="AT1056" i="1" s="1"/>
  <c r="AT1057" i="1" s="1"/>
  <c r="AT1058" i="1" s="1"/>
  <c r="AT1059" i="1" s="1"/>
  <c r="AT1060" i="1" s="1"/>
  <c r="AT1061" i="1" s="1"/>
  <c r="AR1044" i="1"/>
  <c r="AR1045" i="1" s="1"/>
  <c r="AR1046" i="1" s="1"/>
  <c r="AR1047" i="1" s="1"/>
  <c r="AR1048" i="1" s="1"/>
  <c r="AR1049" i="1" s="1"/>
  <c r="AR1050" i="1" s="1"/>
  <c r="AR1051" i="1" s="1"/>
  <c r="AR1052" i="1" s="1"/>
  <c r="AR1053" i="1" s="1"/>
  <c r="AR1054" i="1" s="1"/>
  <c r="AR1055" i="1" s="1"/>
  <c r="AR1056" i="1" s="1"/>
  <c r="AR1057" i="1" s="1"/>
  <c r="AR1058" i="1" s="1"/>
  <c r="AR1059" i="1" s="1"/>
  <c r="AR1060" i="1" s="1"/>
  <c r="AR1061" i="1" s="1"/>
  <c r="P1044" i="1"/>
  <c r="AX1043" i="1"/>
  <c r="AW1043" i="1"/>
  <c r="AV1043" i="1"/>
  <c r="AU1043" i="1"/>
  <c r="AT1043" i="1"/>
  <c r="AS1043" i="1"/>
  <c r="AS1044" i="1" s="1"/>
  <c r="AS1045" i="1" s="1"/>
  <c r="AS1046" i="1" s="1"/>
  <c r="AR1043" i="1"/>
  <c r="AK1043" i="1"/>
  <c r="AK1044" i="1" s="1"/>
  <c r="AK1045" i="1" s="1"/>
  <c r="AK1046" i="1" s="1"/>
  <c r="P1043" i="1"/>
  <c r="O1043" i="1"/>
  <c r="O1044" i="1" s="1"/>
  <c r="N1043" i="1"/>
  <c r="M1043" i="1"/>
  <c r="L1043" i="1"/>
  <c r="K1043" i="1"/>
  <c r="J1043" i="1"/>
  <c r="C1043" i="1"/>
  <c r="AS1041" i="1"/>
  <c r="AK1041" i="1"/>
  <c r="P1041" i="1"/>
  <c r="O1041" i="1"/>
  <c r="N1041" i="1"/>
  <c r="P1040" i="1"/>
  <c r="O1040" i="1"/>
  <c r="N1040" i="1"/>
  <c r="M1040" i="1"/>
  <c r="M1041" i="1" s="1"/>
  <c r="L1040" i="1"/>
  <c r="L1041" i="1" s="1"/>
  <c r="K1040" i="1"/>
  <c r="K1041" i="1" s="1"/>
  <c r="J1040" i="1"/>
  <c r="J1041" i="1" s="1"/>
  <c r="C1040" i="1"/>
  <c r="C1041" i="1" s="1"/>
  <c r="AX1039" i="1"/>
  <c r="AX1040" i="1" s="1"/>
  <c r="AX1041" i="1" s="1"/>
  <c r="AC1038" i="1"/>
  <c r="AC1039" i="1" s="1"/>
  <c r="AC1040" i="1" s="1"/>
  <c r="AC1041" i="1" s="1"/>
  <c r="AC1042" i="1" s="1"/>
  <c r="AC1043" i="1" s="1"/>
  <c r="AC1044" i="1" s="1"/>
  <c r="AC1045" i="1" s="1"/>
  <c r="AC1046" i="1" s="1"/>
  <c r="AC1047" i="1" s="1"/>
  <c r="AC1048" i="1" s="1"/>
  <c r="AC1049" i="1" s="1"/>
  <c r="AC1050" i="1" s="1"/>
  <c r="AC1037" i="1"/>
  <c r="AB1037" i="1"/>
  <c r="AB1038" i="1" s="1"/>
  <c r="AB1039" i="1" s="1"/>
  <c r="AB1040" i="1" s="1"/>
  <c r="AB1041" i="1" s="1"/>
  <c r="AB1042" i="1" s="1"/>
  <c r="AB1043" i="1" s="1"/>
  <c r="AB1044" i="1" s="1"/>
  <c r="AB1045" i="1" s="1"/>
  <c r="AB1046" i="1" s="1"/>
  <c r="AB1047" i="1" s="1"/>
  <c r="AB1048" i="1" s="1"/>
  <c r="AB1049" i="1" s="1"/>
  <c r="AB1050" i="1" s="1"/>
  <c r="AJ1036" i="1"/>
  <c r="AJ1037" i="1" s="1"/>
  <c r="AJ1038" i="1" s="1"/>
  <c r="AJ1039" i="1" s="1"/>
  <c r="AJ1040" i="1" s="1"/>
  <c r="AJ1041" i="1" s="1"/>
  <c r="AJ1042" i="1" s="1"/>
  <c r="AJ1043" i="1" s="1"/>
  <c r="AJ1044" i="1" s="1"/>
  <c r="AJ1045" i="1" s="1"/>
  <c r="AJ1046" i="1" s="1"/>
  <c r="AJ1047" i="1" s="1"/>
  <c r="AJ1048" i="1" s="1"/>
  <c r="AT1035" i="1"/>
  <c r="AT1036" i="1" s="1"/>
  <c r="AT1037" i="1" s="1"/>
  <c r="AT1038" i="1" s="1"/>
  <c r="AT1039" i="1" s="1"/>
  <c r="AT1040" i="1" s="1"/>
  <c r="AT1041" i="1" s="1"/>
  <c r="AS1035" i="1"/>
  <c r="AS1036" i="1" s="1"/>
  <c r="AS1037" i="1" s="1"/>
  <c r="AS1038" i="1" s="1"/>
  <c r="AS1039" i="1" s="1"/>
  <c r="AS1040" i="1" s="1"/>
  <c r="AG1035" i="1"/>
  <c r="AG1036" i="1" s="1"/>
  <c r="AG1037" i="1" s="1"/>
  <c r="AG1038" i="1" s="1"/>
  <c r="AG1039" i="1" s="1"/>
  <c r="AG1040" i="1" s="1"/>
  <c r="AG1041" i="1" s="1"/>
  <c r="AG1042" i="1" s="1"/>
  <c r="AG1043" i="1" s="1"/>
  <c r="AG1044" i="1" s="1"/>
  <c r="AG1045" i="1" s="1"/>
  <c r="AG1046" i="1" s="1"/>
  <c r="AG1047" i="1" s="1"/>
  <c r="AG1048" i="1" s="1"/>
  <c r="AG1049" i="1" s="1"/>
  <c r="AG1050" i="1" s="1"/>
  <c r="AX1034" i="1"/>
  <c r="AX1035" i="1" s="1"/>
  <c r="AX1036" i="1" s="1"/>
  <c r="AX1037" i="1" s="1"/>
  <c r="AX1038" i="1" s="1"/>
  <c r="AW1034" i="1"/>
  <c r="AW1035" i="1" s="1"/>
  <c r="AW1036" i="1" s="1"/>
  <c r="AW1037" i="1" s="1"/>
  <c r="AW1038" i="1" s="1"/>
  <c r="AW1039" i="1" s="1"/>
  <c r="AW1040" i="1" s="1"/>
  <c r="AW1041" i="1" s="1"/>
  <c r="AV1034" i="1"/>
  <c r="AV1035" i="1" s="1"/>
  <c r="AV1036" i="1" s="1"/>
  <c r="AV1037" i="1" s="1"/>
  <c r="AV1038" i="1" s="1"/>
  <c r="AV1039" i="1" s="1"/>
  <c r="AV1040" i="1" s="1"/>
  <c r="AV1041" i="1" s="1"/>
  <c r="AU1034" i="1"/>
  <c r="AU1035" i="1" s="1"/>
  <c r="AU1036" i="1" s="1"/>
  <c r="AU1037" i="1" s="1"/>
  <c r="AU1038" i="1" s="1"/>
  <c r="AU1039" i="1" s="1"/>
  <c r="AU1040" i="1" s="1"/>
  <c r="AU1041" i="1" s="1"/>
  <c r="AT1034" i="1"/>
  <c r="AS1034" i="1"/>
  <c r="AR1034" i="1"/>
  <c r="AR1035" i="1" s="1"/>
  <c r="AR1036" i="1" s="1"/>
  <c r="AR1037" i="1" s="1"/>
  <c r="AR1038" i="1" s="1"/>
  <c r="AR1039" i="1" s="1"/>
  <c r="AR1040" i="1" s="1"/>
  <c r="AR1041" i="1" s="1"/>
  <c r="AK1034" i="1"/>
  <c r="AK1035" i="1" s="1"/>
  <c r="AK1036" i="1" s="1"/>
  <c r="AK1037" i="1" s="1"/>
  <c r="AK1038" i="1" s="1"/>
  <c r="AK1039" i="1" s="1"/>
  <c r="AK1040" i="1" s="1"/>
  <c r="K1033" i="1"/>
  <c r="K1034" i="1" s="1"/>
  <c r="K1035" i="1" s="1"/>
  <c r="K1036" i="1" s="1"/>
  <c r="K1037" i="1" s="1"/>
  <c r="K1038" i="1" s="1"/>
  <c r="J1033" i="1"/>
  <c r="J1034" i="1" s="1"/>
  <c r="J1035" i="1" s="1"/>
  <c r="J1036" i="1" s="1"/>
  <c r="J1037" i="1" s="1"/>
  <c r="J1038" i="1" s="1"/>
  <c r="N1032" i="1"/>
  <c r="N1033" i="1" s="1"/>
  <c r="N1034" i="1" s="1"/>
  <c r="N1035" i="1" s="1"/>
  <c r="N1036" i="1" s="1"/>
  <c r="N1037" i="1" s="1"/>
  <c r="N1038" i="1" s="1"/>
  <c r="AW1031" i="1"/>
  <c r="AW1032" i="1" s="1"/>
  <c r="AV1031" i="1"/>
  <c r="AV1032" i="1" s="1"/>
  <c r="P1031" i="1"/>
  <c r="P1032" i="1" s="1"/>
  <c r="P1033" i="1" s="1"/>
  <c r="P1034" i="1" s="1"/>
  <c r="P1035" i="1" s="1"/>
  <c r="P1036" i="1" s="1"/>
  <c r="P1037" i="1" s="1"/>
  <c r="P1038" i="1" s="1"/>
  <c r="O1031" i="1"/>
  <c r="O1032" i="1" s="1"/>
  <c r="O1033" i="1" s="1"/>
  <c r="O1034" i="1" s="1"/>
  <c r="O1035" i="1" s="1"/>
  <c r="O1036" i="1" s="1"/>
  <c r="O1037" i="1" s="1"/>
  <c r="O1038" i="1" s="1"/>
  <c r="C1031" i="1"/>
  <c r="C1032" i="1" s="1"/>
  <c r="C1033" i="1" s="1"/>
  <c r="C1034" i="1" s="1"/>
  <c r="C1035" i="1" s="1"/>
  <c r="C1036" i="1" s="1"/>
  <c r="C1037" i="1" s="1"/>
  <c r="C1038" i="1" s="1"/>
  <c r="B1031" i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P1030" i="1"/>
  <c r="O1030" i="1"/>
  <c r="N1030" i="1"/>
  <c r="N1031" i="1" s="1"/>
  <c r="M1030" i="1"/>
  <c r="M1031" i="1" s="1"/>
  <c r="M1032" i="1" s="1"/>
  <c r="M1033" i="1" s="1"/>
  <c r="M1034" i="1" s="1"/>
  <c r="M1035" i="1" s="1"/>
  <c r="M1036" i="1" s="1"/>
  <c r="M1037" i="1" s="1"/>
  <c r="M1038" i="1" s="1"/>
  <c r="L1030" i="1"/>
  <c r="L1031" i="1" s="1"/>
  <c r="L1032" i="1" s="1"/>
  <c r="L1033" i="1" s="1"/>
  <c r="L1034" i="1" s="1"/>
  <c r="L1035" i="1" s="1"/>
  <c r="L1036" i="1" s="1"/>
  <c r="L1037" i="1" s="1"/>
  <c r="L1038" i="1" s="1"/>
  <c r="K1030" i="1"/>
  <c r="K1031" i="1" s="1"/>
  <c r="K1032" i="1" s="1"/>
  <c r="J1030" i="1"/>
  <c r="J1031" i="1" s="1"/>
  <c r="J1032" i="1" s="1"/>
  <c r="C1030" i="1"/>
  <c r="AC1028" i="1"/>
  <c r="AC1029" i="1" s="1"/>
  <c r="AC1030" i="1" s="1"/>
  <c r="AC1031" i="1" s="1"/>
  <c r="AC1032" i="1" s="1"/>
  <c r="AC1033" i="1" s="1"/>
  <c r="AC1034" i="1" s="1"/>
  <c r="AC1035" i="1" s="1"/>
  <c r="AC1036" i="1" s="1"/>
  <c r="B1028" i="1"/>
  <c r="B1029" i="1" s="1"/>
  <c r="B1030" i="1" s="1"/>
  <c r="AU1027" i="1"/>
  <c r="AU1028" i="1" s="1"/>
  <c r="AU1029" i="1" s="1"/>
  <c r="AU1030" i="1" s="1"/>
  <c r="AU1031" i="1" s="1"/>
  <c r="AU1032" i="1" s="1"/>
  <c r="AG1027" i="1"/>
  <c r="AG1028" i="1" s="1"/>
  <c r="AG1029" i="1" s="1"/>
  <c r="AG1030" i="1" s="1"/>
  <c r="AG1031" i="1" s="1"/>
  <c r="AG1032" i="1" s="1"/>
  <c r="AG1033" i="1" s="1"/>
  <c r="AG1034" i="1" s="1"/>
  <c r="AF1027" i="1"/>
  <c r="AF1028" i="1" s="1"/>
  <c r="AF1029" i="1" s="1"/>
  <c r="AF1030" i="1" s="1"/>
  <c r="AF1031" i="1" s="1"/>
  <c r="AF1032" i="1" s="1"/>
  <c r="AF1033" i="1" s="1"/>
  <c r="AF1034" i="1" s="1"/>
  <c r="AF1035" i="1" s="1"/>
  <c r="AF1036" i="1" s="1"/>
  <c r="AF1037" i="1" s="1"/>
  <c r="AF1038" i="1" s="1"/>
  <c r="AF1039" i="1" s="1"/>
  <c r="AF1040" i="1" s="1"/>
  <c r="AF1041" i="1" s="1"/>
  <c r="AF1042" i="1" s="1"/>
  <c r="AF1043" i="1" s="1"/>
  <c r="AF1044" i="1" s="1"/>
  <c r="AF1045" i="1" s="1"/>
  <c r="AF1046" i="1" s="1"/>
  <c r="AF1047" i="1" s="1"/>
  <c r="AF1048" i="1" s="1"/>
  <c r="AF1049" i="1" s="1"/>
  <c r="AF1050" i="1" s="1"/>
  <c r="AC1027" i="1"/>
  <c r="AF1026" i="1"/>
  <c r="AE1026" i="1"/>
  <c r="AE1027" i="1" s="1"/>
  <c r="AE1028" i="1" s="1"/>
  <c r="AE1029" i="1" s="1"/>
  <c r="AE1030" i="1" s="1"/>
  <c r="AE1031" i="1" s="1"/>
  <c r="AE1032" i="1" s="1"/>
  <c r="AE1033" i="1" s="1"/>
  <c r="AE1034" i="1" s="1"/>
  <c r="AE1035" i="1" s="1"/>
  <c r="AE1036" i="1" s="1"/>
  <c r="AE1037" i="1" s="1"/>
  <c r="AE1038" i="1" s="1"/>
  <c r="AE1039" i="1" s="1"/>
  <c r="AE1040" i="1" s="1"/>
  <c r="AE1041" i="1" s="1"/>
  <c r="AE1042" i="1" s="1"/>
  <c r="AE1043" i="1" s="1"/>
  <c r="AE1044" i="1" s="1"/>
  <c r="AE1045" i="1" s="1"/>
  <c r="AE1046" i="1" s="1"/>
  <c r="AE1047" i="1" s="1"/>
  <c r="AE1048" i="1" s="1"/>
  <c r="AE1049" i="1" s="1"/>
  <c r="AE1050" i="1" s="1"/>
  <c r="AD1026" i="1"/>
  <c r="AD1027" i="1" s="1"/>
  <c r="AD1028" i="1" s="1"/>
  <c r="AD1029" i="1" s="1"/>
  <c r="AD1030" i="1" s="1"/>
  <c r="AD1031" i="1" s="1"/>
  <c r="AD1032" i="1" s="1"/>
  <c r="AD1033" i="1" s="1"/>
  <c r="AD1034" i="1" s="1"/>
  <c r="AD1035" i="1" s="1"/>
  <c r="AD1036" i="1" s="1"/>
  <c r="AD1037" i="1" s="1"/>
  <c r="AD1038" i="1" s="1"/>
  <c r="AD1039" i="1" s="1"/>
  <c r="AD1040" i="1" s="1"/>
  <c r="AD1041" i="1" s="1"/>
  <c r="AD1042" i="1" s="1"/>
  <c r="AD1043" i="1" s="1"/>
  <c r="AD1044" i="1" s="1"/>
  <c r="AD1045" i="1" s="1"/>
  <c r="AD1046" i="1" s="1"/>
  <c r="AD1047" i="1" s="1"/>
  <c r="AD1048" i="1" s="1"/>
  <c r="AD1049" i="1" s="1"/>
  <c r="AD1050" i="1" s="1"/>
  <c r="AC1026" i="1"/>
  <c r="AT1025" i="1"/>
  <c r="AT1026" i="1" s="1"/>
  <c r="AT1027" i="1" s="1"/>
  <c r="AT1028" i="1" s="1"/>
  <c r="AT1029" i="1" s="1"/>
  <c r="AT1030" i="1" s="1"/>
  <c r="AT1031" i="1" s="1"/>
  <c r="AT1032" i="1" s="1"/>
  <c r="AG1025" i="1"/>
  <c r="AG1026" i="1" s="1"/>
  <c r="AF1025" i="1"/>
  <c r="AE1025" i="1"/>
  <c r="AD1025" i="1"/>
  <c r="AC1025" i="1"/>
  <c r="AB1025" i="1"/>
  <c r="AB1026" i="1" s="1"/>
  <c r="AB1027" i="1" s="1"/>
  <c r="AB1028" i="1" s="1"/>
  <c r="AB1029" i="1" s="1"/>
  <c r="AB1030" i="1" s="1"/>
  <c r="AB1031" i="1" s="1"/>
  <c r="AB1032" i="1" s="1"/>
  <c r="AB1033" i="1" s="1"/>
  <c r="AB1034" i="1" s="1"/>
  <c r="AB1035" i="1" s="1"/>
  <c r="AB1036" i="1" s="1"/>
  <c r="AA1025" i="1"/>
  <c r="AA1026" i="1" s="1"/>
  <c r="AA1027" i="1" s="1"/>
  <c r="AA1028" i="1" s="1"/>
  <c r="AA1029" i="1" s="1"/>
  <c r="AA1030" i="1" s="1"/>
  <c r="AA1031" i="1" s="1"/>
  <c r="AA1032" i="1" s="1"/>
  <c r="AA1033" i="1" s="1"/>
  <c r="AA1034" i="1" s="1"/>
  <c r="AA1035" i="1" s="1"/>
  <c r="AA1036" i="1" s="1"/>
  <c r="AA1037" i="1" s="1"/>
  <c r="AA1038" i="1" s="1"/>
  <c r="AA1039" i="1" s="1"/>
  <c r="AA1040" i="1" s="1"/>
  <c r="AA1041" i="1" s="1"/>
  <c r="AA1042" i="1" s="1"/>
  <c r="AA1043" i="1" s="1"/>
  <c r="AA1044" i="1" s="1"/>
  <c r="AA1045" i="1" s="1"/>
  <c r="AA1046" i="1" s="1"/>
  <c r="AA1047" i="1" s="1"/>
  <c r="AA1048" i="1" s="1"/>
  <c r="AA1049" i="1" s="1"/>
  <c r="AA1050" i="1" s="1"/>
  <c r="T1025" i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S1025" i="1"/>
  <c r="S1026" i="1" s="1"/>
  <c r="S1027" i="1" s="1"/>
  <c r="S1028" i="1" s="1"/>
  <c r="S1029" i="1" s="1"/>
  <c r="S1030" i="1" s="1"/>
  <c r="S1031" i="1" s="1"/>
  <c r="S1032" i="1" s="1"/>
  <c r="S1033" i="1" s="1"/>
  <c r="S1034" i="1" s="1"/>
  <c r="S1035" i="1" s="1"/>
  <c r="S1036" i="1" s="1"/>
  <c r="S1037" i="1" s="1"/>
  <c r="S1038" i="1" s="1"/>
  <c r="S1039" i="1" s="1"/>
  <c r="S1040" i="1" s="1"/>
  <c r="S1041" i="1" s="1"/>
  <c r="S1042" i="1" s="1"/>
  <c r="S1043" i="1" s="1"/>
  <c r="S1044" i="1" s="1"/>
  <c r="S1045" i="1" s="1"/>
  <c r="S1046" i="1" s="1"/>
  <c r="S1047" i="1" s="1"/>
  <c r="S1048" i="1" s="1"/>
  <c r="S1049" i="1" s="1"/>
  <c r="S1050" i="1" s="1"/>
  <c r="AR1024" i="1"/>
  <c r="AR1025" i="1" s="1"/>
  <c r="AR1026" i="1" s="1"/>
  <c r="AR1027" i="1" s="1"/>
  <c r="AR1028" i="1" s="1"/>
  <c r="AR1029" i="1" s="1"/>
  <c r="AR1030" i="1" s="1"/>
  <c r="AR1031" i="1" s="1"/>
  <c r="AR1032" i="1" s="1"/>
  <c r="C1024" i="1"/>
  <c r="C1025" i="1" s="1"/>
  <c r="C1026" i="1" s="1"/>
  <c r="C1027" i="1" s="1"/>
  <c r="C1028" i="1" s="1"/>
  <c r="AX1023" i="1"/>
  <c r="AX1024" i="1" s="1"/>
  <c r="AX1025" i="1" s="1"/>
  <c r="AX1026" i="1" s="1"/>
  <c r="AX1027" i="1" s="1"/>
  <c r="AX1028" i="1" s="1"/>
  <c r="AX1029" i="1" s="1"/>
  <c r="AX1030" i="1" s="1"/>
  <c r="AX1031" i="1" s="1"/>
  <c r="AX1032" i="1" s="1"/>
  <c r="AW1023" i="1"/>
  <c r="AW1024" i="1" s="1"/>
  <c r="AW1025" i="1" s="1"/>
  <c r="AW1026" i="1" s="1"/>
  <c r="AW1027" i="1" s="1"/>
  <c r="AW1028" i="1" s="1"/>
  <c r="AW1029" i="1" s="1"/>
  <c r="AW1030" i="1" s="1"/>
  <c r="N1023" i="1"/>
  <c r="N1024" i="1" s="1"/>
  <c r="N1025" i="1" s="1"/>
  <c r="N1026" i="1" s="1"/>
  <c r="N1027" i="1" s="1"/>
  <c r="N1028" i="1" s="1"/>
  <c r="AX1022" i="1"/>
  <c r="AW1022" i="1"/>
  <c r="AV1022" i="1"/>
  <c r="AV1023" i="1" s="1"/>
  <c r="AV1024" i="1" s="1"/>
  <c r="AV1025" i="1" s="1"/>
  <c r="AV1026" i="1" s="1"/>
  <c r="AV1027" i="1" s="1"/>
  <c r="AV1028" i="1" s="1"/>
  <c r="AV1029" i="1" s="1"/>
  <c r="AV1030" i="1" s="1"/>
  <c r="AU1022" i="1"/>
  <c r="AU1023" i="1" s="1"/>
  <c r="AU1024" i="1" s="1"/>
  <c r="AU1025" i="1" s="1"/>
  <c r="AU1026" i="1" s="1"/>
  <c r="AT1022" i="1"/>
  <c r="AT1023" i="1" s="1"/>
  <c r="AT1024" i="1" s="1"/>
  <c r="AS1022" i="1"/>
  <c r="AS1023" i="1" s="1"/>
  <c r="AS1024" i="1" s="1"/>
  <c r="AS1025" i="1" s="1"/>
  <c r="AS1026" i="1" s="1"/>
  <c r="AS1027" i="1" s="1"/>
  <c r="AS1028" i="1" s="1"/>
  <c r="AS1029" i="1" s="1"/>
  <c r="AS1030" i="1" s="1"/>
  <c r="AS1031" i="1" s="1"/>
  <c r="AS1032" i="1" s="1"/>
  <c r="AR1022" i="1"/>
  <c r="AR1023" i="1" s="1"/>
  <c r="AK1022" i="1"/>
  <c r="AK1023" i="1" s="1"/>
  <c r="AK1024" i="1" s="1"/>
  <c r="AK1025" i="1" s="1"/>
  <c r="AK1026" i="1" s="1"/>
  <c r="AK1027" i="1" s="1"/>
  <c r="AK1028" i="1" s="1"/>
  <c r="AK1029" i="1" s="1"/>
  <c r="AK1030" i="1" s="1"/>
  <c r="AK1031" i="1" s="1"/>
  <c r="AK1032" i="1" s="1"/>
  <c r="N1022" i="1"/>
  <c r="AK1019" i="1"/>
  <c r="AK1020" i="1" s="1"/>
  <c r="O1019" i="1"/>
  <c r="O1020" i="1" s="1"/>
  <c r="O1021" i="1" s="1"/>
  <c r="O1022" i="1" s="1"/>
  <c r="O1023" i="1" s="1"/>
  <c r="O1024" i="1" s="1"/>
  <c r="O1025" i="1" s="1"/>
  <c r="O1026" i="1" s="1"/>
  <c r="O1027" i="1" s="1"/>
  <c r="O1028" i="1" s="1"/>
  <c r="N1019" i="1"/>
  <c r="N1020" i="1" s="1"/>
  <c r="N1021" i="1" s="1"/>
  <c r="M1019" i="1"/>
  <c r="M1020" i="1" s="1"/>
  <c r="M1021" i="1" s="1"/>
  <c r="M1022" i="1" s="1"/>
  <c r="M1023" i="1" s="1"/>
  <c r="M1024" i="1" s="1"/>
  <c r="M1025" i="1" s="1"/>
  <c r="M1026" i="1" s="1"/>
  <c r="M1027" i="1" s="1"/>
  <c r="M1028" i="1" s="1"/>
  <c r="AU1018" i="1"/>
  <c r="AU1019" i="1" s="1"/>
  <c r="AU1020" i="1" s="1"/>
  <c r="P1018" i="1"/>
  <c r="P1019" i="1" s="1"/>
  <c r="P1020" i="1" s="1"/>
  <c r="P1021" i="1" s="1"/>
  <c r="P1022" i="1" s="1"/>
  <c r="P1023" i="1" s="1"/>
  <c r="P1024" i="1" s="1"/>
  <c r="P1025" i="1" s="1"/>
  <c r="P1026" i="1" s="1"/>
  <c r="P1027" i="1" s="1"/>
  <c r="P1028" i="1" s="1"/>
  <c r="O1018" i="1"/>
  <c r="N1018" i="1"/>
  <c r="M1018" i="1"/>
  <c r="L1018" i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K1018" i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J1018" i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C1018" i="1"/>
  <c r="C1019" i="1" s="1"/>
  <c r="C1020" i="1" s="1"/>
  <c r="C1021" i="1" s="1"/>
  <c r="C1022" i="1" s="1"/>
  <c r="C1023" i="1" s="1"/>
  <c r="AC1017" i="1"/>
  <c r="AC1018" i="1" s="1"/>
  <c r="AC1019" i="1" s="1"/>
  <c r="AC1020" i="1" s="1"/>
  <c r="AC1021" i="1" s="1"/>
  <c r="AC1022" i="1" s="1"/>
  <c r="AC1023" i="1" s="1"/>
  <c r="P1016" i="1"/>
  <c r="O1016" i="1"/>
  <c r="N1016" i="1"/>
  <c r="M1016" i="1"/>
  <c r="L1016" i="1"/>
  <c r="K1016" i="1"/>
  <c r="J1016" i="1"/>
  <c r="C1016" i="1"/>
  <c r="AT1015" i="1"/>
  <c r="AT1016" i="1" s="1"/>
  <c r="AT1017" i="1" s="1"/>
  <c r="AT1018" i="1" s="1"/>
  <c r="AT1019" i="1" s="1"/>
  <c r="AT1020" i="1" s="1"/>
  <c r="AK1014" i="1"/>
  <c r="AK1015" i="1" s="1"/>
  <c r="AK1016" i="1" s="1"/>
  <c r="AK1017" i="1" s="1"/>
  <c r="AK1018" i="1" s="1"/>
  <c r="AW1013" i="1"/>
  <c r="AW1014" i="1" s="1"/>
  <c r="AW1015" i="1" s="1"/>
  <c r="AW1016" i="1" s="1"/>
  <c r="AW1017" i="1" s="1"/>
  <c r="AW1018" i="1" s="1"/>
  <c r="AW1019" i="1" s="1"/>
  <c r="AW1020" i="1" s="1"/>
  <c r="AV1013" i="1"/>
  <c r="AV1014" i="1" s="1"/>
  <c r="AV1015" i="1" s="1"/>
  <c r="AV1016" i="1" s="1"/>
  <c r="AV1017" i="1" s="1"/>
  <c r="AV1018" i="1" s="1"/>
  <c r="AV1019" i="1" s="1"/>
  <c r="AV1020" i="1" s="1"/>
  <c r="AX1012" i="1"/>
  <c r="AX1013" i="1" s="1"/>
  <c r="AX1014" i="1" s="1"/>
  <c r="AX1015" i="1" s="1"/>
  <c r="AX1016" i="1" s="1"/>
  <c r="AX1017" i="1" s="1"/>
  <c r="AX1018" i="1" s="1"/>
  <c r="AX1019" i="1" s="1"/>
  <c r="AX1020" i="1" s="1"/>
  <c r="AK1012" i="1"/>
  <c r="AK1013" i="1" s="1"/>
  <c r="AU1011" i="1"/>
  <c r="AU1012" i="1" s="1"/>
  <c r="AU1013" i="1" s="1"/>
  <c r="AU1014" i="1" s="1"/>
  <c r="AU1015" i="1" s="1"/>
  <c r="AU1016" i="1" s="1"/>
  <c r="AU1017" i="1" s="1"/>
  <c r="AK1011" i="1"/>
  <c r="P1011" i="1"/>
  <c r="P1012" i="1" s="1"/>
  <c r="P1013" i="1" s="1"/>
  <c r="AX1010" i="1"/>
  <c r="AX1011" i="1" s="1"/>
  <c r="AW1010" i="1"/>
  <c r="AW1011" i="1" s="1"/>
  <c r="AW1012" i="1" s="1"/>
  <c r="AV1010" i="1"/>
  <c r="AV1011" i="1" s="1"/>
  <c r="AV1012" i="1" s="1"/>
  <c r="AU1010" i="1"/>
  <c r="AT1010" i="1"/>
  <c r="AT1011" i="1" s="1"/>
  <c r="AT1012" i="1" s="1"/>
  <c r="AT1013" i="1" s="1"/>
  <c r="AT1014" i="1" s="1"/>
  <c r="AS1010" i="1"/>
  <c r="AS1011" i="1" s="1"/>
  <c r="AS1012" i="1" s="1"/>
  <c r="AS1013" i="1" s="1"/>
  <c r="AS1014" i="1" s="1"/>
  <c r="AS1015" i="1" s="1"/>
  <c r="AS1016" i="1" s="1"/>
  <c r="AS1017" i="1" s="1"/>
  <c r="AS1018" i="1" s="1"/>
  <c r="AS1019" i="1" s="1"/>
  <c r="AS1020" i="1" s="1"/>
  <c r="AR1010" i="1"/>
  <c r="AR1011" i="1" s="1"/>
  <c r="AR1012" i="1" s="1"/>
  <c r="AR1013" i="1" s="1"/>
  <c r="AR1014" i="1" s="1"/>
  <c r="AR1015" i="1" s="1"/>
  <c r="AR1016" i="1" s="1"/>
  <c r="AR1017" i="1" s="1"/>
  <c r="AR1018" i="1" s="1"/>
  <c r="AR1019" i="1" s="1"/>
  <c r="AR1020" i="1" s="1"/>
  <c r="AK1010" i="1"/>
  <c r="AX1008" i="1"/>
  <c r="AW1008" i="1"/>
  <c r="AX1007" i="1"/>
  <c r="AW1007" i="1"/>
  <c r="AV1007" i="1"/>
  <c r="AU1007" i="1"/>
  <c r="AT1007" i="1"/>
  <c r="AS1007" i="1"/>
  <c r="AR1007" i="1"/>
  <c r="AK1007" i="1"/>
  <c r="AF1007" i="1"/>
  <c r="AF1008" i="1" s="1"/>
  <c r="AF1009" i="1" s="1"/>
  <c r="AF1010" i="1" s="1"/>
  <c r="AF1011" i="1" s="1"/>
  <c r="AF1012" i="1" s="1"/>
  <c r="AF1013" i="1" s="1"/>
  <c r="AF1014" i="1" s="1"/>
  <c r="AF1015" i="1" s="1"/>
  <c r="AF1016" i="1" s="1"/>
  <c r="AF1017" i="1" s="1"/>
  <c r="AF1018" i="1" s="1"/>
  <c r="AF1019" i="1" s="1"/>
  <c r="AF1020" i="1" s="1"/>
  <c r="AF1021" i="1" s="1"/>
  <c r="AF1022" i="1" s="1"/>
  <c r="AF1023" i="1" s="1"/>
  <c r="L1007" i="1"/>
  <c r="L1008" i="1" s="1"/>
  <c r="L1009" i="1" s="1"/>
  <c r="L1010" i="1" s="1"/>
  <c r="L1011" i="1" s="1"/>
  <c r="L1012" i="1" s="1"/>
  <c r="L1013" i="1" s="1"/>
  <c r="AG1006" i="1"/>
  <c r="AG1007" i="1" s="1"/>
  <c r="AG1008" i="1" s="1"/>
  <c r="AG1009" i="1" s="1"/>
  <c r="AG1010" i="1" s="1"/>
  <c r="AG1011" i="1" s="1"/>
  <c r="AG1012" i="1" s="1"/>
  <c r="AG1013" i="1" s="1"/>
  <c r="AG1014" i="1" s="1"/>
  <c r="AG1015" i="1" s="1"/>
  <c r="AG1016" i="1" s="1"/>
  <c r="AG1017" i="1" s="1"/>
  <c r="AG1018" i="1" s="1"/>
  <c r="AG1019" i="1" s="1"/>
  <c r="AG1020" i="1" s="1"/>
  <c r="AG1021" i="1" s="1"/>
  <c r="AG1022" i="1" s="1"/>
  <c r="AG1023" i="1" s="1"/>
  <c r="L1006" i="1"/>
  <c r="K1006" i="1"/>
  <c r="K1007" i="1" s="1"/>
  <c r="K1008" i="1" s="1"/>
  <c r="K1009" i="1" s="1"/>
  <c r="K1010" i="1" s="1"/>
  <c r="K1011" i="1" s="1"/>
  <c r="K1012" i="1" s="1"/>
  <c r="K1013" i="1" s="1"/>
  <c r="L1005" i="1"/>
  <c r="C1005" i="1"/>
  <c r="C1006" i="1" s="1"/>
  <c r="C1007" i="1" s="1"/>
  <c r="C1008" i="1" s="1"/>
  <c r="C1009" i="1" s="1"/>
  <c r="C1010" i="1" s="1"/>
  <c r="C1011" i="1" s="1"/>
  <c r="C1012" i="1" s="1"/>
  <c r="C1013" i="1" s="1"/>
  <c r="AV1004" i="1"/>
  <c r="AV1005" i="1" s="1"/>
  <c r="P1004" i="1"/>
  <c r="P1005" i="1" s="1"/>
  <c r="P1006" i="1" s="1"/>
  <c r="P1007" i="1" s="1"/>
  <c r="P1008" i="1" s="1"/>
  <c r="P1009" i="1" s="1"/>
  <c r="P1010" i="1" s="1"/>
  <c r="N1004" i="1"/>
  <c r="N1005" i="1" s="1"/>
  <c r="N1006" i="1" s="1"/>
  <c r="N1007" i="1" s="1"/>
  <c r="N1008" i="1" s="1"/>
  <c r="N1009" i="1" s="1"/>
  <c r="N1010" i="1" s="1"/>
  <c r="N1011" i="1" s="1"/>
  <c r="N1012" i="1" s="1"/>
  <c r="N1013" i="1" s="1"/>
  <c r="M1004" i="1"/>
  <c r="M1005" i="1" s="1"/>
  <c r="M1006" i="1" s="1"/>
  <c r="M1007" i="1" s="1"/>
  <c r="M1008" i="1" s="1"/>
  <c r="M1009" i="1" s="1"/>
  <c r="M1010" i="1" s="1"/>
  <c r="M1011" i="1" s="1"/>
  <c r="M1012" i="1" s="1"/>
  <c r="M1013" i="1" s="1"/>
  <c r="L1004" i="1"/>
  <c r="AR1003" i="1"/>
  <c r="AR1004" i="1" s="1"/>
  <c r="AR1005" i="1" s="1"/>
  <c r="P1003" i="1"/>
  <c r="O1003" i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N1003" i="1"/>
  <c r="M1003" i="1"/>
  <c r="L1003" i="1"/>
  <c r="K1003" i="1"/>
  <c r="K1004" i="1" s="1"/>
  <c r="K1005" i="1" s="1"/>
  <c r="J1003" i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C1003" i="1"/>
  <c r="C1004" i="1" s="1"/>
  <c r="AG1002" i="1"/>
  <c r="AG1003" i="1" s="1"/>
  <c r="AG1004" i="1" s="1"/>
  <c r="AG1005" i="1" s="1"/>
  <c r="AE1002" i="1"/>
  <c r="AE1003" i="1" s="1"/>
  <c r="AE1004" i="1" s="1"/>
  <c r="AE1005" i="1" s="1"/>
  <c r="AE1006" i="1" s="1"/>
  <c r="AE1007" i="1" s="1"/>
  <c r="AE1008" i="1" s="1"/>
  <c r="AE1009" i="1" s="1"/>
  <c r="AE1010" i="1" s="1"/>
  <c r="AE1011" i="1" s="1"/>
  <c r="AE1012" i="1" s="1"/>
  <c r="AE1013" i="1" s="1"/>
  <c r="AE1014" i="1" s="1"/>
  <c r="AE1015" i="1" s="1"/>
  <c r="AE1016" i="1" s="1"/>
  <c r="AE1017" i="1" s="1"/>
  <c r="AE1018" i="1" s="1"/>
  <c r="AE1019" i="1" s="1"/>
  <c r="AE1020" i="1" s="1"/>
  <c r="AE1021" i="1" s="1"/>
  <c r="AE1022" i="1" s="1"/>
  <c r="AE1023" i="1" s="1"/>
  <c r="AA1002" i="1"/>
  <c r="AA1003" i="1" s="1"/>
  <c r="AA1004" i="1" s="1"/>
  <c r="AA1005" i="1" s="1"/>
  <c r="AA1006" i="1" s="1"/>
  <c r="AA1007" i="1" s="1"/>
  <c r="AA1008" i="1" s="1"/>
  <c r="AA1009" i="1" s="1"/>
  <c r="AA1010" i="1" s="1"/>
  <c r="AA1011" i="1" s="1"/>
  <c r="AA1012" i="1" s="1"/>
  <c r="AA1013" i="1" s="1"/>
  <c r="AA1014" i="1" s="1"/>
  <c r="AA1015" i="1" s="1"/>
  <c r="AA1016" i="1" s="1"/>
  <c r="AA1017" i="1" s="1"/>
  <c r="AA1018" i="1" s="1"/>
  <c r="AA1019" i="1" s="1"/>
  <c r="AA1020" i="1" s="1"/>
  <c r="AA1021" i="1" s="1"/>
  <c r="AA1022" i="1" s="1"/>
  <c r="AA1023" i="1" s="1"/>
  <c r="AT1001" i="1"/>
  <c r="AT1002" i="1" s="1"/>
  <c r="AT1003" i="1" s="1"/>
  <c r="AT1004" i="1" s="1"/>
  <c r="AT1005" i="1" s="1"/>
  <c r="AS1001" i="1"/>
  <c r="AS1002" i="1" s="1"/>
  <c r="AS1003" i="1" s="1"/>
  <c r="AS1004" i="1" s="1"/>
  <c r="AS1005" i="1" s="1"/>
  <c r="AK1001" i="1"/>
  <c r="AK1002" i="1" s="1"/>
  <c r="AK1003" i="1" s="1"/>
  <c r="AK1004" i="1" s="1"/>
  <c r="AK1005" i="1" s="1"/>
  <c r="AG1001" i="1"/>
  <c r="AB1001" i="1"/>
  <c r="AB1002" i="1" s="1"/>
  <c r="AB1003" i="1" s="1"/>
  <c r="AB1004" i="1" s="1"/>
  <c r="AB1005" i="1" s="1"/>
  <c r="AB1006" i="1" s="1"/>
  <c r="AB1007" i="1" s="1"/>
  <c r="AB1008" i="1" s="1"/>
  <c r="AB1009" i="1" s="1"/>
  <c r="AB1010" i="1" s="1"/>
  <c r="AB1011" i="1" s="1"/>
  <c r="AB1012" i="1" s="1"/>
  <c r="AB1013" i="1" s="1"/>
  <c r="AB1014" i="1" s="1"/>
  <c r="AB1015" i="1" s="1"/>
  <c r="AB1016" i="1" s="1"/>
  <c r="AB1017" i="1" s="1"/>
  <c r="AB1018" i="1" s="1"/>
  <c r="AB1019" i="1" s="1"/>
  <c r="AB1020" i="1" s="1"/>
  <c r="AB1021" i="1" s="1"/>
  <c r="AB1022" i="1" s="1"/>
  <c r="AB1023" i="1" s="1"/>
  <c r="AA1001" i="1"/>
  <c r="T1001" i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AT1000" i="1"/>
  <c r="AG1000" i="1"/>
  <c r="AF1000" i="1"/>
  <c r="AF1001" i="1" s="1"/>
  <c r="AF1002" i="1" s="1"/>
  <c r="AF1003" i="1" s="1"/>
  <c r="AF1004" i="1" s="1"/>
  <c r="AF1005" i="1" s="1"/>
  <c r="AF1006" i="1" s="1"/>
  <c r="AE1000" i="1"/>
  <c r="AE1001" i="1" s="1"/>
  <c r="AD1000" i="1"/>
  <c r="AD1001" i="1" s="1"/>
  <c r="AD1002" i="1" s="1"/>
  <c r="AD1003" i="1" s="1"/>
  <c r="AD1004" i="1" s="1"/>
  <c r="AD1005" i="1" s="1"/>
  <c r="AD1006" i="1" s="1"/>
  <c r="AD1007" i="1" s="1"/>
  <c r="AD1008" i="1" s="1"/>
  <c r="AD1009" i="1" s="1"/>
  <c r="AD1010" i="1" s="1"/>
  <c r="AD1011" i="1" s="1"/>
  <c r="AD1012" i="1" s="1"/>
  <c r="AD1013" i="1" s="1"/>
  <c r="AD1014" i="1" s="1"/>
  <c r="AD1015" i="1" s="1"/>
  <c r="AD1016" i="1" s="1"/>
  <c r="AD1017" i="1" s="1"/>
  <c r="AD1018" i="1" s="1"/>
  <c r="AD1019" i="1" s="1"/>
  <c r="AD1020" i="1" s="1"/>
  <c r="AD1021" i="1" s="1"/>
  <c r="AD1022" i="1" s="1"/>
  <c r="AD1023" i="1" s="1"/>
  <c r="AC1000" i="1"/>
  <c r="AC1001" i="1" s="1"/>
  <c r="AC1002" i="1" s="1"/>
  <c r="AC1003" i="1" s="1"/>
  <c r="AC1004" i="1" s="1"/>
  <c r="AC1005" i="1" s="1"/>
  <c r="AC1006" i="1" s="1"/>
  <c r="AC1007" i="1" s="1"/>
  <c r="AC1008" i="1" s="1"/>
  <c r="AC1009" i="1" s="1"/>
  <c r="AC1010" i="1" s="1"/>
  <c r="AC1011" i="1" s="1"/>
  <c r="AC1012" i="1" s="1"/>
  <c r="AC1013" i="1" s="1"/>
  <c r="AC1014" i="1" s="1"/>
  <c r="AC1015" i="1" s="1"/>
  <c r="AC1016" i="1" s="1"/>
  <c r="AB1000" i="1"/>
  <c r="AA1000" i="1"/>
  <c r="T1000" i="1"/>
  <c r="AX999" i="1"/>
  <c r="AX1000" i="1" s="1"/>
  <c r="AX1001" i="1" s="1"/>
  <c r="AX1002" i="1" s="1"/>
  <c r="AX1003" i="1" s="1"/>
  <c r="AX1004" i="1" s="1"/>
  <c r="AX1005" i="1" s="1"/>
  <c r="AK999" i="1"/>
  <c r="AK1000" i="1" s="1"/>
  <c r="AX998" i="1"/>
  <c r="AW998" i="1"/>
  <c r="AW999" i="1" s="1"/>
  <c r="AW1000" i="1" s="1"/>
  <c r="AW1001" i="1" s="1"/>
  <c r="AW1002" i="1" s="1"/>
  <c r="AW1003" i="1" s="1"/>
  <c r="AW1004" i="1" s="1"/>
  <c r="AW1005" i="1" s="1"/>
  <c r="AV998" i="1"/>
  <c r="AV999" i="1" s="1"/>
  <c r="AV1000" i="1" s="1"/>
  <c r="AV1001" i="1" s="1"/>
  <c r="AV1002" i="1" s="1"/>
  <c r="AV1003" i="1" s="1"/>
  <c r="AU998" i="1"/>
  <c r="AU999" i="1" s="1"/>
  <c r="AU1000" i="1" s="1"/>
  <c r="AU1001" i="1" s="1"/>
  <c r="AU1002" i="1" s="1"/>
  <c r="AU1003" i="1" s="1"/>
  <c r="AU1004" i="1" s="1"/>
  <c r="AU1005" i="1" s="1"/>
  <c r="AT998" i="1"/>
  <c r="AT999" i="1" s="1"/>
  <c r="AS998" i="1"/>
  <c r="AS999" i="1" s="1"/>
  <c r="AS1000" i="1" s="1"/>
  <c r="AR998" i="1"/>
  <c r="AR999" i="1" s="1"/>
  <c r="AR1000" i="1" s="1"/>
  <c r="AR1001" i="1" s="1"/>
  <c r="AR1002" i="1" s="1"/>
  <c r="AK998" i="1"/>
  <c r="AR996" i="1"/>
  <c r="AK996" i="1"/>
  <c r="AJ996" i="1"/>
  <c r="AJ997" i="1" s="1"/>
  <c r="AJ998" i="1" s="1"/>
  <c r="AJ999" i="1" s="1"/>
  <c r="AJ1000" i="1" s="1"/>
  <c r="AJ1001" i="1" s="1"/>
  <c r="AJ1002" i="1" s="1"/>
  <c r="AJ1003" i="1" s="1"/>
  <c r="AJ1004" i="1" s="1"/>
  <c r="AJ1005" i="1" s="1"/>
  <c r="AJ1006" i="1" s="1"/>
  <c r="AJ1007" i="1" s="1"/>
  <c r="AJ1008" i="1" s="1"/>
  <c r="AJ1009" i="1" s="1"/>
  <c r="AJ1010" i="1" s="1"/>
  <c r="AJ1011" i="1" s="1"/>
  <c r="AJ1012" i="1" s="1"/>
  <c r="AJ1013" i="1" s="1"/>
  <c r="AJ1014" i="1" s="1"/>
  <c r="AJ1015" i="1" s="1"/>
  <c r="AJ1016" i="1" s="1"/>
  <c r="AJ1017" i="1" s="1"/>
  <c r="AJ1018" i="1" s="1"/>
  <c r="AJ1019" i="1" s="1"/>
  <c r="AJ1020" i="1" s="1"/>
  <c r="AJ1021" i="1" s="1"/>
  <c r="AJ1022" i="1" s="1"/>
  <c r="AJ1023" i="1" s="1"/>
  <c r="AJ1024" i="1" s="1"/>
  <c r="AJ1025" i="1" s="1"/>
  <c r="AJ1026" i="1" s="1"/>
  <c r="AJ1027" i="1" s="1"/>
  <c r="AJ1028" i="1" s="1"/>
  <c r="AJ1029" i="1" s="1"/>
  <c r="AJ1030" i="1" s="1"/>
  <c r="AJ1031" i="1" s="1"/>
  <c r="AJ1032" i="1" s="1"/>
  <c r="AJ1033" i="1" s="1"/>
  <c r="AJ1034" i="1" s="1"/>
  <c r="AX995" i="1"/>
  <c r="AX996" i="1" s="1"/>
  <c r="AW995" i="1"/>
  <c r="AW996" i="1" s="1"/>
  <c r="AV995" i="1"/>
  <c r="AV996" i="1" s="1"/>
  <c r="AU995" i="1"/>
  <c r="AU996" i="1" s="1"/>
  <c r="AT995" i="1"/>
  <c r="AT996" i="1" s="1"/>
  <c r="AS995" i="1"/>
  <c r="AS996" i="1" s="1"/>
  <c r="AR995" i="1"/>
  <c r="AK995" i="1"/>
  <c r="AX993" i="1"/>
  <c r="AW993" i="1"/>
  <c r="AV993" i="1"/>
  <c r="AU993" i="1"/>
  <c r="AT993" i="1"/>
  <c r="AS993" i="1"/>
  <c r="AR993" i="1"/>
  <c r="AK993" i="1"/>
  <c r="AX991" i="1"/>
  <c r="AK991" i="1"/>
  <c r="AJ991" i="1"/>
  <c r="AJ992" i="1" s="1"/>
  <c r="AJ993" i="1" s="1"/>
  <c r="AJ994" i="1" s="1"/>
  <c r="AJ995" i="1" s="1"/>
  <c r="O991" i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M991" i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K991" i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AX990" i="1"/>
  <c r="AW990" i="1"/>
  <c r="AW991" i="1" s="1"/>
  <c r="AV990" i="1"/>
  <c r="AV991" i="1" s="1"/>
  <c r="AU990" i="1"/>
  <c r="AU991" i="1" s="1"/>
  <c r="AT990" i="1"/>
  <c r="AT991" i="1" s="1"/>
  <c r="AS990" i="1"/>
  <c r="AS991" i="1" s="1"/>
  <c r="AR990" i="1"/>
  <c r="AR991" i="1" s="1"/>
  <c r="AK990" i="1"/>
  <c r="AJ990" i="1"/>
  <c r="P990" i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O990" i="1"/>
  <c r="N990" i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P989" i="1"/>
  <c r="O989" i="1"/>
  <c r="N989" i="1"/>
  <c r="M989" i="1"/>
  <c r="M990" i="1" s="1"/>
  <c r="L989" i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K989" i="1"/>
  <c r="K990" i="1" s="1"/>
  <c r="J989" i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C989" i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O985" i="1"/>
  <c r="O986" i="1" s="1"/>
  <c r="O987" i="1" s="1"/>
  <c r="N985" i="1"/>
  <c r="N986" i="1" s="1"/>
  <c r="N987" i="1" s="1"/>
  <c r="AC983" i="1"/>
  <c r="AC984" i="1" s="1"/>
  <c r="AC985" i="1" s="1"/>
  <c r="AC986" i="1" s="1"/>
  <c r="AC987" i="1" s="1"/>
  <c r="AC988" i="1" s="1"/>
  <c r="AC989" i="1" s="1"/>
  <c r="AC990" i="1" s="1"/>
  <c r="AC991" i="1" s="1"/>
  <c r="AC992" i="1" s="1"/>
  <c r="AC993" i="1" s="1"/>
  <c r="AC994" i="1" s="1"/>
  <c r="AC995" i="1" s="1"/>
  <c r="AC996" i="1" s="1"/>
  <c r="AC997" i="1" s="1"/>
  <c r="AC998" i="1" s="1"/>
  <c r="AB983" i="1"/>
  <c r="AB984" i="1" s="1"/>
  <c r="AB985" i="1" s="1"/>
  <c r="AB986" i="1" s="1"/>
  <c r="AB987" i="1" s="1"/>
  <c r="AB988" i="1" s="1"/>
  <c r="AB989" i="1" s="1"/>
  <c r="AB990" i="1" s="1"/>
  <c r="AB991" i="1" s="1"/>
  <c r="AB992" i="1" s="1"/>
  <c r="AB993" i="1" s="1"/>
  <c r="AB994" i="1" s="1"/>
  <c r="AB995" i="1" s="1"/>
  <c r="AB996" i="1" s="1"/>
  <c r="AB997" i="1" s="1"/>
  <c r="AB998" i="1" s="1"/>
  <c r="AK981" i="1"/>
  <c r="AK982" i="1" s="1"/>
  <c r="AK983" i="1" s="1"/>
  <c r="AK984" i="1" s="1"/>
  <c r="AK985" i="1" s="1"/>
  <c r="AK986" i="1" s="1"/>
  <c r="AK987" i="1" s="1"/>
  <c r="AK988" i="1" s="1"/>
  <c r="N981" i="1"/>
  <c r="N982" i="1" s="1"/>
  <c r="N983" i="1" s="1"/>
  <c r="N984" i="1" s="1"/>
  <c r="AB979" i="1"/>
  <c r="AB980" i="1" s="1"/>
  <c r="AB981" i="1" s="1"/>
  <c r="AB982" i="1" s="1"/>
  <c r="J979" i="1"/>
  <c r="J980" i="1" s="1"/>
  <c r="J981" i="1" s="1"/>
  <c r="J982" i="1" s="1"/>
  <c r="J983" i="1" s="1"/>
  <c r="J984" i="1" s="1"/>
  <c r="J985" i="1" s="1"/>
  <c r="J986" i="1" s="1"/>
  <c r="J987" i="1" s="1"/>
  <c r="C979" i="1"/>
  <c r="C980" i="1" s="1"/>
  <c r="C981" i="1" s="1"/>
  <c r="C982" i="1" s="1"/>
  <c r="C983" i="1" s="1"/>
  <c r="C984" i="1" s="1"/>
  <c r="C985" i="1" s="1"/>
  <c r="C986" i="1" s="1"/>
  <c r="C987" i="1" s="1"/>
  <c r="B979" i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AC978" i="1"/>
  <c r="AC979" i="1" s="1"/>
  <c r="AC980" i="1" s="1"/>
  <c r="AC981" i="1" s="1"/>
  <c r="AC982" i="1" s="1"/>
  <c r="M978" i="1"/>
  <c r="M979" i="1" s="1"/>
  <c r="M980" i="1" s="1"/>
  <c r="M981" i="1" s="1"/>
  <c r="M982" i="1" s="1"/>
  <c r="M983" i="1" s="1"/>
  <c r="M984" i="1" s="1"/>
  <c r="M985" i="1" s="1"/>
  <c r="M986" i="1" s="1"/>
  <c r="M987" i="1" s="1"/>
  <c r="K978" i="1"/>
  <c r="K979" i="1" s="1"/>
  <c r="K980" i="1" s="1"/>
  <c r="K981" i="1" s="1"/>
  <c r="K982" i="1" s="1"/>
  <c r="K983" i="1" s="1"/>
  <c r="K984" i="1" s="1"/>
  <c r="K985" i="1" s="1"/>
  <c r="K986" i="1" s="1"/>
  <c r="K987" i="1" s="1"/>
  <c r="J978" i="1"/>
  <c r="C978" i="1"/>
  <c r="P977" i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O977" i="1"/>
  <c r="O978" i="1" s="1"/>
  <c r="O979" i="1" s="1"/>
  <c r="O980" i="1" s="1"/>
  <c r="O981" i="1" s="1"/>
  <c r="O982" i="1" s="1"/>
  <c r="O983" i="1" s="1"/>
  <c r="O984" i="1" s="1"/>
  <c r="N977" i="1"/>
  <c r="N978" i="1" s="1"/>
  <c r="N979" i="1" s="1"/>
  <c r="N980" i="1" s="1"/>
  <c r="M977" i="1"/>
  <c r="L977" i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K977" i="1"/>
  <c r="J977" i="1"/>
  <c r="C977" i="1"/>
  <c r="AC976" i="1"/>
  <c r="AC977" i="1" s="1"/>
  <c r="AB976" i="1"/>
  <c r="AB977" i="1" s="1"/>
  <c r="AB978" i="1" s="1"/>
  <c r="AA976" i="1"/>
  <c r="AA977" i="1" s="1"/>
  <c r="AA978" i="1" s="1"/>
  <c r="AA979" i="1" s="1"/>
  <c r="AA980" i="1" s="1"/>
  <c r="AA981" i="1" s="1"/>
  <c r="AA982" i="1" s="1"/>
  <c r="AA983" i="1" s="1"/>
  <c r="AA984" i="1" s="1"/>
  <c r="AA985" i="1" s="1"/>
  <c r="AA986" i="1" s="1"/>
  <c r="AA987" i="1" s="1"/>
  <c r="AA988" i="1" s="1"/>
  <c r="AA989" i="1" s="1"/>
  <c r="AA990" i="1" s="1"/>
  <c r="AA991" i="1" s="1"/>
  <c r="AA992" i="1" s="1"/>
  <c r="AA993" i="1" s="1"/>
  <c r="AA994" i="1" s="1"/>
  <c r="AA995" i="1" s="1"/>
  <c r="AA996" i="1" s="1"/>
  <c r="AA997" i="1" s="1"/>
  <c r="AA998" i="1" s="1"/>
  <c r="T976" i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AG975" i="1"/>
  <c r="AG976" i="1" s="1"/>
  <c r="AG977" i="1" s="1"/>
  <c r="AG978" i="1" s="1"/>
  <c r="AG979" i="1" s="1"/>
  <c r="AG980" i="1" s="1"/>
  <c r="AG981" i="1" s="1"/>
  <c r="AG982" i="1" s="1"/>
  <c r="AG983" i="1" s="1"/>
  <c r="AG984" i="1" s="1"/>
  <c r="AG985" i="1" s="1"/>
  <c r="AG986" i="1" s="1"/>
  <c r="AG987" i="1" s="1"/>
  <c r="AG988" i="1" s="1"/>
  <c r="AG989" i="1" s="1"/>
  <c r="AG990" i="1" s="1"/>
  <c r="AG991" i="1" s="1"/>
  <c r="AG992" i="1" s="1"/>
  <c r="AG993" i="1" s="1"/>
  <c r="AG994" i="1" s="1"/>
  <c r="AG995" i="1" s="1"/>
  <c r="AG996" i="1" s="1"/>
  <c r="AG997" i="1" s="1"/>
  <c r="AG998" i="1" s="1"/>
  <c r="AF975" i="1"/>
  <c r="AF976" i="1" s="1"/>
  <c r="AF977" i="1" s="1"/>
  <c r="AF978" i="1" s="1"/>
  <c r="AF979" i="1" s="1"/>
  <c r="AF980" i="1" s="1"/>
  <c r="AF981" i="1" s="1"/>
  <c r="AF982" i="1" s="1"/>
  <c r="AF983" i="1" s="1"/>
  <c r="AF984" i="1" s="1"/>
  <c r="AF985" i="1" s="1"/>
  <c r="AF986" i="1" s="1"/>
  <c r="AF987" i="1" s="1"/>
  <c r="AF988" i="1" s="1"/>
  <c r="AF989" i="1" s="1"/>
  <c r="AF990" i="1" s="1"/>
  <c r="AF991" i="1" s="1"/>
  <c r="AF992" i="1" s="1"/>
  <c r="AF993" i="1" s="1"/>
  <c r="AF994" i="1" s="1"/>
  <c r="AF995" i="1" s="1"/>
  <c r="AF996" i="1" s="1"/>
  <c r="AF997" i="1" s="1"/>
  <c r="AF998" i="1" s="1"/>
  <c r="AE975" i="1"/>
  <c r="AE976" i="1" s="1"/>
  <c r="AE977" i="1" s="1"/>
  <c r="AE978" i="1" s="1"/>
  <c r="AE979" i="1" s="1"/>
  <c r="AE980" i="1" s="1"/>
  <c r="AE981" i="1" s="1"/>
  <c r="AE982" i="1" s="1"/>
  <c r="AE983" i="1" s="1"/>
  <c r="AE984" i="1" s="1"/>
  <c r="AE985" i="1" s="1"/>
  <c r="AE986" i="1" s="1"/>
  <c r="AE987" i="1" s="1"/>
  <c r="AE988" i="1" s="1"/>
  <c r="AE989" i="1" s="1"/>
  <c r="AE990" i="1" s="1"/>
  <c r="AE991" i="1" s="1"/>
  <c r="AE992" i="1" s="1"/>
  <c r="AE993" i="1" s="1"/>
  <c r="AE994" i="1" s="1"/>
  <c r="AE995" i="1" s="1"/>
  <c r="AE996" i="1" s="1"/>
  <c r="AE997" i="1" s="1"/>
  <c r="AE998" i="1" s="1"/>
  <c r="AD975" i="1"/>
  <c r="AD976" i="1" s="1"/>
  <c r="AD977" i="1" s="1"/>
  <c r="AD978" i="1" s="1"/>
  <c r="AD979" i="1" s="1"/>
  <c r="AD980" i="1" s="1"/>
  <c r="AD981" i="1" s="1"/>
  <c r="AD982" i="1" s="1"/>
  <c r="AD983" i="1" s="1"/>
  <c r="AD984" i="1" s="1"/>
  <c r="AD985" i="1" s="1"/>
  <c r="AD986" i="1" s="1"/>
  <c r="AD987" i="1" s="1"/>
  <c r="AD988" i="1" s="1"/>
  <c r="AD989" i="1" s="1"/>
  <c r="AD990" i="1" s="1"/>
  <c r="AD991" i="1" s="1"/>
  <c r="AD992" i="1" s="1"/>
  <c r="AD993" i="1" s="1"/>
  <c r="AD994" i="1" s="1"/>
  <c r="AD995" i="1" s="1"/>
  <c r="AD996" i="1" s="1"/>
  <c r="AD997" i="1" s="1"/>
  <c r="AD998" i="1" s="1"/>
  <c r="AC975" i="1"/>
  <c r="AB975" i="1"/>
  <c r="AA975" i="1"/>
  <c r="T975" i="1"/>
  <c r="P975" i="1"/>
  <c r="O975" i="1"/>
  <c r="N975" i="1"/>
  <c r="M975" i="1"/>
  <c r="L975" i="1"/>
  <c r="J975" i="1"/>
  <c r="C975" i="1"/>
  <c r="AK974" i="1"/>
  <c r="AK975" i="1" s="1"/>
  <c r="AK976" i="1" s="1"/>
  <c r="AK977" i="1" s="1"/>
  <c r="AK978" i="1" s="1"/>
  <c r="AK979" i="1" s="1"/>
  <c r="AK980" i="1" s="1"/>
  <c r="P974" i="1"/>
  <c r="O974" i="1"/>
  <c r="N974" i="1"/>
  <c r="M974" i="1"/>
  <c r="L974" i="1"/>
  <c r="K974" i="1"/>
  <c r="K975" i="1" s="1"/>
  <c r="J974" i="1"/>
  <c r="C974" i="1"/>
  <c r="B974" i="1"/>
  <c r="B975" i="1" s="1"/>
  <c r="B976" i="1" s="1"/>
  <c r="B977" i="1" s="1"/>
  <c r="B978" i="1" s="1"/>
  <c r="AV973" i="1"/>
  <c r="AV974" i="1" s="1"/>
  <c r="AV975" i="1" s="1"/>
  <c r="AV976" i="1" s="1"/>
  <c r="AV977" i="1" s="1"/>
  <c r="AV978" i="1" s="1"/>
  <c r="AV979" i="1" s="1"/>
  <c r="AV980" i="1" s="1"/>
  <c r="AV981" i="1" s="1"/>
  <c r="AV982" i="1" s="1"/>
  <c r="AV983" i="1" s="1"/>
  <c r="AV984" i="1" s="1"/>
  <c r="AV985" i="1" s="1"/>
  <c r="AV986" i="1" s="1"/>
  <c r="AV987" i="1" s="1"/>
  <c r="AV988" i="1" s="1"/>
  <c r="AT972" i="1"/>
  <c r="AT973" i="1" s="1"/>
  <c r="AT974" i="1" s="1"/>
  <c r="AT975" i="1" s="1"/>
  <c r="AT976" i="1" s="1"/>
  <c r="AT977" i="1" s="1"/>
  <c r="AT978" i="1" s="1"/>
  <c r="AT979" i="1" s="1"/>
  <c r="AT980" i="1" s="1"/>
  <c r="AT981" i="1" s="1"/>
  <c r="AT982" i="1" s="1"/>
  <c r="AT983" i="1" s="1"/>
  <c r="AT984" i="1" s="1"/>
  <c r="AT985" i="1" s="1"/>
  <c r="AT986" i="1" s="1"/>
  <c r="AT987" i="1" s="1"/>
  <c r="AT988" i="1" s="1"/>
  <c r="AR972" i="1"/>
  <c r="AR973" i="1" s="1"/>
  <c r="AR974" i="1" s="1"/>
  <c r="AR975" i="1" s="1"/>
  <c r="AR976" i="1" s="1"/>
  <c r="AR977" i="1" s="1"/>
  <c r="AR978" i="1" s="1"/>
  <c r="AR979" i="1" s="1"/>
  <c r="AR980" i="1" s="1"/>
  <c r="AR981" i="1" s="1"/>
  <c r="AR982" i="1" s="1"/>
  <c r="AR983" i="1" s="1"/>
  <c r="AR984" i="1" s="1"/>
  <c r="AR985" i="1" s="1"/>
  <c r="AR986" i="1" s="1"/>
  <c r="AR987" i="1" s="1"/>
  <c r="AR988" i="1" s="1"/>
  <c r="AK972" i="1"/>
  <c r="AK973" i="1" s="1"/>
  <c r="N972" i="1"/>
  <c r="AX971" i="1"/>
  <c r="AX972" i="1" s="1"/>
  <c r="AX973" i="1" s="1"/>
  <c r="AX974" i="1" s="1"/>
  <c r="AX975" i="1" s="1"/>
  <c r="AX976" i="1" s="1"/>
  <c r="AX977" i="1" s="1"/>
  <c r="AX978" i="1" s="1"/>
  <c r="AX979" i="1" s="1"/>
  <c r="AX980" i="1" s="1"/>
  <c r="AX981" i="1" s="1"/>
  <c r="AX982" i="1" s="1"/>
  <c r="AX983" i="1" s="1"/>
  <c r="AX984" i="1" s="1"/>
  <c r="AX985" i="1" s="1"/>
  <c r="AX986" i="1" s="1"/>
  <c r="AX987" i="1" s="1"/>
  <c r="AX988" i="1" s="1"/>
  <c r="AW971" i="1"/>
  <c r="AW972" i="1" s="1"/>
  <c r="AW973" i="1" s="1"/>
  <c r="AW974" i="1" s="1"/>
  <c r="AW975" i="1" s="1"/>
  <c r="AW976" i="1" s="1"/>
  <c r="AW977" i="1" s="1"/>
  <c r="AW978" i="1" s="1"/>
  <c r="AW979" i="1" s="1"/>
  <c r="AW980" i="1" s="1"/>
  <c r="AW981" i="1" s="1"/>
  <c r="AW982" i="1" s="1"/>
  <c r="AW983" i="1" s="1"/>
  <c r="AW984" i="1" s="1"/>
  <c r="AW985" i="1" s="1"/>
  <c r="AW986" i="1" s="1"/>
  <c r="AW987" i="1" s="1"/>
  <c r="AW988" i="1" s="1"/>
  <c r="AV971" i="1"/>
  <c r="AV972" i="1" s="1"/>
  <c r="AU971" i="1"/>
  <c r="AU972" i="1" s="1"/>
  <c r="AU973" i="1" s="1"/>
  <c r="AU974" i="1" s="1"/>
  <c r="AU975" i="1" s="1"/>
  <c r="AU976" i="1" s="1"/>
  <c r="AU977" i="1" s="1"/>
  <c r="AU978" i="1" s="1"/>
  <c r="AU979" i="1" s="1"/>
  <c r="AU980" i="1" s="1"/>
  <c r="AU981" i="1" s="1"/>
  <c r="AU982" i="1" s="1"/>
  <c r="AU983" i="1" s="1"/>
  <c r="AU984" i="1" s="1"/>
  <c r="AU985" i="1" s="1"/>
  <c r="AU986" i="1" s="1"/>
  <c r="AU987" i="1" s="1"/>
  <c r="AU988" i="1" s="1"/>
  <c r="AT971" i="1"/>
  <c r="AS971" i="1"/>
  <c r="AS972" i="1" s="1"/>
  <c r="AS973" i="1" s="1"/>
  <c r="AS974" i="1" s="1"/>
  <c r="AS975" i="1" s="1"/>
  <c r="AS976" i="1" s="1"/>
  <c r="AS977" i="1" s="1"/>
  <c r="AS978" i="1" s="1"/>
  <c r="AS979" i="1" s="1"/>
  <c r="AS980" i="1" s="1"/>
  <c r="AS981" i="1" s="1"/>
  <c r="AS982" i="1" s="1"/>
  <c r="AS983" i="1" s="1"/>
  <c r="AS984" i="1" s="1"/>
  <c r="AS985" i="1" s="1"/>
  <c r="AS986" i="1" s="1"/>
  <c r="AS987" i="1" s="1"/>
  <c r="AS988" i="1" s="1"/>
  <c r="AR971" i="1"/>
  <c r="AK971" i="1"/>
  <c r="AJ970" i="1"/>
  <c r="AJ971" i="1" s="1"/>
  <c r="AJ972" i="1" s="1"/>
  <c r="AJ973" i="1" s="1"/>
  <c r="AJ974" i="1" s="1"/>
  <c r="AJ975" i="1" s="1"/>
  <c r="AJ976" i="1" s="1"/>
  <c r="AJ977" i="1" s="1"/>
  <c r="AJ978" i="1" s="1"/>
  <c r="AJ979" i="1" s="1"/>
  <c r="AJ980" i="1" s="1"/>
  <c r="AJ981" i="1" s="1"/>
  <c r="AJ982" i="1" s="1"/>
  <c r="AJ983" i="1" s="1"/>
  <c r="AJ984" i="1" s="1"/>
  <c r="AJ985" i="1" s="1"/>
  <c r="AJ986" i="1" s="1"/>
  <c r="AJ987" i="1" s="1"/>
  <c r="AJ988" i="1" s="1"/>
  <c r="AU969" i="1"/>
  <c r="AT969" i="1"/>
  <c r="AS969" i="1"/>
  <c r="AR969" i="1"/>
  <c r="AK969" i="1"/>
  <c r="AX968" i="1"/>
  <c r="AX969" i="1" s="1"/>
  <c r="AW968" i="1"/>
  <c r="AW969" i="1" s="1"/>
  <c r="AV968" i="1"/>
  <c r="AV969" i="1" s="1"/>
  <c r="AU968" i="1"/>
  <c r="AT968" i="1"/>
  <c r="AS968" i="1"/>
  <c r="AR968" i="1"/>
  <c r="AK968" i="1"/>
  <c r="P966" i="1"/>
  <c r="P967" i="1" s="1"/>
  <c r="P968" i="1" s="1"/>
  <c r="P969" i="1" s="1"/>
  <c r="P970" i="1" s="1"/>
  <c r="P971" i="1" s="1"/>
  <c r="P972" i="1" s="1"/>
  <c r="AJ965" i="1"/>
  <c r="AJ966" i="1" s="1"/>
  <c r="AJ967" i="1" s="1"/>
  <c r="AJ968" i="1" s="1"/>
  <c r="AJ969" i="1" s="1"/>
  <c r="O964" i="1"/>
  <c r="O965" i="1" s="1"/>
  <c r="O966" i="1" s="1"/>
  <c r="O967" i="1" s="1"/>
  <c r="O968" i="1" s="1"/>
  <c r="O969" i="1" s="1"/>
  <c r="O970" i="1" s="1"/>
  <c r="O971" i="1" s="1"/>
  <c r="O972" i="1" s="1"/>
  <c r="P963" i="1"/>
  <c r="P964" i="1" s="1"/>
  <c r="P965" i="1" s="1"/>
  <c r="O963" i="1"/>
  <c r="N963" i="1"/>
  <c r="N964" i="1" s="1"/>
  <c r="N965" i="1" s="1"/>
  <c r="N966" i="1" s="1"/>
  <c r="N967" i="1" s="1"/>
  <c r="N968" i="1" s="1"/>
  <c r="N969" i="1" s="1"/>
  <c r="N970" i="1" s="1"/>
  <c r="N971" i="1" s="1"/>
  <c r="L963" i="1"/>
  <c r="L964" i="1" s="1"/>
  <c r="L965" i="1" s="1"/>
  <c r="L966" i="1" s="1"/>
  <c r="L967" i="1" s="1"/>
  <c r="L968" i="1" s="1"/>
  <c r="L969" i="1" s="1"/>
  <c r="L970" i="1" s="1"/>
  <c r="L971" i="1" s="1"/>
  <c r="L972" i="1" s="1"/>
  <c r="P962" i="1"/>
  <c r="O962" i="1"/>
  <c r="N962" i="1"/>
  <c r="AW961" i="1"/>
  <c r="AW962" i="1" s="1"/>
  <c r="AW963" i="1" s="1"/>
  <c r="AW964" i="1" s="1"/>
  <c r="AW965" i="1" s="1"/>
  <c r="AW966" i="1" s="1"/>
  <c r="P961" i="1"/>
  <c r="O961" i="1"/>
  <c r="N961" i="1"/>
  <c r="M961" i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L961" i="1"/>
  <c r="L962" i="1" s="1"/>
  <c r="K961" i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J961" i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C961" i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AK960" i="1"/>
  <c r="AK961" i="1" s="1"/>
  <c r="AK962" i="1" s="1"/>
  <c r="AK963" i="1" s="1"/>
  <c r="AK964" i="1" s="1"/>
  <c r="AK965" i="1" s="1"/>
  <c r="AK966" i="1" s="1"/>
  <c r="AK959" i="1"/>
  <c r="AX958" i="1"/>
  <c r="AX959" i="1" s="1"/>
  <c r="AX960" i="1" s="1"/>
  <c r="AX961" i="1" s="1"/>
  <c r="AX962" i="1" s="1"/>
  <c r="AX963" i="1" s="1"/>
  <c r="AX964" i="1" s="1"/>
  <c r="AX965" i="1" s="1"/>
  <c r="AX966" i="1" s="1"/>
  <c r="AD958" i="1"/>
  <c r="AD959" i="1" s="1"/>
  <c r="AD960" i="1" s="1"/>
  <c r="AD961" i="1" s="1"/>
  <c r="AD962" i="1" s="1"/>
  <c r="AD963" i="1" s="1"/>
  <c r="AD964" i="1" s="1"/>
  <c r="AD965" i="1" s="1"/>
  <c r="AD966" i="1" s="1"/>
  <c r="AD967" i="1" s="1"/>
  <c r="AD968" i="1" s="1"/>
  <c r="AD969" i="1" s="1"/>
  <c r="AD970" i="1" s="1"/>
  <c r="AD971" i="1" s="1"/>
  <c r="AD972" i="1" s="1"/>
  <c r="AD973" i="1" s="1"/>
  <c r="AX957" i="1"/>
  <c r="AW957" i="1"/>
  <c r="AW958" i="1" s="1"/>
  <c r="AW959" i="1" s="1"/>
  <c r="AW960" i="1" s="1"/>
  <c r="M957" i="1"/>
  <c r="M958" i="1" s="1"/>
  <c r="M959" i="1" s="1"/>
  <c r="C957" i="1"/>
  <c r="C958" i="1" s="1"/>
  <c r="C959" i="1" s="1"/>
  <c r="AS956" i="1"/>
  <c r="AS957" i="1" s="1"/>
  <c r="AS958" i="1" s="1"/>
  <c r="AS959" i="1" s="1"/>
  <c r="AS960" i="1" s="1"/>
  <c r="AS961" i="1" s="1"/>
  <c r="AS962" i="1" s="1"/>
  <c r="AS963" i="1" s="1"/>
  <c r="AS964" i="1" s="1"/>
  <c r="AS965" i="1" s="1"/>
  <c r="AS966" i="1" s="1"/>
  <c r="AR956" i="1"/>
  <c r="AR957" i="1" s="1"/>
  <c r="AR958" i="1" s="1"/>
  <c r="AR959" i="1" s="1"/>
  <c r="AR960" i="1" s="1"/>
  <c r="AR961" i="1" s="1"/>
  <c r="AR962" i="1" s="1"/>
  <c r="AR963" i="1" s="1"/>
  <c r="AR964" i="1" s="1"/>
  <c r="AR965" i="1" s="1"/>
  <c r="AR966" i="1" s="1"/>
  <c r="P956" i="1"/>
  <c r="P957" i="1" s="1"/>
  <c r="P958" i="1" s="1"/>
  <c r="P959" i="1" s="1"/>
  <c r="M956" i="1"/>
  <c r="AX955" i="1"/>
  <c r="AX956" i="1" s="1"/>
  <c r="AW955" i="1"/>
  <c r="AW956" i="1" s="1"/>
  <c r="AV955" i="1"/>
  <c r="AV956" i="1" s="1"/>
  <c r="AV957" i="1" s="1"/>
  <c r="AV958" i="1" s="1"/>
  <c r="AV959" i="1" s="1"/>
  <c r="AV960" i="1" s="1"/>
  <c r="AV961" i="1" s="1"/>
  <c r="AV962" i="1" s="1"/>
  <c r="AV963" i="1" s="1"/>
  <c r="AV964" i="1" s="1"/>
  <c r="AV965" i="1" s="1"/>
  <c r="AV966" i="1" s="1"/>
  <c r="AS955" i="1"/>
  <c r="AR955" i="1"/>
  <c r="AK955" i="1"/>
  <c r="AK956" i="1" s="1"/>
  <c r="AK957" i="1" s="1"/>
  <c r="AK958" i="1" s="1"/>
  <c r="AD955" i="1"/>
  <c r="AD956" i="1" s="1"/>
  <c r="AD957" i="1" s="1"/>
  <c r="P955" i="1"/>
  <c r="O955" i="1"/>
  <c r="O956" i="1" s="1"/>
  <c r="O957" i="1" s="1"/>
  <c r="O958" i="1" s="1"/>
  <c r="O959" i="1" s="1"/>
  <c r="J955" i="1"/>
  <c r="J956" i="1" s="1"/>
  <c r="J957" i="1" s="1"/>
  <c r="J958" i="1" s="1"/>
  <c r="J959" i="1" s="1"/>
  <c r="AX954" i="1"/>
  <c r="AW954" i="1"/>
  <c r="AV954" i="1"/>
  <c r="AU954" i="1"/>
  <c r="AU955" i="1" s="1"/>
  <c r="AU956" i="1" s="1"/>
  <c r="AU957" i="1" s="1"/>
  <c r="AU958" i="1" s="1"/>
  <c r="AU959" i="1" s="1"/>
  <c r="AU960" i="1" s="1"/>
  <c r="AU961" i="1" s="1"/>
  <c r="AU962" i="1" s="1"/>
  <c r="AU963" i="1" s="1"/>
  <c r="AU964" i="1" s="1"/>
  <c r="AU965" i="1" s="1"/>
  <c r="AU966" i="1" s="1"/>
  <c r="AT954" i="1"/>
  <c r="AT955" i="1" s="1"/>
  <c r="AT956" i="1" s="1"/>
  <c r="AT957" i="1" s="1"/>
  <c r="AT958" i="1" s="1"/>
  <c r="AT959" i="1" s="1"/>
  <c r="AT960" i="1" s="1"/>
  <c r="AT961" i="1" s="1"/>
  <c r="AT962" i="1" s="1"/>
  <c r="AT963" i="1" s="1"/>
  <c r="AT964" i="1" s="1"/>
  <c r="AT965" i="1" s="1"/>
  <c r="AT966" i="1" s="1"/>
  <c r="AS954" i="1"/>
  <c r="AR954" i="1"/>
  <c r="AK954" i="1"/>
  <c r="AF954" i="1"/>
  <c r="AF955" i="1" s="1"/>
  <c r="AF956" i="1" s="1"/>
  <c r="AF957" i="1" s="1"/>
  <c r="AF958" i="1" s="1"/>
  <c r="AF959" i="1" s="1"/>
  <c r="AF960" i="1" s="1"/>
  <c r="AF961" i="1" s="1"/>
  <c r="AF962" i="1" s="1"/>
  <c r="AF963" i="1" s="1"/>
  <c r="AF964" i="1" s="1"/>
  <c r="AF965" i="1" s="1"/>
  <c r="AF966" i="1" s="1"/>
  <c r="AF967" i="1" s="1"/>
  <c r="AF968" i="1" s="1"/>
  <c r="AF969" i="1" s="1"/>
  <c r="AF970" i="1" s="1"/>
  <c r="AF971" i="1" s="1"/>
  <c r="AF972" i="1" s="1"/>
  <c r="AF973" i="1" s="1"/>
  <c r="P954" i="1"/>
  <c r="O954" i="1"/>
  <c r="N954" i="1"/>
  <c r="N955" i="1" s="1"/>
  <c r="N956" i="1" s="1"/>
  <c r="N957" i="1" s="1"/>
  <c r="N958" i="1" s="1"/>
  <c r="N959" i="1" s="1"/>
  <c r="M954" i="1"/>
  <c r="M955" i="1" s="1"/>
  <c r="L954" i="1"/>
  <c r="L955" i="1" s="1"/>
  <c r="L956" i="1" s="1"/>
  <c r="L957" i="1" s="1"/>
  <c r="L958" i="1" s="1"/>
  <c r="L959" i="1" s="1"/>
  <c r="K954" i="1"/>
  <c r="K955" i="1" s="1"/>
  <c r="K956" i="1" s="1"/>
  <c r="K957" i="1" s="1"/>
  <c r="K958" i="1" s="1"/>
  <c r="K959" i="1" s="1"/>
  <c r="J954" i="1"/>
  <c r="C954" i="1"/>
  <c r="C955" i="1" s="1"/>
  <c r="C956" i="1" s="1"/>
  <c r="AG953" i="1"/>
  <c r="AG954" i="1" s="1"/>
  <c r="AG955" i="1" s="1"/>
  <c r="AG956" i="1" s="1"/>
  <c r="AG957" i="1" s="1"/>
  <c r="AG958" i="1" s="1"/>
  <c r="AG959" i="1" s="1"/>
  <c r="AG960" i="1" s="1"/>
  <c r="AG961" i="1" s="1"/>
  <c r="AG962" i="1" s="1"/>
  <c r="AG963" i="1" s="1"/>
  <c r="AG964" i="1" s="1"/>
  <c r="AG965" i="1" s="1"/>
  <c r="AG966" i="1" s="1"/>
  <c r="AG967" i="1" s="1"/>
  <c r="AG968" i="1" s="1"/>
  <c r="AG969" i="1" s="1"/>
  <c r="AG970" i="1" s="1"/>
  <c r="AG971" i="1" s="1"/>
  <c r="AG972" i="1" s="1"/>
  <c r="AG973" i="1" s="1"/>
  <c r="AG952" i="1"/>
  <c r="AF952" i="1"/>
  <c r="AF953" i="1" s="1"/>
  <c r="AC952" i="1"/>
  <c r="AC953" i="1" s="1"/>
  <c r="AC954" i="1" s="1"/>
  <c r="AC955" i="1" s="1"/>
  <c r="AC956" i="1" s="1"/>
  <c r="AC957" i="1" s="1"/>
  <c r="AC958" i="1" s="1"/>
  <c r="AC959" i="1" s="1"/>
  <c r="AC960" i="1" s="1"/>
  <c r="AC961" i="1" s="1"/>
  <c r="AC962" i="1" s="1"/>
  <c r="AC963" i="1" s="1"/>
  <c r="AC964" i="1" s="1"/>
  <c r="AC965" i="1" s="1"/>
  <c r="AC966" i="1" s="1"/>
  <c r="AC967" i="1" s="1"/>
  <c r="AC968" i="1" s="1"/>
  <c r="AC969" i="1" s="1"/>
  <c r="AC970" i="1" s="1"/>
  <c r="AC971" i="1" s="1"/>
  <c r="AC972" i="1" s="1"/>
  <c r="AC973" i="1" s="1"/>
  <c r="K952" i="1"/>
  <c r="AG951" i="1"/>
  <c r="AF951" i="1"/>
  <c r="AE951" i="1"/>
  <c r="AE952" i="1" s="1"/>
  <c r="AE953" i="1" s="1"/>
  <c r="AE954" i="1" s="1"/>
  <c r="AE955" i="1" s="1"/>
  <c r="AE956" i="1" s="1"/>
  <c r="AE957" i="1" s="1"/>
  <c r="AE958" i="1" s="1"/>
  <c r="AE959" i="1" s="1"/>
  <c r="AE960" i="1" s="1"/>
  <c r="AE961" i="1" s="1"/>
  <c r="AE962" i="1" s="1"/>
  <c r="AE963" i="1" s="1"/>
  <c r="AE964" i="1" s="1"/>
  <c r="AE965" i="1" s="1"/>
  <c r="AE966" i="1" s="1"/>
  <c r="AE967" i="1" s="1"/>
  <c r="AE968" i="1" s="1"/>
  <c r="AE969" i="1" s="1"/>
  <c r="AE970" i="1" s="1"/>
  <c r="AE971" i="1" s="1"/>
  <c r="AE972" i="1" s="1"/>
  <c r="AE973" i="1" s="1"/>
  <c r="S951" i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S1003" i="1" s="1"/>
  <c r="S1004" i="1" s="1"/>
  <c r="S1005" i="1" s="1"/>
  <c r="S1006" i="1" s="1"/>
  <c r="S1007" i="1" s="1"/>
  <c r="S1008" i="1" s="1"/>
  <c r="S1009" i="1" s="1"/>
  <c r="S1010" i="1" s="1"/>
  <c r="S1011" i="1" s="1"/>
  <c r="S1012" i="1" s="1"/>
  <c r="S1013" i="1" s="1"/>
  <c r="S1014" i="1" s="1"/>
  <c r="S1015" i="1" s="1"/>
  <c r="S1016" i="1" s="1"/>
  <c r="S1017" i="1" s="1"/>
  <c r="S1018" i="1" s="1"/>
  <c r="S1019" i="1" s="1"/>
  <c r="S1020" i="1" s="1"/>
  <c r="S1021" i="1" s="1"/>
  <c r="S1022" i="1" s="1"/>
  <c r="S1023" i="1" s="1"/>
  <c r="P951" i="1"/>
  <c r="P952" i="1" s="1"/>
  <c r="N951" i="1"/>
  <c r="N952" i="1" s="1"/>
  <c r="AG950" i="1"/>
  <c r="AF950" i="1"/>
  <c r="AE950" i="1"/>
  <c r="AD950" i="1"/>
  <c r="AD951" i="1" s="1"/>
  <c r="AD952" i="1" s="1"/>
  <c r="AD953" i="1" s="1"/>
  <c r="AD954" i="1" s="1"/>
  <c r="AC950" i="1"/>
  <c r="AC951" i="1" s="1"/>
  <c r="AB950" i="1"/>
  <c r="AB951" i="1" s="1"/>
  <c r="AB952" i="1" s="1"/>
  <c r="AB953" i="1" s="1"/>
  <c r="AB954" i="1" s="1"/>
  <c r="AB955" i="1" s="1"/>
  <c r="AB956" i="1" s="1"/>
  <c r="AB957" i="1" s="1"/>
  <c r="AB958" i="1" s="1"/>
  <c r="AB959" i="1" s="1"/>
  <c r="AB960" i="1" s="1"/>
  <c r="AB961" i="1" s="1"/>
  <c r="AB962" i="1" s="1"/>
  <c r="AB963" i="1" s="1"/>
  <c r="AB964" i="1" s="1"/>
  <c r="AB965" i="1" s="1"/>
  <c r="AB966" i="1" s="1"/>
  <c r="AB967" i="1" s="1"/>
  <c r="AB968" i="1" s="1"/>
  <c r="AB969" i="1" s="1"/>
  <c r="AB970" i="1" s="1"/>
  <c r="AB971" i="1" s="1"/>
  <c r="AB972" i="1" s="1"/>
  <c r="AB973" i="1" s="1"/>
  <c r="AA950" i="1"/>
  <c r="AA951" i="1" s="1"/>
  <c r="AA952" i="1" s="1"/>
  <c r="AA953" i="1" s="1"/>
  <c r="AA954" i="1" s="1"/>
  <c r="AA955" i="1" s="1"/>
  <c r="AA956" i="1" s="1"/>
  <c r="AA957" i="1" s="1"/>
  <c r="AA958" i="1" s="1"/>
  <c r="AA959" i="1" s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AA970" i="1" s="1"/>
  <c r="AA971" i="1" s="1"/>
  <c r="AA972" i="1" s="1"/>
  <c r="AA973" i="1" s="1"/>
  <c r="T950" i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S950" i="1"/>
  <c r="P950" i="1"/>
  <c r="O950" i="1"/>
  <c r="O951" i="1" s="1"/>
  <c r="O952" i="1" s="1"/>
  <c r="P949" i="1"/>
  <c r="O949" i="1"/>
  <c r="N949" i="1"/>
  <c r="N950" i="1" s="1"/>
  <c r="M949" i="1"/>
  <c r="M950" i="1" s="1"/>
  <c r="M951" i="1" s="1"/>
  <c r="M952" i="1" s="1"/>
  <c r="L949" i="1"/>
  <c r="L950" i="1" s="1"/>
  <c r="L951" i="1" s="1"/>
  <c r="L952" i="1" s="1"/>
  <c r="K949" i="1"/>
  <c r="K950" i="1" s="1"/>
  <c r="K951" i="1" s="1"/>
  <c r="J949" i="1"/>
  <c r="J950" i="1" s="1"/>
  <c r="J951" i="1" s="1"/>
  <c r="J952" i="1" s="1"/>
  <c r="C949" i="1"/>
  <c r="C950" i="1" s="1"/>
  <c r="C951" i="1" s="1"/>
  <c r="C952" i="1" s="1"/>
  <c r="AT948" i="1"/>
  <c r="AT949" i="1" s="1"/>
  <c r="AT950" i="1" s="1"/>
  <c r="AT951" i="1" s="1"/>
  <c r="AT952" i="1" s="1"/>
  <c r="P945" i="1"/>
  <c r="O945" i="1"/>
  <c r="AK941" i="1"/>
  <c r="AK942" i="1" s="1"/>
  <c r="AK943" i="1" s="1"/>
  <c r="AK944" i="1" s="1"/>
  <c r="AK945" i="1" s="1"/>
  <c r="AK946" i="1" s="1"/>
  <c r="AK947" i="1" s="1"/>
  <c r="AK948" i="1" s="1"/>
  <c r="AK949" i="1" s="1"/>
  <c r="AK950" i="1" s="1"/>
  <c r="AK951" i="1" s="1"/>
  <c r="AK952" i="1" s="1"/>
  <c r="AE941" i="1"/>
  <c r="AE942" i="1" s="1"/>
  <c r="AE943" i="1" s="1"/>
  <c r="AE944" i="1" s="1"/>
  <c r="AE945" i="1" s="1"/>
  <c r="AE946" i="1" s="1"/>
  <c r="AE947" i="1" s="1"/>
  <c r="AE948" i="1" s="1"/>
  <c r="K941" i="1"/>
  <c r="K942" i="1" s="1"/>
  <c r="AV940" i="1"/>
  <c r="AV941" i="1" s="1"/>
  <c r="AV942" i="1" s="1"/>
  <c r="AV943" i="1" s="1"/>
  <c r="AV944" i="1" s="1"/>
  <c r="AV945" i="1" s="1"/>
  <c r="AV946" i="1" s="1"/>
  <c r="AV947" i="1" s="1"/>
  <c r="AV948" i="1" s="1"/>
  <c r="AV949" i="1" s="1"/>
  <c r="AV950" i="1" s="1"/>
  <c r="AV951" i="1" s="1"/>
  <c r="AV952" i="1" s="1"/>
  <c r="AT940" i="1"/>
  <c r="AT941" i="1" s="1"/>
  <c r="AT942" i="1" s="1"/>
  <c r="AT943" i="1" s="1"/>
  <c r="AT944" i="1" s="1"/>
  <c r="AT945" i="1" s="1"/>
  <c r="AT946" i="1" s="1"/>
  <c r="AT947" i="1" s="1"/>
  <c r="AS940" i="1"/>
  <c r="AS941" i="1" s="1"/>
  <c r="AS942" i="1" s="1"/>
  <c r="AS943" i="1" s="1"/>
  <c r="AS944" i="1" s="1"/>
  <c r="AS945" i="1" s="1"/>
  <c r="AS946" i="1" s="1"/>
  <c r="AS947" i="1" s="1"/>
  <c r="AS948" i="1" s="1"/>
  <c r="AS949" i="1" s="1"/>
  <c r="AS950" i="1" s="1"/>
  <c r="AS951" i="1" s="1"/>
  <c r="AS952" i="1" s="1"/>
  <c r="N940" i="1"/>
  <c r="N941" i="1" s="1"/>
  <c r="N942" i="1" s="1"/>
  <c r="AX939" i="1"/>
  <c r="AX940" i="1" s="1"/>
  <c r="AX941" i="1" s="1"/>
  <c r="AX942" i="1" s="1"/>
  <c r="AX943" i="1" s="1"/>
  <c r="AX944" i="1" s="1"/>
  <c r="AX945" i="1" s="1"/>
  <c r="AX946" i="1" s="1"/>
  <c r="AX947" i="1" s="1"/>
  <c r="AX948" i="1" s="1"/>
  <c r="AX949" i="1" s="1"/>
  <c r="AX950" i="1" s="1"/>
  <c r="AX951" i="1" s="1"/>
  <c r="AX952" i="1" s="1"/>
  <c r="AV939" i="1"/>
  <c r="AR939" i="1"/>
  <c r="AR940" i="1" s="1"/>
  <c r="AR941" i="1" s="1"/>
  <c r="AR942" i="1" s="1"/>
  <c r="AR943" i="1" s="1"/>
  <c r="AR944" i="1" s="1"/>
  <c r="AR945" i="1" s="1"/>
  <c r="AR946" i="1" s="1"/>
  <c r="AR947" i="1" s="1"/>
  <c r="AR948" i="1" s="1"/>
  <c r="AR949" i="1" s="1"/>
  <c r="AR950" i="1" s="1"/>
  <c r="AR951" i="1" s="1"/>
  <c r="AR952" i="1" s="1"/>
  <c r="P939" i="1"/>
  <c r="P940" i="1" s="1"/>
  <c r="P941" i="1" s="1"/>
  <c r="P942" i="1" s="1"/>
  <c r="K939" i="1"/>
  <c r="K940" i="1" s="1"/>
  <c r="C939" i="1"/>
  <c r="C940" i="1" s="1"/>
  <c r="C941" i="1" s="1"/>
  <c r="C942" i="1" s="1"/>
  <c r="AX938" i="1"/>
  <c r="AV938" i="1"/>
  <c r="AU938" i="1"/>
  <c r="AU939" i="1" s="1"/>
  <c r="AU940" i="1" s="1"/>
  <c r="AU941" i="1" s="1"/>
  <c r="AU942" i="1" s="1"/>
  <c r="AU943" i="1" s="1"/>
  <c r="AU944" i="1" s="1"/>
  <c r="AU945" i="1" s="1"/>
  <c r="AU946" i="1" s="1"/>
  <c r="AU947" i="1" s="1"/>
  <c r="AU948" i="1" s="1"/>
  <c r="AU949" i="1" s="1"/>
  <c r="AU950" i="1" s="1"/>
  <c r="AU951" i="1" s="1"/>
  <c r="AU952" i="1" s="1"/>
  <c r="AE938" i="1"/>
  <c r="AE939" i="1" s="1"/>
  <c r="AE940" i="1" s="1"/>
  <c r="AA938" i="1"/>
  <c r="AA939" i="1" s="1"/>
  <c r="AA940" i="1" s="1"/>
  <c r="AA941" i="1" s="1"/>
  <c r="AA942" i="1" s="1"/>
  <c r="AA943" i="1" s="1"/>
  <c r="AA944" i="1" s="1"/>
  <c r="AA945" i="1" s="1"/>
  <c r="AA946" i="1" s="1"/>
  <c r="AA947" i="1" s="1"/>
  <c r="AA948" i="1" s="1"/>
  <c r="P938" i="1"/>
  <c r="O938" i="1"/>
  <c r="O939" i="1" s="1"/>
  <c r="O940" i="1" s="1"/>
  <c r="O941" i="1" s="1"/>
  <c r="O942" i="1" s="1"/>
  <c r="N938" i="1"/>
  <c r="N939" i="1" s="1"/>
  <c r="M938" i="1"/>
  <c r="M939" i="1" s="1"/>
  <c r="M940" i="1" s="1"/>
  <c r="M941" i="1" s="1"/>
  <c r="M942" i="1" s="1"/>
  <c r="L938" i="1"/>
  <c r="L939" i="1" s="1"/>
  <c r="L940" i="1" s="1"/>
  <c r="L941" i="1" s="1"/>
  <c r="L942" i="1" s="1"/>
  <c r="K938" i="1"/>
  <c r="J938" i="1"/>
  <c r="J939" i="1" s="1"/>
  <c r="J940" i="1" s="1"/>
  <c r="J941" i="1" s="1"/>
  <c r="J942" i="1" s="1"/>
  <c r="C938" i="1"/>
  <c r="AX937" i="1"/>
  <c r="AW937" i="1"/>
  <c r="AW938" i="1" s="1"/>
  <c r="AW939" i="1" s="1"/>
  <c r="AW940" i="1" s="1"/>
  <c r="AW941" i="1" s="1"/>
  <c r="AW942" i="1" s="1"/>
  <c r="AW943" i="1" s="1"/>
  <c r="AW944" i="1" s="1"/>
  <c r="AW945" i="1" s="1"/>
  <c r="AW946" i="1" s="1"/>
  <c r="AW947" i="1" s="1"/>
  <c r="AW948" i="1" s="1"/>
  <c r="AW949" i="1" s="1"/>
  <c r="AW950" i="1" s="1"/>
  <c r="AW951" i="1" s="1"/>
  <c r="AW952" i="1" s="1"/>
  <c r="AV937" i="1"/>
  <c r="AU937" i="1"/>
  <c r="AT937" i="1"/>
  <c r="AT938" i="1" s="1"/>
  <c r="AT939" i="1" s="1"/>
  <c r="AS937" i="1"/>
  <c r="AS938" i="1" s="1"/>
  <c r="AS939" i="1" s="1"/>
  <c r="AR937" i="1"/>
  <c r="AR938" i="1" s="1"/>
  <c r="AK937" i="1"/>
  <c r="AK938" i="1" s="1"/>
  <c r="AK939" i="1" s="1"/>
  <c r="AK940" i="1" s="1"/>
  <c r="AJ936" i="1"/>
  <c r="AJ937" i="1" s="1"/>
  <c r="AJ938" i="1" s="1"/>
  <c r="AJ939" i="1" s="1"/>
  <c r="AJ940" i="1" s="1"/>
  <c r="AJ941" i="1" s="1"/>
  <c r="AJ942" i="1" s="1"/>
  <c r="AJ943" i="1" s="1"/>
  <c r="AJ944" i="1" s="1"/>
  <c r="AJ945" i="1" s="1"/>
  <c r="AJ946" i="1" s="1"/>
  <c r="AJ947" i="1" s="1"/>
  <c r="AJ948" i="1" s="1"/>
  <c r="AJ949" i="1" s="1"/>
  <c r="AJ950" i="1" s="1"/>
  <c r="AJ951" i="1" s="1"/>
  <c r="AJ952" i="1" s="1"/>
  <c r="AJ953" i="1" s="1"/>
  <c r="AJ954" i="1" s="1"/>
  <c r="AJ955" i="1" s="1"/>
  <c r="AJ956" i="1" s="1"/>
  <c r="AJ957" i="1" s="1"/>
  <c r="AJ958" i="1" s="1"/>
  <c r="AJ959" i="1" s="1"/>
  <c r="AJ960" i="1" s="1"/>
  <c r="AJ961" i="1" s="1"/>
  <c r="AJ962" i="1" s="1"/>
  <c r="AJ963" i="1" s="1"/>
  <c r="AW935" i="1"/>
  <c r="AS935" i="1"/>
  <c r="AE935" i="1"/>
  <c r="AE936" i="1" s="1"/>
  <c r="AE937" i="1" s="1"/>
  <c r="AT934" i="1"/>
  <c r="AT935" i="1" s="1"/>
  <c r="AR934" i="1"/>
  <c r="AR935" i="1" s="1"/>
  <c r="AK934" i="1"/>
  <c r="AK935" i="1" s="1"/>
  <c r="AJ934" i="1"/>
  <c r="AJ935" i="1" s="1"/>
  <c r="P934" i="1"/>
  <c r="O934" i="1"/>
  <c r="N934" i="1"/>
  <c r="M934" i="1"/>
  <c r="L934" i="1"/>
  <c r="K934" i="1"/>
  <c r="J934" i="1"/>
  <c r="C934" i="1"/>
  <c r="AX933" i="1"/>
  <c r="AX934" i="1" s="1"/>
  <c r="AX935" i="1" s="1"/>
  <c r="AW933" i="1"/>
  <c r="AW934" i="1" s="1"/>
  <c r="AV933" i="1"/>
  <c r="AV934" i="1" s="1"/>
  <c r="AV935" i="1" s="1"/>
  <c r="AU933" i="1"/>
  <c r="AU934" i="1" s="1"/>
  <c r="AU935" i="1" s="1"/>
  <c r="AT933" i="1"/>
  <c r="AS933" i="1"/>
  <c r="AS934" i="1" s="1"/>
  <c r="AR933" i="1"/>
  <c r="AK933" i="1"/>
  <c r="AJ933" i="1"/>
  <c r="AC933" i="1"/>
  <c r="AC934" i="1" s="1"/>
  <c r="AC935" i="1" s="1"/>
  <c r="AC936" i="1" s="1"/>
  <c r="AC937" i="1" s="1"/>
  <c r="AC938" i="1" s="1"/>
  <c r="AC939" i="1" s="1"/>
  <c r="AC940" i="1" s="1"/>
  <c r="AC941" i="1" s="1"/>
  <c r="AC942" i="1" s="1"/>
  <c r="AC943" i="1" s="1"/>
  <c r="AC944" i="1" s="1"/>
  <c r="AC945" i="1" s="1"/>
  <c r="AC946" i="1" s="1"/>
  <c r="AC947" i="1" s="1"/>
  <c r="AC948" i="1" s="1"/>
  <c r="AB933" i="1"/>
  <c r="AB934" i="1" s="1"/>
  <c r="AB935" i="1" s="1"/>
  <c r="AB936" i="1" s="1"/>
  <c r="AB937" i="1" s="1"/>
  <c r="AB938" i="1" s="1"/>
  <c r="AB939" i="1" s="1"/>
  <c r="AB940" i="1" s="1"/>
  <c r="AB941" i="1" s="1"/>
  <c r="AB942" i="1" s="1"/>
  <c r="AB943" i="1" s="1"/>
  <c r="AB944" i="1" s="1"/>
  <c r="AB945" i="1" s="1"/>
  <c r="AB946" i="1" s="1"/>
  <c r="AB947" i="1" s="1"/>
  <c r="AB948" i="1" s="1"/>
  <c r="AF932" i="1"/>
  <c r="AF933" i="1" s="1"/>
  <c r="AF934" i="1" s="1"/>
  <c r="AF935" i="1" s="1"/>
  <c r="AF936" i="1" s="1"/>
  <c r="AF937" i="1" s="1"/>
  <c r="AF938" i="1" s="1"/>
  <c r="AF939" i="1" s="1"/>
  <c r="AF940" i="1" s="1"/>
  <c r="AF941" i="1" s="1"/>
  <c r="AF942" i="1" s="1"/>
  <c r="AF943" i="1" s="1"/>
  <c r="AF944" i="1" s="1"/>
  <c r="AF945" i="1" s="1"/>
  <c r="AF946" i="1" s="1"/>
  <c r="AF947" i="1" s="1"/>
  <c r="AF948" i="1" s="1"/>
  <c r="AD931" i="1"/>
  <c r="AD932" i="1" s="1"/>
  <c r="AD933" i="1" s="1"/>
  <c r="AD934" i="1" s="1"/>
  <c r="AD935" i="1" s="1"/>
  <c r="AD936" i="1" s="1"/>
  <c r="AD937" i="1" s="1"/>
  <c r="AD938" i="1" s="1"/>
  <c r="AD939" i="1" s="1"/>
  <c r="AD940" i="1" s="1"/>
  <c r="AD941" i="1" s="1"/>
  <c r="AD942" i="1" s="1"/>
  <c r="AD943" i="1" s="1"/>
  <c r="AD944" i="1" s="1"/>
  <c r="AD945" i="1" s="1"/>
  <c r="AD946" i="1" s="1"/>
  <c r="AD947" i="1" s="1"/>
  <c r="AD948" i="1" s="1"/>
  <c r="AB931" i="1"/>
  <c r="AB932" i="1" s="1"/>
  <c r="AA931" i="1"/>
  <c r="AA932" i="1" s="1"/>
  <c r="AA933" i="1" s="1"/>
  <c r="AA934" i="1" s="1"/>
  <c r="AA935" i="1" s="1"/>
  <c r="AA936" i="1" s="1"/>
  <c r="AA937" i="1" s="1"/>
  <c r="K931" i="1"/>
  <c r="AD930" i="1"/>
  <c r="O930" i="1"/>
  <c r="O931" i="1" s="1"/>
  <c r="AG929" i="1"/>
  <c r="AG930" i="1" s="1"/>
  <c r="AG931" i="1" s="1"/>
  <c r="AG932" i="1" s="1"/>
  <c r="AG933" i="1" s="1"/>
  <c r="AG934" i="1" s="1"/>
  <c r="AG935" i="1" s="1"/>
  <c r="AG936" i="1" s="1"/>
  <c r="AG937" i="1" s="1"/>
  <c r="AG938" i="1" s="1"/>
  <c r="AG939" i="1" s="1"/>
  <c r="AG940" i="1" s="1"/>
  <c r="AG941" i="1" s="1"/>
  <c r="AG942" i="1" s="1"/>
  <c r="AG943" i="1" s="1"/>
  <c r="AG944" i="1" s="1"/>
  <c r="AG945" i="1" s="1"/>
  <c r="AG946" i="1" s="1"/>
  <c r="AG947" i="1" s="1"/>
  <c r="AG948" i="1" s="1"/>
  <c r="AC929" i="1"/>
  <c r="AC930" i="1" s="1"/>
  <c r="AC931" i="1" s="1"/>
  <c r="AC932" i="1" s="1"/>
  <c r="AB929" i="1"/>
  <c r="AB930" i="1" s="1"/>
  <c r="AA929" i="1"/>
  <c r="AA930" i="1" s="1"/>
  <c r="M929" i="1"/>
  <c r="M930" i="1" s="1"/>
  <c r="M931" i="1" s="1"/>
  <c r="K929" i="1"/>
  <c r="K930" i="1" s="1"/>
  <c r="C929" i="1"/>
  <c r="C930" i="1" s="1"/>
  <c r="C931" i="1" s="1"/>
  <c r="AG928" i="1"/>
  <c r="AF928" i="1"/>
  <c r="AF929" i="1" s="1"/>
  <c r="AF930" i="1" s="1"/>
  <c r="AF931" i="1" s="1"/>
  <c r="AE928" i="1"/>
  <c r="AE929" i="1" s="1"/>
  <c r="AE930" i="1" s="1"/>
  <c r="AE931" i="1" s="1"/>
  <c r="AE932" i="1" s="1"/>
  <c r="AE933" i="1" s="1"/>
  <c r="AE934" i="1" s="1"/>
  <c r="AD928" i="1"/>
  <c r="AD929" i="1" s="1"/>
  <c r="AC928" i="1"/>
  <c r="AB928" i="1"/>
  <c r="AA928" i="1"/>
  <c r="T928" i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P928" i="1"/>
  <c r="P929" i="1" s="1"/>
  <c r="P930" i="1" s="1"/>
  <c r="P931" i="1" s="1"/>
  <c r="O928" i="1"/>
  <c r="O929" i="1" s="1"/>
  <c r="N928" i="1"/>
  <c r="N929" i="1" s="1"/>
  <c r="N930" i="1" s="1"/>
  <c r="N931" i="1" s="1"/>
  <c r="M928" i="1"/>
  <c r="L928" i="1"/>
  <c r="L929" i="1" s="1"/>
  <c r="L930" i="1" s="1"/>
  <c r="L931" i="1" s="1"/>
  <c r="K928" i="1"/>
  <c r="J928" i="1"/>
  <c r="J929" i="1" s="1"/>
  <c r="J930" i="1" s="1"/>
  <c r="J931" i="1" s="1"/>
  <c r="C928" i="1"/>
  <c r="L924" i="1"/>
  <c r="L925" i="1" s="1"/>
  <c r="L926" i="1" s="1"/>
  <c r="J924" i="1"/>
  <c r="J925" i="1" s="1"/>
  <c r="J926" i="1" s="1"/>
  <c r="P923" i="1"/>
  <c r="P924" i="1" s="1"/>
  <c r="P925" i="1" s="1"/>
  <c r="P926" i="1" s="1"/>
  <c r="J923" i="1"/>
  <c r="P922" i="1"/>
  <c r="M922" i="1"/>
  <c r="M923" i="1" s="1"/>
  <c r="M924" i="1" s="1"/>
  <c r="M925" i="1" s="1"/>
  <c r="M926" i="1" s="1"/>
  <c r="L922" i="1"/>
  <c r="L923" i="1" s="1"/>
  <c r="P921" i="1"/>
  <c r="O921" i="1"/>
  <c r="O922" i="1" s="1"/>
  <c r="O923" i="1" s="1"/>
  <c r="O924" i="1" s="1"/>
  <c r="O925" i="1" s="1"/>
  <c r="O926" i="1" s="1"/>
  <c r="N921" i="1"/>
  <c r="N922" i="1" s="1"/>
  <c r="N923" i="1" s="1"/>
  <c r="N924" i="1" s="1"/>
  <c r="N925" i="1" s="1"/>
  <c r="N926" i="1" s="1"/>
  <c r="M921" i="1"/>
  <c r="L921" i="1"/>
  <c r="K921" i="1"/>
  <c r="K922" i="1" s="1"/>
  <c r="K923" i="1" s="1"/>
  <c r="K924" i="1" s="1"/>
  <c r="K925" i="1" s="1"/>
  <c r="K926" i="1" s="1"/>
  <c r="J921" i="1"/>
  <c r="J922" i="1" s="1"/>
  <c r="C921" i="1"/>
  <c r="C922" i="1" s="1"/>
  <c r="C923" i="1" s="1"/>
  <c r="C924" i="1" s="1"/>
  <c r="C925" i="1" s="1"/>
  <c r="C926" i="1" s="1"/>
  <c r="N919" i="1"/>
  <c r="M919" i="1"/>
  <c r="L919" i="1"/>
  <c r="C919" i="1"/>
  <c r="AS918" i="1"/>
  <c r="AS919" i="1" s="1"/>
  <c r="AS920" i="1" s="1"/>
  <c r="AS921" i="1" s="1"/>
  <c r="AS922" i="1" s="1"/>
  <c r="AS923" i="1" s="1"/>
  <c r="AS924" i="1" s="1"/>
  <c r="AS925" i="1" s="1"/>
  <c r="AS926" i="1" s="1"/>
  <c r="AS927" i="1" s="1"/>
  <c r="AS928" i="1" s="1"/>
  <c r="AS929" i="1" s="1"/>
  <c r="AS930" i="1" s="1"/>
  <c r="AS931" i="1" s="1"/>
  <c r="P918" i="1"/>
  <c r="P919" i="1" s="1"/>
  <c r="O918" i="1"/>
  <c r="O919" i="1" s="1"/>
  <c r="N918" i="1"/>
  <c r="M918" i="1"/>
  <c r="L918" i="1"/>
  <c r="K918" i="1"/>
  <c r="K919" i="1" s="1"/>
  <c r="J918" i="1"/>
  <c r="J919" i="1" s="1"/>
  <c r="C918" i="1"/>
  <c r="P916" i="1"/>
  <c r="O916" i="1"/>
  <c r="N916" i="1"/>
  <c r="J916" i="1"/>
  <c r="B916" i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P915" i="1"/>
  <c r="O915" i="1"/>
  <c r="N915" i="1"/>
  <c r="M915" i="1"/>
  <c r="M916" i="1" s="1"/>
  <c r="L915" i="1"/>
  <c r="L916" i="1" s="1"/>
  <c r="K915" i="1"/>
  <c r="K916" i="1" s="1"/>
  <c r="J915" i="1"/>
  <c r="C915" i="1"/>
  <c r="C916" i="1" s="1"/>
  <c r="AX913" i="1"/>
  <c r="AX914" i="1" s="1"/>
  <c r="AX915" i="1" s="1"/>
  <c r="AX916" i="1" s="1"/>
  <c r="AX917" i="1" s="1"/>
  <c r="AX918" i="1" s="1"/>
  <c r="AX919" i="1" s="1"/>
  <c r="AX920" i="1" s="1"/>
  <c r="AX921" i="1" s="1"/>
  <c r="AX922" i="1" s="1"/>
  <c r="AX923" i="1" s="1"/>
  <c r="AX924" i="1" s="1"/>
  <c r="AX925" i="1" s="1"/>
  <c r="AX926" i="1" s="1"/>
  <c r="AX927" i="1" s="1"/>
  <c r="AX928" i="1" s="1"/>
  <c r="AX929" i="1" s="1"/>
  <c r="AX930" i="1" s="1"/>
  <c r="AX931" i="1" s="1"/>
  <c r="AU913" i="1"/>
  <c r="AU914" i="1" s="1"/>
  <c r="AU915" i="1" s="1"/>
  <c r="AU916" i="1" s="1"/>
  <c r="AU917" i="1" s="1"/>
  <c r="AU918" i="1" s="1"/>
  <c r="AU919" i="1" s="1"/>
  <c r="AU920" i="1" s="1"/>
  <c r="AU921" i="1" s="1"/>
  <c r="AU922" i="1" s="1"/>
  <c r="AU923" i="1" s="1"/>
  <c r="AU924" i="1" s="1"/>
  <c r="AU925" i="1" s="1"/>
  <c r="AU926" i="1" s="1"/>
  <c r="AU927" i="1" s="1"/>
  <c r="AU928" i="1" s="1"/>
  <c r="AU929" i="1" s="1"/>
  <c r="AU930" i="1" s="1"/>
  <c r="AU931" i="1" s="1"/>
  <c r="AR913" i="1"/>
  <c r="AR914" i="1" s="1"/>
  <c r="AR915" i="1" s="1"/>
  <c r="AR916" i="1" s="1"/>
  <c r="AR917" i="1" s="1"/>
  <c r="AR918" i="1" s="1"/>
  <c r="AR919" i="1" s="1"/>
  <c r="AR920" i="1" s="1"/>
  <c r="AR921" i="1" s="1"/>
  <c r="AR922" i="1" s="1"/>
  <c r="AR923" i="1" s="1"/>
  <c r="AR924" i="1" s="1"/>
  <c r="AR925" i="1" s="1"/>
  <c r="AR926" i="1" s="1"/>
  <c r="AR927" i="1" s="1"/>
  <c r="AR928" i="1" s="1"/>
  <c r="AR929" i="1" s="1"/>
  <c r="AR930" i="1" s="1"/>
  <c r="AR931" i="1" s="1"/>
  <c r="AJ913" i="1"/>
  <c r="AJ914" i="1" s="1"/>
  <c r="AJ915" i="1" s="1"/>
  <c r="AJ916" i="1" s="1"/>
  <c r="AJ917" i="1" s="1"/>
  <c r="AJ918" i="1" s="1"/>
  <c r="AJ919" i="1" s="1"/>
  <c r="AJ920" i="1" s="1"/>
  <c r="AJ921" i="1" s="1"/>
  <c r="AJ922" i="1" s="1"/>
  <c r="AJ923" i="1" s="1"/>
  <c r="AJ924" i="1" s="1"/>
  <c r="AJ925" i="1" s="1"/>
  <c r="AJ926" i="1" s="1"/>
  <c r="AJ927" i="1" s="1"/>
  <c r="AJ928" i="1" s="1"/>
  <c r="AJ929" i="1" s="1"/>
  <c r="AJ930" i="1" s="1"/>
  <c r="AJ931" i="1" s="1"/>
  <c r="P913" i="1"/>
  <c r="N913" i="1"/>
  <c r="AX912" i="1"/>
  <c r="AU912" i="1"/>
  <c r="AJ912" i="1"/>
  <c r="N912" i="1"/>
  <c r="L912" i="1"/>
  <c r="L913" i="1" s="1"/>
  <c r="AX911" i="1"/>
  <c r="AW911" i="1"/>
  <c r="AW912" i="1" s="1"/>
  <c r="AW913" i="1" s="1"/>
  <c r="AW914" i="1" s="1"/>
  <c r="AW915" i="1" s="1"/>
  <c r="AW916" i="1" s="1"/>
  <c r="AW917" i="1" s="1"/>
  <c r="AW918" i="1" s="1"/>
  <c r="AW919" i="1" s="1"/>
  <c r="AW920" i="1" s="1"/>
  <c r="AW921" i="1" s="1"/>
  <c r="AW922" i="1" s="1"/>
  <c r="AW923" i="1" s="1"/>
  <c r="AW924" i="1" s="1"/>
  <c r="AW925" i="1" s="1"/>
  <c r="AW926" i="1" s="1"/>
  <c r="AW927" i="1" s="1"/>
  <c r="AW928" i="1" s="1"/>
  <c r="AW929" i="1" s="1"/>
  <c r="AW930" i="1" s="1"/>
  <c r="AW931" i="1" s="1"/>
  <c r="AV911" i="1"/>
  <c r="AV912" i="1" s="1"/>
  <c r="AV913" i="1" s="1"/>
  <c r="AV914" i="1" s="1"/>
  <c r="AV915" i="1" s="1"/>
  <c r="AV916" i="1" s="1"/>
  <c r="AV917" i="1" s="1"/>
  <c r="AV918" i="1" s="1"/>
  <c r="AV919" i="1" s="1"/>
  <c r="AV920" i="1" s="1"/>
  <c r="AV921" i="1" s="1"/>
  <c r="AV922" i="1" s="1"/>
  <c r="AV923" i="1" s="1"/>
  <c r="AV924" i="1" s="1"/>
  <c r="AV925" i="1" s="1"/>
  <c r="AV926" i="1" s="1"/>
  <c r="AV927" i="1" s="1"/>
  <c r="AV928" i="1" s="1"/>
  <c r="AV929" i="1" s="1"/>
  <c r="AV930" i="1" s="1"/>
  <c r="AV931" i="1" s="1"/>
  <c r="AU911" i="1"/>
  <c r="AT911" i="1"/>
  <c r="AT912" i="1" s="1"/>
  <c r="AT913" i="1" s="1"/>
  <c r="AT914" i="1" s="1"/>
  <c r="AT915" i="1" s="1"/>
  <c r="AT916" i="1" s="1"/>
  <c r="AT917" i="1" s="1"/>
  <c r="AT918" i="1" s="1"/>
  <c r="AT919" i="1" s="1"/>
  <c r="AT920" i="1" s="1"/>
  <c r="AT921" i="1" s="1"/>
  <c r="AT922" i="1" s="1"/>
  <c r="AT923" i="1" s="1"/>
  <c r="AT924" i="1" s="1"/>
  <c r="AT925" i="1" s="1"/>
  <c r="AT926" i="1" s="1"/>
  <c r="AT927" i="1" s="1"/>
  <c r="AT928" i="1" s="1"/>
  <c r="AT929" i="1" s="1"/>
  <c r="AT930" i="1" s="1"/>
  <c r="AT931" i="1" s="1"/>
  <c r="AS911" i="1"/>
  <c r="AS912" i="1" s="1"/>
  <c r="AS913" i="1" s="1"/>
  <c r="AS914" i="1" s="1"/>
  <c r="AS915" i="1" s="1"/>
  <c r="AS916" i="1" s="1"/>
  <c r="AS917" i="1" s="1"/>
  <c r="AR911" i="1"/>
  <c r="AR912" i="1" s="1"/>
  <c r="AK911" i="1"/>
  <c r="AK912" i="1" s="1"/>
  <c r="AK913" i="1" s="1"/>
  <c r="AK914" i="1" s="1"/>
  <c r="AK915" i="1" s="1"/>
  <c r="AK916" i="1" s="1"/>
  <c r="AK917" i="1" s="1"/>
  <c r="AK918" i="1" s="1"/>
  <c r="AK919" i="1" s="1"/>
  <c r="AK920" i="1" s="1"/>
  <c r="AK921" i="1" s="1"/>
  <c r="AK922" i="1" s="1"/>
  <c r="AK923" i="1" s="1"/>
  <c r="AK924" i="1" s="1"/>
  <c r="AK925" i="1" s="1"/>
  <c r="AK926" i="1" s="1"/>
  <c r="AK927" i="1" s="1"/>
  <c r="AK928" i="1" s="1"/>
  <c r="AK929" i="1" s="1"/>
  <c r="AK930" i="1" s="1"/>
  <c r="AK931" i="1" s="1"/>
  <c r="AJ911" i="1"/>
  <c r="P911" i="1"/>
  <c r="P912" i="1" s="1"/>
  <c r="O911" i="1"/>
  <c r="O912" i="1" s="1"/>
  <c r="O913" i="1" s="1"/>
  <c r="N911" i="1"/>
  <c r="M911" i="1"/>
  <c r="M912" i="1" s="1"/>
  <c r="M913" i="1" s="1"/>
  <c r="L911" i="1"/>
  <c r="K911" i="1"/>
  <c r="K912" i="1" s="1"/>
  <c r="K913" i="1" s="1"/>
  <c r="J911" i="1"/>
  <c r="J912" i="1" s="1"/>
  <c r="J913" i="1" s="1"/>
  <c r="C911" i="1"/>
  <c r="C912" i="1" s="1"/>
  <c r="C913" i="1" s="1"/>
  <c r="B909" i="1"/>
  <c r="B910" i="1" s="1"/>
  <c r="B911" i="1" s="1"/>
  <c r="B912" i="1" s="1"/>
  <c r="B913" i="1" s="1"/>
  <c r="B914" i="1" s="1"/>
  <c r="B915" i="1" s="1"/>
  <c r="T907" i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AF906" i="1"/>
  <c r="AF907" i="1" s="1"/>
  <c r="AF908" i="1" s="1"/>
  <c r="AF909" i="1" s="1"/>
  <c r="AF910" i="1" s="1"/>
  <c r="AF911" i="1" s="1"/>
  <c r="AF912" i="1" s="1"/>
  <c r="AF913" i="1" s="1"/>
  <c r="AF914" i="1" s="1"/>
  <c r="AF915" i="1" s="1"/>
  <c r="AF916" i="1" s="1"/>
  <c r="AF917" i="1" s="1"/>
  <c r="AF918" i="1" s="1"/>
  <c r="AF919" i="1" s="1"/>
  <c r="AF920" i="1" s="1"/>
  <c r="AF921" i="1" s="1"/>
  <c r="AF922" i="1" s="1"/>
  <c r="AF923" i="1" s="1"/>
  <c r="AF924" i="1" s="1"/>
  <c r="AF925" i="1" s="1"/>
  <c r="AF926" i="1" s="1"/>
  <c r="AD906" i="1"/>
  <c r="AD907" i="1" s="1"/>
  <c r="AD908" i="1" s="1"/>
  <c r="AD909" i="1" s="1"/>
  <c r="AD910" i="1" s="1"/>
  <c r="AD911" i="1" s="1"/>
  <c r="AD912" i="1" s="1"/>
  <c r="AD913" i="1" s="1"/>
  <c r="AD914" i="1" s="1"/>
  <c r="AD915" i="1" s="1"/>
  <c r="AD916" i="1" s="1"/>
  <c r="AD917" i="1" s="1"/>
  <c r="AD918" i="1" s="1"/>
  <c r="AD919" i="1" s="1"/>
  <c r="AD920" i="1" s="1"/>
  <c r="AD921" i="1" s="1"/>
  <c r="AD922" i="1" s="1"/>
  <c r="AD923" i="1" s="1"/>
  <c r="AD924" i="1" s="1"/>
  <c r="AD925" i="1" s="1"/>
  <c r="AD926" i="1" s="1"/>
  <c r="AB906" i="1"/>
  <c r="AB907" i="1" s="1"/>
  <c r="AB908" i="1" s="1"/>
  <c r="AB909" i="1" s="1"/>
  <c r="AB910" i="1" s="1"/>
  <c r="AB911" i="1" s="1"/>
  <c r="AB912" i="1" s="1"/>
  <c r="AB913" i="1" s="1"/>
  <c r="AB914" i="1" s="1"/>
  <c r="AB915" i="1" s="1"/>
  <c r="AB916" i="1" s="1"/>
  <c r="AB917" i="1" s="1"/>
  <c r="AB918" i="1" s="1"/>
  <c r="AB919" i="1" s="1"/>
  <c r="AB920" i="1" s="1"/>
  <c r="AB921" i="1" s="1"/>
  <c r="AB922" i="1" s="1"/>
  <c r="AB923" i="1" s="1"/>
  <c r="AB924" i="1" s="1"/>
  <c r="AB925" i="1" s="1"/>
  <c r="AB926" i="1" s="1"/>
  <c r="T906" i="1"/>
  <c r="AG905" i="1"/>
  <c r="AG906" i="1" s="1"/>
  <c r="AG907" i="1" s="1"/>
  <c r="AG908" i="1" s="1"/>
  <c r="AG909" i="1" s="1"/>
  <c r="AG910" i="1" s="1"/>
  <c r="AG911" i="1" s="1"/>
  <c r="AG912" i="1" s="1"/>
  <c r="AG913" i="1" s="1"/>
  <c r="AG914" i="1" s="1"/>
  <c r="AG915" i="1" s="1"/>
  <c r="AG916" i="1" s="1"/>
  <c r="AG917" i="1" s="1"/>
  <c r="AG918" i="1" s="1"/>
  <c r="AG919" i="1" s="1"/>
  <c r="AG920" i="1" s="1"/>
  <c r="AG921" i="1" s="1"/>
  <c r="AG922" i="1" s="1"/>
  <c r="AG923" i="1" s="1"/>
  <c r="AG924" i="1" s="1"/>
  <c r="AG925" i="1" s="1"/>
  <c r="AG926" i="1" s="1"/>
  <c r="AF905" i="1"/>
  <c r="AE905" i="1"/>
  <c r="AE906" i="1" s="1"/>
  <c r="AE907" i="1" s="1"/>
  <c r="AE908" i="1" s="1"/>
  <c r="AE909" i="1" s="1"/>
  <c r="AE910" i="1" s="1"/>
  <c r="AE911" i="1" s="1"/>
  <c r="AE912" i="1" s="1"/>
  <c r="AE913" i="1" s="1"/>
  <c r="AE914" i="1" s="1"/>
  <c r="AE915" i="1" s="1"/>
  <c r="AE916" i="1" s="1"/>
  <c r="AE917" i="1" s="1"/>
  <c r="AE918" i="1" s="1"/>
  <c r="AE919" i="1" s="1"/>
  <c r="AE920" i="1" s="1"/>
  <c r="AE921" i="1" s="1"/>
  <c r="AE922" i="1" s="1"/>
  <c r="AE923" i="1" s="1"/>
  <c r="AE924" i="1" s="1"/>
  <c r="AE925" i="1" s="1"/>
  <c r="AE926" i="1" s="1"/>
  <c r="AD905" i="1"/>
  <c r="AC905" i="1"/>
  <c r="AC906" i="1" s="1"/>
  <c r="AC907" i="1" s="1"/>
  <c r="AC908" i="1" s="1"/>
  <c r="AC909" i="1" s="1"/>
  <c r="AC910" i="1" s="1"/>
  <c r="AC911" i="1" s="1"/>
  <c r="AC912" i="1" s="1"/>
  <c r="AC913" i="1" s="1"/>
  <c r="AC914" i="1" s="1"/>
  <c r="AC915" i="1" s="1"/>
  <c r="AC916" i="1" s="1"/>
  <c r="AC917" i="1" s="1"/>
  <c r="AC918" i="1" s="1"/>
  <c r="AC919" i="1" s="1"/>
  <c r="AC920" i="1" s="1"/>
  <c r="AC921" i="1" s="1"/>
  <c r="AC922" i="1" s="1"/>
  <c r="AC923" i="1" s="1"/>
  <c r="AC924" i="1" s="1"/>
  <c r="AC925" i="1" s="1"/>
  <c r="AC926" i="1" s="1"/>
  <c r="AB905" i="1"/>
  <c r="AA905" i="1"/>
  <c r="AA906" i="1" s="1"/>
  <c r="AA907" i="1" s="1"/>
  <c r="AA908" i="1" s="1"/>
  <c r="AA909" i="1" s="1"/>
  <c r="AA910" i="1" s="1"/>
  <c r="AA911" i="1" s="1"/>
  <c r="AA912" i="1" s="1"/>
  <c r="AA913" i="1" s="1"/>
  <c r="AA914" i="1" s="1"/>
  <c r="AA915" i="1" s="1"/>
  <c r="AA916" i="1" s="1"/>
  <c r="AA917" i="1" s="1"/>
  <c r="AA918" i="1" s="1"/>
  <c r="AA919" i="1" s="1"/>
  <c r="AA920" i="1" s="1"/>
  <c r="AA921" i="1" s="1"/>
  <c r="AA922" i="1" s="1"/>
  <c r="AA923" i="1" s="1"/>
  <c r="AA924" i="1" s="1"/>
  <c r="AA925" i="1" s="1"/>
  <c r="AA926" i="1" s="1"/>
  <c r="T905" i="1"/>
  <c r="AX902" i="1"/>
  <c r="AX903" i="1" s="1"/>
  <c r="AX904" i="1" s="1"/>
  <c r="AX905" i="1" s="1"/>
  <c r="AX906" i="1" s="1"/>
  <c r="AX907" i="1" s="1"/>
  <c r="AX908" i="1" s="1"/>
  <c r="AV902" i="1"/>
  <c r="AV903" i="1" s="1"/>
  <c r="AV904" i="1" s="1"/>
  <c r="AV905" i="1" s="1"/>
  <c r="AV906" i="1" s="1"/>
  <c r="AV907" i="1" s="1"/>
  <c r="AV908" i="1" s="1"/>
  <c r="AT902" i="1"/>
  <c r="AT903" i="1" s="1"/>
  <c r="AT904" i="1" s="1"/>
  <c r="AT905" i="1" s="1"/>
  <c r="AT906" i="1" s="1"/>
  <c r="AT907" i="1" s="1"/>
  <c r="AT908" i="1" s="1"/>
  <c r="AR902" i="1"/>
  <c r="AR903" i="1" s="1"/>
  <c r="AR904" i="1" s="1"/>
  <c r="AR905" i="1" s="1"/>
  <c r="AR906" i="1" s="1"/>
  <c r="AR907" i="1" s="1"/>
  <c r="AR908" i="1" s="1"/>
  <c r="AX901" i="1"/>
  <c r="AW901" i="1"/>
  <c r="AW902" i="1" s="1"/>
  <c r="AW903" i="1" s="1"/>
  <c r="AW904" i="1" s="1"/>
  <c r="AW905" i="1" s="1"/>
  <c r="AW906" i="1" s="1"/>
  <c r="AW907" i="1" s="1"/>
  <c r="AW908" i="1" s="1"/>
  <c r="AV901" i="1"/>
  <c r="AU901" i="1"/>
  <c r="AU902" i="1" s="1"/>
  <c r="AU903" i="1" s="1"/>
  <c r="AU904" i="1" s="1"/>
  <c r="AU905" i="1" s="1"/>
  <c r="AU906" i="1" s="1"/>
  <c r="AU907" i="1" s="1"/>
  <c r="AU908" i="1" s="1"/>
  <c r="AT901" i="1"/>
  <c r="AS901" i="1"/>
  <c r="AS902" i="1" s="1"/>
  <c r="AS903" i="1" s="1"/>
  <c r="AS904" i="1" s="1"/>
  <c r="AS905" i="1" s="1"/>
  <c r="AS906" i="1" s="1"/>
  <c r="AS907" i="1" s="1"/>
  <c r="AS908" i="1" s="1"/>
  <c r="AR901" i="1"/>
  <c r="AK901" i="1"/>
  <c r="AK902" i="1" s="1"/>
  <c r="AK903" i="1" s="1"/>
  <c r="AK904" i="1" s="1"/>
  <c r="AK905" i="1" s="1"/>
  <c r="AK906" i="1" s="1"/>
  <c r="AK907" i="1" s="1"/>
  <c r="AK908" i="1" s="1"/>
  <c r="O901" i="1"/>
  <c r="O902" i="1" s="1"/>
  <c r="O903" i="1" s="1"/>
  <c r="O904" i="1" s="1"/>
  <c r="O905" i="1" s="1"/>
  <c r="O906" i="1" s="1"/>
  <c r="N898" i="1"/>
  <c r="N899" i="1" s="1"/>
  <c r="N900" i="1" s="1"/>
  <c r="N901" i="1" s="1"/>
  <c r="N902" i="1" s="1"/>
  <c r="N903" i="1" s="1"/>
  <c r="N904" i="1" s="1"/>
  <c r="N905" i="1" s="1"/>
  <c r="N906" i="1" s="1"/>
  <c r="P896" i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N896" i="1"/>
  <c r="N897" i="1" s="1"/>
  <c r="L896" i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J896" i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P895" i="1"/>
  <c r="O895" i="1"/>
  <c r="O896" i="1" s="1"/>
  <c r="O897" i="1" s="1"/>
  <c r="O898" i="1" s="1"/>
  <c r="O899" i="1" s="1"/>
  <c r="O900" i="1" s="1"/>
  <c r="N895" i="1"/>
  <c r="M895" i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L895" i="1"/>
  <c r="K895" i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J895" i="1"/>
  <c r="C895" i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AV894" i="1"/>
  <c r="AV895" i="1" s="1"/>
  <c r="AV896" i="1" s="1"/>
  <c r="AV897" i="1" s="1"/>
  <c r="AV898" i="1" s="1"/>
  <c r="AW891" i="1"/>
  <c r="AW892" i="1" s="1"/>
  <c r="AW893" i="1" s="1"/>
  <c r="AW894" i="1" s="1"/>
  <c r="AW895" i="1" s="1"/>
  <c r="AW896" i="1" s="1"/>
  <c r="AW897" i="1" s="1"/>
  <c r="AW898" i="1" s="1"/>
  <c r="AW889" i="1"/>
  <c r="AW890" i="1" s="1"/>
  <c r="AU889" i="1"/>
  <c r="AU890" i="1" s="1"/>
  <c r="AU891" i="1" s="1"/>
  <c r="AU892" i="1" s="1"/>
  <c r="AU893" i="1" s="1"/>
  <c r="AU894" i="1" s="1"/>
  <c r="AU895" i="1" s="1"/>
  <c r="AU896" i="1" s="1"/>
  <c r="AU897" i="1" s="1"/>
  <c r="AU898" i="1" s="1"/>
  <c r="AS889" i="1"/>
  <c r="AS890" i="1" s="1"/>
  <c r="AS891" i="1" s="1"/>
  <c r="AS892" i="1" s="1"/>
  <c r="AS893" i="1" s="1"/>
  <c r="AS894" i="1" s="1"/>
  <c r="AS895" i="1" s="1"/>
  <c r="AS896" i="1" s="1"/>
  <c r="AS897" i="1" s="1"/>
  <c r="AS898" i="1" s="1"/>
  <c r="AK889" i="1"/>
  <c r="AK890" i="1" s="1"/>
  <c r="AK891" i="1" s="1"/>
  <c r="AK892" i="1" s="1"/>
  <c r="AK893" i="1" s="1"/>
  <c r="AK894" i="1" s="1"/>
  <c r="AK895" i="1" s="1"/>
  <c r="AK896" i="1" s="1"/>
  <c r="AK897" i="1" s="1"/>
  <c r="AK898" i="1" s="1"/>
  <c r="AX888" i="1"/>
  <c r="AX889" i="1" s="1"/>
  <c r="AX890" i="1" s="1"/>
  <c r="AX891" i="1" s="1"/>
  <c r="AX892" i="1" s="1"/>
  <c r="AX893" i="1" s="1"/>
  <c r="AX894" i="1" s="1"/>
  <c r="AX895" i="1" s="1"/>
  <c r="AX896" i="1" s="1"/>
  <c r="AX897" i="1" s="1"/>
  <c r="AX898" i="1" s="1"/>
  <c r="AW888" i="1"/>
  <c r="AV888" i="1"/>
  <c r="AV889" i="1" s="1"/>
  <c r="AV890" i="1" s="1"/>
  <c r="AV891" i="1" s="1"/>
  <c r="AV892" i="1" s="1"/>
  <c r="AV893" i="1" s="1"/>
  <c r="AU888" i="1"/>
  <c r="AT888" i="1"/>
  <c r="AT889" i="1" s="1"/>
  <c r="AT890" i="1" s="1"/>
  <c r="AT891" i="1" s="1"/>
  <c r="AT892" i="1" s="1"/>
  <c r="AT893" i="1" s="1"/>
  <c r="AT894" i="1" s="1"/>
  <c r="AT895" i="1" s="1"/>
  <c r="AT896" i="1" s="1"/>
  <c r="AT897" i="1" s="1"/>
  <c r="AT898" i="1" s="1"/>
  <c r="AS888" i="1"/>
  <c r="AR888" i="1"/>
  <c r="AR889" i="1" s="1"/>
  <c r="AR890" i="1" s="1"/>
  <c r="AR891" i="1" s="1"/>
  <c r="AR892" i="1" s="1"/>
  <c r="AR893" i="1" s="1"/>
  <c r="AR894" i="1" s="1"/>
  <c r="AR895" i="1" s="1"/>
  <c r="AR896" i="1" s="1"/>
  <c r="AR897" i="1" s="1"/>
  <c r="AR898" i="1" s="1"/>
  <c r="AK888" i="1"/>
  <c r="AC887" i="1"/>
  <c r="AC888" i="1" s="1"/>
  <c r="AC889" i="1" s="1"/>
  <c r="AC890" i="1" s="1"/>
  <c r="AC891" i="1" s="1"/>
  <c r="AC892" i="1" s="1"/>
  <c r="AC893" i="1" s="1"/>
  <c r="AC894" i="1" s="1"/>
  <c r="AC895" i="1" s="1"/>
  <c r="AC896" i="1" s="1"/>
  <c r="AC897" i="1" s="1"/>
  <c r="AC898" i="1" s="1"/>
  <c r="AC899" i="1" s="1"/>
  <c r="AC900" i="1" s="1"/>
  <c r="AC901" i="1" s="1"/>
  <c r="AC902" i="1" s="1"/>
  <c r="AC903" i="1" s="1"/>
  <c r="O887" i="1"/>
  <c r="O888" i="1" s="1"/>
  <c r="O889" i="1" s="1"/>
  <c r="O890" i="1" s="1"/>
  <c r="O891" i="1" s="1"/>
  <c r="O892" i="1" s="1"/>
  <c r="O893" i="1" s="1"/>
  <c r="AX886" i="1"/>
  <c r="AW886" i="1"/>
  <c r="AV886" i="1"/>
  <c r="AU886" i="1"/>
  <c r="AT886" i="1"/>
  <c r="AS886" i="1"/>
  <c r="AR886" i="1"/>
  <c r="AK886" i="1"/>
  <c r="AF886" i="1"/>
  <c r="AF887" i="1" s="1"/>
  <c r="AF888" i="1" s="1"/>
  <c r="AF889" i="1" s="1"/>
  <c r="AF890" i="1" s="1"/>
  <c r="AF891" i="1" s="1"/>
  <c r="AF892" i="1" s="1"/>
  <c r="AF893" i="1" s="1"/>
  <c r="AF894" i="1" s="1"/>
  <c r="AF895" i="1" s="1"/>
  <c r="AF896" i="1" s="1"/>
  <c r="AF897" i="1" s="1"/>
  <c r="AF898" i="1" s="1"/>
  <c r="AF899" i="1" s="1"/>
  <c r="AF900" i="1" s="1"/>
  <c r="AF901" i="1" s="1"/>
  <c r="AF902" i="1" s="1"/>
  <c r="AF903" i="1" s="1"/>
  <c r="M885" i="1"/>
  <c r="M886" i="1" s="1"/>
  <c r="M887" i="1" s="1"/>
  <c r="M888" i="1" s="1"/>
  <c r="M889" i="1" s="1"/>
  <c r="M890" i="1" s="1"/>
  <c r="M891" i="1" s="1"/>
  <c r="M892" i="1" s="1"/>
  <c r="M893" i="1" s="1"/>
  <c r="K885" i="1"/>
  <c r="K886" i="1" s="1"/>
  <c r="K887" i="1" s="1"/>
  <c r="K888" i="1" s="1"/>
  <c r="K889" i="1" s="1"/>
  <c r="K890" i="1" s="1"/>
  <c r="K891" i="1" s="1"/>
  <c r="K892" i="1" s="1"/>
  <c r="K893" i="1" s="1"/>
  <c r="N884" i="1"/>
  <c r="N885" i="1" s="1"/>
  <c r="N886" i="1" s="1"/>
  <c r="N887" i="1" s="1"/>
  <c r="N888" i="1" s="1"/>
  <c r="N889" i="1" s="1"/>
  <c r="N890" i="1" s="1"/>
  <c r="N891" i="1" s="1"/>
  <c r="N892" i="1" s="1"/>
  <c r="N893" i="1" s="1"/>
  <c r="O883" i="1"/>
  <c r="O884" i="1" s="1"/>
  <c r="O885" i="1" s="1"/>
  <c r="O886" i="1" s="1"/>
  <c r="M883" i="1"/>
  <c r="M884" i="1" s="1"/>
  <c r="K883" i="1"/>
  <c r="K884" i="1" s="1"/>
  <c r="C883" i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AJ882" i="1"/>
  <c r="AJ883" i="1" s="1"/>
  <c r="AJ884" i="1" s="1"/>
  <c r="AJ885" i="1" s="1"/>
  <c r="AJ886" i="1" s="1"/>
  <c r="AJ887" i="1" s="1"/>
  <c r="AJ888" i="1" s="1"/>
  <c r="AJ889" i="1" s="1"/>
  <c r="AJ890" i="1" s="1"/>
  <c r="AJ891" i="1" s="1"/>
  <c r="AJ892" i="1" s="1"/>
  <c r="AJ893" i="1" s="1"/>
  <c r="AJ894" i="1" s="1"/>
  <c r="AJ895" i="1" s="1"/>
  <c r="AJ896" i="1" s="1"/>
  <c r="AJ897" i="1" s="1"/>
  <c r="AJ898" i="1" s="1"/>
  <c r="AJ899" i="1" s="1"/>
  <c r="AJ900" i="1" s="1"/>
  <c r="AJ901" i="1" s="1"/>
  <c r="AJ902" i="1" s="1"/>
  <c r="AJ903" i="1" s="1"/>
  <c r="AJ904" i="1" s="1"/>
  <c r="AJ905" i="1" s="1"/>
  <c r="AJ906" i="1" s="1"/>
  <c r="AJ907" i="1" s="1"/>
  <c r="AJ908" i="1" s="1"/>
  <c r="AJ909" i="1" s="1"/>
  <c r="AD882" i="1"/>
  <c r="AD883" i="1" s="1"/>
  <c r="AD884" i="1" s="1"/>
  <c r="AD885" i="1" s="1"/>
  <c r="AD886" i="1" s="1"/>
  <c r="AD887" i="1" s="1"/>
  <c r="AD888" i="1" s="1"/>
  <c r="AD889" i="1" s="1"/>
  <c r="AD890" i="1" s="1"/>
  <c r="AD891" i="1" s="1"/>
  <c r="AD892" i="1" s="1"/>
  <c r="AD893" i="1" s="1"/>
  <c r="AD894" i="1" s="1"/>
  <c r="AD895" i="1" s="1"/>
  <c r="AD896" i="1" s="1"/>
  <c r="AD897" i="1" s="1"/>
  <c r="AD898" i="1" s="1"/>
  <c r="AD899" i="1" s="1"/>
  <c r="AD900" i="1" s="1"/>
  <c r="AD901" i="1" s="1"/>
  <c r="AD902" i="1" s="1"/>
  <c r="AD903" i="1" s="1"/>
  <c r="P882" i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O882" i="1"/>
  <c r="N882" i="1"/>
  <c r="N883" i="1" s="1"/>
  <c r="M882" i="1"/>
  <c r="L882" i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K882" i="1"/>
  <c r="J882" i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C882" i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AC881" i="1"/>
  <c r="AC882" i="1" s="1"/>
  <c r="AC883" i="1" s="1"/>
  <c r="AC884" i="1" s="1"/>
  <c r="AC885" i="1" s="1"/>
  <c r="AC886" i="1" s="1"/>
  <c r="AG880" i="1"/>
  <c r="AG881" i="1" s="1"/>
  <c r="AG882" i="1" s="1"/>
  <c r="AG883" i="1" s="1"/>
  <c r="AG884" i="1" s="1"/>
  <c r="AG885" i="1" s="1"/>
  <c r="AG886" i="1" s="1"/>
  <c r="AG887" i="1" s="1"/>
  <c r="AG888" i="1" s="1"/>
  <c r="AG889" i="1" s="1"/>
  <c r="AG890" i="1" s="1"/>
  <c r="AG891" i="1" s="1"/>
  <c r="AG892" i="1" s="1"/>
  <c r="AG893" i="1" s="1"/>
  <c r="AG894" i="1" s="1"/>
  <c r="AG895" i="1" s="1"/>
  <c r="AG896" i="1" s="1"/>
  <c r="AG897" i="1" s="1"/>
  <c r="AG898" i="1" s="1"/>
  <c r="AG899" i="1" s="1"/>
  <c r="AG900" i="1" s="1"/>
  <c r="AG901" i="1" s="1"/>
  <c r="AG902" i="1" s="1"/>
  <c r="AG903" i="1" s="1"/>
  <c r="AE880" i="1"/>
  <c r="AE881" i="1" s="1"/>
  <c r="AE882" i="1" s="1"/>
  <c r="AE883" i="1" s="1"/>
  <c r="AE884" i="1" s="1"/>
  <c r="AE885" i="1" s="1"/>
  <c r="AE886" i="1" s="1"/>
  <c r="AE887" i="1" s="1"/>
  <c r="AE888" i="1" s="1"/>
  <c r="AE889" i="1" s="1"/>
  <c r="AE890" i="1" s="1"/>
  <c r="AE891" i="1" s="1"/>
  <c r="AE892" i="1" s="1"/>
  <c r="AE893" i="1" s="1"/>
  <c r="AE894" i="1" s="1"/>
  <c r="AE895" i="1" s="1"/>
  <c r="AE896" i="1" s="1"/>
  <c r="AE897" i="1" s="1"/>
  <c r="AE898" i="1" s="1"/>
  <c r="AE899" i="1" s="1"/>
  <c r="AE900" i="1" s="1"/>
  <c r="AE901" i="1" s="1"/>
  <c r="AE902" i="1" s="1"/>
  <c r="AE903" i="1" s="1"/>
  <c r="AC880" i="1"/>
  <c r="AA880" i="1"/>
  <c r="AA881" i="1" s="1"/>
  <c r="AA882" i="1" s="1"/>
  <c r="AA883" i="1" s="1"/>
  <c r="AA884" i="1" s="1"/>
  <c r="AA885" i="1" s="1"/>
  <c r="AA886" i="1" s="1"/>
  <c r="AA887" i="1" s="1"/>
  <c r="AA888" i="1" s="1"/>
  <c r="AA889" i="1" s="1"/>
  <c r="AA890" i="1" s="1"/>
  <c r="AA891" i="1" s="1"/>
  <c r="AA892" i="1" s="1"/>
  <c r="AA893" i="1" s="1"/>
  <c r="AA894" i="1" s="1"/>
  <c r="AA895" i="1" s="1"/>
  <c r="AA896" i="1" s="1"/>
  <c r="AA897" i="1" s="1"/>
  <c r="AA898" i="1" s="1"/>
  <c r="AA899" i="1" s="1"/>
  <c r="AA900" i="1" s="1"/>
  <c r="AA901" i="1" s="1"/>
  <c r="AA902" i="1" s="1"/>
  <c r="AA903" i="1" s="1"/>
  <c r="S880" i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AJ879" i="1"/>
  <c r="AJ880" i="1" s="1"/>
  <c r="AJ881" i="1" s="1"/>
  <c r="AG879" i="1"/>
  <c r="AF879" i="1"/>
  <c r="AF880" i="1" s="1"/>
  <c r="AF881" i="1" s="1"/>
  <c r="AF882" i="1" s="1"/>
  <c r="AF883" i="1" s="1"/>
  <c r="AF884" i="1" s="1"/>
  <c r="AF885" i="1" s="1"/>
  <c r="AE879" i="1"/>
  <c r="AD879" i="1"/>
  <c r="AD880" i="1" s="1"/>
  <c r="AD881" i="1" s="1"/>
  <c r="AC879" i="1"/>
  <c r="AB879" i="1"/>
  <c r="AB880" i="1" s="1"/>
  <c r="AB881" i="1" s="1"/>
  <c r="AB882" i="1" s="1"/>
  <c r="AB883" i="1" s="1"/>
  <c r="AB884" i="1" s="1"/>
  <c r="AB885" i="1" s="1"/>
  <c r="AB886" i="1" s="1"/>
  <c r="AB887" i="1" s="1"/>
  <c r="AB888" i="1" s="1"/>
  <c r="AB889" i="1" s="1"/>
  <c r="AB890" i="1" s="1"/>
  <c r="AB891" i="1" s="1"/>
  <c r="AB892" i="1" s="1"/>
  <c r="AB893" i="1" s="1"/>
  <c r="AB894" i="1" s="1"/>
  <c r="AB895" i="1" s="1"/>
  <c r="AB896" i="1" s="1"/>
  <c r="AB897" i="1" s="1"/>
  <c r="AB898" i="1" s="1"/>
  <c r="AB899" i="1" s="1"/>
  <c r="AB900" i="1" s="1"/>
  <c r="AB901" i="1" s="1"/>
  <c r="AB902" i="1" s="1"/>
  <c r="AB903" i="1" s="1"/>
  <c r="AA879" i="1"/>
  <c r="T879" i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S878" i="1"/>
  <c r="S879" i="1" s="1"/>
  <c r="O878" i="1"/>
  <c r="O879" i="1" s="1"/>
  <c r="O880" i="1" s="1"/>
  <c r="K878" i="1"/>
  <c r="K879" i="1" s="1"/>
  <c r="K880" i="1" s="1"/>
  <c r="AJ877" i="1"/>
  <c r="AJ878" i="1" s="1"/>
  <c r="AG877" i="1"/>
  <c r="AF877" i="1"/>
  <c r="AE877" i="1"/>
  <c r="AD877" i="1"/>
  <c r="AC877" i="1"/>
  <c r="AB877" i="1"/>
  <c r="AA877" i="1"/>
  <c r="T877" i="1"/>
  <c r="S877" i="1"/>
  <c r="AJ876" i="1"/>
  <c r="AS875" i="1"/>
  <c r="AS876" i="1" s="1"/>
  <c r="AS877" i="1" s="1"/>
  <c r="AS878" i="1" s="1"/>
  <c r="AS879" i="1" s="1"/>
  <c r="AS880" i="1" s="1"/>
  <c r="AS881" i="1" s="1"/>
  <c r="AS882" i="1" s="1"/>
  <c r="AS883" i="1" s="1"/>
  <c r="AS884" i="1" s="1"/>
  <c r="AA874" i="1"/>
  <c r="AA875" i="1" s="1"/>
  <c r="P873" i="1"/>
  <c r="P874" i="1" s="1"/>
  <c r="P875" i="1" s="1"/>
  <c r="P876" i="1" s="1"/>
  <c r="P877" i="1" s="1"/>
  <c r="P878" i="1" s="1"/>
  <c r="P879" i="1" s="1"/>
  <c r="P880" i="1" s="1"/>
  <c r="N873" i="1"/>
  <c r="N874" i="1" s="1"/>
  <c r="N875" i="1" s="1"/>
  <c r="N876" i="1" s="1"/>
  <c r="N877" i="1" s="1"/>
  <c r="N878" i="1" s="1"/>
  <c r="N879" i="1" s="1"/>
  <c r="N880" i="1" s="1"/>
  <c r="J873" i="1"/>
  <c r="J874" i="1" s="1"/>
  <c r="J875" i="1" s="1"/>
  <c r="J876" i="1" s="1"/>
  <c r="J877" i="1" s="1"/>
  <c r="J878" i="1" s="1"/>
  <c r="J879" i="1" s="1"/>
  <c r="J880" i="1" s="1"/>
  <c r="O872" i="1"/>
  <c r="O873" i="1" s="1"/>
  <c r="O874" i="1" s="1"/>
  <c r="O875" i="1" s="1"/>
  <c r="O876" i="1" s="1"/>
  <c r="O877" i="1" s="1"/>
  <c r="M872" i="1"/>
  <c r="M873" i="1" s="1"/>
  <c r="M874" i="1" s="1"/>
  <c r="M875" i="1" s="1"/>
  <c r="M876" i="1" s="1"/>
  <c r="M877" i="1" s="1"/>
  <c r="M878" i="1" s="1"/>
  <c r="M879" i="1" s="1"/>
  <c r="M880" i="1" s="1"/>
  <c r="K872" i="1"/>
  <c r="K873" i="1" s="1"/>
  <c r="K874" i="1" s="1"/>
  <c r="K875" i="1" s="1"/>
  <c r="K876" i="1" s="1"/>
  <c r="K877" i="1" s="1"/>
  <c r="C872" i="1"/>
  <c r="C873" i="1" s="1"/>
  <c r="C874" i="1" s="1"/>
  <c r="C875" i="1" s="1"/>
  <c r="C876" i="1" s="1"/>
  <c r="C877" i="1" s="1"/>
  <c r="C878" i="1" s="1"/>
  <c r="C879" i="1" s="1"/>
  <c r="C880" i="1" s="1"/>
  <c r="AX871" i="1"/>
  <c r="AX872" i="1" s="1"/>
  <c r="AX873" i="1" s="1"/>
  <c r="AX874" i="1" s="1"/>
  <c r="AX875" i="1" s="1"/>
  <c r="AX876" i="1" s="1"/>
  <c r="AX877" i="1" s="1"/>
  <c r="AX878" i="1" s="1"/>
  <c r="AX879" i="1" s="1"/>
  <c r="AX880" i="1" s="1"/>
  <c r="AX881" i="1" s="1"/>
  <c r="AX882" i="1" s="1"/>
  <c r="AX883" i="1" s="1"/>
  <c r="AX884" i="1" s="1"/>
  <c r="AR871" i="1"/>
  <c r="AR872" i="1" s="1"/>
  <c r="AR873" i="1" s="1"/>
  <c r="AR874" i="1" s="1"/>
  <c r="AR875" i="1" s="1"/>
  <c r="AR876" i="1" s="1"/>
  <c r="AR877" i="1" s="1"/>
  <c r="AR878" i="1" s="1"/>
  <c r="AR879" i="1" s="1"/>
  <c r="AR880" i="1" s="1"/>
  <c r="AR881" i="1" s="1"/>
  <c r="AR882" i="1" s="1"/>
  <c r="AR883" i="1" s="1"/>
  <c r="AR884" i="1" s="1"/>
  <c r="P871" i="1"/>
  <c r="P872" i="1" s="1"/>
  <c r="O871" i="1"/>
  <c r="N871" i="1"/>
  <c r="N872" i="1" s="1"/>
  <c r="M871" i="1"/>
  <c r="L871" i="1"/>
  <c r="L872" i="1" s="1"/>
  <c r="L873" i="1" s="1"/>
  <c r="L874" i="1" s="1"/>
  <c r="L875" i="1" s="1"/>
  <c r="L876" i="1" s="1"/>
  <c r="L877" i="1" s="1"/>
  <c r="L878" i="1" s="1"/>
  <c r="L879" i="1" s="1"/>
  <c r="L880" i="1" s="1"/>
  <c r="K871" i="1"/>
  <c r="J871" i="1"/>
  <c r="J872" i="1" s="1"/>
  <c r="C871" i="1"/>
  <c r="AK868" i="1"/>
  <c r="AK869" i="1" s="1"/>
  <c r="AK870" i="1" s="1"/>
  <c r="AK871" i="1" s="1"/>
  <c r="AK872" i="1" s="1"/>
  <c r="AK873" i="1" s="1"/>
  <c r="AK874" i="1" s="1"/>
  <c r="AK875" i="1" s="1"/>
  <c r="AK876" i="1" s="1"/>
  <c r="AK877" i="1" s="1"/>
  <c r="AK878" i="1" s="1"/>
  <c r="AK879" i="1" s="1"/>
  <c r="AK880" i="1" s="1"/>
  <c r="AK881" i="1" s="1"/>
  <c r="AK882" i="1" s="1"/>
  <c r="AK883" i="1" s="1"/>
  <c r="AK884" i="1" s="1"/>
  <c r="O868" i="1"/>
  <c r="O869" i="1" s="1"/>
  <c r="AW866" i="1"/>
  <c r="AW867" i="1" s="1"/>
  <c r="AW868" i="1" s="1"/>
  <c r="AW869" i="1" s="1"/>
  <c r="AW870" i="1" s="1"/>
  <c r="AW871" i="1" s="1"/>
  <c r="AW872" i="1" s="1"/>
  <c r="AW873" i="1" s="1"/>
  <c r="AW874" i="1" s="1"/>
  <c r="AW875" i="1" s="1"/>
  <c r="AW876" i="1" s="1"/>
  <c r="AW877" i="1" s="1"/>
  <c r="AW878" i="1" s="1"/>
  <c r="AW879" i="1" s="1"/>
  <c r="AW880" i="1" s="1"/>
  <c r="AW881" i="1" s="1"/>
  <c r="AW882" i="1" s="1"/>
  <c r="AW883" i="1" s="1"/>
  <c r="AW884" i="1" s="1"/>
  <c r="AU866" i="1"/>
  <c r="AU867" i="1" s="1"/>
  <c r="AU868" i="1" s="1"/>
  <c r="AU869" i="1" s="1"/>
  <c r="AU870" i="1" s="1"/>
  <c r="AU871" i="1" s="1"/>
  <c r="AU872" i="1" s="1"/>
  <c r="AU873" i="1" s="1"/>
  <c r="AU874" i="1" s="1"/>
  <c r="AU875" i="1" s="1"/>
  <c r="AU876" i="1" s="1"/>
  <c r="AU877" i="1" s="1"/>
  <c r="AU878" i="1" s="1"/>
  <c r="AU879" i="1" s="1"/>
  <c r="AU880" i="1" s="1"/>
  <c r="AU881" i="1" s="1"/>
  <c r="AU882" i="1" s="1"/>
  <c r="AU883" i="1" s="1"/>
  <c r="AU884" i="1" s="1"/>
  <c r="AS866" i="1"/>
  <c r="AS867" i="1" s="1"/>
  <c r="AS868" i="1" s="1"/>
  <c r="AS869" i="1" s="1"/>
  <c r="AS870" i="1" s="1"/>
  <c r="AS871" i="1" s="1"/>
  <c r="AS872" i="1" s="1"/>
  <c r="AS873" i="1" s="1"/>
  <c r="AS874" i="1" s="1"/>
  <c r="AK866" i="1"/>
  <c r="AK867" i="1" s="1"/>
  <c r="K866" i="1"/>
  <c r="K867" i="1" s="1"/>
  <c r="K868" i="1" s="1"/>
  <c r="K869" i="1" s="1"/>
  <c r="C866" i="1"/>
  <c r="C867" i="1" s="1"/>
  <c r="C868" i="1" s="1"/>
  <c r="C869" i="1" s="1"/>
  <c r="AX865" i="1"/>
  <c r="AX866" i="1" s="1"/>
  <c r="AX867" i="1" s="1"/>
  <c r="AX868" i="1" s="1"/>
  <c r="AX869" i="1" s="1"/>
  <c r="AX870" i="1" s="1"/>
  <c r="AW865" i="1"/>
  <c r="AV865" i="1"/>
  <c r="AV866" i="1" s="1"/>
  <c r="AV867" i="1" s="1"/>
  <c r="AV868" i="1" s="1"/>
  <c r="AV869" i="1" s="1"/>
  <c r="AV870" i="1" s="1"/>
  <c r="AV871" i="1" s="1"/>
  <c r="AV872" i="1" s="1"/>
  <c r="AV873" i="1" s="1"/>
  <c r="AV874" i="1" s="1"/>
  <c r="AV875" i="1" s="1"/>
  <c r="AV876" i="1" s="1"/>
  <c r="AV877" i="1" s="1"/>
  <c r="AV878" i="1" s="1"/>
  <c r="AV879" i="1" s="1"/>
  <c r="AV880" i="1" s="1"/>
  <c r="AV881" i="1" s="1"/>
  <c r="AV882" i="1" s="1"/>
  <c r="AV883" i="1" s="1"/>
  <c r="AV884" i="1" s="1"/>
  <c r="AU865" i="1"/>
  <c r="AT865" i="1"/>
  <c r="AT866" i="1" s="1"/>
  <c r="AT867" i="1" s="1"/>
  <c r="AT868" i="1" s="1"/>
  <c r="AT869" i="1" s="1"/>
  <c r="AT870" i="1" s="1"/>
  <c r="AT871" i="1" s="1"/>
  <c r="AT872" i="1" s="1"/>
  <c r="AT873" i="1" s="1"/>
  <c r="AT874" i="1" s="1"/>
  <c r="AT875" i="1" s="1"/>
  <c r="AT876" i="1" s="1"/>
  <c r="AT877" i="1" s="1"/>
  <c r="AT878" i="1" s="1"/>
  <c r="AT879" i="1" s="1"/>
  <c r="AT880" i="1" s="1"/>
  <c r="AT881" i="1" s="1"/>
  <c r="AT882" i="1" s="1"/>
  <c r="AT883" i="1" s="1"/>
  <c r="AT884" i="1" s="1"/>
  <c r="AS865" i="1"/>
  <c r="AR865" i="1"/>
  <c r="AR866" i="1" s="1"/>
  <c r="AR867" i="1" s="1"/>
  <c r="AR868" i="1" s="1"/>
  <c r="AR869" i="1" s="1"/>
  <c r="AR870" i="1" s="1"/>
  <c r="AK865" i="1"/>
  <c r="C864" i="1"/>
  <c r="C865" i="1" s="1"/>
  <c r="O862" i="1"/>
  <c r="O863" i="1" s="1"/>
  <c r="O864" i="1" s="1"/>
  <c r="O865" i="1" s="1"/>
  <c r="O866" i="1" s="1"/>
  <c r="O867" i="1" s="1"/>
  <c r="M862" i="1"/>
  <c r="M863" i="1" s="1"/>
  <c r="M864" i="1" s="1"/>
  <c r="M865" i="1" s="1"/>
  <c r="M866" i="1" s="1"/>
  <c r="M867" i="1" s="1"/>
  <c r="M868" i="1" s="1"/>
  <c r="M869" i="1" s="1"/>
  <c r="C862" i="1"/>
  <c r="C863" i="1" s="1"/>
  <c r="P861" i="1"/>
  <c r="P862" i="1" s="1"/>
  <c r="P863" i="1" s="1"/>
  <c r="P864" i="1" s="1"/>
  <c r="P865" i="1" s="1"/>
  <c r="P866" i="1" s="1"/>
  <c r="P867" i="1" s="1"/>
  <c r="P868" i="1" s="1"/>
  <c r="P869" i="1" s="1"/>
  <c r="N861" i="1"/>
  <c r="N862" i="1" s="1"/>
  <c r="N863" i="1" s="1"/>
  <c r="N864" i="1" s="1"/>
  <c r="N865" i="1" s="1"/>
  <c r="N866" i="1" s="1"/>
  <c r="N867" i="1" s="1"/>
  <c r="N868" i="1" s="1"/>
  <c r="N869" i="1" s="1"/>
  <c r="L861" i="1"/>
  <c r="L862" i="1" s="1"/>
  <c r="L863" i="1" s="1"/>
  <c r="L864" i="1" s="1"/>
  <c r="L865" i="1" s="1"/>
  <c r="L866" i="1" s="1"/>
  <c r="L867" i="1" s="1"/>
  <c r="L868" i="1" s="1"/>
  <c r="L869" i="1" s="1"/>
  <c r="J861" i="1"/>
  <c r="J862" i="1" s="1"/>
  <c r="J863" i="1" s="1"/>
  <c r="J864" i="1" s="1"/>
  <c r="J865" i="1" s="1"/>
  <c r="J866" i="1" s="1"/>
  <c r="J867" i="1" s="1"/>
  <c r="J868" i="1" s="1"/>
  <c r="J869" i="1" s="1"/>
  <c r="AC860" i="1"/>
  <c r="AC861" i="1" s="1"/>
  <c r="AC862" i="1" s="1"/>
  <c r="AC863" i="1" s="1"/>
  <c r="AC864" i="1" s="1"/>
  <c r="AC865" i="1" s="1"/>
  <c r="AC866" i="1" s="1"/>
  <c r="AC867" i="1" s="1"/>
  <c r="AC868" i="1" s="1"/>
  <c r="AC869" i="1" s="1"/>
  <c r="AC870" i="1" s="1"/>
  <c r="AC871" i="1" s="1"/>
  <c r="AC872" i="1" s="1"/>
  <c r="AC873" i="1" s="1"/>
  <c r="AC874" i="1" s="1"/>
  <c r="AC875" i="1" s="1"/>
  <c r="P860" i="1"/>
  <c r="O860" i="1"/>
  <c r="O861" i="1" s="1"/>
  <c r="N860" i="1"/>
  <c r="M860" i="1"/>
  <c r="M861" i="1" s="1"/>
  <c r="L860" i="1"/>
  <c r="K860" i="1"/>
  <c r="K861" i="1" s="1"/>
  <c r="K862" i="1" s="1"/>
  <c r="K863" i="1" s="1"/>
  <c r="K864" i="1" s="1"/>
  <c r="K865" i="1" s="1"/>
  <c r="J860" i="1"/>
  <c r="C860" i="1"/>
  <c r="C861" i="1" s="1"/>
  <c r="AG859" i="1"/>
  <c r="AG860" i="1" s="1"/>
  <c r="AG861" i="1" s="1"/>
  <c r="AG862" i="1" s="1"/>
  <c r="AG863" i="1" s="1"/>
  <c r="AG864" i="1" s="1"/>
  <c r="AG865" i="1" s="1"/>
  <c r="AG866" i="1" s="1"/>
  <c r="AG867" i="1" s="1"/>
  <c r="AG868" i="1" s="1"/>
  <c r="AG869" i="1" s="1"/>
  <c r="AG870" i="1" s="1"/>
  <c r="AG871" i="1" s="1"/>
  <c r="AG872" i="1" s="1"/>
  <c r="AG873" i="1" s="1"/>
  <c r="AG874" i="1" s="1"/>
  <c r="AG875" i="1" s="1"/>
  <c r="AF859" i="1"/>
  <c r="AF860" i="1" s="1"/>
  <c r="AF861" i="1" s="1"/>
  <c r="AF862" i="1" s="1"/>
  <c r="AF863" i="1" s="1"/>
  <c r="AF864" i="1" s="1"/>
  <c r="AF865" i="1" s="1"/>
  <c r="AF866" i="1" s="1"/>
  <c r="AF867" i="1" s="1"/>
  <c r="AF868" i="1" s="1"/>
  <c r="AF869" i="1" s="1"/>
  <c r="AF870" i="1" s="1"/>
  <c r="AF871" i="1" s="1"/>
  <c r="AF872" i="1" s="1"/>
  <c r="AF873" i="1" s="1"/>
  <c r="AF874" i="1" s="1"/>
  <c r="AF875" i="1" s="1"/>
  <c r="AD859" i="1"/>
  <c r="AD860" i="1" s="1"/>
  <c r="AD861" i="1" s="1"/>
  <c r="AD862" i="1" s="1"/>
  <c r="AD863" i="1" s="1"/>
  <c r="AD864" i="1" s="1"/>
  <c r="AD865" i="1" s="1"/>
  <c r="AD866" i="1" s="1"/>
  <c r="AD867" i="1" s="1"/>
  <c r="AD868" i="1" s="1"/>
  <c r="AD869" i="1" s="1"/>
  <c r="AD870" i="1" s="1"/>
  <c r="AD871" i="1" s="1"/>
  <c r="AD872" i="1" s="1"/>
  <c r="AD873" i="1" s="1"/>
  <c r="AD874" i="1" s="1"/>
  <c r="AD875" i="1" s="1"/>
  <c r="T859" i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AG858" i="1"/>
  <c r="AE858" i="1"/>
  <c r="AE859" i="1" s="1"/>
  <c r="AE860" i="1" s="1"/>
  <c r="AE861" i="1" s="1"/>
  <c r="AE862" i="1" s="1"/>
  <c r="AE863" i="1" s="1"/>
  <c r="AE864" i="1" s="1"/>
  <c r="AE865" i="1" s="1"/>
  <c r="AE866" i="1" s="1"/>
  <c r="AE867" i="1" s="1"/>
  <c r="AE868" i="1" s="1"/>
  <c r="AE869" i="1" s="1"/>
  <c r="AE870" i="1" s="1"/>
  <c r="AE871" i="1" s="1"/>
  <c r="AE872" i="1" s="1"/>
  <c r="AE873" i="1" s="1"/>
  <c r="AE874" i="1" s="1"/>
  <c r="AE875" i="1" s="1"/>
  <c r="AC858" i="1"/>
  <c r="AC859" i="1" s="1"/>
  <c r="AA858" i="1"/>
  <c r="AA859" i="1" s="1"/>
  <c r="AA860" i="1" s="1"/>
  <c r="AA861" i="1" s="1"/>
  <c r="AA862" i="1" s="1"/>
  <c r="AA863" i="1" s="1"/>
  <c r="AA864" i="1" s="1"/>
  <c r="AA865" i="1" s="1"/>
  <c r="AA866" i="1" s="1"/>
  <c r="AA867" i="1" s="1"/>
  <c r="AA868" i="1" s="1"/>
  <c r="AA869" i="1" s="1"/>
  <c r="AA870" i="1" s="1"/>
  <c r="AA871" i="1" s="1"/>
  <c r="AA872" i="1" s="1"/>
  <c r="AA873" i="1" s="1"/>
  <c r="M858" i="1"/>
  <c r="AG857" i="1"/>
  <c r="AF857" i="1"/>
  <c r="AF858" i="1" s="1"/>
  <c r="AE857" i="1"/>
  <c r="AD857" i="1"/>
  <c r="AD858" i="1" s="1"/>
  <c r="AC857" i="1"/>
  <c r="AB857" i="1"/>
  <c r="AB858" i="1" s="1"/>
  <c r="AB859" i="1" s="1"/>
  <c r="AB860" i="1" s="1"/>
  <c r="AB861" i="1" s="1"/>
  <c r="AB862" i="1" s="1"/>
  <c r="AB863" i="1" s="1"/>
  <c r="AB864" i="1" s="1"/>
  <c r="AB865" i="1" s="1"/>
  <c r="AB866" i="1" s="1"/>
  <c r="AB867" i="1" s="1"/>
  <c r="AB868" i="1" s="1"/>
  <c r="AB869" i="1" s="1"/>
  <c r="AB870" i="1" s="1"/>
  <c r="AB871" i="1" s="1"/>
  <c r="AB872" i="1" s="1"/>
  <c r="AB873" i="1" s="1"/>
  <c r="AB874" i="1" s="1"/>
  <c r="AB875" i="1" s="1"/>
  <c r="AA857" i="1"/>
  <c r="T857" i="1"/>
  <c r="T858" i="1" s="1"/>
  <c r="O856" i="1"/>
  <c r="O857" i="1" s="1"/>
  <c r="O858" i="1" s="1"/>
  <c r="K856" i="1"/>
  <c r="K857" i="1" s="1"/>
  <c r="K858" i="1" s="1"/>
  <c r="AG855" i="1"/>
  <c r="AF855" i="1"/>
  <c r="AE855" i="1"/>
  <c r="AD855" i="1"/>
  <c r="AC855" i="1"/>
  <c r="AB855" i="1"/>
  <c r="AA855" i="1"/>
  <c r="T855" i="1"/>
  <c r="O854" i="1"/>
  <c r="O855" i="1" s="1"/>
  <c r="M854" i="1"/>
  <c r="M855" i="1" s="1"/>
  <c r="M856" i="1" s="1"/>
  <c r="M857" i="1" s="1"/>
  <c r="L853" i="1"/>
  <c r="L854" i="1" s="1"/>
  <c r="L855" i="1" s="1"/>
  <c r="L856" i="1" s="1"/>
  <c r="L857" i="1" s="1"/>
  <c r="L858" i="1" s="1"/>
  <c r="O852" i="1"/>
  <c r="O853" i="1" s="1"/>
  <c r="M852" i="1"/>
  <c r="M853" i="1" s="1"/>
  <c r="K852" i="1"/>
  <c r="K853" i="1" s="1"/>
  <c r="K854" i="1" s="1"/>
  <c r="K855" i="1" s="1"/>
  <c r="J852" i="1"/>
  <c r="J853" i="1" s="1"/>
  <c r="J854" i="1" s="1"/>
  <c r="J855" i="1" s="1"/>
  <c r="J856" i="1" s="1"/>
  <c r="J857" i="1" s="1"/>
  <c r="J858" i="1" s="1"/>
  <c r="C852" i="1"/>
  <c r="C853" i="1" s="1"/>
  <c r="C854" i="1" s="1"/>
  <c r="C855" i="1" s="1"/>
  <c r="C856" i="1" s="1"/>
  <c r="C857" i="1" s="1"/>
  <c r="C858" i="1" s="1"/>
  <c r="P851" i="1"/>
  <c r="P852" i="1" s="1"/>
  <c r="P853" i="1" s="1"/>
  <c r="P854" i="1" s="1"/>
  <c r="P855" i="1" s="1"/>
  <c r="P856" i="1" s="1"/>
  <c r="P857" i="1" s="1"/>
  <c r="P858" i="1" s="1"/>
  <c r="O851" i="1"/>
  <c r="N851" i="1"/>
  <c r="N852" i="1" s="1"/>
  <c r="N853" i="1" s="1"/>
  <c r="N854" i="1" s="1"/>
  <c r="N855" i="1" s="1"/>
  <c r="N856" i="1" s="1"/>
  <c r="N857" i="1" s="1"/>
  <c r="N858" i="1" s="1"/>
  <c r="M851" i="1"/>
  <c r="L851" i="1"/>
  <c r="L852" i="1" s="1"/>
  <c r="K851" i="1"/>
  <c r="J851" i="1"/>
  <c r="C851" i="1"/>
  <c r="AR850" i="1"/>
  <c r="AR851" i="1" s="1"/>
  <c r="AR852" i="1" s="1"/>
  <c r="AR853" i="1" s="1"/>
  <c r="AR854" i="1" s="1"/>
  <c r="AR855" i="1" s="1"/>
  <c r="AR856" i="1" s="1"/>
  <c r="AR857" i="1" s="1"/>
  <c r="AR858" i="1" s="1"/>
  <c r="AR859" i="1" s="1"/>
  <c r="AR860" i="1" s="1"/>
  <c r="AR861" i="1" s="1"/>
  <c r="AR862" i="1" s="1"/>
  <c r="AR863" i="1" s="1"/>
  <c r="AK850" i="1"/>
  <c r="AK851" i="1" s="1"/>
  <c r="AK852" i="1" s="1"/>
  <c r="AK853" i="1" s="1"/>
  <c r="AK854" i="1" s="1"/>
  <c r="AK855" i="1" s="1"/>
  <c r="AK856" i="1" s="1"/>
  <c r="AK857" i="1" s="1"/>
  <c r="AK858" i="1" s="1"/>
  <c r="AK859" i="1" s="1"/>
  <c r="AK860" i="1" s="1"/>
  <c r="AK861" i="1" s="1"/>
  <c r="AK862" i="1" s="1"/>
  <c r="AK863" i="1" s="1"/>
  <c r="AX849" i="1"/>
  <c r="AX850" i="1" s="1"/>
  <c r="AX851" i="1" s="1"/>
  <c r="AX852" i="1" s="1"/>
  <c r="AX853" i="1" s="1"/>
  <c r="AX854" i="1" s="1"/>
  <c r="AX855" i="1" s="1"/>
  <c r="AX856" i="1" s="1"/>
  <c r="AX857" i="1" s="1"/>
  <c r="AX858" i="1" s="1"/>
  <c r="AX859" i="1" s="1"/>
  <c r="AX860" i="1" s="1"/>
  <c r="AX861" i="1" s="1"/>
  <c r="AX862" i="1" s="1"/>
  <c r="AX863" i="1" s="1"/>
  <c r="AR849" i="1"/>
  <c r="P849" i="1"/>
  <c r="L849" i="1"/>
  <c r="J849" i="1"/>
  <c r="AW848" i="1"/>
  <c r="AW849" i="1" s="1"/>
  <c r="AW850" i="1" s="1"/>
  <c r="AW851" i="1" s="1"/>
  <c r="AW852" i="1" s="1"/>
  <c r="AW853" i="1" s="1"/>
  <c r="AW854" i="1" s="1"/>
  <c r="AW855" i="1" s="1"/>
  <c r="AW856" i="1" s="1"/>
  <c r="AW857" i="1" s="1"/>
  <c r="AW858" i="1" s="1"/>
  <c r="AW859" i="1" s="1"/>
  <c r="AW860" i="1" s="1"/>
  <c r="AW861" i="1" s="1"/>
  <c r="AW862" i="1" s="1"/>
  <c r="AW863" i="1" s="1"/>
  <c r="AU848" i="1"/>
  <c r="AU849" i="1" s="1"/>
  <c r="AU850" i="1" s="1"/>
  <c r="AU851" i="1" s="1"/>
  <c r="AU852" i="1" s="1"/>
  <c r="AU853" i="1" s="1"/>
  <c r="AU854" i="1" s="1"/>
  <c r="AU855" i="1" s="1"/>
  <c r="AU856" i="1" s="1"/>
  <c r="AU857" i="1" s="1"/>
  <c r="AU858" i="1" s="1"/>
  <c r="AU859" i="1" s="1"/>
  <c r="AU860" i="1" s="1"/>
  <c r="AU861" i="1" s="1"/>
  <c r="AU862" i="1" s="1"/>
  <c r="AU863" i="1" s="1"/>
  <c r="AS848" i="1"/>
  <c r="AS849" i="1" s="1"/>
  <c r="AS850" i="1" s="1"/>
  <c r="AS851" i="1" s="1"/>
  <c r="AS852" i="1" s="1"/>
  <c r="AS853" i="1" s="1"/>
  <c r="AS854" i="1" s="1"/>
  <c r="AS855" i="1" s="1"/>
  <c r="AS856" i="1" s="1"/>
  <c r="AS857" i="1" s="1"/>
  <c r="AS858" i="1" s="1"/>
  <c r="AS859" i="1" s="1"/>
  <c r="AS860" i="1" s="1"/>
  <c r="AS861" i="1" s="1"/>
  <c r="AS862" i="1" s="1"/>
  <c r="AS863" i="1" s="1"/>
  <c r="P848" i="1"/>
  <c r="O848" i="1"/>
  <c r="O849" i="1" s="1"/>
  <c r="N848" i="1"/>
  <c r="N849" i="1" s="1"/>
  <c r="M848" i="1"/>
  <c r="M849" i="1" s="1"/>
  <c r="L848" i="1"/>
  <c r="K848" i="1"/>
  <c r="K849" i="1" s="1"/>
  <c r="J848" i="1"/>
  <c r="C848" i="1"/>
  <c r="C849" i="1" s="1"/>
  <c r="AX847" i="1"/>
  <c r="AX848" i="1" s="1"/>
  <c r="AR847" i="1"/>
  <c r="AR848" i="1" s="1"/>
  <c r="AJ847" i="1"/>
  <c r="AJ848" i="1" s="1"/>
  <c r="AJ849" i="1" s="1"/>
  <c r="AJ850" i="1" s="1"/>
  <c r="AJ851" i="1" s="1"/>
  <c r="AJ852" i="1" s="1"/>
  <c r="AJ853" i="1" s="1"/>
  <c r="AJ854" i="1" s="1"/>
  <c r="AJ855" i="1" s="1"/>
  <c r="AJ856" i="1" s="1"/>
  <c r="AJ857" i="1" s="1"/>
  <c r="AJ858" i="1" s="1"/>
  <c r="AJ859" i="1" s="1"/>
  <c r="AJ860" i="1" s="1"/>
  <c r="AJ861" i="1" s="1"/>
  <c r="AJ862" i="1" s="1"/>
  <c r="AJ863" i="1" s="1"/>
  <c r="AJ864" i="1" s="1"/>
  <c r="AJ865" i="1" s="1"/>
  <c r="AJ866" i="1" s="1"/>
  <c r="AJ867" i="1" s="1"/>
  <c r="AJ868" i="1" s="1"/>
  <c r="AJ869" i="1" s="1"/>
  <c r="AJ870" i="1" s="1"/>
  <c r="AJ871" i="1" s="1"/>
  <c r="AJ872" i="1" s="1"/>
  <c r="AJ873" i="1" s="1"/>
  <c r="AJ874" i="1" s="1"/>
  <c r="AF847" i="1"/>
  <c r="AF848" i="1" s="1"/>
  <c r="AF849" i="1" s="1"/>
  <c r="AF850" i="1" s="1"/>
  <c r="AF851" i="1" s="1"/>
  <c r="AF852" i="1" s="1"/>
  <c r="AF853" i="1" s="1"/>
  <c r="AB847" i="1"/>
  <c r="AB848" i="1" s="1"/>
  <c r="AB849" i="1" s="1"/>
  <c r="AB850" i="1" s="1"/>
  <c r="AB851" i="1" s="1"/>
  <c r="AB852" i="1" s="1"/>
  <c r="AB853" i="1" s="1"/>
  <c r="AW846" i="1"/>
  <c r="AW847" i="1" s="1"/>
  <c r="AU846" i="1"/>
  <c r="AU847" i="1" s="1"/>
  <c r="AS846" i="1"/>
  <c r="AS847" i="1" s="1"/>
  <c r="AF846" i="1"/>
  <c r="AX845" i="1"/>
  <c r="AX846" i="1" s="1"/>
  <c r="AW845" i="1"/>
  <c r="AV845" i="1"/>
  <c r="AV846" i="1" s="1"/>
  <c r="AV847" i="1" s="1"/>
  <c r="AV848" i="1" s="1"/>
  <c r="AV849" i="1" s="1"/>
  <c r="AV850" i="1" s="1"/>
  <c r="AV851" i="1" s="1"/>
  <c r="AV852" i="1" s="1"/>
  <c r="AV853" i="1" s="1"/>
  <c r="AV854" i="1" s="1"/>
  <c r="AV855" i="1" s="1"/>
  <c r="AV856" i="1" s="1"/>
  <c r="AV857" i="1" s="1"/>
  <c r="AV858" i="1" s="1"/>
  <c r="AV859" i="1" s="1"/>
  <c r="AV860" i="1" s="1"/>
  <c r="AV861" i="1" s="1"/>
  <c r="AV862" i="1" s="1"/>
  <c r="AV863" i="1" s="1"/>
  <c r="AU845" i="1"/>
  <c r="AT845" i="1"/>
  <c r="AT846" i="1" s="1"/>
  <c r="AT847" i="1" s="1"/>
  <c r="AT848" i="1" s="1"/>
  <c r="AT849" i="1" s="1"/>
  <c r="AT850" i="1" s="1"/>
  <c r="AT851" i="1" s="1"/>
  <c r="AT852" i="1" s="1"/>
  <c r="AT853" i="1" s="1"/>
  <c r="AT854" i="1" s="1"/>
  <c r="AT855" i="1" s="1"/>
  <c r="AT856" i="1" s="1"/>
  <c r="AT857" i="1" s="1"/>
  <c r="AT858" i="1" s="1"/>
  <c r="AT859" i="1" s="1"/>
  <c r="AT860" i="1" s="1"/>
  <c r="AT861" i="1" s="1"/>
  <c r="AT862" i="1" s="1"/>
  <c r="AT863" i="1" s="1"/>
  <c r="AS845" i="1"/>
  <c r="AR845" i="1"/>
  <c r="AR846" i="1" s="1"/>
  <c r="AK845" i="1"/>
  <c r="AK846" i="1" s="1"/>
  <c r="AK847" i="1" s="1"/>
  <c r="AK848" i="1" s="1"/>
  <c r="AK849" i="1" s="1"/>
  <c r="AJ845" i="1"/>
  <c r="AJ846" i="1" s="1"/>
  <c r="O845" i="1"/>
  <c r="O846" i="1" s="1"/>
  <c r="L844" i="1"/>
  <c r="L845" i="1" s="1"/>
  <c r="L846" i="1" s="1"/>
  <c r="AF843" i="1"/>
  <c r="AF844" i="1" s="1"/>
  <c r="AF845" i="1" s="1"/>
  <c r="AC843" i="1"/>
  <c r="AC844" i="1" s="1"/>
  <c r="AC845" i="1" s="1"/>
  <c r="AC846" i="1" s="1"/>
  <c r="AC847" i="1" s="1"/>
  <c r="AC848" i="1" s="1"/>
  <c r="AC849" i="1" s="1"/>
  <c r="AC850" i="1" s="1"/>
  <c r="AC851" i="1" s="1"/>
  <c r="AC852" i="1" s="1"/>
  <c r="AC853" i="1" s="1"/>
  <c r="AB843" i="1"/>
  <c r="AB844" i="1" s="1"/>
  <c r="AB845" i="1" s="1"/>
  <c r="AB846" i="1" s="1"/>
  <c r="AA843" i="1"/>
  <c r="AA844" i="1" s="1"/>
  <c r="AA845" i="1" s="1"/>
  <c r="AA846" i="1" s="1"/>
  <c r="AA847" i="1" s="1"/>
  <c r="AA848" i="1" s="1"/>
  <c r="AA849" i="1" s="1"/>
  <c r="AA850" i="1" s="1"/>
  <c r="AA851" i="1" s="1"/>
  <c r="AA852" i="1" s="1"/>
  <c r="AA853" i="1" s="1"/>
  <c r="AF842" i="1"/>
  <c r="AD842" i="1"/>
  <c r="AD843" i="1" s="1"/>
  <c r="AD844" i="1" s="1"/>
  <c r="AD845" i="1" s="1"/>
  <c r="AD846" i="1" s="1"/>
  <c r="AD847" i="1" s="1"/>
  <c r="AD848" i="1" s="1"/>
  <c r="AD849" i="1" s="1"/>
  <c r="AD850" i="1" s="1"/>
  <c r="AD851" i="1" s="1"/>
  <c r="AD852" i="1" s="1"/>
  <c r="AD853" i="1" s="1"/>
  <c r="L842" i="1"/>
  <c r="L843" i="1" s="1"/>
  <c r="J842" i="1"/>
  <c r="J843" i="1" s="1"/>
  <c r="J844" i="1" s="1"/>
  <c r="J845" i="1" s="1"/>
  <c r="J846" i="1" s="1"/>
  <c r="AG841" i="1"/>
  <c r="AG842" i="1" s="1"/>
  <c r="AG843" i="1" s="1"/>
  <c r="AG844" i="1" s="1"/>
  <c r="AG845" i="1" s="1"/>
  <c r="AG846" i="1" s="1"/>
  <c r="AG847" i="1" s="1"/>
  <c r="AG848" i="1" s="1"/>
  <c r="AG849" i="1" s="1"/>
  <c r="AG850" i="1" s="1"/>
  <c r="AG851" i="1" s="1"/>
  <c r="AG852" i="1" s="1"/>
  <c r="AG853" i="1" s="1"/>
  <c r="AE841" i="1"/>
  <c r="AE842" i="1" s="1"/>
  <c r="AE843" i="1" s="1"/>
  <c r="AE844" i="1" s="1"/>
  <c r="AE845" i="1" s="1"/>
  <c r="AE846" i="1" s="1"/>
  <c r="AE847" i="1" s="1"/>
  <c r="AE848" i="1" s="1"/>
  <c r="AE849" i="1" s="1"/>
  <c r="AE850" i="1" s="1"/>
  <c r="AE851" i="1" s="1"/>
  <c r="AE852" i="1" s="1"/>
  <c r="AE853" i="1" s="1"/>
  <c r="AC841" i="1"/>
  <c r="AC842" i="1" s="1"/>
  <c r="AA841" i="1"/>
  <c r="AA842" i="1" s="1"/>
  <c r="AG840" i="1"/>
  <c r="AF840" i="1"/>
  <c r="AF841" i="1" s="1"/>
  <c r="AE840" i="1"/>
  <c r="AD840" i="1"/>
  <c r="AD841" i="1" s="1"/>
  <c r="AC840" i="1"/>
  <c r="AB840" i="1"/>
  <c r="AB841" i="1" s="1"/>
  <c r="AB842" i="1" s="1"/>
  <c r="AA840" i="1"/>
  <c r="T840" i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S840" i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J840" i="1"/>
  <c r="J841" i="1" s="1"/>
  <c r="O839" i="1"/>
  <c r="O840" i="1" s="1"/>
  <c r="O841" i="1" s="1"/>
  <c r="O842" i="1" s="1"/>
  <c r="O843" i="1" s="1"/>
  <c r="O844" i="1" s="1"/>
  <c r="J839" i="1"/>
  <c r="P838" i="1"/>
  <c r="P839" i="1" s="1"/>
  <c r="P840" i="1" s="1"/>
  <c r="P841" i="1" s="1"/>
  <c r="P842" i="1" s="1"/>
  <c r="P843" i="1" s="1"/>
  <c r="P844" i="1" s="1"/>
  <c r="P845" i="1" s="1"/>
  <c r="P846" i="1" s="1"/>
  <c r="O838" i="1"/>
  <c r="N838" i="1"/>
  <c r="N839" i="1" s="1"/>
  <c r="N840" i="1" s="1"/>
  <c r="N841" i="1" s="1"/>
  <c r="N842" i="1" s="1"/>
  <c r="N843" i="1" s="1"/>
  <c r="N844" i="1" s="1"/>
  <c r="N845" i="1" s="1"/>
  <c r="N846" i="1" s="1"/>
  <c r="M838" i="1"/>
  <c r="M839" i="1" s="1"/>
  <c r="M840" i="1" s="1"/>
  <c r="M841" i="1" s="1"/>
  <c r="M842" i="1" s="1"/>
  <c r="M843" i="1" s="1"/>
  <c r="M844" i="1" s="1"/>
  <c r="M845" i="1" s="1"/>
  <c r="M846" i="1" s="1"/>
  <c r="L838" i="1"/>
  <c r="L839" i="1" s="1"/>
  <c r="L840" i="1" s="1"/>
  <c r="L841" i="1" s="1"/>
  <c r="K838" i="1"/>
  <c r="K839" i="1" s="1"/>
  <c r="K840" i="1" s="1"/>
  <c r="K841" i="1" s="1"/>
  <c r="K842" i="1" s="1"/>
  <c r="K843" i="1" s="1"/>
  <c r="K844" i="1" s="1"/>
  <c r="K845" i="1" s="1"/>
  <c r="K846" i="1" s="1"/>
  <c r="J838" i="1"/>
  <c r="C838" i="1"/>
  <c r="C839" i="1" s="1"/>
  <c r="C840" i="1" s="1"/>
  <c r="C841" i="1" s="1"/>
  <c r="C842" i="1" s="1"/>
  <c r="C843" i="1" s="1"/>
  <c r="C844" i="1" s="1"/>
  <c r="C845" i="1" s="1"/>
  <c r="C846" i="1" s="1"/>
  <c r="O831" i="1"/>
  <c r="O832" i="1" s="1"/>
  <c r="O833" i="1" s="1"/>
  <c r="O834" i="1" s="1"/>
  <c r="O835" i="1" s="1"/>
  <c r="O836" i="1" s="1"/>
  <c r="T830" i="1"/>
  <c r="T831" i="1" s="1"/>
  <c r="T832" i="1" s="1"/>
  <c r="T833" i="1" s="1"/>
  <c r="T834" i="1" s="1"/>
  <c r="T835" i="1" s="1"/>
  <c r="T836" i="1" s="1"/>
  <c r="T837" i="1" s="1"/>
  <c r="T838" i="1" s="1"/>
  <c r="AW829" i="1"/>
  <c r="AW830" i="1" s="1"/>
  <c r="AW831" i="1" s="1"/>
  <c r="AW832" i="1" s="1"/>
  <c r="AW833" i="1" s="1"/>
  <c r="AW834" i="1" s="1"/>
  <c r="AW835" i="1" s="1"/>
  <c r="AW836" i="1" s="1"/>
  <c r="AW837" i="1" s="1"/>
  <c r="AW838" i="1" s="1"/>
  <c r="AW839" i="1" s="1"/>
  <c r="AW840" i="1" s="1"/>
  <c r="AW841" i="1" s="1"/>
  <c r="AW842" i="1" s="1"/>
  <c r="AW843" i="1" s="1"/>
  <c r="AD829" i="1"/>
  <c r="AD830" i="1" s="1"/>
  <c r="AD831" i="1" s="1"/>
  <c r="AD832" i="1" s="1"/>
  <c r="AD833" i="1" s="1"/>
  <c r="AD834" i="1" s="1"/>
  <c r="AD835" i="1" s="1"/>
  <c r="AD836" i="1" s="1"/>
  <c r="AD837" i="1" s="1"/>
  <c r="AD838" i="1" s="1"/>
  <c r="AB829" i="1"/>
  <c r="AB830" i="1" s="1"/>
  <c r="AB831" i="1" s="1"/>
  <c r="AB832" i="1" s="1"/>
  <c r="AB833" i="1" s="1"/>
  <c r="AB834" i="1" s="1"/>
  <c r="AB835" i="1" s="1"/>
  <c r="AB836" i="1" s="1"/>
  <c r="AB837" i="1" s="1"/>
  <c r="AB838" i="1" s="1"/>
  <c r="J829" i="1"/>
  <c r="J830" i="1" s="1"/>
  <c r="J831" i="1" s="1"/>
  <c r="J832" i="1" s="1"/>
  <c r="J833" i="1" s="1"/>
  <c r="J834" i="1" s="1"/>
  <c r="J835" i="1" s="1"/>
  <c r="J836" i="1" s="1"/>
  <c r="C829" i="1"/>
  <c r="C830" i="1" s="1"/>
  <c r="C831" i="1" s="1"/>
  <c r="C832" i="1" s="1"/>
  <c r="C833" i="1" s="1"/>
  <c r="C834" i="1" s="1"/>
  <c r="C835" i="1" s="1"/>
  <c r="C836" i="1" s="1"/>
  <c r="AG828" i="1"/>
  <c r="AG829" i="1" s="1"/>
  <c r="AG830" i="1" s="1"/>
  <c r="AG831" i="1" s="1"/>
  <c r="AG832" i="1" s="1"/>
  <c r="AG833" i="1" s="1"/>
  <c r="AG834" i="1" s="1"/>
  <c r="AG835" i="1" s="1"/>
  <c r="AG836" i="1" s="1"/>
  <c r="AG837" i="1" s="1"/>
  <c r="AG838" i="1" s="1"/>
  <c r="AE828" i="1"/>
  <c r="AE829" i="1" s="1"/>
  <c r="AE830" i="1" s="1"/>
  <c r="AE831" i="1" s="1"/>
  <c r="AE832" i="1" s="1"/>
  <c r="AE833" i="1" s="1"/>
  <c r="AE834" i="1" s="1"/>
  <c r="AE835" i="1" s="1"/>
  <c r="AE836" i="1" s="1"/>
  <c r="AE837" i="1" s="1"/>
  <c r="AE838" i="1" s="1"/>
  <c r="M828" i="1"/>
  <c r="M829" i="1" s="1"/>
  <c r="M830" i="1" s="1"/>
  <c r="M831" i="1" s="1"/>
  <c r="M832" i="1" s="1"/>
  <c r="M833" i="1" s="1"/>
  <c r="M834" i="1" s="1"/>
  <c r="M835" i="1" s="1"/>
  <c r="M836" i="1" s="1"/>
  <c r="L828" i="1"/>
  <c r="L829" i="1" s="1"/>
  <c r="L830" i="1" s="1"/>
  <c r="L831" i="1" s="1"/>
  <c r="L832" i="1" s="1"/>
  <c r="L833" i="1" s="1"/>
  <c r="L834" i="1" s="1"/>
  <c r="L835" i="1" s="1"/>
  <c r="L836" i="1" s="1"/>
  <c r="K828" i="1"/>
  <c r="K829" i="1" s="1"/>
  <c r="K830" i="1" s="1"/>
  <c r="K831" i="1" s="1"/>
  <c r="K832" i="1" s="1"/>
  <c r="K833" i="1" s="1"/>
  <c r="K834" i="1" s="1"/>
  <c r="K835" i="1" s="1"/>
  <c r="K836" i="1" s="1"/>
  <c r="J828" i="1"/>
  <c r="AG827" i="1"/>
  <c r="P827" i="1"/>
  <c r="P828" i="1" s="1"/>
  <c r="P829" i="1" s="1"/>
  <c r="P830" i="1" s="1"/>
  <c r="P831" i="1" s="1"/>
  <c r="P832" i="1" s="1"/>
  <c r="P833" i="1" s="1"/>
  <c r="P834" i="1" s="1"/>
  <c r="P835" i="1" s="1"/>
  <c r="P836" i="1" s="1"/>
  <c r="O827" i="1"/>
  <c r="O828" i="1" s="1"/>
  <c r="O829" i="1" s="1"/>
  <c r="O830" i="1" s="1"/>
  <c r="N827" i="1"/>
  <c r="N828" i="1" s="1"/>
  <c r="N829" i="1" s="1"/>
  <c r="N830" i="1" s="1"/>
  <c r="N831" i="1" s="1"/>
  <c r="N832" i="1" s="1"/>
  <c r="N833" i="1" s="1"/>
  <c r="N834" i="1" s="1"/>
  <c r="N835" i="1" s="1"/>
  <c r="N836" i="1" s="1"/>
  <c r="M827" i="1"/>
  <c r="L827" i="1"/>
  <c r="J827" i="1"/>
  <c r="AU826" i="1"/>
  <c r="AU827" i="1" s="1"/>
  <c r="AU828" i="1" s="1"/>
  <c r="AU829" i="1" s="1"/>
  <c r="AU830" i="1" s="1"/>
  <c r="AU831" i="1" s="1"/>
  <c r="AU832" i="1" s="1"/>
  <c r="AU833" i="1" s="1"/>
  <c r="AU834" i="1" s="1"/>
  <c r="AU835" i="1" s="1"/>
  <c r="AU836" i="1" s="1"/>
  <c r="AU837" i="1" s="1"/>
  <c r="AU838" i="1" s="1"/>
  <c r="AU839" i="1" s="1"/>
  <c r="AU840" i="1" s="1"/>
  <c r="AU841" i="1" s="1"/>
  <c r="AU842" i="1" s="1"/>
  <c r="AU843" i="1" s="1"/>
  <c r="AT826" i="1"/>
  <c r="AT827" i="1" s="1"/>
  <c r="AT828" i="1" s="1"/>
  <c r="AT829" i="1" s="1"/>
  <c r="AT830" i="1" s="1"/>
  <c r="AT831" i="1" s="1"/>
  <c r="AT832" i="1" s="1"/>
  <c r="AT833" i="1" s="1"/>
  <c r="AT834" i="1" s="1"/>
  <c r="AT835" i="1" s="1"/>
  <c r="AT836" i="1" s="1"/>
  <c r="AT837" i="1" s="1"/>
  <c r="AT838" i="1" s="1"/>
  <c r="AT839" i="1" s="1"/>
  <c r="AT840" i="1" s="1"/>
  <c r="AT841" i="1" s="1"/>
  <c r="AT842" i="1" s="1"/>
  <c r="AT843" i="1" s="1"/>
  <c r="AG826" i="1"/>
  <c r="AB826" i="1"/>
  <c r="AB827" i="1" s="1"/>
  <c r="AB828" i="1" s="1"/>
  <c r="AA826" i="1"/>
  <c r="AA827" i="1" s="1"/>
  <c r="AA828" i="1" s="1"/>
  <c r="AA829" i="1" s="1"/>
  <c r="AA830" i="1" s="1"/>
  <c r="AA831" i="1" s="1"/>
  <c r="AA832" i="1" s="1"/>
  <c r="AA833" i="1" s="1"/>
  <c r="AA834" i="1" s="1"/>
  <c r="AA835" i="1" s="1"/>
  <c r="AA836" i="1" s="1"/>
  <c r="AA837" i="1" s="1"/>
  <c r="AA838" i="1" s="1"/>
  <c r="T826" i="1"/>
  <c r="T827" i="1" s="1"/>
  <c r="T828" i="1" s="1"/>
  <c r="T829" i="1" s="1"/>
  <c r="P826" i="1"/>
  <c r="O826" i="1"/>
  <c r="N826" i="1"/>
  <c r="M826" i="1"/>
  <c r="L826" i="1"/>
  <c r="K826" i="1"/>
  <c r="K827" i="1" s="1"/>
  <c r="J826" i="1"/>
  <c r="C826" i="1"/>
  <c r="C827" i="1" s="1"/>
  <c r="C828" i="1" s="1"/>
  <c r="AX825" i="1"/>
  <c r="AX826" i="1" s="1"/>
  <c r="AX827" i="1" s="1"/>
  <c r="AX828" i="1" s="1"/>
  <c r="AX829" i="1" s="1"/>
  <c r="AX830" i="1" s="1"/>
  <c r="AX831" i="1" s="1"/>
  <c r="AX832" i="1" s="1"/>
  <c r="AX833" i="1" s="1"/>
  <c r="AX834" i="1" s="1"/>
  <c r="AX835" i="1" s="1"/>
  <c r="AX836" i="1" s="1"/>
  <c r="AX837" i="1" s="1"/>
  <c r="AX838" i="1" s="1"/>
  <c r="AX839" i="1" s="1"/>
  <c r="AX840" i="1" s="1"/>
  <c r="AX841" i="1" s="1"/>
  <c r="AX842" i="1" s="1"/>
  <c r="AX843" i="1" s="1"/>
  <c r="AW825" i="1"/>
  <c r="AW826" i="1" s="1"/>
  <c r="AW827" i="1" s="1"/>
  <c r="AW828" i="1" s="1"/>
  <c r="AV825" i="1"/>
  <c r="AV826" i="1" s="1"/>
  <c r="AV827" i="1" s="1"/>
  <c r="AV828" i="1" s="1"/>
  <c r="AV829" i="1" s="1"/>
  <c r="AV830" i="1" s="1"/>
  <c r="AV831" i="1" s="1"/>
  <c r="AV832" i="1" s="1"/>
  <c r="AV833" i="1" s="1"/>
  <c r="AV834" i="1" s="1"/>
  <c r="AV835" i="1" s="1"/>
  <c r="AV836" i="1" s="1"/>
  <c r="AV837" i="1" s="1"/>
  <c r="AV838" i="1" s="1"/>
  <c r="AV839" i="1" s="1"/>
  <c r="AV840" i="1" s="1"/>
  <c r="AV841" i="1" s="1"/>
  <c r="AV842" i="1" s="1"/>
  <c r="AV843" i="1" s="1"/>
  <c r="AG825" i="1"/>
  <c r="AF825" i="1"/>
  <c r="AF826" i="1" s="1"/>
  <c r="AF827" i="1" s="1"/>
  <c r="AF828" i="1" s="1"/>
  <c r="AF829" i="1" s="1"/>
  <c r="AF830" i="1" s="1"/>
  <c r="AF831" i="1" s="1"/>
  <c r="AF832" i="1" s="1"/>
  <c r="AF833" i="1" s="1"/>
  <c r="AF834" i="1" s="1"/>
  <c r="AF835" i="1" s="1"/>
  <c r="AF836" i="1" s="1"/>
  <c r="AF837" i="1" s="1"/>
  <c r="AF838" i="1" s="1"/>
  <c r="AE825" i="1"/>
  <c r="AE826" i="1" s="1"/>
  <c r="AE827" i="1" s="1"/>
  <c r="AD825" i="1"/>
  <c r="AD826" i="1" s="1"/>
  <c r="AD827" i="1" s="1"/>
  <c r="AD828" i="1" s="1"/>
  <c r="AC825" i="1"/>
  <c r="AC826" i="1" s="1"/>
  <c r="AC827" i="1" s="1"/>
  <c r="AC828" i="1" s="1"/>
  <c r="AC829" i="1" s="1"/>
  <c r="AC830" i="1" s="1"/>
  <c r="AC831" i="1" s="1"/>
  <c r="AC832" i="1" s="1"/>
  <c r="AC833" i="1" s="1"/>
  <c r="AC834" i="1" s="1"/>
  <c r="AC835" i="1" s="1"/>
  <c r="AC836" i="1" s="1"/>
  <c r="AC837" i="1" s="1"/>
  <c r="AC838" i="1" s="1"/>
  <c r="AB825" i="1"/>
  <c r="AA825" i="1"/>
  <c r="T825" i="1"/>
  <c r="AX824" i="1"/>
  <c r="AW824" i="1"/>
  <c r="AV824" i="1"/>
  <c r="AU824" i="1"/>
  <c r="AU825" i="1" s="1"/>
  <c r="AT824" i="1"/>
  <c r="AT825" i="1" s="1"/>
  <c r="AS824" i="1"/>
  <c r="AS825" i="1" s="1"/>
  <c r="AS826" i="1" s="1"/>
  <c r="AS827" i="1" s="1"/>
  <c r="AS828" i="1" s="1"/>
  <c r="AS829" i="1" s="1"/>
  <c r="AS830" i="1" s="1"/>
  <c r="AS831" i="1" s="1"/>
  <c r="AS832" i="1" s="1"/>
  <c r="AS833" i="1" s="1"/>
  <c r="AS834" i="1" s="1"/>
  <c r="AS835" i="1" s="1"/>
  <c r="AS836" i="1" s="1"/>
  <c r="AS837" i="1" s="1"/>
  <c r="AS838" i="1" s="1"/>
  <c r="AS839" i="1" s="1"/>
  <c r="AS840" i="1" s="1"/>
  <c r="AS841" i="1" s="1"/>
  <c r="AS842" i="1" s="1"/>
  <c r="AS843" i="1" s="1"/>
  <c r="AR824" i="1"/>
  <c r="AR825" i="1" s="1"/>
  <c r="AR826" i="1" s="1"/>
  <c r="AR827" i="1" s="1"/>
  <c r="AR828" i="1" s="1"/>
  <c r="AR829" i="1" s="1"/>
  <c r="AR830" i="1" s="1"/>
  <c r="AR831" i="1" s="1"/>
  <c r="AR832" i="1" s="1"/>
  <c r="AR833" i="1" s="1"/>
  <c r="AR834" i="1" s="1"/>
  <c r="AR835" i="1" s="1"/>
  <c r="AR836" i="1" s="1"/>
  <c r="AR837" i="1" s="1"/>
  <c r="AR838" i="1" s="1"/>
  <c r="AR839" i="1" s="1"/>
  <c r="AR840" i="1" s="1"/>
  <c r="AR841" i="1" s="1"/>
  <c r="AR842" i="1" s="1"/>
  <c r="AR843" i="1" s="1"/>
  <c r="AK824" i="1"/>
  <c r="AK825" i="1" s="1"/>
  <c r="AK826" i="1" s="1"/>
  <c r="AK827" i="1" s="1"/>
  <c r="AK828" i="1" s="1"/>
  <c r="AK829" i="1" s="1"/>
  <c r="AK830" i="1" s="1"/>
  <c r="AK831" i="1" s="1"/>
  <c r="AK832" i="1" s="1"/>
  <c r="AK833" i="1" s="1"/>
  <c r="AK834" i="1" s="1"/>
  <c r="AK835" i="1" s="1"/>
  <c r="AK836" i="1" s="1"/>
  <c r="AK837" i="1" s="1"/>
  <c r="AK838" i="1" s="1"/>
  <c r="AK839" i="1" s="1"/>
  <c r="AK840" i="1" s="1"/>
  <c r="AK841" i="1" s="1"/>
  <c r="AK842" i="1" s="1"/>
  <c r="AK843" i="1" s="1"/>
  <c r="AJ816" i="1"/>
  <c r="AJ817" i="1" s="1"/>
  <c r="AJ818" i="1" s="1"/>
  <c r="AJ819" i="1" s="1"/>
  <c r="AJ820" i="1" s="1"/>
  <c r="AJ821" i="1" s="1"/>
  <c r="AJ822" i="1" s="1"/>
  <c r="AJ823" i="1" s="1"/>
  <c r="AJ824" i="1" s="1"/>
  <c r="AJ825" i="1" s="1"/>
  <c r="AJ826" i="1" s="1"/>
  <c r="AJ827" i="1" s="1"/>
  <c r="AJ828" i="1" s="1"/>
  <c r="AJ829" i="1" s="1"/>
  <c r="AJ830" i="1" s="1"/>
  <c r="AJ831" i="1" s="1"/>
  <c r="AJ832" i="1" s="1"/>
  <c r="AJ833" i="1" s="1"/>
  <c r="AJ834" i="1" s="1"/>
  <c r="AJ835" i="1" s="1"/>
  <c r="AJ836" i="1" s="1"/>
  <c r="AJ837" i="1" s="1"/>
  <c r="AJ838" i="1" s="1"/>
  <c r="AJ839" i="1" s="1"/>
  <c r="AJ840" i="1" s="1"/>
  <c r="AJ841" i="1" s="1"/>
  <c r="AJ842" i="1" s="1"/>
  <c r="AJ843" i="1" s="1"/>
  <c r="M816" i="1"/>
  <c r="M817" i="1" s="1"/>
  <c r="M818" i="1" s="1"/>
  <c r="M819" i="1" s="1"/>
  <c r="M820" i="1" s="1"/>
  <c r="M821" i="1" s="1"/>
  <c r="M822" i="1" s="1"/>
  <c r="M823" i="1" s="1"/>
  <c r="M824" i="1" s="1"/>
  <c r="L816" i="1"/>
  <c r="L817" i="1" s="1"/>
  <c r="L818" i="1" s="1"/>
  <c r="L819" i="1" s="1"/>
  <c r="L820" i="1" s="1"/>
  <c r="L821" i="1" s="1"/>
  <c r="L822" i="1" s="1"/>
  <c r="L823" i="1" s="1"/>
  <c r="L824" i="1" s="1"/>
  <c r="AJ815" i="1"/>
  <c r="P815" i="1"/>
  <c r="P816" i="1" s="1"/>
  <c r="P817" i="1" s="1"/>
  <c r="P818" i="1" s="1"/>
  <c r="P819" i="1" s="1"/>
  <c r="P820" i="1" s="1"/>
  <c r="P821" i="1" s="1"/>
  <c r="P822" i="1" s="1"/>
  <c r="P823" i="1" s="1"/>
  <c r="P824" i="1" s="1"/>
  <c r="P814" i="1"/>
  <c r="P813" i="1"/>
  <c r="J813" i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C813" i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AJ812" i="1"/>
  <c r="AJ813" i="1" s="1"/>
  <c r="AJ814" i="1" s="1"/>
  <c r="P812" i="1"/>
  <c r="O812" i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N812" i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M812" i="1"/>
  <c r="M813" i="1" s="1"/>
  <c r="M814" i="1" s="1"/>
  <c r="M815" i="1" s="1"/>
  <c r="L812" i="1"/>
  <c r="L813" i="1" s="1"/>
  <c r="L814" i="1" s="1"/>
  <c r="L815" i="1" s="1"/>
  <c r="K812" i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J812" i="1"/>
  <c r="C812" i="1"/>
  <c r="AW810" i="1"/>
  <c r="AW811" i="1" s="1"/>
  <c r="AW812" i="1" s="1"/>
  <c r="AW813" i="1" s="1"/>
  <c r="AW814" i="1" s="1"/>
  <c r="AW815" i="1" s="1"/>
  <c r="AW816" i="1" s="1"/>
  <c r="AW817" i="1" s="1"/>
  <c r="AW818" i="1" s="1"/>
  <c r="AW819" i="1" s="1"/>
  <c r="AW820" i="1" s="1"/>
  <c r="AW821" i="1" s="1"/>
  <c r="AW822" i="1" s="1"/>
  <c r="AU807" i="1"/>
  <c r="AU808" i="1" s="1"/>
  <c r="AU809" i="1" s="1"/>
  <c r="AU810" i="1" s="1"/>
  <c r="AU811" i="1" s="1"/>
  <c r="AU812" i="1" s="1"/>
  <c r="AU813" i="1" s="1"/>
  <c r="AU814" i="1" s="1"/>
  <c r="AU815" i="1" s="1"/>
  <c r="AU816" i="1" s="1"/>
  <c r="AU817" i="1" s="1"/>
  <c r="AU818" i="1" s="1"/>
  <c r="AU819" i="1" s="1"/>
  <c r="AU820" i="1" s="1"/>
  <c r="AU821" i="1" s="1"/>
  <c r="AU822" i="1" s="1"/>
  <c r="AA807" i="1"/>
  <c r="AA808" i="1" s="1"/>
  <c r="AA809" i="1" s="1"/>
  <c r="AA810" i="1" s="1"/>
  <c r="AA811" i="1" s="1"/>
  <c r="AA812" i="1" s="1"/>
  <c r="AA813" i="1" s="1"/>
  <c r="AA814" i="1" s="1"/>
  <c r="AA815" i="1" s="1"/>
  <c r="AA816" i="1" s="1"/>
  <c r="AA817" i="1" s="1"/>
  <c r="AA818" i="1" s="1"/>
  <c r="AA819" i="1" s="1"/>
  <c r="AA820" i="1" s="1"/>
  <c r="AA821" i="1" s="1"/>
  <c r="AA822" i="1" s="1"/>
  <c r="AA823" i="1" s="1"/>
  <c r="AX806" i="1"/>
  <c r="AX807" i="1" s="1"/>
  <c r="AX808" i="1" s="1"/>
  <c r="AX809" i="1" s="1"/>
  <c r="AX810" i="1" s="1"/>
  <c r="AX811" i="1" s="1"/>
  <c r="AX812" i="1" s="1"/>
  <c r="AX813" i="1" s="1"/>
  <c r="AX814" i="1" s="1"/>
  <c r="AX815" i="1" s="1"/>
  <c r="AX816" i="1" s="1"/>
  <c r="AX817" i="1" s="1"/>
  <c r="AX818" i="1" s="1"/>
  <c r="AX819" i="1" s="1"/>
  <c r="AX820" i="1" s="1"/>
  <c r="AX821" i="1" s="1"/>
  <c r="AX822" i="1" s="1"/>
  <c r="AW806" i="1"/>
  <c r="AW807" i="1" s="1"/>
  <c r="AW808" i="1" s="1"/>
  <c r="AW809" i="1" s="1"/>
  <c r="AV806" i="1"/>
  <c r="AV807" i="1" s="1"/>
  <c r="AV808" i="1" s="1"/>
  <c r="AV809" i="1" s="1"/>
  <c r="AV810" i="1" s="1"/>
  <c r="AV811" i="1" s="1"/>
  <c r="AV812" i="1" s="1"/>
  <c r="AV813" i="1" s="1"/>
  <c r="AV814" i="1" s="1"/>
  <c r="AV815" i="1" s="1"/>
  <c r="AV816" i="1" s="1"/>
  <c r="AV817" i="1" s="1"/>
  <c r="AV818" i="1" s="1"/>
  <c r="AV819" i="1" s="1"/>
  <c r="AV820" i="1" s="1"/>
  <c r="AV821" i="1" s="1"/>
  <c r="AV822" i="1" s="1"/>
  <c r="AU806" i="1"/>
  <c r="AD806" i="1"/>
  <c r="AD807" i="1" s="1"/>
  <c r="AD808" i="1" s="1"/>
  <c r="AD809" i="1" s="1"/>
  <c r="AD810" i="1" s="1"/>
  <c r="AD811" i="1" s="1"/>
  <c r="AD812" i="1" s="1"/>
  <c r="AD813" i="1" s="1"/>
  <c r="AD814" i="1" s="1"/>
  <c r="AD815" i="1" s="1"/>
  <c r="AD816" i="1" s="1"/>
  <c r="AD817" i="1" s="1"/>
  <c r="AD818" i="1" s="1"/>
  <c r="AD819" i="1" s="1"/>
  <c r="AD820" i="1" s="1"/>
  <c r="AD821" i="1" s="1"/>
  <c r="AD822" i="1" s="1"/>
  <c r="AD823" i="1" s="1"/>
  <c r="AC806" i="1"/>
  <c r="AC807" i="1" s="1"/>
  <c r="AC808" i="1" s="1"/>
  <c r="AC809" i="1" s="1"/>
  <c r="AC810" i="1" s="1"/>
  <c r="AC811" i="1" s="1"/>
  <c r="AC812" i="1" s="1"/>
  <c r="AC813" i="1" s="1"/>
  <c r="AC814" i="1" s="1"/>
  <c r="AC815" i="1" s="1"/>
  <c r="AC816" i="1" s="1"/>
  <c r="AC817" i="1" s="1"/>
  <c r="AC818" i="1" s="1"/>
  <c r="AC819" i="1" s="1"/>
  <c r="AC820" i="1" s="1"/>
  <c r="AC821" i="1" s="1"/>
  <c r="AC822" i="1" s="1"/>
  <c r="AC823" i="1" s="1"/>
  <c r="AX805" i="1"/>
  <c r="AW805" i="1"/>
  <c r="AU805" i="1"/>
  <c r="L805" i="1"/>
  <c r="L806" i="1" s="1"/>
  <c r="L807" i="1" s="1"/>
  <c r="L808" i="1" s="1"/>
  <c r="L809" i="1" s="1"/>
  <c r="L810" i="1" s="1"/>
  <c r="K805" i="1"/>
  <c r="K806" i="1" s="1"/>
  <c r="K807" i="1" s="1"/>
  <c r="K808" i="1" s="1"/>
  <c r="K809" i="1" s="1"/>
  <c r="K810" i="1" s="1"/>
  <c r="AX804" i="1"/>
  <c r="AW804" i="1"/>
  <c r="AV804" i="1"/>
  <c r="AV805" i="1" s="1"/>
  <c r="AU804" i="1"/>
  <c r="AT804" i="1"/>
  <c r="AT805" i="1" s="1"/>
  <c r="AT806" i="1" s="1"/>
  <c r="AT807" i="1" s="1"/>
  <c r="AT808" i="1" s="1"/>
  <c r="AT809" i="1" s="1"/>
  <c r="AT810" i="1" s="1"/>
  <c r="AT811" i="1" s="1"/>
  <c r="AT812" i="1" s="1"/>
  <c r="AT813" i="1" s="1"/>
  <c r="AT814" i="1" s="1"/>
  <c r="AT815" i="1" s="1"/>
  <c r="AT816" i="1" s="1"/>
  <c r="AT817" i="1" s="1"/>
  <c r="AT818" i="1" s="1"/>
  <c r="AT819" i="1" s="1"/>
  <c r="AT820" i="1" s="1"/>
  <c r="AT821" i="1" s="1"/>
  <c r="AT822" i="1" s="1"/>
  <c r="AS804" i="1"/>
  <c r="AS805" i="1" s="1"/>
  <c r="AS806" i="1" s="1"/>
  <c r="AS807" i="1" s="1"/>
  <c r="AS808" i="1" s="1"/>
  <c r="AS809" i="1" s="1"/>
  <c r="AS810" i="1" s="1"/>
  <c r="AS811" i="1" s="1"/>
  <c r="AS812" i="1" s="1"/>
  <c r="AS813" i="1" s="1"/>
  <c r="AS814" i="1" s="1"/>
  <c r="AS815" i="1" s="1"/>
  <c r="AS816" i="1" s="1"/>
  <c r="AS817" i="1" s="1"/>
  <c r="AS818" i="1" s="1"/>
  <c r="AS819" i="1" s="1"/>
  <c r="AS820" i="1" s="1"/>
  <c r="AS821" i="1" s="1"/>
  <c r="AS822" i="1" s="1"/>
  <c r="AR804" i="1"/>
  <c r="AR805" i="1" s="1"/>
  <c r="AR806" i="1" s="1"/>
  <c r="AR807" i="1" s="1"/>
  <c r="AR808" i="1" s="1"/>
  <c r="AR809" i="1" s="1"/>
  <c r="AR810" i="1" s="1"/>
  <c r="AR811" i="1" s="1"/>
  <c r="AR812" i="1" s="1"/>
  <c r="AR813" i="1" s="1"/>
  <c r="AR814" i="1" s="1"/>
  <c r="AR815" i="1" s="1"/>
  <c r="AR816" i="1" s="1"/>
  <c r="AR817" i="1" s="1"/>
  <c r="AR818" i="1" s="1"/>
  <c r="AR819" i="1" s="1"/>
  <c r="AR820" i="1" s="1"/>
  <c r="AR821" i="1" s="1"/>
  <c r="AR822" i="1" s="1"/>
  <c r="AK804" i="1"/>
  <c r="AK805" i="1" s="1"/>
  <c r="AK806" i="1" s="1"/>
  <c r="AK807" i="1" s="1"/>
  <c r="AK808" i="1" s="1"/>
  <c r="AK809" i="1" s="1"/>
  <c r="AK810" i="1" s="1"/>
  <c r="AK811" i="1" s="1"/>
  <c r="AK812" i="1" s="1"/>
  <c r="AK813" i="1" s="1"/>
  <c r="AK814" i="1" s="1"/>
  <c r="AK815" i="1" s="1"/>
  <c r="AK816" i="1" s="1"/>
  <c r="AK817" i="1" s="1"/>
  <c r="AK818" i="1" s="1"/>
  <c r="AK819" i="1" s="1"/>
  <c r="AK820" i="1" s="1"/>
  <c r="AK821" i="1" s="1"/>
  <c r="AK822" i="1" s="1"/>
  <c r="AB804" i="1"/>
  <c r="AB805" i="1" s="1"/>
  <c r="AB806" i="1" s="1"/>
  <c r="AB807" i="1" s="1"/>
  <c r="AB808" i="1" s="1"/>
  <c r="AB809" i="1" s="1"/>
  <c r="AB810" i="1" s="1"/>
  <c r="AB811" i="1" s="1"/>
  <c r="AB812" i="1" s="1"/>
  <c r="AB813" i="1" s="1"/>
  <c r="AB814" i="1" s="1"/>
  <c r="AB815" i="1" s="1"/>
  <c r="AB816" i="1" s="1"/>
  <c r="AB817" i="1" s="1"/>
  <c r="AB818" i="1" s="1"/>
  <c r="AB819" i="1" s="1"/>
  <c r="AB820" i="1" s="1"/>
  <c r="AB821" i="1" s="1"/>
  <c r="AB822" i="1" s="1"/>
  <c r="AB823" i="1" s="1"/>
  <c r="T804" i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AG803" i="1"/>
  <c r="AG804" i="1" s="1"/>
  <c r="AG805" i="1" s="1"/>
  <c r="AG806" i="1" s="1"/>
  <c r="AG807" i="1" s="1"/>
  <c r="AG808" i="1" s="1"/>
  <c r="AG809" i="1" s="1"/>
  <c r="AG810" i="1" s="1"/>
  <c r="AG811" i="1" s="1"/>
  <c r="AG812" i="1" s="1"/>
  <c r="AG813" i="1" s="1"/>
  <c r="AG814" i="1" s="1"/>
  <c r="AG815" i="1" s="1"/>
  <c r="AG816" i="1" s="1"/>
  <c r="AG817" i="1" s="1"/>
  <c r="AG818" i="1" s="1"/>
  <c r="AG819" i="1" s="1"/>
  <c r="AG820" i="1" s="1"/>
  <c r="AG821" i="1" s="1"/>
  <c r="AG822" i="1" s="1"/>
  <c r="AG823" i="1" s="1"/>
  <c r="AF803" i="1"/>
  <c r="AF804" i="1" s="1"/>
  <c r="AF805" i="1" s="1"/>
  <c r="AF806" i="1" s="1"/>
  <c r="AF807" i="1" s="1"/>
  <c r="AF808" i="1" s="1"/>
  <c r="AF809" i="1" s="1"/>
  <c r="AF810" i="1" s="1"/>
  <c r="AF811" i="1" s="1"/>
  <c r="AF812" i="1" s="1"/>
  <c r="AF813" i="1" s="1"/>
  <c r="AF814" i="1" s="1"/>
  <c r="AF815" i="1" s="1"/>
  <c r="AF816" i="1" s="1"/>
  <c r="AF817" i="1" s="1"/>
  <c r="AF818" i="1" s="1"/>
  <c r="AF819" i="1" s="1"/>
  <c r="AF820" i="1" s="1"/>
  <c r="AF821" i="1" s="1"/>
  <c r="AF822" i="1" s="1"/>
  <c r="AF823" i="1" s="1"/>
  <c r="AE803" i="1"/>
  <c r="AE804" i="1" s="1"/>
  <c r="AE805" i="1" s="1"/>
  <c r="AE806" i="1" s="1"/>
  <c r="AE807" i="1" s="1"/>
  <c r="AE808" i="1" s="1"/>
  <c r="AE809" i="1" s="1"/>
  <c r="AE810" i="1" s="1"/>
  <c r="AE811" i="1" s="1"/>
  <c r="AE812" i="1" s="1"/>
  <c r="AE813" i="1" s="1"/>
  <c r="AE814" i="1" s="1"/>
  <c r="AE815" i="1" s="1"/>
  <c r="AE816" i="1" s="1"/>
  <c r="AE817" i="1" s="1"/>
  <c r="AE818" i="1" s="1"/>
  <c r="AE819" i="1" s="1"/>
  <c r="AE820" i="1" s="1"/>
  <c r="AE821" i="1" s="1"/>
  <c r="AE822" i="1" s="1"/>
  <c r="AE823" i="1" s="1"/>
  <c r="AD803" i="1"/>
  <c r="AD804" i="1" s="1"/>
  <c r="AD805" i="1" s="1"/>
  <c r="AC803" i="1"/>
  <c r="AC804" i="1" s="1"/>
  <c r="AC805" i="1" s="1"/>
  <c r="AB803" i="1"/>
  <c r="AA803" i="1"/>
  <c r="AA804" i="1" s="1"/>
  <c r="AA805" i="1" s="1"/>
  <c r="AA806" i="1" s="1"/>
  <c r="T803" i="1"/>
  <c r="L803" i="1"/>
  <c r="L804" i="1" s="1"/>
  <c r="K803" i="1"/>
  <c r="K804" i="1" s="1"/>
  <c r="P802" i="1"/>
  <c r="P803" i="1" s="1"/>
  <c r="P804" i="1" s="1"/>
  <c r="P805" i="1" s="1"/>
  <c r="P806" i="1" s="1"/>
  <c r="P807" i="1" s="1"/>
  <c r="P808" i="1" s="1"/>
  <c r="P809" i="1" s="1"/>
  <c r="P810" i="1" s="1"/>
  <c r="O802" i="1"/>
  <c r="O803" i="1" s="1"/>
  <c r="O804" i="1" s="1"/>
  <c r="O805" i="1" s="1"/>
  <c r="O806" i="1" s="1"/>
  <c r="O807" i="1" s="1"/>
  <c r="O808" i="1" s="1"/>
  <c r="O809" i="1" s="1"/>
  <c r="O810" i="1" s="1"/>
  <c r="N802" i="1"/>
  <c r="N803" i="1" s="1"/>
  <c r="N804" i="1" s="1"/>
  <c r="N805" i="1" s="1"/>
  <c r="N806" i="1" s="1"/>
  <c r="N807" i="1" s="1"/>
  <c r="N808" i="1" s="1"/>
  <c r="N809" i="1" s="1"/>
  <c r="N810" i="1" s="1"/>
  <c r="L802" i="1"/>
  <c r="J802" i="1"/>
  <c r="J803" i="1" s="1"/>
  <c r="J804" i="1" s="1"/>
  <c r="J805" i="1" s="1"/>
  <c r="J806" i="1" s="1"/>
  <c r="J807" i="1" s="1"/>
  <c r="J808" i="1" s="1"/>
  <c r="J809" i="1" s="1"/>
  <c r="J810" i="1" s="1"/>
  <c r="P801" i="1"/>
  <c r="O801" i="1"/>
  <c r="N801" i="1"/>
  <c r="M801" i="1"/>
  <c r="M802" i="1" s="1"/>
  <c r="M803" i="1" s="1"/>
  <c r="M804" i="1" s="1"/>
  <c r="M805" i="1" s="1"/>
  <c r="M806" i="1" s="1"/>
  <c r="M807" i="1" s="1"/>
  <c r="M808" i="1" s="1"/>
  <c r="M809" i="1" s="1"/>
  <c r="M810" i="1" s="1"/>
  <c r="L801" i="1"/>
  <c r="K801" i="1"/>
  <c r="K802" i="1" s="1"/>
  <c r="J801" i="1"/>
  <c r="C801" i="1"/>
  <c r="C802" i="1" s="1"/>
  <c r="C803" i="1" s="1"/>
  <c r="C804" i="1" s="1"/>
  <c r="C805" i="1" s="1"/>
  <c r="C806" i="1" s="1"/>
  <c r="C807" i="1" s="1"/>
  <c r="C808" i="1" s="1"/>
  <c r="C809" i="1" s="1"/>
  <c r="C810" i="1" s="1"/>
  <c r="B801" i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AG800" i="1"/>
  <c r="AG801" i="1" s="1"/>
  <c r="AF800" i="1"/>
  <c r="AF801" i="1" s="1"/>
  <c r="AF799" i="1"/>
  <c r="AD799" i="1"/>
  <c r="AD800" i="1" s="1"/>
  <c r="AD801" i="1" s="1"/>
  <c r="T799" i="1"/>
  <c r="T800" i="1" s="1"/>
  <c r="T801" i="1" s="1"/>
  <c r="P799" i="1"/>
  <c r="AG798" i="1"/>
  <c r="AG799" i="1" s="1"/>
  <c r="AF798" i="1"/>
  <c r="AE798" i="1"/>
  <c r="AE799" i="1" s="1"/>
  <c r="AE800" i="1" s="1"/>
  <c r="AE801" i="1" s="1"/>
  <c r="AD798" i="1"/>
  <c r="AC798" i="1"/>
  <c r="AC799" i="1" s="1"/>
  <c r="AC800" i="1" s="1"/>
  <c r="AC801" i="1" s="1"/>
  <c r="AB798" i="1"/>
  <c r="AB799" i="1" s="1"/>
  <c r="AB800" i="1" s="1"/>
  <c r="AB801" i="1" s="1"/>
  <c r="AA798" i="1"/>
  <c r="AA799" i="1" s="1"/>
  <c r="AA800" i="1" s="1"/>
  <c r="AA801" i="1" s="1"/>
  <c r="T798" i="1"/>
  <c r="J798" i="1"/>
  <c r="J799" i="1" s="1"/>
  <c r="P797" i="1"/>
  <c r="P798" i="1" s="1"/>
  <c r="P796" i="1"/>
  <c r="P795" i="1"/>
  <c r="N795" i="1"/>
  <c r="N796" i="1" s="1"/>
  <c r="N797" i="1" s="1"/>
  <c r="N798" i="1" s="1"/>
  <c r="N799" i="1" s="1"/>
  <c r="L795" i="1"/>
  <c r="L796" i="1" s="1"/>
  <c r="L797" i="1" s="1"/>
  <c r="L798" i="1" s="1"/>
  <c r="L799" i="1" s="1"/>
  <c r="J795" i="1"/>
  <c r="J796" i="1" s="1"/>
  <c r="J797" i="1" s="1"/>
  <c r="P794" i="1"/>
  <c r="O794" i="1"/>
  <c r="O795" i="1" s="1"/>
  <c r="O796" i="1" s="1"/>
  <c r="O797" i="1" s="1"/>
  <c r="O798" i="1" s="1"/>
  <c r="O799" i="1" s="1"/>
  <c r="N794" i="1"/>
  <c r="M794" i="1"/>
  <c r="M795" i="1" s="1"/>
  <c r="M796" i="1" s="1"/>
  <c r="M797" i="1" s="1"/>
  <c r="M798" i="1" s="1"/>
  <c r="M799" i="1" s="1"/>
  <c r="L794" i="1"/>
  <c r="K794" i="1"/>
  <c r="K795" i="1" s="1"/>
  <c r="K796" i="1" s="1"/>
  <c r="K797" i="1" s="1"/>
  <c r="K798" i="1" s="1"/>
  <c r="K799" i="1" s="1"/>
  <c r="J794" i="1"/>
  <c r="C794" i="1"/>
  <c r="C795" i="1" s="1"/>
  <c r="C796" i="1" s="1"/>
  <c r="C797" i="1" s="1"/>
  <c r="C798" i="1" s="1"/>
  <c r="C799" i="1" s="1"/>
  <c r="O792" i="1"/>
  <c r="K792" i="1"/>
  <c r="AX791" i="1"/>
  <c r="AX792" i="1" s="1"/>
  <c r="AX793" i="1" s="1"/>
  <c r="AX794" i="1" s="1"/>
  <c r="AX795" i="1" s="1"/>
  <c r="AX796" i="1" s="1"/>
  <c r="AX797" i="1" s="1"/>
  <c r="AX798" i="1" s="1"/>
  <c r="AX799" i="1" s="1"/>
  <c r="AX800" i="1" s="1"/>
  <c r="AX801" i="1" s="1"/>
  <c r="AX802" i="1" s="1"/>
  <c r="O791" i="1"/>
  <c r="N791" i="1"/>
  <c r="N792" i="1" s="1"/>
  <c r="K791" i="1"/>
  <c r="J791" i="1"/>
  <c r="J792" i="1" s="1"/>
  <c r="P790" i="1"/>
  <c r="P791" i="1" s="1"/>
  <c r="P792" i="1" s="1"/>
  <c r="O790" i="1"/>
  <c r="N790" i="1"/>
  <c r="M790" i="1"/>
  <c r="M791" i="1" s="1"/>
  <c r="M792" i="1" s="1"/>
  <c r="K790" i="1"/>
  <c r="C790" i="1"/>
  <c r="C791" i="1" s="1"/>
  <c r="C792" i="1" s="1"/>
  <c r="AW789" i="1"/>
  <c r="AW790" i="1" s="1"/>
  <c r="AW791" i="1" s="1"/>
  <c r="AW792" i="1" s="1"/>
  <c r="AW793" i="1" s="1"/>
  <c r="AW794" i="1" s="1"/>
  <c r="AW795" i="1" s="1"/>
  <c r="AW796" i="1" s="1"/>
  <c r="AW797" i="1" s="1"/>
  <c r="AW798" i="1" s="1"/>
  <c r="AW799" i="1" s="1"/>
  <c r="AW800" i="1" s="1"/>
  <c r="AW801" i="1" s="1"/>
  <c r="AW802" i="1" s="1"/>
  <c r="AR789" i="1"/>
  <c r="AR790" i="1" s="1"/>
  <c r="AR791" i="1" s="1"/>
  <c r="AR792" i="1" s="1"/>
  <c r="AR793" i="1" s="1"/>
  <c r="AR794" i="1" s="1"/>
  <c r="AR795" i="1" s="1"/>
  <c r="AR796" i="1" s="1"/>
  <c r="AR797" i="1" s="1"/>
  <c r="AR798" i="1" s="1"/>
  <c r="AR799" i="1" s="1"/>
  <c r="AR800" i="1" s="1"/>
  <c r="AR801" i="1" s="1"/>
  <c r="AR802" i="1" s="1"/>
  <c r="P789" i="1"/>
  <c r="O789" i="1"/>
  <c r="N789" i="1"/>
  <c r="M789" i="1"/>
  <c r="L789" i="1"/>
  <c r="L790" i="1" s="1"/>
  <c r="L791" i="1" s="1"/>
  <c r="L792" i="1" s="1"/>
  <c r="K789" i="1"/>
  <c r="J789" i="1"/>
  <c r="J790" i="1" s="1"/>
  <c r="C789" i="1"/>
  <c r="AE788" i="1"/>
  <c r="AE789" i="1" s="1"/>
  <c r="AE790" i="1" s="1"/>
  <c r="AE791" i="1" s="1"/>
  <c r="AE792" i="1" s="1"/>
  <c r="AE793" i="1" s="1"/>
  <c r="AE794" i="1" s="1"/>
  <c r="AE795" i="1" s="1"/>
  <c r="AE796" i="1" s="1"/>
  <c r="AU787" i="1"/>
  <c r="AU788" i="1" s="1"/>
  <c r="AU789" i="1" s="1"/>
  <c r="AU790" i="1" s="1"/>
  <c r="AU791" i="1" s="1"/>
  <c r="AU792" i="1" s="1"/>
  <c r="AU793" i="1" s="1"/>
  <c r="AU794" i="1" s="1"/>
  <c r="AU795" i="1" s="1"/>
  <c r="AU796" i="1" s="1"/>
  <c r="AU797" i="1" s="1"/>
  <c r="AU798" i="1" s="1"/>
  <c r="AU799" i="1" s="1"/>
  <c r="AU800" i="1" s="1"/>
  <c r="AU801" i="1" s="1"/>
  <c r="AU802" i="1" s="1"/>
  <c r="AJ787" i="1"/>
  <c r="AJ788" i="1" s="1"/>
  <c r="AJ789" i="1" s="1"/>
  <c r="AJ790" i="1" s="1"/>
  <c r="AJ791" i="1" s="1"/>
  <c r="AJ792" i="1" s="1"/>
  <c r="AJ793" i="1" s="1"/>
  <c r="AJ794" i="1" s="1"/>
  <c r="AJ795" i="1" s="1"/>
  <c r="AJ796" i="1" s="1"/>
  <c r="AJ797" i="1" s="1"/>
  <c r="AJ798" i="1" s="1"/>
  <c r="AJ799" i="1" s="1"/>
  <c r="AJ800" i="1" s="1"/>
  <c r="AJ801" i="1" s="1"/>
  <c r="AJ802" i="1" s="1"/>
  <c r="AJ803" i="1" s="1"/>
  <c r="AJ804" i="1" s="1"/>
  <c r="AJ805" i="1" s="1"/>
  <c r="AJ806" i="1" s="1"/>
  <c r="AJ807" i="1" s="1"/>
  <c r="AJ808" i="1" s="1"/>
  <c r="AJ809" i="1" s="1"/>
  <c r="AJ810" i="1" s="1"/>
  <c r="P787" i="1"/>
  <c r="O787" i="1"/>
  <c r="N787" i="1"/>
  <c r="M787" i="1"/>
  <c r="L787" i="1"/>
  <c r="K787" i="1"/>
  <c r="J787" i="1"/>
  <c r="C787" i="1"/>
  <c r="AU786" i="1"/>
  <c r="AT786" i="1"/>
  <c r="AT787" i="1" s="1"/>
  <c r="AT788" i="1" s="1"/>
  <c r="AT789" i="1" s="1"/>
  <c r="AT790" i="1" s="1"/>
  <c r="AT791" i="1" s="1"/>
  <c r="AT792" i="1" s="1"/>
  <c r="AT793" i="1" s="1"/>
  <c r="AT794" i="1" s="1"/>
  <c r="AT795" i="1" s="1"/>
  <c r="AT796" i="1" s="1"/>
  <c r="AT797" i="1" s="1"/>
  <c r="AT798" i="1" s="1"/>
  <c r="AT799" i="1" s="1"/>
  <c r="AT800" i="1" s="1"/>
  <c r="AT801" i="1" s="1"/>
  <c r="AT802" i="1" s="1"/>
  <c r="AD786" i="1"/>
  <c r="AD787" i="1" s="1"/>
  <c r="AD788" i="1" s="1"/>
  <c r="AD789" i="1" s="1"/>
  <c r="AD790" i="1" s="1"/>
  <c r="AD791" i="1" s="1"/>
  <c r="AD792" i="1" s="1"/>
  <c r="AD793" i="1" s="1"/>
  <c r="AD794" i="1" s="1"/>
  <c r="AD795" i="1" s="1"/>
  <c r="AD796" i="1" s="1"/>
  <c r="AS785" i="1"/>
  <c r="AS786" i="1" s="1"/>
  <c r="AS787" i="1" s="1"/>
  <c r="AS788" i="1" s="1"/>
  <c r="AS789" i="1" s="1"/>
  <c r="AS790" i="1" s="1"/>
  <c r="AS791" i="1" s="1"/>
  <c r="AS792" i="1" s="1"/>
  <c r="AS793" i="1" s="1"/>
  <c r="AS794" i="1" s="1"/>
  <c r="AS795" i="1" s="1"/>
  <c r="AS796" i="1" s="1"/>
  <c r="AS797" i="1" s="1"/>
  <c r="AS798" i="1" s="1"/>
  <c r="AS799" i="1" s="1"/>
  <c r="AS800" i="1" s="1"/>
  <c r="AS801" i="1" s="1"/>
  <c r="AS802" i="1" s="1"/>
  <c r="P785" i="1"/>
  <c r="O785" i="1"/>
  <c r="N785" i="1"/>
  <c r="M785" i="1"/>
  <c r="L785" i="1"/>
  <c r="K785" i="1"/>
  <c r="J785" i="1"/>
  <c r="C785" i="1"/>
  <c r="AW784" i="1"/>
  <c r="AW785" i="1" s="1"/>
  <c r="AW786" i="1" s="1"/>
  <c r="AW787" i="1" s="1"/>
  <c r="AW788" i="1" s="1"/>
  <c r="AV784" i="1"/>
  <c r="AV785" i="1" s="1"/>
  <c r="AV786" i="1" s="1"/>
  <c r="AV787" i="1" s="1"/>
  <c r="AV788" i="1" s="1"/>
  <c r="AV789" i="1" s="1"/>
  <c r="AV790" i="1" s="1"/>
  <c r="AV791" i="1" s="1"/>
  <c r="AV792" i="1" s="1"/>
  <c r="AV793" i="1" s="1"/>
  <c r="AV794" i="1" s="1"/>
  <c r="AV795" i="1" s="1"/>
  <c r="AV796" i="1" s="1"/>
  <c r="AV797" i="1" s="1"/>
  <c r="AV798" i="1" s="1"/>
  <c r="AV799" i="1" s="1"/>
  <c r="AV800" i="1" s="1"/>
  <c r="AV801" i="1" s="1"/>
  <c r="AV802" i="1" s="1"/>
  <c r="AU784" i="1"/>
  <c r="AU785" i="1" s="1"/>
  <c r="AS784" i="1"/>
  <c r="AR784" i="1"/>
  <c r="AR785" i="1" s="1"/>
  <c r="AR786" i="1" s="1"/>
  <c r="AR787" i="1" s="1"/>
  <c r="AR788" i="1" s="1"/>
  <c r="AK784" i="1"/>
  <c r="AK785" i="1" s="1"/>
  <c r="AK786" i="1" s="1"/>
  <c r="AK787" i="1" s="1"/>
  <c r="AK788" i="1" s="1"/>
  <c r="AK789" i="1" s="1"/>
  <c r="AK790" i="1" s="1"/>
  <c r="AK791" i="1" s="1"/>
  <c r="AK792" i="1" s="1"/>
  <c r="AK793" i="1" s="1"/>
  <c r="AK794" i="1" s="1"/>
  <c r="AK795" i="1" s="1"/>
  <c r="AK796" i="1" s="1"/>
  <c r="AK797" i="1" s="1"/>
  <c r="AK798" i="1" s="1"/>
  <c r="AK799" i="1" s="1"/>
  <c r="AK800" i="1" s="1"/>
  <c r="AK801" i="1" s="1"/>
  <c r="AK802" i="1" s="1"/>
  <c r="AA784" i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T784" i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AX783" i="1"/>
  <c r="AX784" i="1" s="1"/>
  <c r="AX785" i="1" s="1"/>
  <c r="AX786" i="1" s="1"/>
  <c r="AX787" i="1" s="1"/>
  <c r="AX788" i="1" s="1"/>
  <c r="AX789" i="1" s="1"/>
  <c r="AX790" i="1" s="1"/>
  <c r="AW783" i="1"/>
  <c r="AV783" i="1"/>
  <c r="AU783" i="1"/>
  <c r="AT783" i="1"/>
  <c r="AT784" i="1" s="1"/>
  <c r="AT785" i="1" s="1"/>
  <c r="AS783" i="1"/>
  <c r="AR783" i="1"/>
  <c r="AK783" i="1"/>
  <c r="AJ783" i="1"/>
  <c r="AJ784" i="1" s="1"/>
  <c r="AJ785" i="1" s="1"/>
  <c r="AJ786" i="1" s="1"/>
  <c r="AG783" i="1"/>
  <c r="AG784" i="1" s="1"/>
  <c r="AG785" i="1" s="1"/>
  <c r="AG786" i="1" s="1"/>
  <c r="AG787" i="1" s="1"/>
  <c r="AG788" i="1" s="1"/>
  <c r="AG789" i="1" s="1"/>
  <c r="AG790" i="1" s="1"/>
  <c r="AG791" i="1" s="1"/>
  <c r="AG792" i="1" s="1"/>
  <c r="AG793" i="1" s="1"/>
  <c r="AG794" i="1" s="1"/>
  <c r="AG795" i="1" s="1"/>
  <c r="AG796" i="1" s="1"/>
  <c r="N783" i="1"/>
  <c r="AF782" i="1"/>
  <c r="AF783" i="1" s="1"/>
  <c r="AF784" i="1" s="1"/>
  <c r="AF785" i="1" s="1"/>
  <c r="AF786" i="1" s="1"/>
  <c r="AF787" i="1" s="1"/>
  <c r="AF788" i="1" s="1"/>
  <c r="AF789" i="1" s="1"/>
  <c r="AF790" i="1" s="1"/>
  <c r="AF791" i="1" s="1"/>
  <c r="AF792" i="1" s="1"/>
  <c r="AF793" i="1" s="1"/>
  <c r="AF794" i="1" s="1"/>
  <c r="AF795" i="1" s="1"/>
  <c r="AF796" i="1" s="1"/>
  <c r="AB782" i="1"/>
  <c r="AB783" i="1" s="1"/>
  <c r="AB784" i="1" s="1"/>
  <c r="AB785" i="1" s="1"/>
  <c r="AB786" i="1" s="1"/>
  <c r="AB787" i="1" s="1"/>
  <c r="AB788" i="1" s="1"/>
  <c r="AB789" i="1" s="1"/>
  <c r="AB790" i="1" s="1"/>
  <c r="AB791" i="1" s="1"/>
  <c r="AB792" i="1" s="1"/>
  <c r="AB793" i="1" s="1"/>
  <c r="AB794" i="1" s="1"/>
  <c r="AB795" i="1" s="1"/>
  <c r="AB796" i="1" s="1"/>
  <c r="B782" i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AF781" i="1"/>
  <c r="AE781" i="1"/>
  <c r="AE782" i="1" s="1"/>
  <c r="AE783" i="1" s="1"/>
  <c r="AE784" i="1" s="1"/>
  <c r="AE785" i="1" s="1"/>
  <c r="AE786" i="1" s="1"/>
  <c r="AE787" i="1" s="1"/>
  <c r="AB781" i="1"/>
  <c r="AA781" i="1"/>
  <c r="AA782" i="1" s="1"/>
  <c r="AA783" i="1" s="1"/>
  <c r="O781" i="1"/>
  <c r="O782" i="1" s="1"/>
  <c r="O783" i="1" s="1"/>
  <c r="B781" i="1"/>
  <c r="AG780" i="1"/>
  <c r="AG781" i="1" s="1"/>
  <c r="AG782" i="1" s="1"/>
  <c r="AF780" i="1"/>
  <c r="AE780" i="1"/>
  <c r="AD780" i="1"/>
  <c r="AD781" i="1" s="1"/>
  <c r="AD782" i="1" s="1"/>
  <c r="AD783" i="1" s="1"/>
  <c r="AD784" i="1" s="1"/>
  <c r="AD785" i="1" s="1"/>
  <c r="AB780" i="1"/>
  <c r="T780" i="1"/>
  <c r="T781" i="1" s="1"/>
  <c r="T782" i="1" s="1"/>
  <c r="T783" i="1" s="1"/>
  <c r="O780" i="1"/>
  <c r="J780" i="1"/>
  <c r="J781" i="1" s="1"/>
  <c r="J782" i="1" s="1"/>
  <c r="J783" i="1" s="1"/>
  <c r="AG779" i="1"/>
  <c r="AF779" i="1"/>
  <c r="AE779" i="1"/>
  <c r="AD779" i="1"/>
  <c r="AC779" i="1"/>
  <c r="AC780" i="1" s="1"/>
  <c r="AC781" i="1" s="1"/>
  <c r="AC782" i="1" s="1"/>
  <c r="AC783" i="1" s="1"/>
  <c r="AC784" i="1" s="1"/>
  <c r="AC785" i="1" s="1"/>
  <c r="AC786" i="1" s="1"/>
  <c r="AC787" i="1" s="1"/>
  <c r="AC788" i="1" s="1"/>
  <c r="AC789" i="1" s="1"/>
  <c r="AC790" i="1" s="1"/>
  <c r="AC791" i="1" s="1"/>
  <c r="AC792" i="1" s="1"/>
  <c r="AC793" i="1" s="1"/>
  <c r="AC794" i="1" s="1"/>
  <c r="AC795" i="1" s="1"/>
  <c r="AC796" i="1" s="1"/>
  <c r="AB779" i="1"/>
  <c r="AA779" i="1"/>
  <c r="AA780" i="1" s="1"/>
  <c r="T779" i="1"/>
  <c r="O779" i="1"/>
  <c r="N779" i="1"/>
  <c r="N780" i="1" s="1"/>
  <c r="N781" i="1" s="1"/>
  <c r="N782" i="1" s="1"/>
  <c r="P778" i="1"/>
  <c r="P779" i="1" s="1"/>
  <c r="P780" i="1" s="1"/>
  <c r="P781" i="1" s="1"/>
  <c r="P782" i="1" s="1"/>
  <c r="P783" i="1" s="1"/>
  <c r="O778" i="1"/>
  <c r="N778" i="1"/>
  <c r="M778" i="1"/>
  <c r="M779" i="1" s="1"/>
  <c r="M780" i="1" s="1"/>
  <c r="M781" i="1" s="1"/>
  <c r="M782" i="1" s="1"/>
  <c r="M783" i="1" s="1"/>
  <c r="L778" i="1"/>
  <c r="L779" i="1" s="1"/>
  <c r="L780" i="1" s="1"/>
  <c r="L781" i="1" s="1"/>
  <c r="L782" i="1" s="1"/>
  <c r="L783" i="1" s="1"/>
  <c r="K778" i="1"/>
  <c r="K779" i="1" s="1"/>
  <c r="K780" i="1" s="1"/>
  <c r="K781" i="1" s="1"/>
  <c r="K782" i="1" s="1"/>
  <c r="K783" i="1" s="1"/>
  <c r="J778" i="1"/>
  <c r="J779" i="1" s="1"/>
  <c r="C778" i="1"/>
  <c r="C779" i="1" s="1"/>
  <c r="C780" i="1" s="1"/>
  <c r="C781" i="1" s="1"/>
  <c r="C782" i="1" s="1"/>
  <c r="C783" i="1" s="1"/>
  <c r="B778" i="1"/>
  <c r="B779" i="1" s="1"/>
  <c r="B780" i="1" s="1"/>
  <c r="C776" i="1"/>
  <c r="L774" i="1"/>
  <c r="L775" i="1" s="1"/>
  <c r="L776" i="1" s="1"/>
  <c r="AK772" i="1"/>
  <c r="AK773" i="1" s="1"/>
  <c r="AK774" i="1" s="1"/>
  <c r="AK775" i="1" s="1"/>
  <c r="AK776" i="1" s="1"/>
  <c r="AK777" i="1" s="1"/>
  <c r="AK778" i="1" s="1"/>
  <c r="AK779" i="1" s="1"/>
  <c r="AK780" i="1" s="1"/>
  <c r="AK781" i="1" s="1"/>
  <c r="K772" i="1"/>
  <c r="K773" i="1" s="1"/>
  <c r="K774" i="1" s="1"/>
  <c r="K775" i="1" s="1"/>
  <c r="K776" i="1" s="1"/>
  <c r="N771" i="1"/>
  <c r="N772" i="1" s="1"/>
  <c r="N773" i="1" s="1"/>
  <c r="N774" i="1" s="1"/>
  <c r="N775" i="1" s="1"/>
  <c r="N776" i="1" s="1"/>
  <c r="C771" i="1"/>
  <c r="C772" i="1" s="1"/>
  <c r="C773" i="1" s="1"/>
  <c r="C774" i="1" s="1"/>
  <c r="C775" i="1" s="1"/>
  <c r="L770" i="1"/>
  <c r="L771" i="1" s="1"/>
  <c r="L772" i="1" s="1"/>
  <c r="L773" i="1" s="1"/>
  <c r="AV769" i="1"/>
  <c r="AV770" i="1" s="1"/>
  <c r="AV771" i="1" s="1"/>
  <c r="AV772" i="1" s="1"/>
  <c r="AV773" i="1" s="1"/>
  <c r="AV774" i="1" s="1"/>
  <c r="AV775" i="1" s="1"/>
  <c r="AV776" i="1" s="1"/>
  <c r="AV777" i="1" s="1"/>
  <c r="AV778" i="1" s="1"/>
  <c r="AV779" i="1" s="1"/>
  <c r="AV780" i="1" s="1"/>
  <c r="AV781" i="1" s="1"/>
  <c r="AK769" i="1"/>
  <c r="AK770" i="1" s="1"/>
  <c r="AK771" i="1" s="1"/>
  <c r="M769" i="1"/>
  <c r="M770" i="1" s="1"/>
  <c r="M771" i="1" s="1"/>
  <c r="M772" i="1" s="1"/>
  <c r="M773" i="1" s="1"/>
  <c r="M774" i="1" s="1"/>
  <c r="M775" i="1" s="1"/>
  <c r="M776" i="1" s="1"/>
  <c r="P768" i="1"/>
  <c r="P769" i="1" s="1"/>
  <c r="P770" i="1" s="1"/>
  <c r="P771" i="1" s="1"/>
  <c r="P772" i="1" s="1"/>
  <c r="P773" i="1" s="1"/>
  <c r="P774" i="1" s="1"/>
  <c r="P775" i="1" s="1"/>
  <c r="P776" i="1" s="1"/>
  <c r="M768" i="1"/>
  <c r="L768" i="1"/>
  <c r="L769" i="1" s="1"/>
  <c r="K768" i="1"/>
  <c r="K769" i="1" s="1"/>
  <c r="K770" i="1" s="1"/>
  <c r="K771" i="1" s="1"/>
  <c r="AX767" i="1"/>
  <c r="AX768" i="1" s="1"/>
  <c r="AX769" i="1" s="1"/>
  <c r="AX770" i="1" s="1"/>
  <c r="AX771" i="1" s="1"/>
  <c r="AX772" i="1" s="1"/>
  <c r="AX773" i="1" s="1"/>
  <c r="AX774" i="1" s="1"/>
  <c r="AX775" i="1" s="1"/>
  <c r="AX776" i="1" s="1"/>
  <c r="AX777" i="1" s="1"/>
  <c r="AX778" i="1" s="1"/>
  <c r="AX779" i="1" s="1"/>
  <c r="AX780" i="1" s="1"/>
  <c r="AX781" i="1" s="1"/>
  <c r="AW767" i="1"/>
  <c r="AW768" i="1" s="1"/>
  <c r="AW769" i="1" s="1"/>
  <c r="AW770" i="1" s="1"/>
  <c r="AW771" i="1" s="1"/>
  <c r="AW772" i="1" s="1"/>
  <c r="AW773" i="1" s="1"/>
  <c r="AW774" i="1" s="1"/>
  <c r="AW775" i="1" s="1"/>
  <c r="AW776" i="1" s="1"/>
  <c r="AW777" i="1" s="1"/>
  <c r="AW778" i="1" s="1"/>
  <c r="AW779" i="1" s="1"/>
  <c r="AW780" i="1" s="1"/>
  <c r="AW781" i="1" s="1"/>
  <c r="AK767" i="1"/>
  <c r="AK768" i="1" s="1"/>
  <c r="P767" i="1"/>
  <c r="O767" i="1"/>
  <c r="O768" i="1" s="1"/>
  <c r="O769" i="1" s="1"/>
  <c r="O770" i="1" s="1"/>
  <c r="O771" i="1" s="1"/>
  <c r="O772" i="1" s="1"/>
  <c r="O773" i="1" s="1"/>
  <c r="O774" i="1" s="1"/>
  <c r="O775" i="1" s="1"/>
  <c r="O776" i="1" s="1"/>
  <c r="N767" i="1"/>
  <c r="N768" i="1" s="1"/>
  <c r="N769" i="1" s="1"/>
  <c r="N770" i="1" s="1"/>
  <c r="M767" i="1"/>
  <c r="L767" i="1"/>
  <c r="K767" i="1"/>
  <c r="J767" i="1"/>
  <c r="J768" i="1" s="1"/>
  <c r="J769" i="1" s="1"/>
  <c r="J770" i="1" s="1"/>
  <c r="J771" i="1" s="1"/>
  <c r="J772" i="1" s="1"/>
  <c r="J773" i="1" s="1"/>
  <c r="J774" i="1" s="1"/>
  <c r="J775" i="1" s="1"/>
  <c r="J776" i="1" s="1"/>
  <c r="C767" i="1"/>
  <c r="C768" i="1" s="1"/>
  <c r="C769" i="1" s="1"/>
  <c r="C770" i="1" s="1"/>
  <c r="B767" i="1"/>
  <c r="B768" i="1" s="1"/>
  <c r="B769" i="1" s="1"/>
  <c r="B770" i="1" s="1"/>
  <c r="B771" i="1" s="1"/>
  <c r="B772" i="1" s="1"/>
  <c r="B773" i="1" s="1"/>
  <c r="B774" i="1" s="1"/>
  <c r="B775" i="1" s="1"/>
  <c r="B776" i="1" s="1"/>
  <c r="AX766" i="1"/>
  <c r="AK766" i="1"/>
  <c r="AG766" i="1"/>
  <c r="AG767" i="1" s="1"/>
  <c r="AG768" i="1" s="1"/>
  <c r="AG769" i="1" s="1"/>
  <c r="AG770" i="1" s="1"/>
  <c r="AG771" i="1" s="1"/>
  <c r="AG772" i="1" s="1"/>
  <c r="AG773" i="1" s="1"/>
  <c r="AG774" i="1" s="1"/>
  <c r="AG775" i="1" s="1"/>
  <c r="AG776" i="1" s="1"/>
  <c r="AG777" i="1" s="1"/>
  <c r="AU765" i="1"/>
  <c r="AU766" i="1" s="1"/>
  <c r="AU767" i="1" s="1"/>
  <c r="AU768" i="1" s="1"/>
  <c r="AU769" i="1" s="1"/>
  <c r="AU770" i="1" s="1"/>
  <c r="AU771" i="1" s="1"/>
  <c r="AU772" i="1" s="1"/>
  <c r="AU773" i="1" s="1"/>
  <c r="AU774" i="1" s="1"/>
  <c r="AU775" i="1" s="1"/>
  <c r="AU776" i="1" s="1"/>
  <c r="AU777" i="1" s="1"/>
  <c r="AU778" i="1" s="1"/>
  <c r="AU779" i="1" s="1"/>
  <c r="AU780" i="1" s="1"/>
  <c r="AU781" i="1" s="1"/>
  <c r="AT765" i="1"/>
  <c r="AT766" i="1" s="1"/>
  <c r="AT767" i="1" s="1"/>
  <c r="AT768" i="1" s="1"/>
  <c r="AT769" i="1" s="1"/>
  <c r="AT770" i="1" s="1"/>
  <c r="AT771" i="1" s="1"/>
  <c r="AT772" i="1" s="1"/>
  <c r="AT773" i="1" s="1"/>
  <c r="AT774" i="1" s="1"/>
  <c r="AT775" i="1" s="1"/>
  <c r="AT776" i="1" s="1"/>
  <c r="AT777" i="1" s="1"/>
  <c r="AT778" i="1" s="1"/>
  <c r="AT779" i="1" s="1"/>
  <c r="AT780" i="1" s="1"/>
  <c r="AT781" i="1" s="1"/>
  <c r="AR765" i="1"/>
  <c r="AR766" i="1" s="1"/>
  <c r="AR767" i="1" s="1"/>
  <c r="AR768" i="1" s="1"/>
  <c r="AR769" i="1" s="1"/>
  <c r="AR770" i="1" s="1"/>
  <c r="AR771" i="1" s="1"/>
  <c r="AR772" i="1" s="1"/>
  <c r="AR773" i="1" s="1"/>
  <c r="AR774" i="1" s="1"/>
  <c r="AR775" i="1" s="1"/>
  <c r="AR776" i="1" s="1"/>
  <c r="AR777" i="1" s="1"/>
  <c r="AR778" i="1" s="1"/>
  <c r="AR779" i="1" s="1"/>
  <c r="AR780" i="1" s="1"/>
  <c r="AR781" i="1" s="1"/>
  <c r="AK765" i="1"/>
  <c r="AE765" i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A765" i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T765" i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AW764" i="1"/>
  <c r="AW765" i="1" s="1"/>
  <c r="AW766" i="1" s="1"/>
  <c r="AR764" i="1"/>
  <c r="AK764" i="1"/>
  <c r="AE764" i="1"/>
  <c r="AC764" i="1"/>
  <c r="AC765" i="1" s="1"/>
  <c r="AC766" i="1" s="1"/>
  <c r="AC767" i="1" s="1"/>
  <c r="AC768" i="1" s="1"/>
  <c r="AC769" i="1" s="1"/>
  <c r="AC770" i="1" s="1"/>
  <c r="AC771" i="1" s="1"/>
  <c r="AC772" i="1" s="1"/>
  <c r="AC773" i="1" s="1"/>
  <c r="AC774" i="1" s="1"/>
  <c r="AC775" i="1" s="1"/>
  <c r="AC776" i="1" s="1"/>
  <c r="AC777" i="1" s="1"/>
  <c r="P764" i="1"/>
  <c r="P765" i="1" s="1"/>
  <c r="AX763" i="1"/>
  <c r="AX764" i="1" s="1"/>
  <c r="AX765" i="1" s="1"/>
  <c r="AW763" i="1"/>
  <c r="AV763" i="1"/>
  <c r="AV764" i="1" s="1"/>
  <c r="AV765" i="1" s="1"/>
  <c r="AV766" i="1" s="1"/>
  <c r="AV767" i="1" s="1"/>
  <c r="AV768" i="1" s="1"/>
  <c r="AU763" i="1"/>
  <c r="AU764" i="1" s="1"/>
  <c r="AT763" i="1"/>
  <c r="AT764" i="1" s="1"/>
  <c r="AS763" i="1"/>
  <c r="AS764" i="1" s="1"/>
  <c r="AS765" i="1" s="1"/>
  <c r="AS766" i="1" s="1"/>
  <c r="AS767" i="1" s="1"/>
  <c r="AS768" i="1" s="1"/>
  <c r="AS769" i="1" s="1"/>
  <c r="AS770" i="1" s="1"/>
  <c r="AS771" i="1" s="1"/>
  <c r="AS772" i="1" s="1"/>
  <c r="AS773" i="1" s="1"/>
  <c r="AS774" i="1" s="1"/>
  <c r="AS775" i="1" s="1"/>
  <c r="AS776" i="1" s="1"/>
  <c r="AS777" i="1" s="1"/>
  <c r="AS778" i="1" s="1"/>
  <c r="AS779" i="1" s="1"/>
  <c r="AS780" i="1" s="1"/>
  <c r="AS781" i="1" s="1"/>
  <c r="AR763" i="1"/>
  <c r="AK763" i="1"/>
  <c r="AG763" i="1"/>
  <c r="AG764" i="1" s="1"/>
  <c r="AG765" i="1" s="1"/>
  <c r="AF763" i="1"/>
  <c r="AF764" i="1" s="1"/>
  <c r="AF765" i="1" s="1"/>
  <c r="AF766" i="1" s="1"/>
  <c r="AF767" i="1" s="1"/>
  <c r="AF768" i="1" s="1"/>
  <c r="AF769" i="1" s="1"/>
  <c r="AF770" i="1" s="1"/>
  <c r="AF771" i="1" s="1"/>
  <c r="AF772" i="1" s="1"/>
  <c r="AF773" i="1" s="1"/>
  <c r="AF774" i="1" s="1"/>
  <c r="AF775" i="1" s="1"/>
  <c r="AF776" i="1" s="1"/>
  <c r="AF777" i="1" s="1"/>
  <c r="AE763" i="1"/>
  <c r="AD763" i="1"/>
  <c r="AD764" i="1" s="1"/>
  <c r="AD765" i="1" s="1"/>
  <c r="AD766" i="1" s="1"/>
  <c r="AD767" i="1" s="1"/>
  <c r="AD768" i="1" s="1"/>
  <c r="AD769" i="1" s="1"/>
  <c r="AD770" i="1" s="1"/>
  <c r="AD771" i="1" s="1"/>
  <c r="AD772" i="1" s="1"/>
  <c r="AD773" i="1" s="1"/>
  <c r="AD774" i="1" s="1"/>
  <c r="AD775" i="1" s="1"/>
  <c r="AD776" i="1" s="1"/>
  <c r="AD777" i="1" s="1"/>
  <c r="AC763" i="1"/>
  <c r="AB763" i="1"/>
  <c r="AB764" i="1" s="1"/>
  <c r="AB765" i="1" s="1"/>
  <c r="AB766" i="1" s="1"/>
  <c r="AB767" i="1" s="1"/>
  <c r="AB768" i="1" s="1"/>
  <c r="AB769" i="1" s="1"/>
  <c r="AB770" i="1" s="1"/>
  <c r="AB771" i="1" s="1"/>
  <c r="AB772" i="1" s="1"/>
  <c r="AB773" i="1" s="1"/>
  <c r="AB774" i="1" s="1"/>
  <c r="AB775" i="1" s="1"/>
  <c r="AB776" i="1" s="1"/>
  <c r="AB777" i="1" s="1"/>
  <c r="AA763" i="1"/>
  <c r="AA764" i="1" s="1"/>
  <c r="T763" i="1"/>
  <c r="T764" i="1" s="1"/>
  <c r="L763" i="1"/>
  <c r="L764" i="1" s="1"/>
  <c r="P762" i="1"/>
  <c r="P763" i="1" s="1"/>
  <c r="P761" i="1"/>
  <c r="O761" i="1"/>
  <c r="O762" i="1" s="1"/>
  <c r="O763" i="1" s="1"/>
  <c r="O764" i="1" s="1"/>
  <c r="O765" i="1" s="1"/>
  <c r="N761" i="1"/>
  <c r="N762" i="1" s="1"/>
  <c r="N763" i="1" s="1"/>
  <c r="N764" i="1" s="1"/>
  <c r="N765" i="1" s="1"/>
  <c r="C761" i="1"/>
  <c r="C762" i="1" s="1"/>
  <c r="C763" i="1" s="1"/>
  <c r="C764" i="1" s="1"/>
  <c r="P760" i="1"/>
  <c r="O760" i="1"/>
  <c r="N760" i="1"/>
  <c r="M760" i="1"/>
  <c r="M761" i="1" s="1"/>
  <c r="M762" i="1" s="1"/>
  <c r="M763" i="1" s="1"/>
  <c r="M764" i="1" s="1"/>
  <c r="L760" i="1"/>
  <c r="L761" i="1" s="1"/>
  <c r="L762" i="1" s="1"/>
  <c r="K760" i="1"/>
  <c r="K761" i="1" s="1"/>
  <c r="K762" i="1" s="1"/>
  <c r="K763" i="1" s="1"/>
  <c r="K764" i="1" s="1"/>
  <c r="J760" i="1"/>
  <c r="J761" i="1" s="1"/>
  <c r="J762" i="1" s="1"/>
  <c r="J763" i="1" s="1"/>
  <c r="J764" i="1" s="1"/>
  <c r="C760" i="1"/>
  <c r="C756" i="1"/>
  <c r="C757" i="1" s="1"/>
  <c r="C758" i="1" s="1"/>
  <c r="M755" i="1"/>
  <c r="M756" i="1" s="1"/>
  <c r="M757" i="1" s="1"/>
  <c r="M758" i="1" s="1"/>
  <c r="P754" i="1"/>
  <c r="P755" i="1" s="1"/>
  <c r="P756" i="1" s="1"/>
  <c r="P757" i="1" s="1"/>
  <c r="P758" i="1" s="1"/>
  <c r="O754" i="1"/>
  <c r="O755" i="1" s="1"/>
  <c r="O756" i="1" s="1"/>
  <c r="O757" i="1" s="1"/>
  <c r="O758" i="1" s="1"/>
  <c r="M754" i="1"/>
  <c r="K754" i="1"/>
  <c r="K755" i="1" s="1"/>
  <c r="K756" i="1" s="1"/>
  <c r="K757" i="1" s="1"/>
  <c r="K758" i="1" s="1"/>
  <c r="AR753" i="1"/>
  <c r="AR754" i="1" s="1"/>
  <c r="AR755" i="1" s="1"/>
  <c r="AR756" i="1" s="1"/>
  <c r="AR757" i="1" s="1"/>
  <c r="AR758" i="1" s="1"/>
  <c r="AR759" i="1" s="1"/>
  <c r="AR760" i="1" s="1"/>
  <c r="AR761" i="1" s="1"/>
  <c r="P753" i="1"/>
  <c r="N753" i="1"/>
  <c r="N754" i="1" s="1"/>
  <c r="N755" i="1" s="1"/>
  <c r="N756" i="1" s="1"/>
  <c r="N757" i="1" s="1"/>
  <c r="N758" i="1" s="1"/>
  <c r="M753" i="1"/>
  <c r="K753" i="1"/>
  <c r="AU752" i="1"/>
  <c r="AU753" i="1" s="1"/>
  <c r="AU754" i="1" s="1"/>
  <c r="AU755" i="1" s="1"/>
  <c r="AU756" i="1" s="1"/>
  <c r="AU757" i="1" s="1"/>
  <c r="AU758" i="1" s="1"/>
  <c r="AU759" i="1" s="1"/>
  <c r="AU760" i="1" s="1"/>
  <c r="AU761" i="1" s="1"/>
  <c r="AR752" i="1"/>
  <c r="P752" i="1"/>
  <c r="O752" i="1"/>
  <c r="O753" i="1" s="1"/>
  <c r="N752" i="1"/>
  <c r="K752" i="1"/>
  <c r="J752" i="1"/>
  <c r="J753" i="1" s="1"/>
  <c r="J754" i="1" s="1"/>
  <c r="J755" i="1" s="1"/>
  <c r="J756" i="1" s="1"/>
  <c r="J757" i="1" s="1"/>
  <c r="J758" i="1" s="1"/>
  <c r="C752" i="1"/>
  <c r="C753" i="1" s="1"/>
  <c r="C754" i="1" s="1"/>
  <c r="C755" i="1" s="1"/>
  <c r="AU751" i="1"/>
  <c r="AS751" i="1"/>
  <c r="AS752" i="1" s="1"/>
  <c r="AS753" i="1" s="1"/>
  <c r="AS754" i="1" s="1"/>
  <c r="AS755" i="1" s="1"/>
  <c r="AS756" i="1" s="1"/>
  <c r="AS757" i="1" s="1"/>
  <c r="AS758" i="1" s="1"/>
  <c r="AS759" i="1" s="1"/>
  <c r="AS760" i="1" s="1"/>
  <c r="AS761" i="1" s="1"/>
  <c r="P751" i="1"/>
  <c r="O751" i="1"/>
  <c r="N751" i="1"/>
  <c r="M751" i="1"/>
  <c r="M752" i="1" s="1"/>
  <c r="L751" i="1"/>
  <c r="L752" i="1" s="1"/>
  <c r="L753" i="1" s="1"/>
  <c r="L754" i="1" s="1"/>
  <c r="L755" i="1" s="1"/>
  <c r="L756" i="1" s="1"/>
  <c r="L757" i="1" s="1"/>
  <c r="L758" i="1" s="1"/>
  <c r="K751" i="1"/>
  <c r="J751" i="1"/>
  <c r="C751" i="1"/>
  <c r="AR750" i="1"/>
  <c r="AR751" i="1" s="1"/>
  <c r="AB750" i="1"/>
  <c r="AB751" i="1" s="1"/>
  <c r="AB752" i="1" s="1"/>
  <c r="AB753" i="1" s="1"/>
  <c r="AB754" i="1" s="1"/>
  <c r="AB755" i="1" s="1"/>
  <c r="AB756" i="1" s="1"/>
  <c r="AB757" i="1" s="1"/>
  <c r="AB758" i="1" s="1"/>
  <c r="AB759" i="1" s="1"/>
  <c r="AB760" i="1" s="1"/>
  <c r="AB761" i="1" s="1"/>
  <c r="AV749" i="1"/>
  <c r="AV750" i="1" s="1"/>
  <c r="AV751" i="1" s="1"/>
  <c r="AV752" i="1" s="1"/>
  <c r="AV753" i="1" s="1"/>
  <c r="AV754" i="1" s="1"/>
  <c r="AV755" i="1" s="1"/>
  <c r="AV756" i="1" s="1"/>
  <c r="AV757" i="1" s="1"/>
  <c r="AV758" i="1" s="1"/>
  <c r="AV759" i="1" s="1"/>
  <c r="AV760" i="1" s="1"/>
  <c r="AV761" i="1" s="1"/>
  <c r="AT749" i="1"/>
  <c r="AT750" i="1" s="1"/>
  <c r="AT751" i="1" s="1"/>
  <c r="AT752" i="1" s="1"/>
  <c r="AT753" i="1" s="1"/>
  <c r="AT754" i="1" s="1"/>
  <c r="AT755" i="1" s="1"/>
  <c r="AT756" i="1" s="1"/>
  <c r="AT757" i="1" s="1"/>
  <c r="AT758" i="1" s="1"/>
  <c r="AT759" i="1" s="1"/>
  <c r="AT760" i="1" s="1"/>
  <c r="AT761" i="1" s="1"/>
  <c r="AS749" i="1"/>
  <c r="AS750" i="1" s="1"/>
  <c r="AR749" i="1"/>
  <c r="AE749" i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B749" i="1"/>
  <c r="AX748" i="1"/>
  <c r="AX749" i="1" s="1"/>
  <c r="AX750" i="1" s="1"/>
  <c r="AX751" i="1" s="1"/>
  <c r="AX752" i="1" s="1"/>
  <c r="AX753" i="1" s="1"/>
  <c r="AX754" i="1" s="1"/>
  <c r="AX755" i="1" s="1"/>
  <c r="AX756" i="1" s="1"/>
  <c r="AX757" i="1" s="1"/>
  <c r="AX758" i="1" s="1"/>
  <c r="AX759" i="1" s="1"/>
  <c r="AX760" i="1" s="1"/>
  <c r="AX761" i="1" s="1"/>
  <c r="AW748" i="1"/>
  <c r="AW749" i="1" s="1"/>
  <c r="AW750" i="1" s="1"/>
  <c r="AW751" i="1" s="1"/>
  <c r="AW752" i="1" s="1"/>
  <c r="AW753" i="1" s="1"/>
  <c r="AW754" i="1" s="1"/>
  <c r="AW755" i="1" s="1"/>
  <c r="AW756" i="1" s="1"/>
  <c r="AW757" i="1" s="1"/>
  <c r="AW758" i="1" s="1"/>
  <c r="AW759" i="1" s="1"/>
  <c r="AW760" i="1" s="1"/>
  <c r="AW761" i="1" s="1"/>
  <c r="AV748" i="1"/>
  <c r="AU748" i="1"/>
  <c r="AU749" i="1" s="1"/>
  <c r="AU750" i="1" s="1"/>
  <c r="AT748" i="1"/>
  <c r="AS748" i="1"/>
  <c r="AR748" i="1"/>
  <c r="AK748" i="1"/>
  <c r="AK749" i="1" s="1"/>
  <c r="AK750" i="1" s="1"/>
  <c r="AK751" i="1" s="1"/>
  <c r="AK752" i="1" s="1"/>
  <c r="AK753" i="1" s="1"/>
  <c r="AK754" i="1" s="1"/>
  <c r="AK755" i="1" s="1"/>
  <c r="AK756" i="1" s="1"/>
  <c r="AK757" i="1" s="1"/>
  <c r="AK758" i="1" s="1"/>
  <c r="AK759" i="1" s="1"/>
  <c r="AK760" i="1" s="1"/>
  <c r="AK761" i="1" s="1"/>
  <c r="AF748" i="1"/>
  <c r="AF749" i="1" s="1"/>
  <c r="AF750" i="1" s="1"/>
  <c r="AF751" i="1" s="1"/>
  <c r="AF752" i="1" s="1"/>
  <c r="AF753" i="1" s="1"/>
  <c r="AF754" i="1" s="1"/>
  <c r="AF755" i="1" s="1"/>
  <c r="AF756" i="1" s="1"/>
  <c r="AF757" i="1" s="1"/>
  <c r="AF758" i="1" s="1"/>
  <c r="AF759" i="1" s="1"/>
  <c r="AF760" i="1" s="1"/>
  <c r="AF761" i="1" s="1"/>
  <c r="AE748" i="1"/>
  <c r="AD748" i="1"/>
  <c r="AD749" i="1" s="1"/>
  <c r="AD750" i="1" s="1"/>
  <c r="AD751" i="1" s="1"/>
  <c r="AD752" i="1" s="1"/>
  <c r="AD753" i="1" s="1"/>
  <c r="AD754" i="1" s="1"/>
  <c r="AD755" i="1" s="1"/>
  <c r="AD756" i="1" s="1"/>
  <c r="AD757" i="1" s="1"/>
  <c r="AD758" i="1" s="1"/>
  <c r="AD759" i="1" s="1"/>
  <c r="AD760" i="1" s="1"/>
  <c r="AD761" i="1" s="1"/>
  <c r="AC748" i="1"/>
  <c r="AC749" i="1" s="1"/>
  <c r="AC750" i="1" s="1"/>
  <c r="AC751" i="1" s="1"/>
  <c r="AC752" i="1" s="1"/>
  <c r="AC753" i="1" s="1"/>
  <c r="AC754" i="1" s="1"/>
  <c r="AC755" i="1" s="1"/>
  <c r="AC756" i="1" s="1"/>
  <c r="AC757" i="1" s="1"/>
  <c r="AC758" i="1" s="1"/>
  <c r="AC759" i="1" s="1"/>
  <c r="AC760" i="1" s="1"/>
  <c r="AC761" i="1" s="1"/>
  <c r="T748" i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AG747" i="1"/>
  <c r="AG748" i="1" s="1"/>
  <c r="AG749" i="1" s="1"/>
  <c r="AG750" i="1" s="1"/>
  <c r="AG751" i="1" s="1"/>
  <c r="AG752" i="1" s="1"/>
  <c r="AG753" i="1" s="1"/>
  <c r="AG754" i="1" s="1"/>
  <c r="AG755" i="1" s="1"/>
  <c r="AG756" i="1" s="1"/>
  <c r="AG757" i="1" s="1"/>
  <c r="AG758" i="1" s="1"/>
  <c r="AG759" i="1" s="1"/>
  <c r="AG760" i="1" s="1"/>
  <c r="AG761" i="1" s="1"/>
  <c r="AF747" i="1"/>
  <c r="AE747" i="1"/>
  <c r="AD747" i="1"/>
  <c r="AC747" i="1"/>
  <c r="AB747" i="1"/>
  <c r="AB748" i="1" s="1"/>
  <c r="AA747" i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T747" i="1"/>
  <c r="S747" i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K743" i="1"/>
  <c r="K744" i="1" s="1"/>
  <c r="K745" i="1" s="1"/>
  <c r="K746" i="1" s="1"/>
  <c r="K747" i="1" s="1"/>
  <c r="K748" i="1" s="1"/>
  <c r="N742" i="1"/>
  <c r="N743" i="1" s="1"/>
  <c r="N744" i="1" s="1"/>
  <c r="N745" i="1" s="1"/>
  <c r="N746" i="1" s="1"/>
  <c r="N747" i="1" s="1"/>
  <c r="N748" i="1" s="1"/>
  <c r="M742" i="1"/>
  <c r="M743" i="1" s="1"/>
  <c r="M744" i="1" s="1"/>
  <c r="M745" i="1" s="1"/>
  <c r="M746" i="1" s="1"/>
  <c r="M747" i="1" s="1"/>
  <c r="M748" i="1" s="1"/>
  <c r="K742" i="1"/>
  <c r="P741" i="1"/>
  <c r="P742" i="1" s="1"/>
  <c r="P743" i="1" s="1"/>
  <c r="P744" i="1" s="1"/>
  <c r="P745" i="1" s="1"/>
  <c r="P746" i="1" s="1"/>
  <c r="P747" i="1" s="1"/>
  <c r="P748" i="1" s="1"/>
  <c r="O741" i="1"/>
  <c r="O742" i="1" s="1"/>
  <c r="O743" i="1" s="1"/>
  <c r="O744" i="1" s="1"/>
  <c r="O745" i="1" s="1"/>
  <c r="O746" i="1" s="1"/>
  <c r="O747" i="1" s="1"/>
  <c r="O748" i="1" s="1"/>
  <c r="N741" i="1"/>
  <c r="K741" i="1"/>
  <c r="J741" i="1"/>
  <c r="J742" i="1" s="1"/>
  <c r="J743" i="1" s="1"/>
  <c r="J744" i="1" s="1"/>
  <c r="J745" i="1" s="1"/>
  <c r="J746" i="1" s="1"/>
  <c r="J747" i="1" s="1"/>
  <c r="J748" i="1" s="1"/>
  <c r="C741" i="1"/>
  <c r="C742" i="1" s="1"/>
  <c r="C743" i="1" s="1"/>
  <c r="C744" i="1" s="1"/>
  <c r="C745" i="1" s="1"/>
  <c r="C746" i="1" s="1"/>
  <c r="C747" i="1" s="1"/>
  <c r="C748" i="1" s="1"/>
  <c r="P740" i="1"/>
  <c r="O740" i="1"/>
  <c r="N740" i="1"/>
  <c r="M740" i="1"/>
  <c r="M741" i="1" s="1"/>
  <c r="L740" i="1"/>
  <c r="L741" i="1" s="1"/>
  <c r="L742" i="1" s="1"/>
  <c r="L743" i="1" s="1"/>
  <c r="L744" i="1" s="1"/>
  <c r="L745" i="1" s="1"/>
  <c r="L746" i="1" s="1"/>
  <c r="L747" i="1" s="1"/>
  <c r="L748" i="1" s="1"/>
  <c r="K740" i="1"/>
  <c r="J740" i="1"/>
  <c r="C740" i="1"/>
  <c r="P738" i="1"/>
  <c r="N738" i="1"/>
  <c r="L738" i="1"/>
  <c r="K738" i="1"/>
  <c r="J738" i="1"/>
  <c r="P737" i="1"/>
  <c r="O737" i="1"/>
  <c r="O738" i="1" s="1"/>
  <c r="N737" i="1"/>
  <c r="M737" i="1"/>
  <c r="M738" i="1" s="1"/>
  <c r="L737" i="1"/>
  <c r="K737" i="1"/>
  <c r="J737" i="1"/>
  <c r="C737" i="1"/>
  <c r="C738" i="1" s="1"/>
  <c r="AJ736" i="1"/>
  <c r="AJ737" i="1" s="1"/>
  <c r="AJ738" i="1" s="1"/>
  <c r="AJ739" i="1" s="1"/>
  <c r="AJ740" i="1" s="1"/>
  <c r="AJ741" i="1" s="1"/>
  <c r="AJ742" i="1" s="1"/>
  <c r="AJ743" i="1" s="1"/>
  <c r="AJ744" i="1" s="1"/>
  <c r="AJ745" i="1" s="1"/>
  <c r="AJ746" i="1" s="1"/>
  <c r="AJ747" i="1" s="1"/>
  <c r="AJ748" i="1" s="1"/>
  <c r="AJ749" i="1" s="1"/>
  <c r="AJ750" i="1" s="1"/>
  <c r="AJ751" i="1" s="1"/>
  <c r="AJ752" i="1" s="1"/>
  <c r="AJ753" i="1" s="1"/>
  <c r="AJ754" i="1" s="1"/>
  <c r="AJ755" i="1" s="1"/>
  <c r="AJ756" i="1" s="1"/>
  <c r="AJ757" i="1" s="1"/>
  <c r="AJ758" i="1" s="1"/>
  <c r="AJ759" i="1" s="1"/>
  <c r="AJ760" i="1" s="1"/>
  <c r="AJ761" i="1" s="1"/>
  <c r="AJ762" i="1" s="1"/>
  <c r="AJ763" i="1" s="1"/>
  <c r="AJ764" i="1" s="1"/>
  <c r="AJ765" i="1" s="1"/>
  <c r="AJ766" i="1" s="1"/>
  <c r="AJ767" i="1" s="1"/>
  <c r="AJ768" i="1" s="1"/>
  <c r="AJ769" i="1" s="1"/>
  <c r="AJ770" i="1" s="1"/>
  <c r="AJ771" i="1" s="1"/>
  <c r="AJ772" i="1" s="1"/>
  <c r="AJ773" i="1" s="1"/>
  <c r="AJ774" i="1" s="1"/>
  <c r="AJ775" i="1" s="1"/>
  <c r="AJ776" i="1" s="1"/>
  <c r="AJ777" i="1" s="1"/>
  <c r="AJ778" i="1" s="1"/>
  <c r="AJ779" i="1" s="1"/>
  <c r="AJ780" i="1" s="1"/>
  <c r="AJ781" i="1" s="1"/>
  <c r="AJ735" i="1"/>
  <c r="P733" i="1"/>
  <c r="P734" i="1" s="1"/>
  <c r="P735" i="1" s="1"/>
  <c r="J733" i="1"/>
  <c r="J734" i="1" s="1"/>
  <c r="J735" i="1" s="1"/>
  <c r="AV732" i="1"/>
  <c r="AV733" i="1" s="1"/>
  <c r="AV734" i="1" s="1"/>
  <c r="AV735" i="1" s="1"/>
  <c r="AV736" i="1" s="1"/>
  <c r="AV737" i="1" s="1"/>
  <c r="AV738" i="1" s="1"/>
  <c r="AV739" i="1" s="1"/>
  <c r="AV740" i="1" s="1"/>
  <c r="AV741" i="1" s="1"/>
  <c r="AV742" i="1" s="1"/>
  <c r="AV743" i="1" s="1"/>
  <c r="AV744" i="1" s="1"/>
  <c r="AV745" i="1" s="1"/>
  <c r="AV746" i="1" s="1"/>
  <c r="P732" i="1"/>
  <c r="O732" i="1"/>
  <c r="O733" i="1" s="1"/>
  <c r="O734" i="1" s="1"/>
  <c r="O735" i="1" s="1"/>
  <c r="N732" i="1"/>
  <c r="N733" i="1" s="1"/>
  <c r="N734" i="1" s="1"/>
  <c r="N735" i="1" s="1"/>
  <c r="M732" i="1"/>
  <c r="M733" i="1" s="1"/>
  <c r="M734" i="1" s="1"/>
  <c r="M735" i="1" s="1"/>
  <c r="L732" i="1"/>
  <c r="L733" i="1" s="1"/>
  <c r="L734" i="1" s="1"/>
  <c r="L735" i="1" s="1"/>
  <c r="K732" i="1"/>
  <c r="K733" i="1" s="1"/>
  <c r="K734" i="1" s="1"/>
  <c r="K735" i="1" s="1"/>
  <c r="J732" i="1"/>
  <c r="C732" i="1"/>
  <c r="C733" i="1" s="1"/>
  <c r="C734" i="1" s="1"/>
  <c r="C735" i="1" s="1"/>
  <c r="AS731" i="1"/>
  <c r="AS732" i="1" s="1"/>
  <c r="AS733" i="1" s="1"/>
  <c r="AS734" i="1" s="1"/>
  <c r="AS735" i="1" s="1"/>
  <c r="AS736" i="1" s="1"/>
  <c r="AS737" i="1" s="1"/>
  <c r="AS738" i="1" s="1"/>
  <c r="AS739" i="1" s="1"/>
  <c r="AS740" i="1" s="1"/>
  <c r="AS741" i="1" s="1"/>
  <c r="AS742" i="1" s="1"/>
  <c r="AS743" i="1" s="1"/>
  <c r="AS744" i="1" s="1"/>
  <c r="AS745" i="1" s="1"/>
  <c r="AS746" i="1" s="1"/>
  <c r="AW730" i="1"/>
  <c r="AW731" i="1" s="1"/>
  <c r="AW732" i="1" s="1"/>
  <c r="AW733" i="1" s="1"/>
  <c r="AW734" i="1" s="1"/>
  <c r="AW735" i="1" s="1"/>
  <c r="AW736" i="1" s="1"/>
  <c r="AW737" i="1" s="1"/>
  <c r="AW738" i="1" s="1"/>
  <c r="AW739" i="1" s="1"/>
  <c r="AW740" i="1" s="1"/>
  <c r="AW741" i="1" s="1"/>
  <c r="AW742" i="1" s="1"/>
  <c r="AW743" i="1" s="1"/>
  <c r="AW744" i="1" s="1"/>
  <c r="AW745" i="1" s="1"/>
  <c r="AW746" i="1" s="1"/>
  <c r="AK730" i="1"/>
  <c r="AK731" i="1" s="1"/>
  <c r="AK732" i="1" s="1"/>
  <c r="AK733" i="1" s="1"/>
  <c r="AK734" i="1" s="1"/>
  <c r="AK735" i="1" s="1"/>
  <c r="AK736" i="1" s="1"/>
  <c r="AK737" i="1" s="1"/>
  <c r="AK738" i="1" s="1"/>
  <c r="AK739" i="1" s="1"/>
  <c r="AK740" i="1" s="1"/>
  <c r="AK741" i="1" s="1"/>
  <c r="AK742" i="1" s="1"/>
  <c r="AK743" i="1" s="1"/>
  <c r="AK744" i="1" s="1"/>
  <c r="AK745" i="1" s="1"/>
  <c r="AK746" i="1" s="1"/>
  <c r="AT729" i="1"/>
  <c r="AT730" i="1" s="1"/>
  <c r="AT731" i="1" s="1"/>
  <c r="AT732" i="1" s="1"/>
  <c r="AT733" i="1" s="1"/>
  <c r="AT734" i="1" s="1"/>
  <c r="AT735" i="1" s="1"/>
  <c r="AT736" i="1" s="1"/>
  <c r="AT737" i="1" s="1"/>
  <c r="AT738" i="1" s="1"/>
  <c r="AT739" i="1" s="1"/>
  <c r="AT740" i="1" s="1"/>
  <c r="AT741" i="1" s="1"/>
  <c r="AT742" i="1" s="1"/>
  <c r="AT743" i="1" s="1"/>
  <c r="AT744" i="1" s="1"/>
  <c r="AT745" i="1" s="1"/>
  <c r="AT746" i="1" s="1"/>
  <c r="AS729" i="1"/>
  <c r="AS730" i="1" s="1"/>
  <c r="AA729" i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W728" i="1"/>
  <c r="AW729" i="1" s="1"/>
  <c r="AU728" i="1"/>
  <c r="AU729" i="1" s="1"/>
  <c r="AU730" i="1" s="1"/>
  <c r="AU731" i="1" s="1"/>
  <c r="AU732" i="1" s="1"/>
  <c r="AU733" i="1" s="1"/>
  <c r="AU734" i="1" s="1"/>
  <c r="AU735" i="1" s="1"/>
  <c r="AU736" i="1" s="1"/>
  <c r="AU737" i="1" s="1"/>
  <c r="AU738" i="1" s="1"/>
  <c r="AU739" i="1" s="1"/>
  <c r="AU740" i="1" s="1"/>
  <c r="AU741" i="1" s="1"/>
  <c r="AU742" i="1" s="1"/>
  <c r="AU743" i="1" s="1"/>
  <c r="AU744" i="1" s="1"/>
  <c r="AU745" i="1" s="1"/>
  <c r="AU746" i="1" s="1"/>
  <c r="AS728" i="1"/>
  <c r="AK728" i="1"/>
  <c r="AK729" i="1" s="1"/>
  <c r="AC728" i="1"/>
  <c r="AC729" i="1" s="1"/>
  <c r="AC730" i="1" s="1"/>
  <c r="AC731" i="1" s="1"/>
  <c r="AC732" i="1" s="1"/>
  <c r="AC733" i="1" s="1"/>
  <c r="AC734" i="1" s="1"/>
  <c r="AC735" i="1" s="1"/>
  <c r="AC736" i="1" s="1"/>
  <c r="AC737" i="1" s="1"/>
  <c r="AC738" i="1" s="1"/>
  <c r="AC739" i="1" s="1"/>
  <c r="AC740" i="1" s="1"/>
  <c r="AC741" i="1" s="1"/>
  <c r="AC742" i="1" s="1"/>
  <c r="AC743" i="1" s="1"/>
  <c r="AC744" i="1" s="1"/>
  <c r="AC745" i="1" s="1"/>
  <c r="AB728" i="1"/>
  <c r="AB729" i="1" s="1"/>
  <c r="AB730" i="1" s="1"/>
  <c r="AB731" i="1" s="1"/>
  <c r="AB732" i="1" s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O728" i="1"/>
  <c r="O729" i="1" s="1"/>
  <c r="AX727" i="1"/>
  <c r="AX728" i="1" s="1"/>
  <c r="AX729" i="1" s="1"/>
  <c r="AX730" i="1" s="1"/>
  <c r="AX731" i="1" s="1"/>
  <c r="AX732" i="1" s="1"/>
  <c r="AX733" i="1" s="1"/>
  <c r="AX734" i="1" s="1"/>
  <c r="AX735" i="1" s="1"/>
  <c r="AX736" i="1" s="1"/>
  <c r="AX737" i="1" s="1"/>
  <c r="AX738" i="1" s="1"/>
  <c r="AX739" i="1" s="1"/>
  <c r="AX740" i="1" s="1"/>
  <c r="AX741" i="1" s="1"/>
  <c r="AX742" i="1" s="1"/>
  <c r="AX743" i="1" s="1"/>
  <c r="AX744" i="1" s="1"/>
  <c r="AX745" i="1" s="1"/>
  <c r="AX746" i="1" s="1"/>
  <c r="AW727" i="1"/>
  <c r="AV727" i="1"/>
  <c r="AV728" i="1" s="1"/>
  <c r="AV729" i="1" s="1"/>
  <c r="AV730" i="1" s="1"/>
  <c r="AV731" i="1" s="1"/>
  <c r="AU727" i="1"/>
  <c r="AT727" i="1"/>
  <c r="AT728" i="1" s="1"/>
  <c r="AS727" i="1"/>
  <c r="AR727" i="1"/>
  <c r="AR728" i="1" s="1"/>
  <c r="AR729" i="1" s="1"/>
  <c r="AR730" i="1" s="1"/>
  <c r="AR731" i="1" s="1"/>
  <c r="AR732" i="1" s="1"/>
  <c r="AR733" i="1" s="1"/>
  <c r="AR734" i="1" s="1"/>
  <c r="AR735" i="1" s="1"/>
  <c r="AR736" i="1" s="1"/>
  <c r="AR737" i="1" s="1"/>
  <c r="AR738" i="1" s="1"/>
  <c r="AR739" i="1" s="1"/>
  <c r="AR740" i="1" s="1"/>
  <c r="AR741" i="1" s="1"/>
  <c r="AR742" i="1" s="1"/>
  <c r="AR743" i="1" s="1"/>
  <c r="AR744" i="1" s="1"/>
  <c r="AR745" i="1" s="1"/>
  <c r="AR746" i="1" s="1"/>
  <c r="AK727" i="1"/>
  <c r="AF727" i="1"/>
  <c r="AF728" i="1" s="1"/>
  <c r="AF729" i="1" s="1"/>
  <c r="AF730" i="1" s="1"/>
  <c r="AF731" i="1" s="1"/>
  <c r="AF732" i="1" s="1"/>
  <c r="AF733" i="1" s="1"/>
  <c r="AF734" i="1" s="1"/>
  <c r="AF735" i="1" s="1"/>
  <c r="AF736" i="1" s="1"/>
  <c r="AF737" i="1" s="1"/>
  <c r="AF738" i="1" s="1"/>
  <c r="AF739" i="1" s="1"/>
  <c r="AF740" i="1" s="1"/>
  <c r="AF741" i="1" s="1"/>
  <c r="AF742" i="1" s="1"/>
  <c r="AF743" i="1" s="1"/>
  <c r="AF744" i="1" s="1"/>
  <c r="AF745" i="1" s="1"/>
  <c r="AE727" i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D727" i="1"/>
  <c r="AD728" i="1" s="1"/>
  <c r="AD729" i="1" s="1"/>
  <c r="AD730" i="1" s="1"/>
  <c r="AD731" i="1" s="1"/>
  <c r="AD732" i="1" s="1"/>
  <c r="AD733" i="1" s="1"/>
  <c r="AD734" i="1" s="1"/>
  <c r="AD735" i="1" s="1"/>
  <c r="AD736" i="1" s="1"/>
  <c r="AD737" i="1" s="1"/>
  <c r="AD738" i="1" s="1"/>
  <c r="AD739" i="1" s="1"/>
  <c r="AD740" i="1" s="1"/>
  <c r="AD741" i="1" s="1"/>
  <c r="AD742" i="1" s="1"/>
  <c r="AD743" i="1" s="1"/>
  <c r="AD744" i="1" s="1"/>
  <c r="AD745" i="1" s="1"/>
  <c r="AB727" i="1"/>
  <c r="M727" i="1"/>
  <c r="M728" i="1" s="1"/>
  <c r="M729" i="1" s="1"/>
  <c r="AG726" i="1"/>
  <c r="AG727" i="1" s="1"/>
  <c r="AG728" i="1" s="1"/>
  <c r="AG729" i="1" s="1"/>
  <c r="AG730" i="1" s="1"/>
  <c r="AG731" i="1" s="1"/>
  <c r="AG732" i="1" s="1"/>
  <c r="AG733" i="1" s="1"/>
  <c r="AG734" i="1" s="1"/>
  <c r="AG735" i="1" s="1"/>
  <c r="AG736" i="1" s="1"/>
  <c r="AG737" i="1" s="1"/>
  <c r="AG738" i="1" s="1"/>
  <c r="AG739" i="1" s="1"/>
  <c r="AG740" i="1" s="1"/>
  <c r="AG741" i="1" s="1"/>
  <c r="AG742" i="1" s="1"/>
  <c r="AG743" i="1" s="1"/>
  <c r="AG744" i="1" s="1"/>
  <c r="AG745" i="1" s="1"/>
  <c r="AF726" i="1"/>
  <c r="AE726" i="1"/>
  <c r="AD726" i="1"/>
  <c r="AC726" i="1"/>
  <c r="AC727" i="1" s="1"/>
  <c r="AB726" i="1"/>
  <c r="AA726" i="1"/>
  <c r="AA727" i="1" s="1"/>
  <c r="AA728" i="1" s="1"/>
  <c r="T726" i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N726" i="1"/>
  <c r="N727" i="1" s="1"/>
  <c r="N728" i="1" s="1"/>
  <c r="N729" i="1" s="1"/>
  <c r="M726" i="1"/>
  <c r="P725" i="1"/>
  <c r="P726" i="1" s="1"/>
  <c r="P727" i="1" s="1"/>
  <c r="P728" i="1" s="1"/>
  <c r="P729" i="1" s="1"/>
  <c r="N725" i="1"/>
  <c r="M725" i="1"/>
  <c r="P724" i="1"/>
  <c r="M724" i="1"/>
  <c r="K724" i="1"/>
  <c r="K725" i="1" s="1"/>
  <c r="K726" i="1" s="1"/>
  <c r="K727" i="1" s="1"/>
  <c r="K728" i="1" s="1"/>
  <c r="K729" i="1" s="1"/>
  <c r="P723" i="1"/>
  <c r="N723" i="1"/>
  <c r="N724" i="1" s="1"/>
  <c r="L723" i="1"/>
  <c r="L724" i="1" s="1"/>
  <c r="L725" i="1" s="1"/>
  <c r="L726" i="1" s="1"/>
  <c r="L727" i="1" s="1"/>
  <c r="L728" i="1" s="1"/>
  <c r="L729" i="1" s="1"/>
  <c r="C723" i="1"/>
  <c r="C724" i="1" s="1"/>
  <c r="C725" i="1" s="1"/>
  <c r="C726" i="1" s="1"/>
  <c r="C727" i="1" s="1"/>
  <c r="C728" i="1" s="1"/>
  <c r="C729" i="1" s="1"/>
  <c r="P722" i="1"/>
  <c r="O722" i="1"/>
  <c r="O723" i="1" s="1"/>
  <c r="O724" i="1" s="1"/>
  <c r="O725" i="1" s="1"/>
  <c r="O726" i="1" s="1"/>
  <c r="O727" i="1" s="1"/>
  <c r="N722" i="1"/>
  <c r="M722" i="1"/>
  <c r="M723" i="1" s="1"/>
  <c r="L722" i="1"/>
  <c r="K722" i="1"/>
  <c r="K723" i="1" s="1"/>
  <c r="J722" i="1"/>
  <c r="J723" i="1" s="1"/>
  <c r="J724" i="1" s="1"/>
  <c r="J725" i="1" s="1"/>
  <c r="J726" i="1" s="1"/>
  <c r="J727" i="1" s="1"/>
  <c r="J728" i="1" s="1"/>
  <c r="J729" i="1" s="1"/>
  <c r="C722" i="1"/>
  <c r="L719" i="1"/>
  <c r="L720" i="1" s="1"/>
  <c r="N718" i="1"/>
  <c r="N719" i="1" s="1"/>
  <c r="N720" i="1" s="1"/>
  <c r="K718" i="1"/>
  <c r="K719" i="1" s="1"/>
  <c r="K720" i="1" s="1"/>
  <c r="C718" i="1"/>
  <c r="C719" i="1" s="1"/>
  <c r="C720" i="1" s="1"/>
  <c r="P717" i="1"/>
  <c r="P718" i="1" s="1"/>
  <c r="P719" i="1" s="1"/>
  <c r="P720" i="1" s="1"/>
  <c r="L717" i="1"/>
  <c r="L718" i="1" s="1"/>
  <c r="P716" i="1"/>
  <c r="O716" i="1"/>
  <c r="O717" i="1" s="1"/>
  <c r="O718" i="1" s="1"/>
  <c r="O719" i="1" s="1"/>
  <c r="O720" i="1" s="1"/>
  <c r="N716" i="1"/>
  <c r="N717" i="1" s="1"/>
  <c r="M716" i="1"/>
  <c r="M717" i="1" s="1"/>
  <c r="M718" i="1" s="1"/>
  <c r="M719" i="1" s="1"/>
  <c r="M720" i="1" s="1"/>
  <c r="L716" i="1"/>
  <c r="K716" i="1"/>
  <c r="K717" i="1" s="1"/>
  <c r="J716" i="1"/>
  <c r="J717" i="1" s="1"/>
  <c r="J718" i="1" s="1"/>
  <c r="J719" i="1" s="1"/>
  <c r="J720" i="1" s="1"/>
  <c r="C716" i="1"/>
  <c r="C717" i="1" s="1"/>
  <c r="AA715" i="1"/>
  <c r="AA716" i="1" s="1"/>
  <c r="AA717" i="1" s="1"/>
  <c r="AA718" i="1" s="1"/>
  <c r="AA719" i="1" s="1"/>
  <c r="AA720" i="1" s="1"/>
  <c r="AA721" i="1" s="1"/>
  <c r="AA722" i="1" s="1"/>
  <c r="AA723" i="1" s="1"/>
  <c r="AA724" i="1" s="1"/>
  <c r="N714" i="1"/>
  <c r="L714" i="1"/>
  <c r="J714" i="1"/>
  <c r="C714" i="1"/>
  <c r="O713" i="1"/>
  <c r="O714" i="1" s="1"/>
  <c r="M713" i="1"/>
  <c r="M714" i="1" s="1"/>
  <c r="L713" i="1"/>
  <c r="K713" i="1"/>
  <c r="K714" i="1" s="1"/>
  <c r="J713" i="1"/>
  <c r="C713" i="1"/>
  <c r="AV712" i="1"/>
  <c r="AV713" i="1" s="1"/>
  <c r="AV714" i="1" s="1"/>
  <c r="AV715" i="1" s="1"/>
  <c r="AV716" i="1" s="1"/>
  <c r="AV717" i="1" s="1"/>
  <c r="AV718" i="1" s="1"/>
  <c r="AV719" i="1" s="1"/>
  <c r="AV720" i="1" s="1"/>
  <c r="AV721" i="1" s="1"/>
  <c r="AV722" i="1" s="1"/>
  <c r="AV723" i="1" s="1"/>
  <c r="AV724" i="1" s="1"/>
  <c r="AV725" i="1" s="1"/>
  <c r="P712" i="1"/>
  <c r="P713" i="1" s="1"/>
  <c r="P714" i="1" s="1"/>
  <c r="O712" i="1"/>
  <c r="N712" i="1"/>
  <c r="N713" i="1" s="1"/>
  <c r="M712" i="1"/>
  <c r="L712" i="1"/>
  <c r="K712" i="1"/>
  <c r="J712" i="1"/>
  <c r="C712" i="1"/>
  <c r="B712" i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AE711" i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B711" i="1"/>
  <c r="P710" i="1"/>
  <c r="N710" i="1"/>
  <c r="M710" i="1"/>
  <c r="L710" i="1"/>
  <c r="K710" i="1"/>
  <c r="J710" i="1"/>
  <c r="B710" i="1"/>
  <c r="AW709" i="1"/>
  <c r="AW710" i="1" s="1"/>
  <c r="AW711" i="1" s="1"/>
  <c r="AW712" i="1" s="1"/>
  <c r="AW713" i="1" s="1"/>
  <c r="AW714" i="1" s="1"/>
  <c r="AW715" i="1" s="1"/>
  <c r="AW716" i="1" s="1"/>
  <c r="AW717" i="1" s="1"/>
  <c r="AW718" i="1" s="1"/>
  <c r="AW719" i="1" s="1"/>
  <c r="AW720" i="1" s="1"/>
  <c r="AW721" i="1" s="1"/>
  <c r="AW722" i="1" s="1"/>
  <c r="AW723" i="1" s="1"/>
  <c r="AW724" i="1" s="1"/>
  <c r="AW725" i="1" s="1"/>
  <c r="P709" i="1"/>
  <c r="O709" i="1"/>
  <c r="O710" i="1" s="1"/>
  <c r="N709" i="1"/>
  <c r="M709" i="1"/>
  <c r="L709" i="1"/>
  <c r="K709" i="1"/>
  <c r="J709" i="1"/>
  <c r="C709" i="1"/>
  <c r="C710" i="1" s="1"/>
  <c r="AE708" i="1"/>
  <c r="AE709" i="1" s="1"/>
  <c r="AE710" i="1" s="1"/>
  <c r="AR707" i="1"/>
  <c r="AR708" i="1" s="1"/>
  <c r="AR709" i="1" s="1"/>
  <c r="AR710" i="1" s="1"/>
  <c r="AR711" i="1" s="1"/>
  <c r="AR712" i="1" s="1"/>
  <c r="AR713" i="1" s="1"/>
  <c r="AR714" i="1" s="1"/>
  <c r="AR715" i="1" s="1"/>
  <c r="AR716" i="1" s="1"/>
  <c r="AR717" i="1" s="1"/>
  <c r="AR718" i="1" s="1"/>
  <c r="AR719" i="1" s="1"/>
  <c r="AR720" i="1" s="1"/>
  <c r="AR721" i="1" s="1"/>
  <c r="AR722" i="1" s="1"/>
  <c r="AR723" i="1" s="1"/>
  <c r="AR724" i="1" s="1"/>
  <c r="AR725" i="1" s="1"/>
  <c r="AW706" i="1"/>
  <c r="AW707" i="1" s="1"/>
  <c r="AW708" i="1" s="1"/>
  <c r="AU706" i="1"/>
  <c r="AU707" i="1" s="1"/>
  <c r="AU708" i="1" s="1"/>
  <c r="AU709" i="1" s="1"/>
  <c r="AU710" i="1" s="1"/>
  <c r="AU711" i="1" s="1"/>
  <c r="AU712" i="1" s="1"/>
  <c r="AU713" i="1" s="1"/>
  <c r="AU714" i="1" s="1"/>
  <c r="AU715" i="1" s="1"/>
  <c r="AU716" i="1" s="1"/>
  <c r="AU717" i="1" s="1"/>
  <c r="AU718" i="1" s="1"/>
  <c r="AU719" i="1" s="1"/>
  <c r="AU720" i="1" s="1"/>
  <c r="AU721" i="1" s="1"/>
  <c r="AU722" i="1" s="1"/>
  <c r="AU723" i="1" s="1"/>
  <c r="AU724" i="1" s="1"/>
  <c r="AU725" i="1" s="1"/>
  <c r="AS706" i="1"/>
  <c r="AS707" i="1" s="1"/>
  <c r="AS708" i="1" s="1"/>
  <c r="AS709" i="1" s="1"/>
  <c r="AS710" i="1" s="1"/>
  <c r="AS711" i="1" s="1"/>
  <c r="AS712" i="1" s="1"/>
  <c r="AS713" i="1" s="1"/>
  <c r="AS714" i="1" s="1"/>
  <c r="AS715" i="1" s="1"/>
  <c r="AS716" i="1" s="1"/>
  <c r="AS717" i="1" s="1"/>
  <c r="AS718" i="1" s="1"/>
  <c r="AS719" i="1" s="1"/>
  <c r="AS720" i="1" s="1"/>
  <c r="AS721" i="1" s="1"/>
  <c r="AS722" i="1" s="1"/>
  <c r="AS723" i="1" s="1"/>
  <c r="AS724" i="1" s="1"/>
  <c r="AS725" i="1" s="1"/>
  <c r="AR706" i="1"/>
  <c r="AK706" i="1"/>
  <c r="AK707" i="1" s="1"/>
  <c r="AK708" i="1" s="1"/>
  <c r="AK709" i="1" s="1"/>
  <c r="AK710" i="1" s="1"/>
  <c r="AK711" i="1" s="1"/>
  <c r="AK712" i="1" s="1"/>
  <c r="AK713" i="1" s="1"/>
  <c r="AK714" i="1" s="1"/>
  <c r="AK715" i="1" s="1"/>
  <c r="AK716" i="1" s="1"/>
  <c r="AK717" i="1" s="1"/>
  <c r="AK718" i="1" s="1"/>
  <c r="AK719" i="1" s="1"/>
  <c r="AK720" i="1" s="1"/>
  <c r="AK721" i="1" s="1"/>
  <c r="AK722" i="1" s="1"/>
  <c r="AK723" i="1" s="1"/>
  <c r="AK724" i="1" s="1"/>
  <c r="AK725" i="1" s="1"/>
  <c r="AC706" i="1"/>
  <c r="AC707" i="1" s="1"/>
  <c r="AC708" i="1" s="1"/>
  <c r="AC709" i="1" s="1"/>
  <c r="AC710" i="1" s="1"/>
  <c r="AC711" i="1" s="1"/>
  <c r="AC712" i="1" s="1"/>
  <c r="AC713" i="1" s="1"/>
  <c r="AC714" i="1" s="1"/>
  <c r="AC715" i="1" s="1"/>
  <c r="AC716" i="1" s="1"/>
  <c r="AC717" i="1" s="1"/>
  <c r="AC718" i="1" s="1"/>
  <c r="AC719" i="1" s="1"/>
  <c r="AC720" i="1" s="1"/>
  <c r="AC721" i="1" s="1"/>
  <c r="AC722" i="1" s="1"/>
  <c r="AC723" i="1" s="1"/>
  <c r="AC724" i="1" s="1"/>
  <c r="AX705" i="1"/>
  <c r="AX706" i="1" s="1"/>
  <c r="AX707" i="1" s="1"/>
  <c r="AX708" i="1" s="1"/>
  <c r="AX709" i="1" s="1"/>
  <c r="AX710" i="1" s="1"/>
  <c r="AX711" i="1" s="1"/>
  <c r="AX712" i="1" s="1"/>
  <c r="AX713" i="1" s="1"/>
  <c r="AX714" i="1" s="1"/>
  <c r="AX715" i="1" s="1"/>
  <c r="AX716" i="1" s="1"/>
  <c r="AX717" i="1" s="1"/>
  <c r="AX718" i="1" s="1"/>
  <c r="AX719" i="1" s="1"/>
  <c r="AX720" i="1" s="1"/>
  <c r="AX721" i="1" s="1"/>
  <c r="AX722" i="1" s="1"/>
  <c r="AX723" i="1" s="1"/>
  <c r="AX724" i="1" s="1"/>
  <c r="AX725" i="1" s="1"/>
  <c r="AW705" i="1"/>
  <c r="AV705" i="1"/>
  <c r="AV706" i="1" s="1"/>
  <c r="AV707" i="1" s="1"/>
  <c r="AV708" i="1" s="1"/>
  <c r="AV709" i="1" s="1"/>
  <c r="AV710" i="1" s="1"/>
  <c r="AV711" i="1" s="1"/>
  <c r="AU705" i="1"/>
  <c r="AT705" i="1"/>
  <c r="AT706" i="1" s="1"/>
  <c r="AT707" i="1" s="1"/>
  <c r="AT708" i="1" s="1"/>
  <c r="AT709" i="1" s="1"/>
  <c r="AT710" i="1" s="1"/>
  <c r="AT711" i="1" s="1"/>
  <c r="AT712" i="1" s="1"/>
  <c r="AT713" i="1" s="1"/>
  <c r="AT714" i="1" s="1"/>
  <c r="AT715" i="1" s="1"/>
  <c r="AT716" i="1" s="1"/>
  <c r="AT717" i="1" s="1"/>
  <c r="AT718" i="1" s="1"/>
  <c r="AT719" i="1" s="1"/>
  <c r="AT720" i="1" s="1"/>
  <c r="AT721" i="1" s="1"/>
  <c r="AT722" i="1" s="1"/>
  <c r="AT723" i="1" s="1"/>
  <c r="AT724" i="1" s="1"/>
  <c r="AT725" i="1" s="1"/>
  <c r="AS705" i="1"/>
  <c r="AR705" i="1"/>
  <c r="AK705" i="1"/>
  <c r="AF705" i="1"/>
  <c r="AF706" i="1" s="1"/>
  <c r="AF707" i="1" s="1"/>
  <c r="AF708" i="1" s="1"/>
  <c r="AF709" i="1" s="1"/>
  <c r="AF710" i="1" s="1"/>
  <c r="AF711" i="1" s="1"/>
  <c r="AF712" i="1" s="1"/>
  <c r="AF713" i="1" s="1"/>
  <c r="AF714" i="1" s="1"/>
  <c r="AF715" i="1" s="1"/>
  <c r="AF716" i="1" s="1"/>
  <c r="AF717" i="1" s="1"/>
  <c r="AF718" i="1" s="1"/>
  <c r="AF719" i="1" s="1"/>
  <c r="AF720" i="1" s="1"/>
  <c r="AF721" i="1" s="1"/>
  <c r="AF722" i="1" s="1"/>
  <c r="AF723" i="1" s="1"/>
  <c r="AF724" i="1" s="1"/>
  <c r="AE705" i="1"/>
  <c r="AE706" i="1" s="1"/>
  <c r="AE707" i="1" s="1"/>
  <c r="AB705" i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AB720" i="1" s="1"/>
  <c r="AB721" i="1" s="1"/>
  <c r="AB722" i="1" s="1"/>
  <c r="AB723" i="1" s="1"/>
  <c r="AB724" i="1" s="1"/>
  <c r="AG704" i="1"/>
  <c r="AG705" i="1" s="1"/>
  <c r="AG706" i="1" s="1"/>
  <c r="AG707" i="1" s="1"/>
  <c r="AG708" i="1" s="1"/>
  <c r="AG709" i="1" s="1"/>
  <c r="AG710" i="1" s="1"/>
  <c r="AG711" i="1" s="1"/>
  <c r="AG712" i="1" s="1"/>
  <c r="AG713" i="1" s="1"/>
  <c r="AG714" i="1" s="1"/>
  <c r="AG715" i="1" s="1"/>
  <c r="AG716" i="1" s="1"/>
  <c r="AG717" i="1" s="1"/>
  <c r="AG718" i="1" s="1"/>
  <c r="AG719" i="1" s="1"/>
  <c r="AG720" i="1" s="1"/>
  <c r="AG721" i="1" s="1"/>
  <c r="AG722" i="1" s="1"/>
  <c r="AG723" i="1" s="1"/>
  <c r="AG724" i="1" s="1"/>
  <c r="AF704" i="1"/>
  <c r="AE704" i="1"/>
  <c r="AA704" i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X703" i="1"/>
  <c r="AV703" i="1"/>
  <c r="AT703" i="1"/>
  <c r="AS703" i="1"/>
  <c r="AR703" i="1"/>
  <c r="AK703" i="1"/>
  <c r="AG703" i="1"/>
  <c r="AF703" i="1"/>
  <c r="AE703" i="1"/>
  <c r="AD703" i="1"/>
  <c r="AD704" i="1" s="1"/>
  <c r="AD705" i="1" s="1"/>
  <c r="AD706" i="1" s="1"/>
  <c r="AD707" i="1" s="1"/>
  <c r="AD708" i="1" s="1"/>
  <c r="AD709" i="1" s="1"/>
  <c r="AD710" i="1" s="1"/>
  <c r="AD711" i="1" s="1"/>
  <c r="AD712" i="1" s="1"/>
  <c r="AD713" i="1" s="1"/>
  <c r="AD714" i="1" s="1"/>
  <c r="AD715" i="1" s="1"/>
  <c r="AD716" i="1" s="1"/>
  <c r="AD717" i="1" s="1"/>
  <c r="AD718" i="1" s="1"/>
  <c r="AD719" i="1" s="1"/>
  <c r="AD720" i="1" s="1"/>
  <c r="AD721" i="1" s="1"/>
  <c r="AD722" i="1" s="1"/>
  <c r="AD723" i="1" s="1"/>
  <c r="AD724" i="1" s="1"/>
  <c r="AC703" i="1"/>
  <c r="AC704" i="1" s="1"/>
  <c r="AC705" i="1" s="1"/>
  <c r="AB703" i="1"/>
  <c r="AB704" i="1" s="1"/>
  <c r="AA703" i="1"/>
  <c r="T703" i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AX702" i="1"/>
  <c r="AW702" i="1"/>
  <c r="AW703" i="1" s="1"/>
  <c r="AV702" i="1"/>
  <c r="AU702" i="1"/>
  <c r="AU703" i="1" s="1"/>
  <c r="AT702" i="1"/>
  <c r="AS702" i="1"/>
  <c r="AR702" i="1"/>
  <c r="AK702" i="1"/>
  <c r="P702" i="1"/>
  <c r="P703" i="1" s="1"/>
  <c r="P704" i="1" s="1"/>
  <c r="P705" i="1" s="1"/>
  <c r="P706" i="1" s="1"/>
  <c r="P707" i="1" s="1"/>
  <c r="P701" i="1"/>
  <c r="L701" i="1"/>
  <c r="L702" i="1" s="1"/>
  <c r="L703" i="1" s="1"/>
  <c r="L704" i="1" s="1"/>
  <c r="L705" i="1" s="1"/>
  <c r="L706" i="1" s="1"/>
  <c r="L707" i="1" s="1"/>
  <c r="J701" i="1"/>
  <c r="J702" i="1" s="1"/>
  <c r="J703" i="1" s="1"/>
  <c r="J704" i="1" s="1"/>
  <c r="J705" i="1" s="1"/>
  <c r="J706" i="1" s="1"/>
  <c r="J707" i="1" s="1"/>
  <c r="P700" i="1"/>
  <c r="O700" i="1"/>
  <c r="O701" i="1" s="1"/>
  <c r="O702" i="1" s="1"/>
  <c r="O703" i="1" s="1"/>
  <c r="O704" i="1" s="1"/>
  <c r="O705" i="1" s="1"/>
  <c r="O706" i="1" s="1"/>
  <c r="O707" i="1" s="1"/>
  <c r="N700" i="1"/>
  <c r="N701" i="1" s="1"/>
  <c r="N702" i="1" s="1"/>
  <c r="N703" i="1" s="1"/>
  <c r="N704" i="1" s="1"/>
  <c r="N705" i="1" s="1"/>
  <c r="N706" i="1" s="1"/>
  <c r="N707" i="1" s="1"/>
  <c r="M700" i="1"/>
  <c r="M701" i="1" s="1"/>
  <c r="M702" i="1" s="1"/>
  <c r="M703" i="1" s="1"/>
  <c r="M704" i="1" s="1"/>
  <c r="M705" i="1" s="1"/>
  <c r="M706" i="1" s="1"/>
  <c r="M707" i="1" s="1"/>
  <c r="L700" i="1"/>
  <c r="K700" i="1"/>
  <c r="K701" i="1" s="1"/>
  <c r="K702" i="1" s="1"/>
  <c r="K703" i="1" s="1"/>
  <c r="K704" i="1" s="1"/>
  <c r="K705" i="1" s="1"/>
  <c r="K706" i="1" s="1"/>
  <c r="K707" i="1" s="1"/>
  <c r="J700" i="1"/>
  <c r="C700" i="1"/>
  <c r="C701" i="1" s="1"/>
  <c r="C702" i="1" s="1"/>
  <c r="C703" i="1" s="1"/>
  <c r="C704" i="1" s="1"/>
  <c r="C705" i="1" s="1"/>
  <c r="C706" i="1" s="1"/>
  <c r="C707" i="1" s="1"/>
  <c r="C698" i="1"/>
  <c r="P697" i="1"/>
  <c r="P698" i="1" s="1"/>
  <c r="O696" i="1"/>
  <c r="O697" i="1" s="1"/>
  <c r="O698" i="1" s="1"/>
  <c r="AG694" i="1"/>
  <c r="AG695" i="1" s="1"/>
  <c r="AG696" i="1" s="1"/>
  <c r="AG697" i="1" s="1"/>
  <c r="AG698" i="1" s="1"/>
  <c r="AG699" i="1" s="1"/>
  <c r="AG700" i="1" s="1"/>
  <c r="AG701" i="1" s="1"/>
  <c r="M694" i="1"/>
  <c r="M695" i="1" s="1"/>
  <c r="M696" i="1" s="1"/>
  <c r="M697" i="1" s="1"/>
  <c r="M698" i="1" s="1"/>
  <c r="K694" i="1"/>
  <c r="K695" i="1" s="1"/>
  <c r="K696" i="1" s="1"/>
  <c r="K697" i="1" s="1"/>
  <c r="K698" i="1" s="1"/>
  <c r="P693" i="1"/>
  <c r="P694" i="1" s="1"/>
  <c r="P695" i="1" s="1"/>
  <c r="P696" i="1" s="1"/>
  <c r="N693" i="1"/>
  <c r="N694" i="1" s="1"/>
  <c r="N695" i="1" s="1"/>
  <c r="N696" i="1" s="1"/>
  <c r="N697" i="1" s="1"/>
  <c r="N698" i="1" s="1"/>
  <c r="L693" i="1"/>
  <c r="L694" i="1" s="1"/>
  <c r="L695" i="1" s="1"/>
  <c r="L696" i="1" s="1"/>
  <c r="L697" i="1" s="1"/>
  <c r="L698" i="1" s="1"/>
  <c r="K693" i="1"/>
  <c r="AK692" i="1"/>
  <c r="AK693" i="1" s="1"/>
  <c r="AK694" i="1" s="1"/>
  <c r="AK695" i="1" s="1"/>
  <c r="AK696" i="1" s="1"/>
  <c r="AK697" i="1" s="1"/>
  <c r="AK698" i="1" s="1"/>
  <c r="AK699" i="1" s="1"/>
  <c r="AK700" i="1" s="1"/>
  <c r="O692" i="1"/>
  <c r="O693" i="1" s="1"/>
  <c r="O694" i="1" s="1"/>
  <c r="O695" i="1" s="1"/>
  <c r="N692" i="1"/>
  <c r="M692" i="1"/>
  <c r="M693" i="1" s="1"/>
  <c r="L692" i="1"/>
  <c r="K692" i="1"/>
  <c r="P691" i="1"/>
  <c r="P692" i="1" s="1"/>
  <c r="O691" i="1"/>
  <c r="N691" i="1"/>
  <c r="M691" i="1"/>
  <c r="L691" i="1"/>
  <c r="K691" i="1"/>
  <c r="J691" i="1"/>
  <c r="J692" i="1" s="1"/>
  <c r="J693" i="1" s="1"/>
  <c r="J694" i="1" s="1"/>
  <c r="J695" i="1" s="1"/>
  <c r="J696" i="1" s="1"/>
  <c r="J697" i="1" s="1"/>
  <c r="J698" i="1" s="1"/>
  <c r="C691" i="1"/>
  <c r="C692" i="1" s="1"/>
  <c r="C693" i="1" s="1"/>
  <c r="C694" i="1" s="1"/>
  <c r="C695" i="1" s="1"/>
  <c r="C696" i="1" s="1"/>
  <c r="C697" i="1" s="1"/>
  <c r="AW690" i="1"/>
  <c r="AW691" i="1" s="1"/>
  <c r="AW692" i="1" s="1"/>
  <c r="AW693" i="1" s="1"/>
  <c r="AW694" i="1" s="1"/>
  <c r="AW695" i="1" s="1"/>
  <c r="AW696" i="1" s="1"/>
  <c r="AW697" i="1" s="1"/>
  <c r="AW698" i="1" s="1"/>
  <c r="AW699" i="1" s="1"/>
  <c r="AW700" i="1" s="1"/>
  <c r="AC690" i="1"/>
  <c r="AC691" i="1" s="1"/>
  <c r="AC692" i="1" s="1"/>
  <c r="AC693" i="1" s="1"/>
  <c r="AC694" i="1" s="1"/>
  <c r="AC695" i="1" s="1"/>
  <c r="AC696" i="1" s="1"/>
  <c r="AC697" i="1" s="1"/>
  <c r="AC698" i="1" s="1"/>
  <c r="AC699" i="1" s="1"/>
  <c r="AC700" i="1" s="1"/>
  <c r="AC701" i="1" s="1"/>
  <c r="AX687" i="1"/>
  <c r="AX688" i="1" s="1"/>
  <c r="AX689" i="1" s="1"/>
  <c r="AX690" i="1" s="1"/>
  <c r="AX691" i="1" s="1"/>
  <c r="AX692" i="1" s="1"/>
  <c r="AX693" i="1" s="1"/>
  <c r="AX694" i="1" s="1"/>
  <c r="AX695" i="1" s="1"/>
  <c r="AX696" i="1" s="1"/>
  <c r="AX697" i="1" s="1"/>
  <c r="AX698" i="1" s="1"/>
  <c r="AX699" i="1" s="1"/>
  <c r="AX700" i="1" s="1"/>
  <c r="AJ687" i="1"/>
  <c r="AJ688" i="1" s="1"/>
  <c r="AJ689" i="1" s="1"/>
  <c r="AJ690" i="1" s="1"/>
  <c r="AJ691" i="1" s="1"/>
  <c r="AJ692" i="1" s="1"/>
  <c r="AJ693" i="1" s="1"/>
  <c r="AJ694" i="1" s="1"/>
  <c r="AJ695" i="1" s="1"/>
  <c r="AJ696" i="1" s="1"/>
  <c r="AJ697" i="1" s="1"/>
  <c r="AJ698" i="1" s="1"/>
  <c r="AJ699" i="1" s="1"/>
  <c r="AJ700" i="1" s="1"/>
  <c r="AJ701" i="1" s="1"/>
  <c r="AJ702" i="1" s="1"/>
  <c r="AJ703" i="1" s="1"/>
  <c r="AJ704" i="1" s="1"/>
  <c r="AJ705" i="1" s="1"/>
  <c r="AJ706" i="1" s="1"/>
  <c r="AJ707" i="1" s="1"/>
  <c r="AJ708" i="1" s="1"/>
  <c r="AJ709" i="1" s="1"/>
  <c r="AJ710" i="1" s="1"/>
  <c r="AJ711" i="1" s="1"/>
  <c r="AJ712" i="1" s="1"/>
  <c r="AJ713" i="1" s="1"/>
  <c r="AJ714" i="1" s="1"/>
  <c r="AJ715" i="1" s="1"/>
  <c r="AJ716" i="1" s="1"/>
  <c r="AJ717" i="1" s="1"/>
  <c r="AJ718" i="1" s="1"/>
  <c r="AJ719" i="1" s="1"/>
  <c r="AJ720" i="1" s="1"/>
  <c r="AJ721" i="1" s="1"/>
  <c r="AJ722" i="1" s="1"/>
  <c r="AJ723" i="1" s="1"/>
  <c r="AJ724" i="1" s="1"/>
  <c r="AJ725" i="1" s="1"/>
  <c r="AJ726" i="1" s="1"/>
  <c r="AJ727" i="1" s="1"/>
  <c r="AJ728" i="1" s="1"/>
  <c r="AJ729" i="1" s="1"/>
  <c r="AJ730" i="1" s="1"/>
  <c r="AJ731" i="1" s="1"/>
  <c r="AJ732" i="1" s="1"/>
  <c r="AJ733" i="1" s="1"/>
  <c r="AD687" i="1"/>
  <c r="AD688" i="1" s="1"/>
  <c r="AD689" i="1" s="1"/>
  <c r="AD690" i="1" s="1"/>
  <c r="AD691" i="1" s="1"/>
  <c r="AD692" i="1" s="1"/>
  <c r="AD693" i="1" s="1"/>
  <c r="AD694" i="1" s="1"/>
  <c r="AD695" i="1" s="1"/>
  <c r="AD696" i="1" s="1"/>
  <c r="AD697" i="1" s="1"/>
  <c r="AD698" i="1" s="1"/>
  <c r="AD699" i="1" s="1"/>
  <c r="AD700" i="1" s="1"/>
  <c r="AD701" i="1" s="1"/>
  <c r="J687" i="1"/>
  <c r="J688" i="1" s="1"/>
  <c r="J689" i="1" s="1"/>
  <c r="N686" i="1"/>
  <c r="N687" i="1" s="1"/>
  <c r="N688" i="1" s="1"/>
  <c r="N689" i="1" s="1"/>
  <c r="AU685" i="1"/>
  <c r="AU686" i="1" s="1"/>
  <c r="AU687" i="1" s="1"/>
  <c r="AU688" i="1" s="1"/>
  <c r="AU689" i="1" s="1"/>
  <c r="AU690" i="1" s="1"/>
  <c r="AU691" i="1" s="1"/>
  <c r="AU692" i="1" s="1"/>
  <c r="AU693" i="1" s="1"/>
  <c r="AU694" i="1" s="1"/>
  <c r="AU695" i="1" s="1"/>
  <c r="AU696" i="1" s="1"/>
  <c r="AU697" i="1" s="1"/>
  <c r="AU698" i="1" s="1"/>
  <c r="AU699" i="1" s="1"/>
  <c r="AU700" i="1" s="1"/>
  <c r="AS685" i="1"/>
  <c r="AS686" i="1" s="1"/>
  <c r="AS687" i="1" s="1"/>
  <c r="AS688" i="1" s="1"/>
  <c r="AS689" i="1" s="1"/>
  <c r="AS690" i="1" s="1"/>
  <c r="AS691" i="1" s="1"/>
  <c r="AS692" i="1" s="1"/>
  <c r="AS693" i="1" s="1"/>
  <c r="AS694" i="1" s="1"/>
  <c r="AS695" i="1" s="1"/>
  <c r="AS696" i="1" s="1"/>
  <c r="AS697" i="1" s="1"/>
  <c r="AS698" i="1" s="1"/>
  <c r="AS699" i="1" s="1"/>
  <c r="AS700" i="1" s="1"/>
  <c r="AK685" i="1"/>
  <c r="AK686" i="1" s="1"/>
  <c r="AK687" i="1" s="1"/>
  <c r="AK688" i="1" s="1"/>
  <c r="AK689" i="1" s="1"/>
  <c r="AK690" i="1" s="1"/>
  <c r="AK691" i="1" s="1"/>
  <c r="N685" i="1"/>
  <c r="AX684" i="1"/>
  <c r="AX685" i="1" s="1"/>
  <c r="AX686" i="1" s="1"/>
  <c r="AW684" i="1"/>
  <c r="AW685" i="1" s="1"/>
  <c r="AW686" i="1" s="1"/>
  <c r="AW687" i="1" s="1"/>
  <c r="AW688" i="1" s="1"/>
  <c r="AW689" i="1" s="1"/>
  <c r="AV684" i="1"/>
  <c r="AV685" i="1" s="1"/>
  <c r="AV686" i="1" s="1"/>
  <c r="AV687" i="1" s="1"/>
  <c r="AV688" i="1" s="1"/>
  <c r="AV689" i="1" s="1"/>
  <c r="AV690" i="1" s="1"/>
  <c r="AV691" i="1" s="1"/>
  <c r="AV692" i="1" s="1"/>
  <c r="AV693" i="1" s="1"/>
  <c r="AV694" i="1" s="1"/>
  <c r="AV695" i="1" s="1"/>
  <c r="AV696" i="1" s="1"/>
  <c r="AV697" i="1" s="1"/>
  <c r="AV698" i="1" s="1"/>
  <c r="AV699" i="1" s="1"/>
  <c r="AV700" i="1" s="1"/>
  <c r="AU684" i="1"/>
  <c r="AT684" i="1"/>
  <c r="AT685" i="1" s="1"/>
  <c r="AT686" i="1" s="1"/>
  <c r="AT687" i="1" s="1"/>
  <c r="AT688" i="1" s="1"/>
  <c r="AT689" i="1" s="1"/>
  <c r="AT690" i="1" s="1"/>
  <c r="AT691" i="1" s="1"/>
  <c r="AT692" i="1" s="1"/>
  <c r="AT693" i="1" s="1"/>
  <c r="AT694" i="1" s="1"/>
  <c r="AT695" i="1" s="1"/>
  <c r="AT696" i="1" s="1"/>
  <c r="AT697" i="1" s="1"/>
  <c r="AT698" i="1" s="1"/>
  <c r="AT699" i="1" s="1"/>
  <c r="AT700" i="1" s="1"/>
  <c r="AS684" i="1"/>
  <c r="AR684" i="1"/>
  <c r="AR685" i="1" s="1"/>
  <c r="AR686" i="1" s="1"/>
  <c r="AR687" i="1" s="1"/>
  <c r="AR688" i="1" s="1"/>
  <c r="AR689" i="1" s="1"/>
  <c r="AR690" i="1" s="1"/>
  <c r="AR691" i="1" s="1"/>
  <c r="AR692" i="1" s="1"/>
  <c r="AR693" i="1" s="1"/>
  <c r="AR694" i="1" s="1"/>
  <c r="AR695" i="1" s="1"/>
  <c r="AR696" i="1" s="1"/>
  <c r="AR697" i="1" s="1"/>
  <c r="AR698" i="1" s="1"/>
  <c r="AR699" i="1" s="1"/>
  <c r="AR700" i="1" s="1"/>
  <c r="AK684" i="1"/>
  <c r="AD684" i="1"/>
  <c r="AD685" i="1" s="1"/>
  <c r="AD686" i="1" s="1"/>
  <c r="AC684" i="1"/>
  <c r="AC685" i="1" s="1"/>
  <c r="AC686" i="1" s="1"/>
  <c r="AC687" i="1" s="1"/>
  <c r="AC688" i="1" s="1"/>
  <c r="AC689" i="1" s="1"/>
  <c r="N684" i="1"/>
  <c r="J684" i="1"/>
  <c r="J685" i="1" s="1"/>
  <c r="J686" i="1" s="1"/>
  <c r="C684" i="1"/>
  <c r="C685" i="1" s="1"/>
  <c r="C686" i="1" s="1"/>
  <c r="C687" i="1" s="1"/>
  <c r="C688" i="1" s="1"/>
  <c r="C689" i="1" s="1"/>
  <c r="AG683" i="1"/>
  <c r="AG684" i="1" s="1"/>
  <c r="AG685" i="1" s="1"/>
  <c r="AG686" i="1" s="1"/>
  <c r="AG687" i="1" s="1"/>
  <c r="AG688" i="1" s="1"/>
  <c r="AG689" i="1" s="1"/>
  <c r="AG690" i="1" s="1"/>
  <c r="AG691" i="1" s="1"/>
  <c r="AG692" i="1" s="1"/>
  <c r="AG693" i="1" s="1"/>
  <c r="AF683" i="1"/>
  <c r="AF684" i="1" s="1"/>
  <c r="AF685" i="1" s="1"/>
  <c r="AF686" i="1" s="1"/>
  <c r="AF687" i="1" s="1"/>
  <c r="AF688" i="1" s="1"/>
  <c r="AF689" i="1" s="1"/>
  <c r="AF690" i="1" s="1"/>
  <c r="AF691" i="1" s="1"/>
  <c r="AF692" i="1" s="1"/>
  <c r="AF693" i="1" s="1"/>
  <c r="AF694" i="1" s="1"/>
  <c r="AF695" i="1" s="1"/>
  <c r="AF696" i="1" s="1"/>
  <c r="AF697" i="1" s="1"/>
  <c r="AF698" i="1" s="1"/>
  <c r="AF699" i="1" s="1"/>
  <c r="AF700" i="1" s="1"/>
  <c r="AF701" i="1" s="1"/>
  <c r="AE683" i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D683" i="1"/>
  <c r="AC683" i="1"/>
  <c r="S683" i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P683" i="1"/>
  <c r="P684" i="1" s="1"/>
  <c r="P685" i="1" s="1"/>
  <c r="P686" i="1" s="1"/>
  <c r="P687" i="1" s="1"/>
  <c r="P688" i="1" s="1"/>
  <c r="P689" i="1" s="1"/>
  <c r="O683" i="1"/>
  <c r="O684" i="1" s="1"/>
  <c r="O685" i="1" s="1"/>
  <c r="O686" i="1" s="1"/>
  <c r="O687" i="1" s="1"/>
  <c r="O688" i="1" s="1"/>
  <c r="O689" i="1" s="1"/>
  <c r="N683" i="1"/>
  <c r="M683" i="1"/>
  <c r="M684" i="1" s="1"/>
  <c r="M685" i="1" s="1"/>
  <c r="M686" i="1" s="1"/>
  <c r="M687" i="1" s="1"/>
  <c r="M688" i="1" s="1"/>
  <c r="M689" i="1" s="1"/>
  <c r="L683" i="1"/>
  <c r="L684" i="1" s="1"/>
  <c r="L685" i="1" s="1"/>
  <c r="L686" i="1" s="1"/>
  <c r="L687" i="1" s="1"/>
  <c r="L688" i="1" s="1"/>
  <c r="L689" i="1" s="1"/>
  <c r="K683" i="1"/>
  <c r="K684" i="1" s="1"/>
  <c r="K685" i="1" s="1"/>
  <c r="K686" i="1" s="1"/>
  <c r="K687" i="1" s="1"/>
  <c r="K688" i="1" s="1"/>
  <c r="K689" i="1" s="1"/>
  <c r="J683" i="1"/>
  <c r="C683" i="1"/>
  <c r="AG682" i="1"/>
  <c r="AF682" i="1"/>
  <c r="AE682" i="1"/>
  <c r="AD682" i="1"/>
  <c r="AC682" i="1"/>
  <c r="AB682" i="1"/>
  <c r="AB683" i="1" s="1"/>
  <c r="AB684" i="1" s="1"/>
  <c r="AB685" i="1" s="1"/>
  <c r="AB686" i="1" s="1"/>
  <c r="AB687" i="1" s="1"/>
  <c r="AB688" i="1" s="1"/>
  <c r="AB689" i="1" s="1"/>
  <c r="AB690" i="1" s="1"/>
  <c r="AB691" i="1" s="1"/>
  <c r="AB692" i="1" s="1"/>
  <c r="AB693" i="1" s="1"/>
  <c r="AB694" i="1" s="1"/>
  <c r="AB695" i="1" s="1"/>
  <c r="AB696" i="1" s="1"/>
  <c r="AB697" i="1" s="1"/>
  <c r="AB698" i="1" s="1"/>
  <c r="AB699" i="1" s="1"/>
  <c r="AB700" i="1" s="1"/>
  <c r="AB701" i="1" s="1"/>
  <c r="AA682" i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T682" i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S682" i="1"/>
  <c r="AU680" i="1"/>
  <c r="AU681" i="1" s="1"/>
  <c r="AU682" i="1" s="1"/>
  <c r="J679" i="1"/>
  <c r="J680" i="1" s="1"/>
  <c r="J681" i="1" s="1"/>
  <c r="AK678" i="1"/>
  <c r="AK679" i="1" s="1"/>
  <c r="AK680" i="1" s="1"/>
  <c r="AK681" i="1" s="1"/>
  <c r="AK682" i="1" s="1"/>
  <c r="J678" i="1"/>
  <c r="P676" i="1"/>
  <c r="P677" i="1" s="1"/>
  <c r="P678" i="1" s="1"/>
  <c r="P679" i="1" s="1"/>
  <c r="P680" i="1" s="1"/>
  <c r="P681" i="1" s="1"/>
  <c r="AX675" i="1"/>
  <c r="AX676" i="1" s="1"/>
  <c r="AX677" i="1" s="1"/>
  <c r="AX678" i="1" s="1"/>
  <c r="AX679" i="1" s="1"/>
  <c r="AX680" i="1" s="1"/>
  <c r="AX681" i="1" s="1"/>
  <c r="AX682" i="1" s="1"/>
  <c r="AT675" i="1"/>
  <c r="AT676" i="1" s="1"/>
  <c r="AT677" i="1" s="1"/>
  <c r="AT678" i="1" s="1"/>
  <c r="AT679" i="1" s="1"/>
  <c r="AT680" i="1" s="1"/>
  <c r="AT681" i="1" s="1"/>
  <c r="AT682" i="1" s="1"/>
  <c r="L675" i="1"/>
  <c r="L676" i="1" s="1"/>
  <c r="L677" i="1" s="1"/>
  <c r="L678" i="1" s="1"/>
  <c r="L679" i="1" s="1"/>
  <c r="L680" i="1" s="1"/>
  <c r="L681" i="1" s="1"/>
  <c r="K675" i="1"/>
  <c r="K676" i="1" s="1"/>
  <c r="K677" i="1" s="1"/>
  <c r="K678" i="1" s="1"/>
  <c r="K679" i="1" s="1"/>
  <c r="K680" i="1" s="1"/>
  <c r="K681" i="1" s="1"/>
  <c r="J675" i="1"/>
  <c r="J676" i="1" s="1"/>
  <c r="J677" i="1" s="1"/>
  <c r="O674" i="1"/>
  <c r="O675" i="1" s="1"/>
  <c r="O676" i="1" s="1"/>
  <c r="O677" i="1" s="1"/>
  <c r="O678" i="1" s="1"/>
  <c r="O679" i="1" s="1"/>
  <c r="O680" i="1" s="1"/>
  <c r="O681" i="1" s="1"/>
  <c r="N674" i="1"/>
  <c r="N675" i="1" s="1"/>
  <c r="N676" i="1" s="1"/>
  <c r="N677" i="1" s="1"/>
  <c r="N678" i="1" s="1"/>
  <c r="N679" i="1" s="1"/>
  <c r="N680" i="1" s="1"/>
  <c r="N681" i="1" s="1"/>
  <c r="K674" i="1"/>
  <c r="J674" i="1"/>
  <c r="C674" i="1"/>
  <c r="C675" i="1" s="1"/>
  <c r="C676" i="1" s="1"/>
  <c r="C677" i="1" s="1"/>
  <c r="C678" i="1" s="1"/>
  <c r="C679" i="1" s="1"/>
  <c r="C680" i="1" s="1"/>
  <c r="C681" i="1" s="1"/>
  <c r="AT673" i="1"/>
  <c r="AT674" i="1" s="1"/>
  <c r="P673" i="1"/>
  <c r="P674" i="1" s="1"/>
  <c r="P675" i="1" s="1"/>
  <c r="O673" i="1"/>
  <c r="N673" i="1"/>
  <c r="M673" i="1"/>
  <c r="M674" i="1" s="1"/>
  <c r="M675" i="1" s="1"/>
  <c r="M676" i="1" s="1"/>
  <c r="M677" i="1" s="1"/>
  <c r="M678" i="1" s="1"/>
  <c r="M679" i="1" s="1"/>
  <c r="M680" i="1" s="1"/>
  <c r="M681" i="1" s="1"/>
  <c r="L673" i="1"/>
  <c r="L674" i="1" s="1"/>
  <c r="K673" i="1"/>
  <c r="J673" i="1"/>
  <c r="C673" i="1"/>
  <c r="AW672" i="1"/>
  <c r="AW673" i="1" s="1"/>
  <c r="AW674" i="1" s="1"/>
  <c r="AW675" i="1" s="1"/>
  <c r="AW676" i="1" s="1"/>
  <c r="AW677" i="1" s="1"/>
  <c r="AW678" i="1" s="1"/>
  <c r="AW679" i="1" s="1"/>
  <c r="AW680" i="1" s="1"/>
  <c r="AW681" i="1" s="1"/>
  <c r="AW682" i="1" s="1"/>
  <c r="AU672" i="1"/>
  <c r="AU673" i="1" s="1"/>
  <c r="AU674" i="1" s="1"/>
  <c r="AU675" i="1" s="1"/>
  <c r="AU676" i="1" s="1"/>
  <c r="AU677" i="1" s="1"/>
  <c r="AU678" i="1" s="1"/>
  <c r="AU679" i="1" s="1"/>
  <c r="AT672" i="1"/>
  <c r="AS672" i="1"/>
  <c r="AS673" i="1" s="1"/>
  <c r="AS674" i="1" s="1"/>
  <c r="AS675" i="1" s="1"/>
  <c r="AS676" i="1" s="1"/>
  <c r="AS677" i="1" s="1"/>
  <c r="AS678" i="1" s="1"/>
  <c r="AS679" i="1" s="1"/>
  <c r="AS680" i="1" s="1"/>
  <c r="AS681" i="1" s="1"/>
  <c r="AS682" i="1" s="1"/>
  <c r="AX671" i="1"/>
  <c r="AX672" i="1" s="1"/>
  <c r="AX673" i="1" s="1"/>
  <c r="AX674" i="1" s="1"/>
  <c r="AW671" i="1"/>
  <c r="AV671" i="1"/>
  <c r="AV672" i="1" s="1"/>
  <c r="AV673" i="1" s="1"/>
  <c r="AV674" i="1" s="1"/>
  <c r="AV675" i="1" s="1"/>
  <c r="AV676" i="1" s="1"/>
  <c r="AV677" i="1" s="1"/>
  <c r="AV678" i="1" s="1"/>
  <c r="AV679" i="1" s="1"/>
  <c r="AV680" i="1" s="1"/>
  <c r="AV681" i="1" s="1"/>
  <c r="AV682" i="1" s="1"/>
  <c r="AU671" i="1"/>
  <c r="AT671" i="1"/>
  <c r="AS671" i="1"/>
  <c r="AR671" i="1"/>
  <c r="AR672" i="1" s="1"/>
  <c r="AR673" i="1" s="1"/>
  <c r="AR674" i="1" s="1"/>
  <c r="AR675" i="1" s="1"/>
  <c r="AR676" i="1" s="1"/>
  <c r="AR677" i="1" s="1"/>
  <c r="AR678" i="1" s="1"/>
  <c r="AR679" i="1" s="1"/>
  <c r="AR680" i="1" s="1"/>
  <c r="AR681" i="1" s="1"/>
  <c r="AR682" i="1" s="1"/>
  <c r="AK671" i="1"/>
  <c r="AK672" i="1" s="1"/>
  <c r="AK673" i="1" s="1"/>
  <c r="AK674" i="1" s="1"/>
  <c r="AK675" i="1" s="1"/>
  <c r="AK676" i="1" s="1"/>
  <c r="AK677" i="1" s="1"/>
  <c r="N671" i="1"/>
  <c r="AB669" i="1"/>
  <c r="AB670" i="1" s="1"/>
  <c r="AB671" i="1" s="1"/>
  <c r="AB672" i="1" s="1"/>
  <c r="AB673" i="1" s="1"/>
  <c r="AB674" i="1" s="1"/>
  <c r="AB675" i="1" s="1"/>
  <c r="AB676" i="1" s="1"/>
  <c r="AB677" i="1" s="1"/>
  <c r="AB678" i="1" s="1"/>
  <c r="AB679" i="1" s="1"/>
  <c r="AB680" i="1" s="1"/>
  <c r="T667" i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O667" i="1"/>
  <c r="O668" i="1" s="1"/>
  <c r="O669" i="1" s="1"/>
  <c r="O670" i="1" s="1"/>
  <c r="O671" i="1" s="1"/>
  <c r="AA666" i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T666" i="1"/>
  <c r="O666" i="1"/>
  <c r="AF665" i="1"/>
  <c r="AF666" i="1" s="1"/>
  <c r="AF667" i="1" s="1"/>
  <c r="AF668" i="1" s="1"/>
  <c r="AF669" i="1" s="1"/>
  <c r="AF670" i="1" s="1"/>
  <c r="AF671" i="1" s="1"/>
  <c r="AF672" i="1" s="1"/>
  <c r="AF673" i="1" s="1"/>
  <c r="AF674" i="1" s="1"/>
  <c r="AF675" i="1" s="1"/>
  <c r="AF676" i="1" s="1"/>
  <c r="AF677" i="1" s="1"/>
  <c r="AF678" i="1" s="1"/>
  <c r="AF679" i="1" s="1"/>
  <c r="AF680" i="1" s="1"/>
  <c r="AB665" i="1"/>
  <c r="AB666" i="1" s="1"/>
  <c r="AB667" i="1" s="1"/>
  <c r="AB668" i="1" s="1"/>
  <c r="AA665" i="1"/>
  <c r="T665" i="1"/>
  <c r="AG664" i="1"/>
  <c r="AG665" i="1" s="1"/>
  <c r="AG666" i="1" s="1"/>
  <c r="AG667" i="1" s="1"/>
  <c r="AG668" i="1" s="1"/>
  <c r="AG669" i="1" s="1"/>
  <c r="AG670" i="1" s="1"/>
  <c r="AG671" i="1" s="1"/>
  <c r="AG672" i="1" s="1"/>
  <c r="AG673" i="1" s="1"/>
  <c r="AG674" i="1" s="1"/>
  <c r="AG675" i="1" s="1"/>
  <c r="AG676" i="1" s="1"/>
  <c r="AG677" i="1" s="1"/>
  <c r="AG678" i="1" s="1"/>
  <c r="AG679" i="1" s="1"/>
  <c r="AG680" i="1" s="1"/>
  <c r="AF664" i="1"/>
  <c r="AE664" i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D664" i="1"/>
  <c r="AD665" i="1" s="1"/>
  <c r="AD666" i="1" s="1"/>
  <c r="AD667" i="1" s="1"/>
  <c r="AD668" i="1" s="1"/>
  <c r="AD669" i="1" s="1"/>
  <c r="AD670" i="1" s="1"/>
  <c r="AD671" i="1" s="1"/>
  <c r="AD672" i="1" s="1"/>
  <c r="AD673" i="1" s="1"/>
  <c r="AD674" i="1" s="1"/>
  <c r="AD675" i="1" s="1"/>
  <c r="AD676" i="1" s="1"/>
  <c r="AD677" i="1" s="1"/>
  <c r="AD678" i="1" s="1"/>
  <c r="AD679" i="1" s="1"/>
  <c r="AD680" i="1" s="1"/>
  <c r="AC664" i="1"/>
  <c r="AC665" i="1" s="1"/>
  <c r="AC666" i="1" s="1"/>
  <c r="AC667" i="1" s="1"/>
  <c r="AC668" i="1" s="1"/>
  <c r="AC669" i="1" s="1"/>
  <c r="AC670" i="1" s="1"/>
  <c r="AC671" i="1" s="1"/>
  <c r="AC672" i="1" s="1"/>
  <c r="AC673" i="1" s="1"/>
  <c r="AC674" i="1" s="1"/>
  <c r="AC675" i="1" s="1"/>
  <c r="AC676" i="1" s="1"/>
  <c r="AC677" i="1" s="1"/>
  <c r="AC678" i="1" s="1"/>
  <c r="AC679" i="1" s="1"/>
  <c r="AC680" i="1" s="1"/>
  <c r="AB664" i="1"/>
  <c r="AA664" i="1"/>
  <c r="T664" i="1"/>
  <c r="O664" i="1"/>
  <c r="O665" i="1" s="1"/>
  <c r="M664" i="1"/>
  <c r="M665" i="1" s="1"/>
  <c r="M666" i="1" s="1"/>
  <c r="M667" i="1" s="1"/>
  <c r="M668" i="1" s="1"/>
  <c r="M669" i="1" s="1"/>
  <c r="M670" i="1" s="1"/>
  <c r="M671" i="1" s="1"/>
  <c r="L664" i="1"/>
  <c r="L665" i="1" s="1"/>
  <c r="L666" i="1" s="1"/>
  <c r="L667" i="1" s="1"/>
  <c r="L668" i="1" s="1"/>
  <c r="L669" i="1" s="1"/>
  <c r="L670" i="1" s="1"/>
  <c r="L671" i="1" s="1"/>
  <c r="J664" i="1"/>
  <c r="J665" i="1" s="1"/>
  <c r="J666" i="1" s="1"/>
  <c r="J667" i="1" s="1"/>
  <c r="J668" i="1" s="1"/>
  <c r="J669" i="1" s="1"/>
  <c r="J670" i="1" s="1"/>
  <c r="J671" i="1" s="1"/>
  <c r="C664" i="1"/>
  <c r="C665" i="1" s="1"/>
  <c r="C666" i="1" s="1"/>
  <c r="C667" i="1" s="1"/>
  <c r="C668" i="1" s="1"/>
  <c r="C669" i="1" s="1"/>
  <c r="C670" i="1" s="1"/>
  <c r="C671" i="1" s="1"/>
  <c r="P663" i="1"/>
  <c r="P664" i="1" s="1"/>
  <c r="P665" i="1" s="1"/>
  <c r="P666" i="1" s="1"/>
  <c r="P667" i="1" s="1"/>
  <c r="P668" i="1" s="1"/>
  <c r="P669" i="1" s="1"/>
  <c r="P670" i="1" s="1"/>
  <c r="P671" i="1" s="1"/>
  <c r="O663" i="1"/>
  <c r="N663" i="1"/>
  <c r="N664" i="1" s="1"/>
  <c r="N665" i="1" s="1"/>
  <c r="N666" i="1" s="1"/>
  <c r="N667" i="1" s="1"/>
  <c r="N668" i="1" s="1"/>
  <c r="N669" i="1" s="1"/>
  <c r="N670" i="1" s="1"/>
  <c r="M663" i="1"/>
  <c r="L663" i="1"/>
  <c r="K663" i="1"/>
  <c r="K664" i="1" s="1"/>
  <c r="K665" i="1" s="1"/>
  <c r="K666" i="1" s="1"/>
  <c r="K667" i="1" s="1"/>
  <c r="K668" i="1" s="1"/>
  <c r="K669" i="1" s="1"/>
  <c r="K670" i="1" s="1"/>
  <c r="K671" i="1" s="1"/>
  <c r="J663" i="1"/>
  <c r="C663" i="1"/>
  <c r="AR661" i="1"/>
  <c r="AR662" i="1" s="1"/>
  <c r="AR663" i="1" s="1"/>
  <c r="AR664" i="1" s="1"/>
  <c r="AR665" i="1" s="1"/>
  <c r="AR666" i="1" s="1"/>
  <c r="AR667" i="1" s="1"/>
  <c r="AR668" i="1" s="1"/>
  <c r="AR669" i="1" s="1"/>
  <c r="P661" i="1"/>
  <c r="L661" i="1"/>
  <c r="AS660" i="1"/>
  <c r="AS661" i="1" s="1"/>
  <c r="AS662" i="1" s="1"/>
  <c r="AS663" i="1" s="1"/>
  <c r="AS664" i="1" s="1"/>
  <c r="AS665" i="1" s="1"/>
  <c r="AS666" i="1" s="1"/>
  <c r="AS667" i="1" s="1"/>
  <c r="AS668" i="1" s="1"/>
  <c r="AS669" i="1" s="1"/>
  <c r="L660" i="1"/>
  <c r="AV659" i="1"/>
  <c r="AV660" i="1" s="1"/>
  <c r="AV661" i="1" s="1"/>
  <c r="AV662" i="1" s="1"/>
  <c r="AV663" i="1" s="1"/>
  <c r="AV664" i="1" s="1"/>
  <c r="AV665" i="1" s="1"/>
  <c r="AV666" i="1" s="1"/>
  <c r="AV667" i="1" s="1"/>
  <c r="AV668" i="1" s="1"/>
  <c r="AV669" i="1" s="1"/>
  <c r="J659" i="1"/>
  <c r="J660" i="1" s="1"/>
  <c r="J661" i="1" s="1"/>
  <c r="AV658" i="1"/>
  <c r="AT658" i="1"/>
  <c r="AT659" i="1" s="1"/>
  <c r="AT660" i="1" s="1"/>
  <c r="AT661" i="1" s="1"/>
  <c r="AT662" i="1" s="1"/>
  <c r="AT663" i="1" s="1"/>
  <c r="AT664" i="1" s="1"/>
  <c r="AT665" i="1" s="1"/>
  <c r="AT666" i="1" s="1"/>
  <c r="AT667" i="1" s="1"/>
  <c r="AT668" i="1" s="1"/>
  <c r="AT669" i="1" s="1"/>
  <c r="M658" i="1"/>
  <c r="M659" i="1" s="1"/>
  <c r="M660" i="1" s="1"/>
  <c r="M661" i="1" s="1"/>
  <c r="K658" i="1"/>
  <c r="K659" i="1" s="1"/>
  <c r="K660" i="1" s="1"/>
  <c r="K661" i="1" s="1"/>
  <c r="J658" i="1"/>
  <c r="C658" i="1"/>
  <c r="C659" i="1" s="1"/>
  <c r="C660" i="1" s="1"/>
  <c r="C661" i="1" s="1"/>
  <c r="AV657" i="1"/>
  <c r="AR657" i="1"/>
  <c r="AR658" i="1" s="1"/>
  <c r="AR659" i="1" s="1"/>
  <c r="AR660" i="1" s="1"/>
  <c r="P657" i="1"/>
  <c r="P658" i="1" s="1"/>
  <c r="P659" i="1" s="1"/>
  <c r="P660" i="1" s="1"/>
  <c r="O657" i="1"/>
  <c r="O658" i="1" s="1"/>
  <c r="O659" i="1" s="1"/>
  <c r="O660" i="1" s="1"/>
  <c r="O661" i="1" s="1"/>
  <c r="N657" i="1"/>
  <c r="N658" i="1" s="1"/>
  <c r="N659" i="1" s="1"/>
  <c r="N660" i="1" s="1"/>
  <c r="N661" i="1" s="1"/>
  <c r="M657" i="1"/>
  <c r="L657" i="1"/>
  <c r="L658" i="1" s="1"/>
  <c r="L659" i="1" s="1"/>
  <c r="K657" i="1"/>
  <c r="J657" i="1"/>
  <c r="C657" i="1"/>
  <c r="AV656" i="1"/>
  <c r="AU656" i="1"/>
  <c r="AU657" i="1" s="1"/>
  <c r="AU658" i="1" s="1"/>
  <c r="AU659" i="1" s="1"/>
  <c r="AU660" i="1" s="1"/>
  <c r="AU661" i="1" s="1"/>
  <c r="AU662" i="1" s="1"/>
  <c r="AU663" i="1" s="1"/>
  <c r="AU664" i="1" s="1"/>
  <c r="AU665" i="1" s="1"/>
  <c r="AU666" i="1" s="1"/>
  <c r="AU667" i="1" s="1"/>
  <c r="AU668" i="1" s="1"/>
  <c r="AU669" i="1" s="1"/>
  <c r="AT656" i="1"/>
  <c r="AT657" i="1" s="1"/>
  <c r="AS656" i="1"/>
  <c r="AS657" i="1" s="1"/>
  <c r="AS658" i="1" s="1"/>
  <c r="AS659" i="1" s="1"/>
  <c r="AR656" i="1"/>
  <c r="AK656" i="1"/>
  <c r="AK657" i="1" s="1"/>
  <c r="AK658" i="1" s="1"/>
  <c r="AK659" i="1" s="1"/>
  <c r="AK660" i="1" s="1"/>
  <c r="AK661" i="1" s="1"/>
  <c r="AK662" i="1" s="1"/>
  <c r="AK663" i="1" s="1"/>
  <c r="AK664" i="1" s="1"/>
  <c r="AK665" i="1" s="1"/>
  <c r="AK666" i="1" s="1"/>
  <c r="AK667" i="1" s="1"/>
  <c r="AK668" i="1" s="1"/>
  <c r="AK669" i="1" s="1"/>
  <c r="AX655" i="1"/>
  <c r="AX656" i="1" s="1"/>
  <c r="AX657" i="1" s="1"/>
  <c r="AX658" i="1" s="1"/>
  <c r="AX659" i="1" s="1"/>
  <c r="AX660" i="1" s="1"/>
  <c r="AX661" i="1" s="1"/>
  <c r="AX662" i="1" s="1"/>
  <c r="AX663" i="1" s="1"/>
  <c r="AX664" i="1" s="1"/>
  <c r="AX665" i="1" s="1"/>
  <c r="AX666" i="1" s="1"/>
  <c r="AX667" i="1" s="1"/>
  <c r="AX668" i="1" s="1"/>
  <c r="AX669" i="1" s="1"/>
  <c r="AW655" i="1"/>
  <c r="AW656" i="1" s="1"/>
  <c r="AW657" i="1" s="1"/>
  <c r="AW658" i="1" s="1"/>
  <c r="AW659" i="1" s="1"/>
  <c r="AW660" i="1" s="1"/>
  <c r="AW661" i="1" s="1"/>
  <c r="AW662" i="1" s="1"/>
  <c r="AW663" i="1" s="1"/>
  <c r="AW664" i="1" s="1"/>
  <c r="AW665" i="1" s="1"/>
  <c r="AW666" i="1" s="1"/>
  <c r="AW667" i="1" s="1"/>
  <c r="AW668" i="1" s="1"/>
  <c r="AW669" i="1" s="1"/>
  <c r="AV655" i="1"/>
  <c r="AU655" i="1"/>
  <c r="AT655" i="1"/>
  <c r="AS655" i="1"/>
  <c r="AR655" i="1"/>
  <c r="AK655" i="1"/>
  <c r="P655" i="1"/>
  <c r="O655" i="1"/>
  <c r="N655" i="1"/>
  <c r="M655" i="1"/>
  <c r="L655" i="1"/>
  <c r="K655" i="1"/>
  <c r="J655" i="1"/>
  <c r="C655" i="1"/>
  <c r="B654" i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AD650" i="1"/>
  <c r="AD651" i="1" s="1"/>
  <c r="AD652" i="1" s="1"/>
  <c r="AD653" i="1" s="1"/>
  <c r="AD654" i="1" s="1"/>
  <c r="AD655" i="1" s="1"/>
  <c r="AD656" i="1" s="1"/>
  <c r="AD657" i="1" s="1"/>
  <c r="AD658" i="1" s="1"/>
  <c r="AD659" i="1" s="1"/>
  <c r="AD660" i="1" s="1"/>
  <c r="AD661" i="1" s="1"/>
  <c r="AD662" i="1" s="1"/>
  <c r="P648" i="1"/>
  <c r="P649" i="1" s="1"/>
  <c r="P650" i="1" s="1"/>
  <c r="P651" i="1" s="1"/>
  <c r="P652" i="1" s="1"/>
  <c r="P653" i="1" s="1"/>
  <c r="AC647" i="1"/>
  <c r="AC648" i="1" s="1"/>
  <c r="AC649" i="1" s="1"/>
  <c r="AC650" i="1" s="1"/>
  <c r="AC651" i="1" s="1"/>
  <c r="AC652" i="1" s="1"/>
  <c r="AC653" i="1" s="1"/>
  <c r="AC654" i="1" s="1"/>
  <c r="AC655" i="1" s="1"/>
  <c r="AC656" i="1" s="1"/>
  <c r="AC657" i="1" s="1"/>
  <c r="AC658" i="1" s="1"/>
  <c r="AC659" i="1" s="1"/>
  <c r="AC660" i="1" s="1"/>
  <c r="AC661" i="1" s="1"/>
  <c r="AC662" i="1" s="1"/>
  <c r="AA647" i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T647" i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P647" i="1"/>
  <c r="N647" i="1"/>
  <c r="N648" i="1" s="1"/>
  <c r="N649" i="1" s="1"/>
  <c r="N650" i="1" s="1"/>
  <c r="N651" i="1" s="1"/>
  <c r="N652" i="1" s="1"/>
  <c r="N653" i="1" s="1"/>
  <c r="AF646" i="1"/>
  <c r="AF647" i="1" s="1"/>
  <c r="AF648" i="1" s="1"/>
  <c r="AF649" i="1" s="1"/>
  <c r="AF650" i="1" s="1"/>
  <c r="AF651" i="1" s="1"/>
  <c r="AF652" i="1" s="1"/>
  <c r="AF653" i="1" s="1"/>
  <c r="AF654" i="1" s="1"/>
  <c r="AF655" i="1" s="1"/>
  <c r="AF656" i="1" s="1"/>
  <c r="AF657" i="1" s="1"/>
  <c r="AF658" i="1" s="1"/>
  <c r="AF659" i="1" s="1"/>
  <c r="AF660" i="1" s="1"/>
  <c r="AF661" i="1" s="1"/>
  <c r="AF662" i="1" s="1"/>
  <c r="AD646" i="1"/>
  <c r="AD647" i="1" s="1"/>
  <c r="AD648" i="1" s="1"/>
  <c r="AD649" i="1" s="1"/>
  <c r="AC646" i="1"/>
  <c r="AB646" i="1"/>
  <c r="AB647" i="1" s="1"/>
  <c r="AB648" i="1" s="1"/>
  <c r="AB649" i="1" s="1"/>
  <c r="AB650" i="1" s="1"/>
  <c r="AB651" i="1" s="1"/>
  <c r="AB652" i="1" s="1"/>
  <c r="AB653" i="1" s="1"/>
  <c r="AB654" i="1" s="1"/>
  <c r="AB655" i="1" s="1"/>
  <c r="AB656" i="1" s="1"/>
  <c r="AB657" i="1" s="1"/>
  <c r="AB658" i="1" s="1"/>
  <c r="AB659" i="1" s="1"/>
  <c r="AB660" i="1" s="1"/>
  <c r="AB661" i="1" s="1"/>
  <c r="AB662" i="1" s="1"/>
  <c r="AA646" i="1"/>
  <c r="P646" i="1"/>
  <c r="K646" i="1"/>
  <c r="K647" i="1" s="1"/>
  <c r="K648" i="1" s="1"/>
  <c r="K649" i="1" s="1"/>
  <c r="K650" i="1" s="1"/>
  <c r="K651" i="1" s="1"/>
  <c r="K652" i="1" s="1"/>
  <c r="K653" i="1" s="1"/>
  <c r="AG645" i="1"/>
  <c r="AG646" i="1" s="1"/>
  <c r="AG647" i="1" s="1"/>
  <c r="AG648" i="1" s="1"/>
  <c r="AG649" i="1" s="1"/>
  <c r="AG650" i="1" s="1"/>
  <c r="AG651" i="1" s="1"/>
  <c r="AG652" i="1" s="1"/>
  <c r="AG653" i="1" s="1"/>
  <c r="AG654" i="1" s="1"/>
  <c r="AG655" i="1" s="1"/>
  <c r="AG656" i="1" s="1"/>
  <c r="AG657" i="1" s="1"/>
  <c r="AG658" i="1" s="1"/>
  <c r="AG659" i="1" s="1"/>
  <c r="AG660" i="1" s="1"/>
  <c r="AG661" i="1" s="1"/>
  <c r="AG662" i="1" s="1"/>
  <c r="AF645" i="1"/>
  <c r="AE645" i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D645" i="1"/>
  <c r="AC645" i="1"/>
  <c r="AB645" i="1"/>
  <c r="AA645" i="1"/>
  <c r="T645" i="1"/>
  <c r="T646" i="1" s="1"/>
  <c r="P645" i="1"/>
  <c r="N645" i="1"/>
  <c r="N646" i="1" s="1"/>
  <c r="M645" i="1"/>
  <c r="M646" i="1" s="1"/>
  <c r="M647" i="1" s="1"/>
  <c r="M648" i="1" s="1"/>
  <c r="M649" i="1" s="1"/>
  <c r="M650" i="1" s="1"/>
  <c r="M651" i="1" s="1"/>
  <c r="M652" i="1" s="1"/>
  <c r="M653" i="1" s="1"/>
  <c r="L645" i="1"/>
  <c r="L646" i="1" s="1"/>
  <c r="L647" i="1" s="1"/>
  <c r="L648" i="1" s="1"/>
  <c r="L649" i="1" s="1"/>
  <c r="L650" i="1" s="1"/>
  <c r="L651" i="1" s="1"/>
  <c r="L652" i="1" s="1"/>
  <c r="L653" i="1" s="1"/>
  <c r="K645" i="1"/>
  <c r="P644" i="1"/>
  <c r="O644" i="1"/>
  <c r="O645" i="1" s="1"/>
  <c r="O646" i="1" s="1"/>
  <c r="O647" i="1" s="1"/>
  <c r="O648" i="1" s="1"/>
  <c r="O649" i="1" s="1"/>
  <c r="O650" i="1" s="1"/>
  <c r="O651" i="1" s="1"/>
  <c r="O652" i="1" s="1"/>
  <c r="O653" i="1" s="1"/>
  <c r="N644" i="1"/>
  <c r="M644" i="1"/>
  <c r="L644" i="1"/>
  <c r="K644" i="1"/>
  <c r="J644" i="1"/>
  <c r="J645" i="1" s="1"/>
  <c r="J646" i="1" s="1"/>
  <c r="J647" i="1" s="1"/>
  <c r="J648" i="1" s="1"/>
  <c r="J649" i="1" s="1"/>
  <c r="J650" i="1" s="1"/>
  <c r="J651" i="1" s="1"/>
  <c r="J652" i="1" s="1"/>
  <c r="J653" i="1" s="1"/>
  <c r="C644" i="1"/>
  <c r="C645" i="1" s="1"/>
  <c r="C646" i="1" s="1"/>
  <c r="C647" i="1" s="1"/>
  <c r="C648" i="1" s="1"/>
  <c r="C649" i="1" s="1"/>
  <c r="C650" i="1" s="1"/>
  <c r="C651" i="1" s="1"/>
  <c r="C652" i="1" s="1"/>
  <c r="C653" i="1" s="1"/>
  <c r="AG643" i="1"/>
  <c r="AF643" i="1"/>
  <c r="AC643" i="1"/>
  <c r="T643" i="1"/>
  <c r="AG642" i="1"/>
  <c r="AF642" i="1"/>
  <c r="T642" i="1"/>
  <c r="AG641" i="1"/>
  <c r="AF641" i="1"/>
  <c r="AE641" i="1"/>
  <c r="AE642" i="1" s="1"/>
  <c r="AE643" i="1" s="1"/>
  <c r="AD641" i="1"/>
  <c r="AD642" i="1" s="1"/>
  <c r="AD643" i="1" s="1"/>
  <c r="AC641" i="1"/>
  <c r="AC642" i="1" s="1"/>
  <c r="AB641" i="1"/>
  <c r="AB642" i="1" s="1"/>
  <c r="AB643" i="1" s="1"/>
  <c r="AA641" i="1"/>
  <c r="AA642" i="1" s="1"/>
  <c r="AA643" i="1" s="1"/>
  <c r="T641" i="1"/>
  <c r="C641" i="1"/>
  <c r="C642" i="1" s="1"/>
  <c r="AJ640" i="1"/>
  <c r="AJ641" i="1" s="1"/>
  <c r="AJ642" i="1" s="1"/>
  <c r="AJ643" i="1" s="1"/>
  <c r="AJ644" i="1" s="1"/>
  <c r="AJ645" i="1" s="1"/>
  <c r="AJ646" i="1" s="1"/>
  <c r="AJ647" i="1" s="1"/>
  <c r="AJ648" i="1" s="1"/>
  <c r="AJ649" i="1" s="1"/>
  <c r="AJ650" i="1" s="1"/>
  <c r="AJ651" i="1" s="1"/>
  <c r="AJ652" i="1" s="1"/>
  <c r="AJ653" i="1" s="1"/>
  <c r="AJ654" i="1" s="1"/>
  <c r="AJ655" i="1" s="1"/>
  <c r="AJ656" i="1" s="1"/>
  <c r="AJ657" i="1" s="1"/>
  <c r="AJ658" i="1" s="1"/>
  <c r="AJ659" i="1" s="1"/>
  <c r="AJ660" i="1" s="1"/>
  <c r="AJ661" i="1" s="1"/>
  <c r="AJ662" i="1" s="1"/>
  <c r="AJ663" i="1" s="1"/>
  <c r="AJ664" i="1" s="1"/>
  <c r="AJ665" i="1" s="1"/>
  <c r="AJ666" i="1" s="1"/>
  <c r="AJ667" i="1" s="1"/>
  <c r="AJ668" i="1" s="1"/>
  <c r="AJ669" i="1" s="1"/>
  <c r="AJ670" i="1" s="1"/>
  <c r="AJ671" i="1" s="1"/>
  <c r="AJ672" i="1" s="1"/>
  <c r="AJ673" i="1" s="1"/>
  <c r="AJ674" i="1" s="1"/>
  <c r="AJ675" i="1" s="1"/>
  <c r="AJ676" i="1" s="1"/>
  <c r="AJ677" i="1" s="1"/>
  <c r="AJ678" i="1" s="1"/>
  <c r="AJ679" i="1" s="1"/>
  <c r="AJ680" i="1" s="1"/>
  <c r="AJ681" i="1" s="1"/>
  <c r="AJ682" i="1" s="1"/>
  <c r="AJ683" i="1" s="1"/>
  <c r="AJ684" i="1" s="1"/>
  <c r="AJ685" i="1" s="1"/>
  <c r="AU639" i="1"/>
  <c r="AU640" i="1" s="1"/>
  <c r="AU641" i="1" s="1"/>
  <c r="AU642" i="1" s="1"/>
  <c r="AU643" i="1" s="1"/>
  <c r="AU644" i="1" s="1"/>
  <c r="AU645" i="1" s="1"/>
  <c r="AU646" i="1" s="1"/>
  <c r="AU647" i="1" s="1"/>
  <c r="AU648" i="1" s="1"/>
  <c r="AU649" i="1" s="1"/>
  <c r="AU650" i="1" s="1"/>
  <c r="AU651" i="1" s="1"/>
  <c r="AU652" i="1" s="1"/>
  <c r="AU653" i="1" s="1"/>
  <c r="C638" i="1"/>
  <c r="C639" i="1" s="1"/>
  <c r="C640" i="1" s="1"/>
  <c r="L637" i="1"/>
  <c r="L638" i="1" s="1"/>
  <c r="L639" i="1" s="1"/>
  <c r="L640" i="1" s="1"/>
  <c r="L641" i="1" s="1"/>
  <c r="L642" i="1" s="1"/>
  <c r="K637" i="1"/>
  <c r="K638" i="1" s="1"/>
  <c r="K639" i="1" s="1"/>
  <c r="K640" i="1" s="1"/>
  <c r="K641" i="1" s="1"/>
  <c r="K642" i="1" s="1"/>
  <c r="C637" i="1"/>
  <c r="AX636" i="1"/>
  <c r="AX637" i="1" s="1"/>
  <c r="AX638" i="1" s="1"/>
  <c r="AX639" i="1" s="1"/>
  <c r="AX640" i="1" s="1"/>
  <c r="AX641" i="1" s="1"/>
  <c r="AX642" i="1" s="1"/>
  <c r="AX643" i="1" s="1"/>
  <c r="AX644" i="1" s="1"/>
  <c r="AX645" i="1" s="1"/>
  <c r="AX646" i="1" s="1"/>
  <c r="AX647" i="1" s="1"/>
  <c r="AX648" i="1" s="1"/>
  <c r="AX649" i="1" s="1"/>
  <c r="AX650" i="1" s="1"/>
  <c r="AX651" i="1" s="1"/>
  <c r="AX652" i="1" s="1"/>
  <c r="AX653" i="1" s="1"/>
  <c r="P636" i="1"/>
  <c r="P637" i="1" s="1"/>
  <c r="P638" i="1" s="1"/>
  <c r="P639" i="1" s="1"/>
  <c r="P640" i="1" s="1"/>
  <c r="P641" i="1" s="1"/>
  <c r="P642" i="1" s="1"/>
  <c r="N636" i="1"/>
  <c r="N637" i="1" s="1"/>
  <c r="N638" i="1" s="1"/>
  <c r="N639" i="1" s="1"/>
  <c r="N640" i="1" s="1"/>
  <c r="N641" i="1" s="1"/>
  <c r="N642" i="1" s="1"/>
  <c r="L636" i="1"/>
  <c r="J636" i="1"/>
  <c r="J637" i="1" s="1"/>
  <c r="J638" i="1" s="1"/>
  <c r="J639" i="1" s="1"/>
  <c r="J640" i="1" s="1"/>
  <c r="J641" i="1" s="1"/>
  <c r="J642" i="1" s="1"/>
  <c r="C636" i="1"/>
  <c r="AU635" i="1"/>
  <c r="AU636" i="1" s="1"/>
  <c r="AU637" i="1" s="1"/>
  <c r="AU638" i="1" s="1"/>
  <c r="AK635" i="1"/>
  <c r="AK636" i="1" s="1"/>
  <c r="AK637" i="1" s="1"/>
  <c r="AK638" i="1" s="1"/>
  <c r="AK639" i="1" s="1"/>
  <c r="AK640" i="1" s="1"/>
  <c r="AK641" i="1" s="1"/>
  <c r="AK642" i="1" s="1"/>
  <c r="AK643" i="1" s="1"/>
  <c r="AK644" i="1" s="1"/>
  <c r="AK645" i="1" s="1"/>
  <c r="AK646" i="1" s="1"/>
  <c r="AK647" i="1" s="1"/>
  <c r="AK648" i="1" s="1"/>
  <c r="AK649" i="1" s="1"/>
  <c r="AK650" i="1" s="1"/>
  <c r="AK651" i="1" s="1"/>
  <c r="AK652" i="1" s="1"/>
  <c r="AK653" i="1" s="1"/>
  <c r="P635" i="1"/>
  <c r="O635" i="1"/>
  <c r="O636" i="1" s="1"/>
  <c r="O637" i="1" s="1"/>
  <c r="O638" i="1" s="1"/>
  <c r="O639" i="1" s="1"/>
  <c r="O640" i="1" s="1"/>
  <c r="O641" i="1" s="1"/>
  <c r="O642" i="1" s="1"/>
  <c r="N635" i="1"/>
  <c r="M635" i="1"/>
  <c r="M636" i="1" s="1"/>
  <c r="M637" i="1" s="1"/>
  <c r="M638" i="1" s="1"/>
  <c r="M639" i="1" s="1"/>
  <c r="M640" i="1" s="1"/>
  <c r="M641" i="1" s="1"/>
  <c r="M642" i="1" s="1"/>
  <c r="L635" i="1"/>
  <c r="K635" i="1"/>
  <c r="K636" i="1" s="1"/>
  <c r="J635" i="1"/>
  <c r="C635" i="1"/>
  <c r="AX634" i="1"/>
  <c r="AX635" i="1" s="1"/>
  <c r="AW634" i="1"/>
  <c r="AW635" i="1" s="1"/>
  <c r="AW636" i="1" s="1"/>
  <c r="AW637" i="1" s="1"/>
  <c r="AW638" i="1" s="1"/>
  <c r="AW639" i="1" s="1"/>
  <c r="AW640" i="1" s="1"/>
  <c r="AW641" i="1" s="1"/>
  <c r="AW642" i="1" s="1"/>
  <c r="AW643" i="1" s="1"/>
  <c r="AW644" i="1" s="1"/>
  <c r="AW645" i="1" s="1"/>
  <c r="AW646" i="1" s="1"/>
  <c r="AW647" i="1" s="1"/>
  <c r="AW648" i="1" s="1"/>
  <c r="AW649" i="1" s="1"/>
  <c r="AW650" i="1" s="1"/>
  <c r="AW651" i="1" s="1"/>
  <c r="AW652" i="1" s="1"/>
  <c r="AW653" i="1" s="1"/>
  <c r="AU634" i="1"/>
  <c r="AR634" i="1"/>
  <c r="AR635" i="1" s="1"/>
  <c r="AR636" i="1" s="1"/>
  <c r="AR637" i="1" s="1"/>
  <c r="AR638" i="1" s="1"/>
  <c r="AR639" i="1" s="1"/>
  <c r="AR640" i="1" s="1"/>
  <c r="AR641" i="1" s="1"/>
  <c r="AR642" i="1" s="1"/>
  <c r="AR643" i="1" s="1"/>
  <c r="AR644" i="1" s="1"/>
  <c r="AR645" i="1" s="1"/>
  <c r="AR646" i="1" s="1"/>
  <c r="AR647" i="1" s="1"/>
  <c r="AR648" i="1" s="1"/>
  <c r="AR649" i="1" s="1"/>
  <c r="AR650" i="1" s="1"/>
  <c r="AR651" i="1" s="1"/>
  <c r="AR652" i="1" s="1"/>
  <c r="AR653" i="1" s="1"/>
  <c r="AX633" i="1"/>
  <c r="AT633" i="1"/>
  <c r="AT634" i="1" s="1"/>
  <c r="AT635" i="1" s="1"/>
  <c r="AT636" i="1" s="1"/>
  <c r="AT637" i="1" s="1"/>
  <c r="AT638" i="1" s="1"/>
  <c r="AT639" i="1" s="1"/>
  <c r="AT640" i="1" s="1"/>
  <c r="AT641" i="1" s="1"/>
  <c r="AT642" i="1" s="1"/>
  <c r="AT643" i="1" s="1"/>
  <c r="AT644" i="1" s="1"/>
  <c r="AT645" i="1" s="1"/>
  <c r="AT646" i="1" s="1"/>
  <c r="AT647" i="1" s="1"/>
  <c r="AT648" i="1" s="1"/>
  <c r="AT649" i="1" s="1"/>
  <c r="AT650" i="1" s="1"/>
  <c r="AT651" i="1" s="1"/>
  <c r="AT652" i="1" s="1"/>
  <c r="AT653" i="1" s="1"/>
  <c r="AR633" i="1"/>
  <c r="AK633" i="1"/>
  <c r="AK634" i="1" s="1"/>
  <c r="T633" i="1"/>
  <c r="T634" i="1" s="1"/>
  <c r="T635" i="1" s="1"/>
  <c r="T636" i="1" s="1"/>
  <c r="T637" i="1" s="1"/>
  <c r="T638" i="1" s="1"/>
  <c r="T639" i="1" s="1"/>
  <c r="AX632" i="1"/>
  <c r="AW632" i="1"/>
  <c r="AW633" i="1" s="1"/>
  <c r="AV632" i="1"/>
  <c r="AV633" i="1" s="1"/>
  <c r="AV634" i="1" s="1"/>
  <c r="AV635" i="1" s="1"/>
  <c r="AV636" i="1" s="1"/>
  <c r="AV637" i="1" s="1"/>
  <c r="AV638" i="1" s="1"/>
  <c r="AV639" i="1" s="1"/>
  <c r="AV640" i="1" s="1"/>
  <c r="AV641" i="1" s="1"/>
  <c r="AV642" i="1" s="1"/>
  <c r="AV643" i="1" s="1"/>
  <c r="AV644" i="1" s="1"/>
  <c r="AV645" i="1" s="1"/>
  <c r="AV646" i="1" s="1"/>
  <c r="AV647" i="1" s="1"/>
  <c r="AV648" i="1" s="1"/>
  <c r="AV649" i="1" s="1"/>
  <c r="AV650" i="1" s="1"/>
  <c r="AV651" i="1" s="1"/>
  <c r="AV652" i="1" s="1"/>
  <c r="AV653" i="1" s="1"/>
  <c r="AU632" i="1"/>
  <c r="AU633" i="1" s="1"/>
  <c r="AT632" i="1"/>
  <c r="AS632" i="1"/>
  <c r="AS633" i="1" s="1"/>
  <c r="AS634" i="1" s="1"/>
  <c r="AS635" i="1" s="1"/>
  <c r="AS636" i="1" s="1"/>
  <c r="AS637" i="1" s="1"/>
  <c r="AS638" i="1" s="1"/>
  <c r="AS639" i="1" s="1"/>
  <c r="AS640" i="1" s="1"/>
  <c r="AS641" i="1" s="1"/>
  <c r="AS642" i="1" s="1"/>
  <c r="AS643" i="1" s="1"/>
  <c r="AS644" i="1" s="1"/>
  <c r="AS645" i="1" s="1"/>
  <c r="AS646" i="1" s="1"/>
  <c r="AS647" i="1" s="1"/>
  <c r="AS648" i="1" s="1"/>
  <c r="AS649" i="1" s="1"/>
  <c r="AS650" i="1" s="1"/>
  <c r="AS651" i="1" s="1"/>
  <c r="AS652" i="1" s="1"/>
  <c r="AS653" i="1" s="1"/>
  <c r="AR632" i="1"/>
  <c r="AK632" i="1"/>
  <c r="AC632" i="1"/>
  <c r="AC633" i="1" s="1"/>
  <c r="AC634" i="1" s="1"/>
  <c r="AC635" i="1" s="1"/>
  <c r="AC636" i="1" s="1"/>
  <c r="AC637" i="1" s="1"/>
  <c r="AC638" i="1" s="1"/>
  <c r="AC639" i="1" s="1"/>
  <c r="N631" i="1"/>
  <c r="N632" i="1" s="1"/>
  <c r="N633" i="1" s="1"/>
  <c r="O630" i="1"/>
  <c r="O631" i="1" s="1"/>
  <c r="O632" i="1" s="1"/>
  <c r="O633" i="1" s="1"/>
  <c r="N630" i="1"/>
  <c r="T629" i="1"/>
  <c r="T630" i="1" s="1"/>
  <c r="T631" i="1" s="1"/>
  <c r="T632" i="1" s="1"/>
  <c r="O629" i="1"/>
  <c r="N629" i="1"/>
  <c r="M629" i="1"/>
  <c r="M630" i="1" s="1"/>
  <c r="M631" i="1" s="1"/>
  <c r="M632" i="1" s="1"/>
  <c r="M633" i="1" s="1"/>
  <c r="J629" i="1"/>
  <c r="J630" i="1" s="1"/>
  <c r="J631" i="1" s="1"/>
  <c r="J632" i="1" s="1"/>
  <c r="J633" i="1" s="1"/>
  <c r="P628" i="1"/>
  <c r="P629" i="1" s="1"/>
  <c r="P630" i="1" s="1"/>
  <c r="P631" i="1" s="1"/>
  <c r="P632" i="1" s="1"/>
  <c r="P633" i="1" s="1"/>
  <c r="O628" i="1"/>
  <c r="N628" i="1"/>
  <c r="M628" i="1"/>
  <c r="L628" i="1"/>
  <c r="L629" i="1" s="1"/>
  <c r="L630" i="1" s="1"/>
  <c r="L631" i="1" s="1"/>
  <c r="L632" i="1" s="1"/>
  <c r="L633" i="1" s="1"/>
  <c r="K628" i="1"/>
  <c r="K629" i="1" s="1"/>
  <c r="K630" i="1" s="1"/>
  <c r="K631" i="1" s="1"/>
  <c r="K632" i="1" s="1"/>
  <c r="K633" i="1" s="1"/>
  <c r="J628" i="1"/>
  <c r="C628" i="1"/>
  <c r="C629" i="1" s="1"/>
  <c r="C630" i="1" s="1"/>
  <c r="C631" i="1" s="1"/>
  <c r="C632" i="1" s="1"/>
  <c r="C633" i="1" s="1"/>
  <c r="AC625" i="1"/>
  <c r="AC626" i="1" s="1"/>
  <c r="AC627" i="1" s="1"/>
  <c r="AC628" i="1" s="1"/>
  <c r="AC629" i="1" s="1"/>
  <c r="AC630" i="1" s="1"/>
  <c r="AC631" i="1" s="1"/>
  <c r="L625" i="1"/>
  <c r="L626" i="1" s="1"/>
  <c r="AG624" i="1"/>
  <c r="AG625" i="1" s="1"/>
  <c r="AG626" i="1" s="1"/>
  <c r="AG627" i="1" s="1"/>
  <c r="AG628" i="1" s="1"/>
  <c r="AG629" i="1" s="1"/>
  <c r="AG630" i="1" s="1"/>
  <c r="AG631" i="1" s="1"/>
  <c r="AG632" i="1" s="1"/>
  <c r="AG633" i="1" s="1"/>
  <c r="AG634" i="1" s="1"/>
  <c r="AG635" i="1" s="1"/>
  <c r="AG636" i="1" s="1"/>
  <c r="AG637" i="1" s="1"/>
  <c r="AG638" i="1" s="1"/>
  <c r="AG639" i="1" s="1"/>
  <c r="AC624" i="1"/>
  <c r="S624" i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N624" i="1"/>
  <c r="N625" i="1" s="1"/>
  <c r="N626" i="1" s="1"/>
  <c r="L624" i="1"/>
  <c r="C624" i="1"/>
  <c r="C625" i="1" s="1"/>
  <c r="C626" i="1" s="1"/>
  <c r="AG623" i="1"/>
  <c r="S623" i="1"/>
  <c r="M623" i="1"/>
  <c r="M624" i="1" s="1"/>
  <c r="M625" i="1" s="1"/>
  <c r="M626" i="1" s="1"/>
  <c r="L623" i="1"/>
  <c r="AC622" i="1"/>
  <c r="AC623" i="1" s="1"/>
  <c r="AB622" i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P622" i="1"/>
  <c r="P623" i="1" s="1"/>
  <c r="P624" i="1" s="1"/>
  <c r="P625" i="1" s="1"/>
  <c r="P626" i="1" s="1"/>
  <c r="O622" i="1"/>
  <c r="O623" i="1" s="1"/>
  <c r="O624" i="1" s="1"/>
  <c r="O625" i="1" s="1"/>
  <c r="O626" i="1" s="1"/>
  <c r="N622" i="1"/>
  <c r="N623" i="1" s="1"/>
  <c r="M622" i="1"/>
  <c r="L622" i="1"/>
  <c r="K622" i="1"/>
  <c r="K623" i="1" s="1"/>
  <c r="K624" i="1" s="1"/>
  <c r="K625" i="1" s="1"/>
  <c r="K626" i="1" s="1"/>
  <c r="J622" i="1"/>
  <c r="J623" i="1" s="1"/>
  <c r="J624" i="1" s="1"/>
  <c r="J625" i="1" s="1"/>
  <c r="J626" i="1" s="1"/>
  <c r="C622" i="1"/>
  <c r="C623" i="1" s="1"/>
  <c r="AX621" i="1"/>
  <c r="AX622" i="1" s="1"/>
  <c r="AX623" i="1" s="1"/>
  <c r="AX624" i="1" s="1"/>
  <c r="AX625" i="1" s="1"/>
  <c r="AX626" i="1" s="1"/>
  <c r="AX627" i="1" s="1"/>
  <c r="AX628" i="1" s="1"/>
  <c r="AX629" i="1" s="1"/>
  <c r="AX630" i="1" s="1"/>
  <c r="AG621" i="1"/>
  <c r="AG622" i="1" s="1"/>
  <c r="AF621" i="1"/>
  <c r="AF622" i="1" s="1"/>
  <c r="AF623" i="1" s="1"/>
  <c r="AF624" i="1" s="1"/>
  <c r="AF625" i="1" s="1"/>
  <c r="AF626" i="1" s="1"/>
  <c r="AF627" i="1" s="1"/>
  <c r="AF628" i="1" s="1"/>
  <c r="AF629" i="1" s="1"/>
  <c r="AF630" i="1" s="1"/>
  <c r="AF631" i="1" s="1"/>
  <c r="AF632" i="1" s="1"/>
  <c r="AF633" i="1" s="1"/>
  <c r="AF634" i="1" s="1"/>
  <c r="AF635" i="1" s="1"/>
  <c r="AF636" i="1" s="1"/>
  <c r="AF637" i="1" s="1"/>
  <c r="AF638" i="1" s="1"/>
  <c r="AF639" i="1" s="1"/>
  <c r="AE621" i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D621" i="1"/>
  <c r="AD622" i="1" s="1"/>
  <c r="AD623" i="1" s="1"/>
  <c r="AD624" i="1" s="1"/>
  <c r="AD625" i="1" s="1"/>
  <c r="AD626" i="1" s="1"/>
  <c r="AD627" i="1" s="1"/>
  <c r="AD628" i="1" s="1"/>
  <c r="AD629" i="1" s="1"/>
  <c r="AD630" i="1" s="1"/>
  <c r="AD631" i="1" s="1"/>
  <c r="AD632" i="1" s="1"/>
  <c r="AD633" i="1" s="1"/>
  <c r="AD634" i="1" s="1"/>
  <c r="AD635" i="1" s="1"/>
  <c r="AD636" i="1" s="1"/>
  <c r="AD637" i="1" s="1"/>
  <c r="AD638" i="1" s="1"/>
  <c r="AD639" i="1" s="1"/>
  <c r="AC621" i="1"/>
  <c r="AB621" i="1"/>
  <c r="AA621" i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T621" i="1"/>
  <c r="T622" i="1" s="1"/>
  <c r="T623" i="1" s="1"/>
  <c r="T624" i="1" s="1"/>
  <c r="T625" i="1" s="1"/>
  <c r="T626" i="1" s="1"/>
  <c r="T627" i="1" s="1"/>
  <c r="T628" i="1" s="1"/>
  <c r="S621" i="1"/>
  <c r="S622" i="1" s="1"/>
  <c r="S620" i="1"/>
  <c r="AT617" i="1"/>
  <c r="AT618" i="1" s="1"/>
  <c r="AT619" i="1" s="1"/>
  <c r="AT620" i="1" s="1"/>
  <c r="AT621" i="1" s="1"/>
  <c r="AT622" i="1" s="1"/>
  <c r="AT623" i="1" s="1"/>
  <c r="AT624" i="1" s="1"/>
  <c r="AT625" i="1" s="1"/>
  <c r="AT626" i="1" s="1"/>
  <c r="AT627" i="1" s="1"/>
  <c r="AT628" i="1" s="1"/>
  <c r="AT629" i="1" s="1"/>
  <c r="AT630" i="1" s="1"/>
  <c r="AA617" i="1"/>
  <c r="AA618" i="1" s="1"/>
  <c r="AA619" i="1" s="1"/>
  <c r="N617" i="1"/>
  <c r="N618" i="1" s="1"/>
  <c r="N619" i="1" s="1"/>
  <c r="N620" i="1" s="1"/>
  <c r="AX616" i="1"/>
  <c r="AX617" i="1" s="1"/>
  <c r="AX618" i="1" s="1"/>
  <c r="AX619" i="1" s="1"/>
  <c r="AX620" i="1" s="1"/>
  <c r="AS616" i="1"/>
  <c r="AS617" i="1" s="1"/>
  <c r="AS618" i="1" s="1"/>
  <c r="AS619" i="1" s="1"/>
  <c r="AS620" i="1" s="1"/>
  <c r="AS621" i="1" s="1"/>
  <c r="AS622" i="1" s="1"/>
  <c r="AS623" i="1" s="1"/>
  <c r="AS624" i="1" s="1"/>
  <c r="AS625" i="1" s="1"/>
  <c r="AS626" i="1" s="1"/>
  <c r="AS627" i="1" s="1"/>
  <c r="AS628" i="1" s="1"/>
  <c r="AS629" i="1" s="1"/>
  <c r="AS630" i="1" s="1"/>
  <c r="AX615" i="1"/>
  <c r="AU615" i="1"/>
  <c r="AU616" i="1" s="1"/>
  <c r="AU617" i="1" s="1"/>
  <c r="AU618" i="1" s="1"/>
  <c r="AU619" i="1" s="1"/>
  <c r="AU620" i="1" s="1"/>
  <c r="AU621" i="1" s="1"/>
  <c r="AU622" i="1" s="1"/>
  <c r="AU623" i="1" s="1"/>
  <c r="AU624" i="1" s="1"/>
  <c r="AU625" i="1" s="1"/>
  <c r="AU626" i="1" s="1"/>
  <c r="AU627" i="1" s="1"/>
  <c r="AU628" i="1" s="1"/>
  <c r="AU629" i="1" s="1"/>
  <c r="AU630" i="1" s="1"/>
  <c r="AK615" i="1"/>
  <c r="AK616" i="1" s="1"/>
  <c r="AK617" i="1" s="1"/>
  <c r="AK618" i="1" s="1"/>
  <c r="AK619" i="1" s="1"/>
  <c r="AK620" i="1" s="1"/>
  <c r="AK621" i="1" s="1"/>
  <c r="AK622" i="1" s="1"/>
  <c r="AK623" i="1" s="1"/>
  <c r="AK624" i="1" s="1"/>
  <c r="AK625" i="1" s="1"/>
  <c r="AK626" i="1" s="1"/>
  <c r="AK627" i="1" s="1"/>
  <c r="AK628" i="1" s="1"/>
  <c r="AK629" i="1" s="1"/>
  <c r="AK630" i="1" s="1"/>
  <c r="N615" i="1"/>
  <c r="N616" i="1" s="1"/>
  <c r="AX614" i="1"/>
  <c r="AT614" i="1"/>
  <c r="AT615" i="1" s="1"/>
  <c r="AT616" i="1" s="1"/>
  <c r="AS614" i="1"/>
  <c r="AS615" i="1" s="1"/>
  <c r="AK614" i="1"/>
  <c r="J614" i="1"/>
  <c r="J615" i="1" s="1"/>
  <c r="J616" i="1" s="1"/>
  <c r="J617" i="1" s="1"/>
  <c r="J618" i="1" s="1"/>
  <c r="J619" i="1" s="1"/>
  <c r="J620" i="1" s="1"/>
  <c r="AX613" i="1"/>
  <c r="AW613" i="1"/>
  <c r="AW614" i="1" s="1"/>
  <c r="AW615" i="1" s="1"/>
  <c r="AW616" i="1" s="1"/>
  <c r="AW617" i="1" s="1"/>
  <c r="AW618" i="1" s="1"/>
  <c r="AW619" i="1" s="1"/>
  <c r="AW620" i="1" s="1"/>
  <c r="AW621" i="1" s="1"/>
  <c r="AW622" i="1" s="1"/>
  <c r="AW623" i="1" s="1"/>
  <c r="AW624" i="1" s="1"/>
  <c r="AW625" i="1" s="1"/>
  <c r="AW626" i="1" s="1"/>
  <c r="AW627" i="1" s="1"/>
  <c r="AW628" i="1" s="1"/>
  <c r="AW629" i="1" s="1"/>
  <c r="AW630" i="1" s="1"/>
  <c r="AV613" i="1"/>
  <c r="AV614" i="1" s="1"/>
  <c r="AV615" i="1" s="1"/>
  <c r="AV616" i="1" s="1"/>
  <c r="AV617" i="1" s="1"/>
  <c r="AV618" i="1" s="1"/>
  <c r="AV619" i="1" s="1"/>
  <c r="AV620" i="1" s="1"/>
  <c r="AV621" i="1" s="1"/>
  <c r="AV622" i="1" s="1"/>
  <c r="AV623" i="1" s="1"/>
  <c r="AV624" i="1" s="1"/>
  <c r="AV625" i="1" s="1"/>
  <c r="AV626" i="1" s="1"/>
  <c r="AV627" i="1" s="1"/>
  <c r="AV628" i="1" s="1"/>
  <c r="AV629" i="1" s="1"/>
  <c r="AV630" i="1" s="1"/>
  <c r="AU613" i="1"/>
  <c r="AU614" i="1" s="1"/>
  <c r="AT613" i="1"/>
  <c r="AS613" i="1"/>
  <c r="AR613" i="1"/>
  <c r="AR614" i="1" s="1"/>
  <c r="AR615" i="1" s="1"/>
  <c r="AR616" i="1" s="1"/>
  <c r="AR617" i="1" s="1"/>
  <c r="AR618" i="1" s="1"/>
  <c r="AR619" i="1" s="1"/>
  <c r="AR620" i="1" s="1"/>
  <c r="AR621" i="1" s="1"/>
  <c r="AR622" i="1" s="1"/>
  <c r="AR623" i="1" s="1"/>
  <c r="AR624" i="1" s="1"/>
  <c r="AR625" i="1" s="1"/>
  <c r="AR626" i="1" s="1"/>
  <c r="AR627" i="1" s="1"/>
  <c r="AR628" i="1" s="1"/>
  <c r="AR629" i="1" s="1"/>
  <c r="AR630" i="1" s="1"/>
  <c r="AK613" i="1"/>
  <c r="T613" i="1"/>
  <c r="T614" i="1" s="1"/>
  <c r="T615" i="1" s="1"/>
  <c r="T616" i="1" s="1"/>
  <c r="T617" i="1" s="1"/>
  <c r="T618" i="1" s="1"/>
  <c r="T619" i="1" s="1"/>
  <c r="M613" i="1"/>
  <c r="M614" i="1" s="1"/>
  <c r="M615" i="1" s="1"/>
  <c r="M616" i="1" s="1"/>
  <c r="M617" i="1" s="1"/>
  <c r="M618" i="1" s="1"/>
  <c r="M619" i="1" s="1"/>
  <c r="M620" i="1" s="1"/>
  <c r="P612" i="1"/>
  <c r="P613" i="1" s="1"/>
  <c r="P614" i="1" s="1"/>
  <c r="P615" i="1" s="1"/>
  <c r="P616" i="1" s="1"/>
  <c r="P617" i="1" s="1"/>
  <c r="P618" i="1" s="1"/>
  <c r="P619" i="1" s="1"/>
  <c r="P620" i="1" s="1"/>
  <c r="O612" i="1"/>
  <c r="O613" i="1" s="1"/>
  <c r="O614" i="1" s="1"/>
  <c r="O615" i="1" s="1"/>
  <c r="O616" i="1" s="1"/>
  <c r="O617" i="1" s="1"/>
  <c r="O618" i="1" s="1"/>
  <c r="O619" i="1" s="1"/>
  <c r="O620" i="1" s="1"/>
  <c r="N612" i="1"/>
  <c r="N613" i="1" s="1"/>
  <c r="N614" i="1" s="1"/>
  <c r="M612" i="1"/>
  <c r="L612" i="1"/>
  <c r="L613" i="1" s="1"/>
  <c r="L614" i="1" s="1"/>
  <c r="L615" i="1" s="1"/>
  <c r="L616" i="1" s="1"/>
  <c r="L617" i="1" s="1"/>
  <c r="L618" i="1" s="1"/>
  <c r="L619" i="1" s="1"/>
  <c r="L620" i="1" s="1"/>
  <c r="K612" i="1"/>
  <c r="K613" i="1" s="1"/>
  <c r="K614" i="1" s="1"/>
  <c r="K615" i="1" s="1"/>
  <c r="K616" i="1" s="1"/>
  <c r="K617" i="1" s="1"/>
  <c r="K618" i="1" s="1"/>
  <c r="K619" i="1" s="1"/>
  <c r="K620" i="1" s="1"/>
  <c r="J612" i="1"/>
  <c r="J613" i="1" s="1"/>
  <c r="C612" i="1"/>
  <c r="C613" i="1" s="1"/>
  <c r="C614" i="1" s="1"/>
  <c r="C615" i="1" s="1"/>
  <c r="C616" i="1" s="1"/>
  <c r="C617" i="1" s="1"/>
  <c r="C618" i="1" s="1"/>
  <c r="C619" i="1" s="1"/>
  <c r="C620" i="1" s="1"/>
  <c r="AE611" i="1"/>
  <c r="AE612" i="1" s="1"/>
  <c r="AE613" i="1" s="1"/>
  <c r="AE614" i="1" s="1"/>
  <c r="AE615" i="1" s="1"/>
  <c r="AE616" i="1" s="1"/>
  <c r="AE617" i="1" s="1"/>
  <c r="AE618" i="1" s="1"/>
  <c r="AE619" i="1" s="1"/>
  <c r="N610" i="1"/>
  <c r="AB608" i="1"/>
  <c r="AB609" i="1" s="1"/>
  <c r="AB610" i="1" s="1"/>
  <c r="AB611" i="1" s="1"/>
  <c r="AB612" i="1" s="1"/>
  <c r="AB613" i="1" s="1"/>
  <c r="AB614" i="1" s="1"/>
  <c r="AB615" i="1" s="1"/>
  <c r="AB616" i="1" s="1"/>
  <c r="AB617" i="1" s="1"/>
  <c r="AB618" i="1" s="1"/>
  <c r="AB619" i="1" s="1"/>
  <c r="AC607" i="1"/>
  <c r="AC608" i="1" s="1"/>
  <c r="AC609" i="1" s="1"/>
  <c r="AC610" i="1" s="1"/>
  <c r="AC611" i="1" s="1"/>
  <c r="AC612" i="1" s="1"/>
  <c r="AC613" i="1" s="1"/>
  <c r="AC614" i="1" s="1"/>
  <c r="AC615" i="1" s="1"/>
  <c r="AC616" i="1" s="1"/>
  <c r="AC617" i="1" s="1"/>
  <c r="AC618" i="1" s="1"/>
  <c r="AC619" i="1" s="1"/>
  <c r="J607" i="1"/>
  <c r="J608" i="1" s="1"/>
  <c r="J609" i="1" s="1"/>
  <c r="J610" i="1" s="1"/>
  <c r="C607" i="1"/>
  <c r="C608" i="1" s="1"/>
  <c r="C609" i="1" s="1"/>
  <c r="C610" i="1" s="1"/>
  <c r="AD606" i="1"/>
  <c r="AD607" i="1" s="1"/>
  <c r="AD608" i="1" s="1"/>
  <c r="AD609" i="1" s="1"/>
  <c r="AD610" i="1" s="1"/>
  <c r="AD611" i="1" s="1"/>
  <c r="AD612" i="1" s="1"/>
  <c r="AD613" i="1" s="1"/>
  <c r="AD614" i="1" s="1"/>
  <c r="AD615" i="1" s="1"/>
  <c r="AD616" i="1" s="1"/>
  <c r="AD617" i="1" s="1"/>
  <c r="AD618" i="1" s="1"/>
  <c r="AD619" i="1" s="1"/>
  <c r="AC606" i="1"/>
  <c r="N606" i="1"/>
  <c r="N607" i="1" s="1"/>
  <c r="N608" i="1" s="1"/>
  <c r="N609" i="1" s="1"/>
  <c r="K606" i="1"/>
  <c r="K607" i="1" s="1"/>
  <c r="K608" i="1" s="1"/>
  <c r="K609" i="1" s="1"/>
  <c r="K610" i="1" s="1"/>
  <c r="J606" i="1"/>
  <c r="C606" i="1"/>
  <c r="AD605" i="1"/>
  <c r="AC605" i="1"/>
  <c r="P605" i="1"/>
  <c r="P606" i="1" s="1"/>
  <c r="P607" i="1" s="1"/>
  <c r="P608" i="1" s="1"/>
  <c r="P609" i="1" s="1"/>
  <c r="P610" i="1" s="1"/>
  <c r="O605" i="1"/>
  <c r="O606" i="1" s="1"/>
  <c r="O607" i="1" s="1"/>
  <c r="O608" i="1" s="1"/>
  <c r="O609" i="1" s="1"/>
  <c r="O610" i="1" s="1"/>
  <c r="N605" i="1"/>
  <c r="M605" i="1"/>
  <c r="M606" i="1" s="1"/>
  <c r="M607" i="1" s="1"/>
  <c r="M608" i="1" s="1"/>
  <c r="M609" i="1" s="1"/>
  <c r="M610" i="1" s="1"/>
  <c r="L605" i="1"/>
  <c r="L606" i="1" s="1"/>
  <c r="L607" i="1" s="1"/>
  <c r="L608" i="1" s="1"/>
  <c r="L609" i="1" s="1"/>
  <c r="L610" i="1" s="1"/>
  <c r="K605" i="1"/>
  <c r="J605" i="1"/>
  <c r="C605" i="1"/>
  <c r="AF604" i="1"/>
  <c r="AF605" i="1" s="1"/>
  <c r="AF606" i="1" s="1"/>
  <c r="AF607" i="1" s="1"/>
  <c r="AF608" i="1" s="1"/>
  <c r="AF609" i="1" s="1"/>
  <c r="AF610" i="1" s="1"/>
  <c r="AF611" i="1" s="1"/>
  <c r="AF612" i="1" s="1"/>
  <c r="AF613" i="1" s="1"/>
  <c r="AF614" i="1" s="1"/>
  <c r="AF615" i="1" s="1"/>
  <c r="AF616" i="1" s="1"/>
  <c r="AF617" i="1" s="1"/>
  <c r="AF618" i="1" s="1"/>
  <c r="AF619" i="1" s="1"/>
  <c r="T604" i="1"/>
  <c r="T605" i="1" s="1"/>
  <c r="T606" i="1" s="1"/>
  <c r="T607" i="1" s="1"/>
  <c r="T608" i="1" s="1"/>
  <c r="T609" i="1" s="1"/>
  <c r="T610" i="1" s="1"/>
  <c r="T611" i="1" s="1"/>
  <c r="T612" i="1" s="1"/>
  <c r="AG603" i="1"/>
  <c r="AG604" i="1" s="1"/>
  <c r="AG605" i="1" s="1"/>
  <c r="AG606" i="1" s="1"/>
  <c r="AG607" i="1" s="1"/>
  <c r="AG608" i="1" s="1"/>
  <c r="AG609" i="1" s="1"/>
  <c r="AG610" i="1" s="1"/>
  <c r="AG611" i="1" s="1"/>
  <c r="AG612" i="1" s="1"/>
  <c r="AG613" i="1" s="1"/>
  <c r="AG614" i="1" s="1"/>
  <c r="AG615" i="1" s="1"/>
  <c r="AG616" i="1" s="1"/>
  <c r="AG617" i="1" s="1"/>
  <c r="AG618" i="1" s="1"/>
  <c r="AG619" i="1" s="1"/>
  <c r="AF603" i="1"/>
  <c r="AD603" i="1"/>
  <c r="AD604" i="1" s="1"/>
  <c r="AB603" i="1"/>
  <c r="AB604" i="1" s="1"/>
  <c r="AB605" i="1" s="1"/>
  <c r="AB606" i="1" s="1"/>
  <c r="AB607" i="1" s="1"/>
  <c r="AA603" i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T603" i="1"/>
  <c r="AG602" i="1"/>
  <c r="AF602" i="1"/>
  <c r="AE602" i="1"/>
  <c r="AE603" i="1" s="1"/>
  <c r="AE604" i="1" s="1"/>
  <c r="AE605" i="1" s="1"/>
  <c r="AE606" i="1" s="1"/>
  <c r="AE607" i="1" s="1"/>
  <c r="AE608" i="1" s="1"/>
  <c r="AE609" i="1" s="1"/>
  <c r="AE610" i="1" s="1"/>
  <c r="AD602" i="1"/>
  <c r="AC602" i="1"/>
  <c r="AC603" i="1" s="1"/>
  <c r="AC604" i="1" s="1"/>
  <c r="AB602" i="1"/>
  <c r="AA602" i="1"/>
  <c r="T602" i="1"/>
  <c r="B601" i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C599" i="1"/>
  <c r="C600" i="1" s="1"/>
  <c r="C601" i="1" s="1"/>
  <c r="C602" i="1" s="1"/>
  <c r="C603" i="1" s="1"/>
  <c r="AD598" i="1"/>
  <c r="AD599" i="1" s="1"/>
  <c r="O597" i="1"/>
  <c r="O598" i="1" s="1"/>
  <c r="O599" i="1" s="1"/>
  <c r="O600" i="1" s="1"/>
  <c r="O601" i="1" s="1"/>
  <c r="O602" i="1" s="1"/>
  <c r="O603" i="1" s="1"/>
  <c r="N597" i="1"/>
  <c r="N598" i="1" s="1"/>
  <c r="N599" i="1" s="1"/>
  <c r="N600" i="1" s="1"/>
  <c r="N601" i="1" s="1"/>
  <c r="N602" i="1" s="1"/>
  <c r="N603" i="1" s="1"/>
  <c r="J597" i="1"/>
  <c r="J598" i="1" s="1"/>
  <c r="J599" i="1" s="1"/>
  <c r="J600" i="1" s="1"/>
  <c r="J601" i="1" s="1"/>
  <c r="J602" i="1" s="1"/>
  <c r="J603" i="1" s="1"/>
  <c r="O596" i="1"/>
  <c r="M596" i="1"/>
  <c r="M597" i="1" s="1"/>
  <c r="M598" i="1" s="1"/>
  <c r="M599" i="1" s="1"/>
  <c r="M600" i="1" s="1"/>
  <c r="M601" i="1" s="1"/>
  <c r="M602" i="1" s="1"/>
  <c r="M603" i="1" s="1"/>
  <c r="L596" i="1"/>
  <c r="L597" i="1" s="1"/>
  <c r="L598" i="1" s="1"/>
  <c r="L599" i="1" s="1"/>
  <c r="L600" i="1" s="1"/>
  <c r="L601" i="1" s="1"/>
  <c r="L602" i="1" s="1"/>
  <c r="L603" i="1" s="1"/>
  <c r="B596" i="1"/>
  <c r="B597" i="1" s="1"/>
  <c r="B598" i="1" s="1"/>
  <c r="B599" i="1" s="1"/>
  <c r="B600" i="1" s="1"/>
  <c r="AC595" i="1"/>
  <c r="AC596" i="1" s="1"/>
  <c r="AC597" i="1" s="1"/>
  <c r="AC598" i="1" s="1"/>
  <c r="AC599" i="1" s="1"/>
  <c r="P595" i="1"/>
  <c r="P596" i="1" s="1"/>
  <c r="P597" i="1" s="1"/>
  <c r="P598" i="1" s="1"/>
  <c r="P599" i="1" s="1"/>
  <c r="P600" i="1" s="1"/>
  <c r="P601" i="1" s="1"/>
  <c r="P602" i="1" s="1"/>
  <c r="P603" i="1" s="1"/>
  <c r="O595" i="1"/>
  <c r="N595" i="1"/>
  <c r="N596" i="1" s="1"/>
  <c r="M595" i="1"/>
  <c r="B595" i="1"/>
  <c r="P594" i="1"/>
  <c r="O594" i="1"/>
  <c r="N594" i="1"/>
  <c r="M594" i="1"/>
  <c r="L594" i="1"/>
  <c r="L595" i="1" s="1"/>
  <c r="K594" i="1"/>
  <c r="K595" i="1" s="1"/>
  <c r="K596" i="1" s="1"/>
  <c r="K597" i="1" s="1"/>
  <c r="K598" i="1" s="1"/>
  <c r="K599" i="1" s="1"/>
  <c r="K600" i="1" s="1"/>
  <c r="K601" i="1" s="1"/>
  <c r="K602" i="1" s="1"/>
  <c r="K603" i="1" s="1"/>
  <c r="J594" i="1"/>
  <c r="J595" i="1" s="1"/>
  <c r="J596" i="1" s="1"/>
  <c r="C594" i="1"/>
  <c r="C595" i="1" s="1"/>
  <c r="C596" i="1" s="1"/>
  <c r="C597" i="1" s="1"/>
  <c r="C598" i="1" s="1"/>
  <c r="B594" i="1"/>
  <c r="AX593" i="1"/>
  <c r="AX594" i="1" s="1"/>
  <c r="AX595" i="1" s="1"/>
  <c r="AX596" i="1" s="1"/>
  <c r="AX597" i="1" s="1"/>
  <c r="AX598" i="1" s="1"/>
  <c r="AX599" i="1" s="1"/>
  <c r="AX600" i="1" s="1"/>
  <c r="AX601" i="1" s="1"/>
  <c r="AX602" i="1" s="1"/>
  <c r="AX603" i="1" s="1"/>
  <c r="AX604" i="1" s="1"/>
  <c r="AX605" i="1" s="1"/>
  <c r="AX606" i="1" s="1"/>
  <c r="AX607" i="1" s="1"/>
  <c r="AX608" i="1" s="1"/>
  <c r="AX609" i="1" s="1"/>
  <c r="AX610" i="1" s="1"/>
  <c r="AX611" i="1" s="1"/>
  <c r="AS593" i="1"/>
  <c r="AS594" i="1" s="1"/>
  <c r="AS595" i="1" s="1"/>
  <c r="AS596" i="1" s="1"/>
  <c r="AS597" i="1" s="1"/>
  <c r="AS598" i="1" s="1"/>
  <c r="AS599" i="1" s="1"/>
  <c r="AS600" i="1" s="1"/>
  <c r="AS601" i="1" s="1"/>
  <c r="AS602" i="1" s="1"/>
  <c r="AS603" i="1" s="1"/>
  <c r="AS604" i="1" s="1"/>
  <c r="AS605" i="1" s="1"/>
  <c r="AS606" i="1" s="1"/>
  <c r="AS607" i="1" s="1"/>
  <c r="AS608" i="1" s="1"/>
  <c r="AS609" i="1" s="1"/>
  <c r="AS610" i="1" s="1"/>
  <c r="AS611" i="1" s="1"/>
  <c r="AX592" i="1"/>
  <c r="AW592" i="1"/>
  <c r="AW593" i="1" s="1"/>
  <c r="AW594" i="1" s="1"/>
  <c r="AW595" i="1" s="1"/>
  <c r="AW596" i="1" s="1"/>
  <c r="AW597" i="1" s="1"/>
  <c r="AW598" i="1" s="1"/>
  <c r="AW599" i="1" s="1"/>
  <c r="AW600" i="1" s="1"/>
  <c r="AW601" i="1" s="1"/>
  <c r="AW602" i="1" s="1"/>
  <c r="AW603" i="1" s="1"/>
  <c r="AW604" i="1" s="1"/>
  <c r="AW605" i="1" s="1"/>
  <c r="AW606" i="1" s="1"/>
  <c r="AW607" i="1" s="1"/>
  <c r="AW608" i="1" s="1"/>
  <c r="AW609" i="1" s="1"/>
  <c r="AW610" i="1" s="1"/>
  <c r="AW611" i="1" s="1"/>
  <c r="AV592" i="1"/>
  <c r="AV593" i="1" s="1"/>
  <c r="AV594" i="1" s="1"/>
  <c r="AV595" i="1" s="1"/>
  <c r="AV596" i="1" s="1"/>
  <c r="AV597" i="1" s="1"/>
  <c r="AV598" i="1" s="1"/>
  <c r="AV599" i="1" s="1"/>
  <c r="AV600" i="1" s="1"/>
  <c r="AV601" i="1" s="1"/>
  <c r="AV602" i="1" s="1"/>
  <c r="AV603" i="1" s="1"/>
  <c r="AV604" i="1" s="1"/>
  <c r="AV605" i="1" s="1"/>
  <c r="AV606" i="1" s="1"/>
  <c r="AV607" i="1" s="1"/>
  <c r="AV608" i="1" s="1"/>
  <c r="AV609" i="1" s="1"/>
  <c r="AV610" i="1" s="1"/>
  <c r="AV611" i="1" s="1"/>
  <c r="AU592" i="1"/>
  <c r="AU593" i="1" s="1"/>
  <c r="AU594" i="1" s="1"/>
  <c r="AU595" i="1" s="1"/>
  <c r="AU596" i="1" s="1"/>
  <c r="AU597" i="1" s="1"/>
  <c r="AU598" i="1" s="1"/>
  <c r="AU599" i="1" s="1"/>
  <c r="AU600" i="1" s="1"/>
  <c r="AU601" i="1" s="1"/>
  <c r="AU602" i="1" s="1"/>
  <c r="AU603" i="1" s="1"/>
  <c r="AU604" i="1" s="1"/>
  <c r="AU605" i="1" s="1"/>
  <c r="AU606" i="1" s="1"/>
  <c r="AU607" i="1" s="1"/>
  <c r="AU608" i="1" s="1"/>
  <c r="AU609" i="1" s="1"/>
  <c r="AU610" i="1" s="1"/>
  <c r="AU611" i="1" s="1"/>
  <c r="AT592" i="1"/>
  <c r="AT593" i="1" s="1"/>
  <c r="AT594" i="1" s="1"/>
  <c r="AT595" i="1" s="1"/>
  <c r="AT596" i="1" s="1"/>
  <c r="AT597" i="1" s="1"/>
  <c r="AT598" i="1" s="1"/>
  <c r="AT599" i="1" s="1"/>
  <c r="AT600" i="1" s="1"/>
  <c r="AT601" i="1" s="1"/>
  <c r="AT602" i="1" s="1"/>
  <c r="AT603" i="1" s="1"/>
  <c r="AT604" i="1" s="1"/>
  <c r="AT605" i="1" s="1"/>
  <c r="AT606" i="1" s="1"/>
  <c r="AT607" i="1" s="1"/>
  <c r="AT608" i="1" s="1"/>
  <c r="AT609" i="1" s="1"/>
  <c r="AT610" i="1" s="1"/>
  <c r="AT611" i="1" s="1"/>
  <c r="AK592" i="1"/>
  <c r="AK593" i="1" s="1"/>
  <c r="AK594" i="1" s="1"/>
  <c r="AK595" i="1" s="1"/>
  <c r="AK596" i="1" s="1"/>
  <c r="AK597" i="1" s="1"/>
  <c r="AK598" i="1" s="1"/>
  <c r="AK599" i="1" s="1"/>
  <c r="AK600" i="1" s="1"/>
  <c r="AK601" i="1" s="1"/>
  <c r="AK602" i="1" s="1"/>
  <c r="AK603" i="1" s="1"/>
  <c r="AK604" i="1" s="1"/>
  <c r="AK605" i="1" s="1"/>
  <c r="AK606" i="1" s="1"/>
  <c r="AK607" i="1" s="1"/>
  <c r="AK608" i="1" s="1"/>
  <c r="AK609" i="1" s="1"/>
  <c r="AK610" i="1" s="1"/>
  <c r="AK611" i="1" s="1"/>
  <c r="AX591" i="1"/>
  <c r="AW591" i="1"/>
  <c r="AV591" i="1"/>
  <c r="AU591" i="1"/>
  <c r="AT591" i="1"/>
  <c r="AS591" i="1"/>
  <c r="AS592" i="1" s="1"/>
  <c r="AR591" i="1"/>
  <c r="AR592" i="1" s="1"/>
  <c r="AR593" i="1" s="1"/>
  <c r="AR594" i="1" s="1"/>
  <c r="AR595" i="1" s="1"/>
  <c r="AR596" i="1" s="1"/>
  <c r="AR597" i="1" s="1"/>
  <c r="AR598" i="1" s="1"/>
  <c r="AR599" i="1" s="1"/>
  <c r="AR600" i="1" s="1"/>
  <c r="AR601" i="1" s="1"/>
  <c r="AR602" i="1" s="1"/>
  <c r="AR603" i="1" s="1"/>
  <c r="AR604" i="1" s="1"/>
  <c r="AR605" i="1" s="1"/>
  <c r="AR606" i="1" s="1"/>
  <c r="AR607" i="1" s="1"/>
  <c r="AR608" i="1" s="1"/>
  <c r="AR609" i="1" s="1"/>
  <c r="AR610" i="1" s="1"/>
  <c r="AR611" i="1" s="1"/>
  <c r="AK591" i="1"/>
  <c r="N590" i="1"/>
  <c r="N591" i="1" s="1"/>
  <c r="N592" i="1" s="1"/>
  <c r="AD589" i="1"/>
  <c r="AD590" i="1" s="1"/>
  <c r="AD591" i="1" s="1"/>
  <c r="AD592" i="1" s="1"/>
  <c r="AD593" i="1" s="1"/>
  <c r="AD594" i="1" s="1"/>
  <c r="AD595" i="1" s="1"/>
  <c r="AD596" i="1" s="1"/>
  <c r="AD597" i="1" s="1"/>
  <c r="C589" i="1"/>
  <c r="C590" i="1" s="1"/>
  <c r="C591" i="1" s="1"/>
  <c r="C592" i="1" s="1"/>
  <c r="P588" i="1"/>
  <c r="P589" i="1" s="1"/>
  <c r="P590" i="1" s="1"/>
  <c r="P591" i="1" s="1"/>
  <c r="P592" i="1" s="1"/>
  <c r="AJ587" i="1"/>
  <c r="AJ588" i="1" s="1"/>
  <c r="AJ589" i="1" s="1"/>
  <c r="AJ590" i="1" s="1"/>
  <c r="AJ591" i="1" s="1"/>
  <c r="AJ592" i="1" s="1"/>
  <c r="AJ593" i="1" s="1"/>
  <c r="AJ594" i="1" s="1"/>
  <c r="AJ595" i="1" s="1"/>
  <c r="AJ596" i="1" s="1"/>
  <c r="AJ597" i="1" s="1"/>
  <c r="AJ598" i="1" s="1"/>
  <c r="AJ599" i="1" s="1"/>
  <c r="AJ600" i="1" s="1"/>
  <c r="AJ601" i="1" s="1"/>
  <c r="AJ602" i="1" s="1"/>
  <c r="AJ603" i="1" s="1"/>
  <c r="AJ604" i="1" s="1"/>
  <c r="AJ605" i="1" s="1"/>
  <c r="AJ606" i="1" s="1"/>
  <c r="AJ607" i="1" s="1"/>
  <c r="AJ608" i="1" s="1"/>
  <c r="AJ609" i="1" s="1"/>
  <c r="AJ610" i="1" s="1"/>
  <c r="AJ611" i="1" s="1"/>
  <c r="AJ612" i="1" s="1"/>
  <c r="AJ613" i="1" s="1"/>
  <c r="AJ614" i="1" s="1"/>
  <c r="AJ615" i="1" s="1"/>
  <c r="AJ616" i="1" s="1"/>
  <c r="AJ617" i="1" s="1"/>
  <c r="AJ618" i="1" s="1"/>
  <c r="AJ619" i="1" s="1"/>
  <c r="AJ620" i="1" s="1"/>
  <c r="AJ621" i="1" s="1"/>
  <c r="AJ622" i="1" s="1"/>
  <c r="AJ623" i="1" s="1"/>
  <c r="AJ624" i="1" s="1"/>
  <c r="AJ625" i="1" s="1"/>
  <c r="AJ626" i="1" s="1"/>
  <c r="AJ627" i="1" s="1"/>
  <c r="AJ628" i="1" s="1"/>
  <c r="AJ629" i="1" s="1"/>
  <c r="AJ630" i="1" s="1"/>
  <c r="AJ631" i="1" s="1"/>
  <c r="AJ632" i="1" s="1"/>
  <c r="AJ633" i="1" s="1"/>
  <c r="AJ634" i="1" s="1"/>
  <c r="AJ635" i="1" s="1"/>
  <c r="AJ636" i="1" s="1"/>
  <c r="AJ637" i="1" s="1"/>
  <c r="AJ638" i="1" s="1"/>
  <c r="AA587" i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T587" i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K587" i="1"/>
  <c r="K588" i="1" s="1"/>
  <c r="K589" i="1" s="1"/>
  <c r="K590" i="1" s="1"/>
  <c r="K591" i="1" s="1"/>
  <c r="K592" i="1" s="1"/>
  <c r="J587" i="1"/>
  <c r="J588" i="1" s="1"/>
  <c r="J589" i="1" s="1"/>
  <c r="J590" i="1" s="1"/>
  <c r="J591" i="1" s="1"/>
  <c r="J592" i="1" s="1"/>
  <c r="AC586" i="1"/>
  <c r="AC587" i="1" s="1"/>
  <c r="AC588" i="1" s="1"/>
  <c r="AC589" i="1" s="1"/>
  <c r="AC590" i="1" s="1"/>
  <c r="AC591" i="1" s="1"/>
  <c r="AC592" i="1" s="1"/>
  <c r="AC593" i="1" s="1"/>
  <c r="AC594" i="1" s="1"/>
  <c r="AB586" i="1"/>
  <c r="AB587" i="1" s="1"/>
  <c r="AB588" i="1" s="1"/>
  <c r="AB589" i="1" s="1"/>
  <c r="AB590" i="1" s="1"/>
  <c r="AB591" i="1" s="1"/>
  <c r="AB592" i="1" s="1"/>
  <c r="AB593" i="1" s="1"/>
  <c r="AB594" i="1" s="1"/>
  <c r="AB595" i="1" s="1"/>
  <c r="AB596" i="1" s="1"/>
  <c r="AB597" i="1" s="1"/>
  <c r="AB598" i="1" s="1"/>
  <c r="AB599" i="1" s="1"/>
  <c r="M586" i="1"/>
  <c r="M587" i="1" s="1"/>
  <c r="M588" i="1" s="1"/>
  <c r="M589" i="1" s="1"/>
  <c r="M590" i="1" s="1"/>
  <c r="M591" i="1" s="1"/>
  <c r="M592" i="1" s="1"/>
  <c r="J586" i="1"/>
  <c r="C586" i="1"/>
  <c r="C587" i="1" s="1"/>
  <c r="C588" i="1" s="1"/>
  <c r="AB585" i="1"/>
  <c r="P585" i="1"/>
  <c r="P586" i="1" s="1"/>
  <c r="P587" i="1" s="1"/>
  <c r="O585" i="1"/>
  <c r="O586" i="1" s="1"/>
  <c r="O587" i="1" s="1"/>
  <c r="O588" i="1" s="1"/>
  <c r="O589" i="1" s="1"/>
  <c r="O590" i="1" s="1"/>
  <c r="O591" i="1" s="1"/>
  <c r="O592" i="1" s="1"/>
  <c r="N585" i="1"/>
  <c r="N586" i="1" s="1"/>
  <c r="N587" i="1" s="1"/>
  <c r="N588" i="1" s="1"/>
  <c r="N589" i="1" s="1"/>
  <c r="M585" i="1"/>
  <c r="L585" i="1"/>
  <c r="L586" i="1" s="1"/>
  <c r="L587" i="1" s="1"/>
  <c r="L588" i="1" s="1"/>
  <c r="L589" i="1" s="1"/>
  <c r="L590" i="1" s="1"/>
  <c r="L591" i="1" s="1"/>
  <c r="L592" i="1" s="1"/>
  <c r="K585" i="1"/>
  <c r="K586" i="1" s="1"/>
  <c r="J585" i="1"/>
  <c r="C585" i="1"/>
  <c r="AE584" i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B584" i="1"/>
  <c r="AA584" i="1"/>
  <c r="AA585" i="1" s="1"/>
  <c r="AA586" i="1" s="1"/>
  <c r="AG583" i="1"/>
  <c r="AG584" i="1" s="1"/>
  <c r="AG585" i="1" s="1"/>
  <c r="AG586" i="1" s="1"/>
  <c r="AG587" i="1" s="1"/>
  <c r="AG588" i="1" s="1"/>
  <c r="AG589" i="1" s="1"/>
  <c r="AG590" i="1" s="1"/>
  <c r="AG591" i="1" s="1"/>
  <c r="AG592" i="1" s="1"/>
  <c r="AG593" i="1" s="1"/>
  <c r="AG594" i="1" s="1"/>
  <c r="AG595" i="1" s="1"/>
  <c r="AG596" i="1" s="1"/>
  <c r="AG597" i="1" s="1"/>
  <c r="AG598" i="1" s="1"/>
  <c r="AG599" i="1" s="1"/>
  <c r="AF583" i="1"/>
  <c r="AF584" i="1" s="1"/>
  <c r="AF585" i="1" s="1"/>
  <c r="AF586" i="1" s="1"/>
  <c r="AF587" i="1" s="1"/>
  <c r="AF588" i="1" s="1"/>
  <c r="AF589" i="1" s="1"/>
  <c r="AF590" i="1" s="1"/>
  <c r="AF591" i="1" s="1"/>
  <c r="AF592" i="1" s="1"/>
  <c r="AF593" i="1" s="1"/>
  <c r="AF594" i="1" s="1"/>
  <c r="AF595" i="1" s="1"/>
  <c r="AF596" i="1" s="1"/>
  <c r="AF597" i="1" s="1"/>
  <c r="AF598" i="1" s="1"/>
  <c r="AF599" i="1" s="1"/>
  <c r="AE583" i="1"/>
  <c r="AD583" i="1"/>
  <c r="AD584" i="1" s="1"/>
  <c r="AD585" i="1" s="1"/>
  <c r="AD586" i="1" s="1"/>
  <c r="AD587" i="1" s="1"/>
  <c r="AD588" i="1" s="1"/>
  <c r="AC583" i="1"/>
  <c r="AC584" i="1" s="1"/>
  <c r="AC585" i="1" s="1"/>
  <c r="AB583" i="1"/>
  <c r="AA583" i="1"/>
  <c r="T583" i="1"/>
  <c r="T584" i="1" s="1"/>
  <c r="T585" i="1" s="1"/>
  <c r="T586" i="1" s="1"/>
  <c r="AW582" i="1"/>
  <c r="AW583" i="1" s="1"/>
  <c r="AW584" i="1" s="1"/>
  <c r="AW585" i="1" s="1"/>
  <c r="AW586" i="1" s="1"/>
  <c r="AW587" i="1" s="1"/>
  <c r="AW588" i="1" s="1"/>
  <c r="AW589" i="1" s="1"/>
  <c r="AT579" i="1"/>
  <c r="AT580" i="1" s="1"/>
  <c r="AT581" i="1" s="1"/>
  <c r="AT582" i="1" s="1"/>
  <c r="AT583" i="1" s="1"/>
  <c r="AT584" i="1" s="1"/>
  <c r="AT585" i="1" s="1"/>
  <c r="AT586" i="1" s="1"/>
  <c r="AT587" i="1" s="1"/>
  <c r="AT588" i="1" s="1"/>
  <c r="AT589" i="1" s="1"/>
  <c r="AW578" i="1"/>
  <c r="AW579" i="1" s="1"/>
  <c r="AW580" i="1" s="1"/>
  <c r="AW581" i="1" s="1"/>
  <c r="AK576" i="1"/>
  <c r="AK577" i="1" s="1"/>
  <c r="AK578" i="1" s="1"/>
  <c r="AK579" i="1" s="1"/>
  <c r="AK580" i="1" s="1"/>
  <c r="AK581" i="1" s="1"/>
  <c r="AK582" i="1" s="1"/>
  <c r="AK583" i="1" s="1"/>
  <c r="AK584" i="1" s="1"/>
  <c r="AK585" i="1" s="1"/>
  <c r="AK586" i="1" s="1"/>
  <c r="AK587" i="1" s="1"/>
  <c r="AK588" i="1" s="1"/>
  <c r="AK589" i="1" s="1"/>
  <c r="N576" i="1"/>
  <c r="N577" i="1" s="1"/>
  <c r="N578" i="1" s="1"/>
  <c r="N579" i="1" s="1"/>
  <c r="N580" i="1" s="1"/>
  <c r="N581" i="1" s="1"/>
  <c r="N582" i="1" s="1"/>
  <c r="N583" i="1" s="1"/>
  <c r="K576" i="1"/>
  <c r="K577" i="1" s="1"/>
  <c r="K578" i="1" s="1"/>
  <c r="K579" i="1" s="1"/>
  <c r="K580" i="1" s="1"/>
  <c r="K581" i="1" s="1"/>
  <c r="K582" i="1" s="1"/>
  <c r="K583" i="1" s="1"/>
  <c r="AT575" i="1"/>
  <c r="AT576" i="1" s="1"/>
  <c r="AT577" i="1" s="1"/>
  <c r="AT578" i="1" s="1"/>
  <c r="N575" i="1"/>
  <c r="AW574" i="1"/>
  <c r="AW575" i="1" s="1"/>
  <c r="AW576" i="1" s="1"/>
  <c r="AW577" i="1" s="1"/>
  <c r="AT574" i="1"/>
  <c r="AS574" i="1"/>
  <c r="AS575" i="1" s="1"/>
  <c r="AS576" i="1" s="1"/>
  <c r="AS577" i="1" s="1"/>
  <c r="AS578" i="1" s="1"/>
  <c r="AS579" i="1" s="1"/>
  <c r="AS580" i="1" s="1"/>
  <c r="AS581" i="1" s="1"/>
  <c r="AS582" i="1" s="1"/>
  <c r="AS583" i="1" s="1"/>
  <c r="AS584" i="1" s="1"/>
  <c r="AS585" i="1" s="1"/>
  <c r="AS586" i="1" s="1"/>
  <c r="AS587" i="1" s="1"/>
  <c r="AS588" i="1" s="1"/>
  <c r="AS589" i="1" s="1"/>
  <c r="P574" i="1"/>
  <c r="P575" i="1" s="1"/>
  <c r="P576" i="1" s="1"/>
  <c r="P577" i="1" s="1"/>
  <c r="P578" i="1" s="1"/>
  <c r="P579" i="1" s="1"/>
  <c r="P580" i="1" s="1"/>
  <c r="P581" i="1" s="1"/>
  <c r="P582" i="1" s="1"/>
  <c r="P583" i="1" s="1"/>
  <c r="M574" i="1"/>
  <c r="M575" i="1" s="1"/>
  <c r="M576" i="1" s="1"/>
  <c r="M577" i="1" s="1"/>
  <c r="M578" i="1" s="1"/>
  <c r="M579" i="1" s="1"/>
  <c r="M580" i="1" s="1"/>
  <c r="M581" i="1" s="1"/>
  <c r="M582" i="1" s="1"/>
  <c r="M583" i="1" s="1"/>
  <c r="C574" i="1"/>
  <c r="C575" i="1" s="1"/>
  <c r="C576" i="1" s="1"/>
  <c r="C577" i="1" s="1"/>
  <c r="C578" i="1" s="1"/>
  <c r="C579" i="1" s="1"/>
  <c r="C580" i="1" s="1"/>
  <c r="C581" i="1" s="1"/>
  <c r="C582" i="1" s="1"/>
  <c r="C583" i="1" s="1"/>
  <c r="AX573" i="1"/>
  <c r="AX574" i="1" s="1"/>
  <c r="AX575" i="1" s="1"/>
  <c r="AX576" i="1" s="1"/>
  <c r="AX577" i="1" s="1"/>
  <c r="AX578" i="1" s="1"/>
  <c r="AX579" i="1" s="1"/>
  <c r="AX580" i="1" s="1"/>
  <c r="AX581" i="1" s="1"/>
  <c r="AX582" i="1" s="1"/>
  <c r="AX583" i="1" s="1"/>
  <c r="AX584" i="1" s="1"/>
  <c r="AX585" i="1" s="1"/>
  <c r="AX586" i="1" s="1"/>
  <c r="AX587" i="1" s="1"/>
  <c r="AX588" i="1" s="1"/>
  <c r="AX589" i="1" s="1"/>
  <c r="AW573" i="1"/>
  <c r="AV573" i="1"/>
  <c r="AV574" i="1" s="1"/>
  <c r="AV575" i="1" s="1"/>
  <c r="AV576" i="1" s="1"/>
  <c r="AV577" i="1" s="1"/>
  <c r="AV578" i="1" s="1"/>
  <c r="AV579" i="1" s="1"/>
  <c r="AV580" i="1" s="1"/>
  <c r="AV581" i="1" s="1"/>
  <c r="AV582" i="1" s="1"/>
  <c r="AV583" i="1" s="1"/>
  <c r="AV584" i="1" s="1"/>
  <c r="AV585" i="1" s="1"/>
  <c r="AV586" i="1" s="1"/>
  <c r="AV587" i="1" s="1"/>
  <c r="AV588" i="1" s="1"/>
  <c r="AV589" i="1" s="1"/>
  <c r="AU573" i="1"/>
  <c r="AU574" i="1" s="1"/>
  <c r="AU575" i="1" s="1"/>
  <c r="AU576" i="1" s="1"/>
  <c r="AU577" i="1" s="1"/>
  <c r="AU578" i="1" s="1"/>
  <c r="AU579" i="1" s="1"/>
  <c r="AU580" i="1" s="1"/>
  <c r="AU581" i="1" s="1"/>
  <c r="AU582" i="1" s="1"/>
  <c r="AU583" i="1" s="1"/>
  <c r="AU584" i="1" s="1"/>
  <c r="AU585" i="1" s="1"/>
  <c r="AU586" i="1" s="1"/>
  <c r="AU587" i="1" s="1"/>
  <c r="AU588" i="1" s="1"/>
  <c r="AU589" i="1" s="1"/>
  <c r="AT573" i="1"/>
  <c r="AS573" i="1"/>
  <c r="AR573" i="1"/>
  <c r="AR574" i="1" s="1"/>
  <c r="AR575" i="1" s="1"/>
  <c r="AR576" i="1" s="1"/>
  <c r="AR577" i="1" s="1"/>
  <c r="AR578" i="1" s="1"/>
  <c r="AR579" i="1" s="1"/>
  <c r="AR580" i="1" s="1"/>
  <c r="AR581" i="1" s="1"/>
  <c r="AR582" i="1" s="1"/>
  <c r="AR583" i="1" s="1"/>
  <c r="AR584" i="1" s="1"/>
  <c r="AR585" i="1" s="1"/>
  <c r="AR586" i="1" s="1"/>
  <c r="AR587" i="1" s="1"/>
  <c r="AR588" i="1" s="1"/>
  <c r="AR589" i="1" s="1"/>
  <c r="AK573" i="1"/>
  <c r="AK574" i="1" s="1"/>
  <c r="AK575" i="1" s="1"/>
  <c r="P573" i="1"/>
  <c r="K573" i="1"/>
  <c r="K574" i="1" s="1"/>
  <c r="K575" i="1" s="1"/>
  <c r="B573" i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P572" i="1"/>
  <c r="O572" i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N572" i="1"/>
  <c r="N573" i="1" s="1"/>
  <c r="N574" i="1" s="1"/>
  <c r="K572" i="1"/>
  <c r="P571" i="1"/>
  <c r="O571" i="1"/>
  <c r="N571" i="1"/>
  <c r="M571" i="1"/>
  <c r="M572" i="1" s="1"/>
  <c r="M573" i="1" s="1"/>
  <c r="L571" i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K571" i="1"/>
  <c r="J571" i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C571" i="1"/>
  <c r="C572" i="1" s="1"/>
  <c r="C573" i="1" s="1"/>
  <c r="P569" i="1"/>
  <c r="O569" i="1"/>
  <c r="N569" i="1"/>
  <c r="M569" i="1"/>
  <c r="L569" i="1"/>
  <c r="K569" i="1"/>
  <c r="J569" i="1"/>
  <c r="C569" i="1"/>
  <c r="B569" i="1"/>
  <c r="B570" i="1" s="1"/>
  <c r="B571" i="1" s="1"/>
  <c r="B572" i="1" s="1"/>
  <c r="AE565" i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61" i="1"/>
  <c r="AE562" i="1" s="1"/>
  <c r="AE563" i="1" s="1"/>
  <c r="AE564" i="1" s="1"/>
  <c r="AD561" i="1"/>
  <c r="AD562" i="1" s="1"/>
  <c r="AD563" i="1" s="1"/>
  <c r="AD564" i="1" s="1"/>
  <c r="AD565" i="1" s="1"/>
  <c r="AD566" i="1" s="1"/>
  <c r="AD567" i="1" s="1"/>
  <c r="AD568" i="1" s="1"/>
  <c r="AD569" i="1" s="1"/>
  <c r="AD570" i="1" s="1"/>
  <c r="AD571" i="1" s="1"/>
  <c r="AD572" i="1" s="1"/>
  <c r="AD573" i="1" s="1"/>
  <c r="AD574" i="1" s="1"/>
  <c r="AD575" i="1" s="1"/>
  <c r="AD576" i="1" s="1"/>
  <c r="AD577" i="1" s="1"/>
  <c r="AD578" i="1" s="1"/>
  <c r="AD579" i="1" s="1"/>
  <c r="AD580" i="1" s="1"/>
  <c r="AD581" i="1" s="1"/>
  <c r="T561" i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K561" i="1"/>
  <c r="K562" i="1" s="1"/>
  <c r="K563" i="1" s="1"/>
  <c r="K564" i="1" s="1"/>
  <c r="K565" i="1" s="1"/>
  <c r="K566" i="1" s="1"/>
  <c r="K567" i="1" s="1"/>
  <c r="AG560" i="1"/>
  <c r="AG561" i="1" s="1"/>
  <c r="AG562" i="1" s="1"/>
  <c r="AG563" i="1" s="1"/>
  <c r="AG564" i="1" s="1"/>
  <c r="AG565" i="1" s="1"/>
  <c r="AG566" i="1" s="1"/>
  <c r="AG567" i="1" s="1"/>
  <c r="AG568" i="1" s="1"/>
  <c r="AG569" i="1" s="1"/>
  <c r="AG570" i="1" s="1"/>
  <c r="AG571" i="1" s="1"/>
  <c r="AG572" i="1" s="1"/>
  <c r="AG573" i="1" s="1"/>
  <c r="AG574" i="1" s="1"/>
  <c r="AG575" i="1" s="1"/>
  <c r="AG576" i="1" s="1"/>
  <c r="AG577" i="1" s="1"/>
  <c r="AG578" i="1" s="1"/>
  <c r="AG579" i="1" s="1"/>
  <c r="AG580" i="1" s="1"/>
  <c r="AG581" i="1" s="1"/>
  <c r="AD560" i="1"/>
  <c r="AC560" i="1"/>
  <c r="AC561" i="1" s="1"/>
  <c r="AC562" i="1" s="1"/>
  <c r="AC563" i="1" s="1"/>
  <c r="AC564" i="1" s="1"/>
  <c r="AC565" i="1" s="1"/>
  <c r="AC566" i="1" s="1"/>
  <c r="AC567" i="1" s="1"/>
  <c r="AC568" i="1" s="1"/>
  <c r="AC569" i="1" s="1"/>
  <c r="AC570" i="1" s="1"/>
  <c r="AC571" i="1" s="1"/>
  <c r="AC572" i="1" s="1"/>
  <c r="AC573" i="1" s="1"/>
  <c r="AC574" i="1" s="1"/>
  <c r="AC575" i="1" s="1"/>
  <c r="AC576" i="1" s="1"/>
  <c r="AC577" i="1" s="1"/>
  <c r="AC578" i="1" s="1"/>
  <c r="AC579" i="1" s="1"/>
  <c r="AC580" i="1" s="1"/>
  <c r="AC581" i="1" s="1"/>
  <c r="T560" i="1"/>
  <c r="AG559" i="1"/>
  <c r="AF559" i="1"/>
  <c r="AF560" i="1" s="1"/>
  <c r="AF561" i="1" s="1"/>
  <c r="AF562" i="1" s="1"/>
  <c r="AF563" i="1" s="1"/>
  <c r="AF564" i="1" s="1"/>
  <c r="AF565" i="1" s="1"/>
  <c r="AF566" i="1" s="1"/>
  <c r="AF567" i="1" s="1"/>
  <c r="AF568" i="1" s="1"/>
  <c r="AF569" i="1" s="1"/>
  <c r="AF570" i="1" s="1"/>
  <c r="AF571" i="1" s="1"/>
  <c r="AF572" i="1" s="1"/>
  <c r="AF573" i="1" s="1"/>
  <c r="AF574" i="1" s="1"/>
  <c r="AF575" i="1" s="1"/>
  <c r="AF576" i="1" s="1"/>
  <c r="AF577" i="1" s="1"/>
  <c r="AF578" i="1" s="1"/>
  <c r="AF579" i="1" s="1"/>
  <c r="AF580" i="1" s="1"/>
  <c r="AF581" i="1" s="1"/>
  <c r="AC559" i="1"/>
  <c r="S559" i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AG558" i="1"/>
  <c r="AF558" i="1"/>
  <c r="AE558" i="1"/>
  <c r="AE559" i="1" s="1"/>
  <c r="AE560" i="1" s="1"/>
  <c r="AD558" i="1"/>
  <c r="AD559" i="1" s="1"/>
  <c r="AC558" i="1"/>
  <c r="AB558" i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A558" i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T558" i="1"/>
  <c r="T559" i="1" s="1"/>
  <c r="S558" i="1"/>
  <c r="P558" i="1"/>
  <c r="P559" i="1" s="1"/>
  <c r="P560" i="1" s="1"/>
  <c r="P561" i="1" s="1"/>
  <c r="P562" i="1" s="1"/>
  <c r="P563" i="1" s="1"/>
  <c r="P564" i="1" s="1"/>
  <c r="P565" i="1" s="1"/>
  <c r="P566" i="1" s="1"/>
  <c r="P567" i="1" s="1"/>
  <c r="B558" i="1"/>
  <c r="B559" i="1" s="1"/>
  <c r="B560" i="1" s="1"/>
  <c r="B561" i="1" s="1"/>
  <c r="B562" i="1" s="1"/>
  <c r="B563" i="1" s="1"/>
  <c r="B564" i="1" s="1"/>
  <c r="B565" i="1" s="1"/>
  <c r="B566" i="1" s="1"/>
  <c r="B567" i="1" s="1"/>
  <c r="AX557" i="1"/>
  <c r="AX558" i="1" s="1"/>
  <c r="AX559" i="1" s="1"/>
  <c r="AX560" i="1" s="1"/>
  <c r="AX561" i="1" s="1"/>
  <c r="AX562" i="1" s="1"/>
  <c r="AX563" i="1" s="1"/>
  <c r="AX564" i="1" s="1"/>
  <c r="AX565" i="1" s="1"/>
  <c r="AX566" i="1" s="1"/>
  <c r="AX567" i="1" s="1"/>
  <c r="AX568" i="1" s="1"/>
  <c r="AX569" i="1" s="1"/>
  <c r="AX570" i="1" s="1"/>
  <c r="AX571" i="1" s="1"/>
  <c r="N557" i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M557" i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J557" i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AS556" i="1"/>
  <c r="AS557" i="1" s="1"/>
  <c r="AS558" i="1" s="1"/>
  <c r="AS559" i="1" s="1"/>
  <c r="AS560" i="1" s="1"/>
  <c r="AS561" i="1" s="1"/>
  <c r="AS562" i="1" s="1"/>
  <c r="AS563" i="1" s="1"/>
  <c r="AS564" i="1" s="1"/>
  <c r="AS565" i="1" s="1"/>
  <c r="AS566" i="1" s="1"/>
  <c r="AS567" i="1" s="1"/>
  <c r="AS568" i="1" s="1"/>
  <c r="AS569" i="1" s="1"/>
  <c r="AS570" i="1" s="1"/>
  <c r="AS571" i="1" s="1"/>
  <c r="P556" i="1"/>
  <c r="P557" i="1" s="1"/>
  <c r="N556" i="1"/>
  <c r="M556" i="1"/>
  <c r="L556" i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C556" i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AV555" i="1"/>
  <c r="AV556" i="1" s="1"/>
  <c r="AV557" i="1" s="1"/>
  <c r="AV558" i="1" s="1"/>
  <c r="AV559" i="1" s="1"/>
  <c r="AV560" i="1" s="1"/>
  <c r="AV561" i="1" s="1"/>
  <c r="AV562" i="1" s="1"/>
  <c r="AV563" i="1" s="1"/>
  <c r="AV564" i="1" s="1"/>
  <c r="AV565" i="1" s="1"/>
  <c r="AV566" i="1" s="1"/>
  <c r="AV567" i="1" s="1"/>
  <c r="AV568" i="1" s="1"/>
  <c r="AV569" i="1" s="1"/>
  <c r="AV570" i="1" s="1"/>
  <c r="AV571" i="1" s="1"/>
  <c r="P555" i="1"/>
  <c r="O555" i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N555" i="1"/>
  <c r="M555" i="1"/>
  <c r="L555" i="1"/>
  <c r="K555" i="1"/>
  <c r="K556" i="1" s="1"/>
  <c r="K557" i="1" s="1"/>
  <c r="K558" i="1" s="1"/>
  <c r="K559" i="1" s="1"/>
  <c r="K560" i="1" s="1"/>
  <c r="J555" i="1"/>
  <c r="J556" i="1" s="1"/>
  <c r="C555" i="1"/>
  <c r="B555" i="1"/>
  <c r="B556" i="1" s="1"/>
  <c r="B557" i="1" s="1"/>
  <c r="AX554" i="1"/>
  <c r="AX555" i="1" s="1"/>
  <c r="AX556" i="1" s="1"/>
  <c r="AU554" i="1"/>
  <c r="AU555" i="1" s="1"/>
  <c r="AU556" i="1" s="1"/>
  <c r="AU557" i="1" s="1"/>
  <c r="AU558" i="1" s="1"/>
  <c r="AU559" i="1" s="1"/>
  <c r="AU560" i="1" s="1"/>
  <c r="AU561" i="1" s="1"/>
  <c r="AU562" i="1" s="1"/>
  <c r="AU563" i="1" s="1"/>
  <c r="AU564" i="1" s="1"/>
  <c r="AU565" i="1" s="1"/>
  <c r="AU566" i="1" s="1"/>
  <c r="AU567" i="1" s="1"/>
  <c r="AU568" i="1" s="1"/>
  <c r="AU569" i="1" s="1"/>
  <c r="AU570" i="1" s="1"/>
  <c r="AU571" i="1" s="1"/>
  <c r="AT554" i="1"/>
  <c r="AT555" i="1" s="1"/>
  <c r="AT556" i="1" s="1"/>
  <c r="AT557" i="1" s="1"/>
  <c r="AT558" i="1" s="1"/>
  <c r="AT559" i="1" s="1"/>
  <c r="AT560" i="1" s="1"/>
  <c r="AT561" i="1" s="1"/>
  <c r="AT562" i="1" s="1"/>
  <c r="AT563" i="1" s="1"/>
  <c r="AT564" i="1" s="1"/>
  <c r="AT565" i="1" s="1"/>
  <c r="AT566" i="1" s="1"/>
  <c r="AT567" i="1" s="1"/>
  <c r="AT568" i="1" s="1"/>
  <c r="AT569" i="1" s="1"/>
  <c r="AT570" i="1" s="1"/>
  <c r="AT571" i="1" s="1"/>
  <c r="AX553" i="1"/>
  <c r="AW553" i="1"/>
  <c r="AW554" i="1" s="1"/>
  <c r="AW555" i="1" s="1"/>
  <c r="AW556" i="1" s="1"/>
  <c r="AW557" i="1" s="1"/>
  <c r="AW558" i="1" s="1"/>
  <c r="AW559" i="1" s="1"/>
  <c r="AW560" i="1" s="1"/>
  <c r="AW561" i="1" s="1"/>
  <c r="AW562" i="1" s="1"/>
  <c r="AW563" i="1" s="1"/>
  <c r="AW564" i="1" s="1"/>
  <c r="AW565" i="1" s="1"/>
  <c r="AW566" i="1" s="1"/>
  <c r="AW567" i="1" s="1"/>
  <c r="AW568" i="1" s="1"/>
  <c r="AW569" i="1" s="1"/>
  <c r="AW570" i="1" s="1"/>
  <c r="AW571" i="1" s="1"/>
  <c r="AV553" i="1"/>
  <c r="AV554" i="1" s="1"/>
  <c r="AU553" i="1"/>
  <c r="AT553" i="1"/>
  <c r="AS553" i="1"/>
  <c r="AS554" i="1" s="1"/>
  <c r="AS555" i="1" s="1"/>
  <c r="AR553" i="1"/>
  <c r="AR554" i="1" s="1"/>
  <c r="AR555" i="1" s="1"/>
  <c r="AR556" i="1" s="1"/>
  <c r="AR557" i="1" s="1"/>
  <c r="AR558" i="1" s="1"/>
  <c r="AR559" i="1" s="1"/>
  <c r="AR560" i="1" s="1"/>
  <c r="AR561" i="1" s="1"/>
  <c r="AR562" i="1" s="1"/>
  <c r="AR563" i="1" s="1"/>
  <c r="AR564" i="1" s="1"/>
  <c r="AR565" i="1" s="1"/>
  <c r="AR566" i="1" s="1"/>
  <c r="AR567" i="1" s="1"/>
  <c r="AR568" i="1" s="1"/>
  <c r="AR569" i="1" s="1"/>
  <c r="AR570" i="1" s="1"/>
  <c r="AR571" i="1" s="1"/>
  <c r="AK553" i="1"/>
  <c r="AK554" i="1" s="1"/>
  <c r="AK555" i="1" s="1"/>
  <c r="AK556" i="1" s="1"/>
  <c r="AK557" i="1" s="1"/>
  <c r="AK558" i="1" s="1"/>
  <c r="AK559" i="1" s="1"/>
  <c r="AK560" i="1" s="1"/>
  <c r="AK561" i="1" s="1"/>
  <c r="AK562" i="1" s="1"/>
  <c r="AK563" i="1" s="1"/>
  <c r="AK564" i="1" s="1"/>
  <c r="AK565" i="1" s="1"/>
  <c r="AK566" i="1" s="1"/>
  <c r="AK567" i="1" s="1"/>
  <c r="AK568" i="1" s="1"/>
  <c r="AK569" i="1" s="1"/>
  <c r="AK570" i="1" s="1"/>
  <c r="AK571" i="1" s="1"/>
  <c r="AJ540" i="1"/>
  <c r="AJ541" i="1" s="1"/>
  <c r="AJ542" i="1" s="1"/>
  <c r="AJ543" i="1" s="1"/>
  <c r="AJ544" i="1" s="1"/>
  <c r="AJ545" i="1" s="1"/>
  <c r="AJ546" i="1" s="1"/>
  <c r="AJ547" i="1" s="1"/>
  <c r="AJ548" i="1" s="1"/>
  <c r="AJ549" i="1" s="1"/>
  <c r="AJ550" i="1" s="1"/>
  <c r="AJ551" i="1" s="1"/>
  <c r="AJ552" i="1" s="1"/>
  <c r="AJ553" i="1" s="1"/>
  <c r="AJ554" i="1" s="1"/>
  <c r="AJ555" i="1" s="1"/>
  <c r="AJ556" i="1" s="1"/>
  <c r="AJ557" i="1" s="1"/>
  <c r="AJ558" i="1" s="1"/>
  <c r="AJ559" i="1" s="1"/>
  <c r="AJ560" i="1" s="1"/>
  <c r="AJ561" i="1" s="1"/>
  <c r="AJ562" i="1" s="1"/>
  <c r="AJ563" i="1" s="1"/>
  <c r="AJ564" i="1" s="1"/>
  <c r="AJ565" i="1" s="1"/>
  <c r="AJ566" i="1" s="1"/>
  <c r="AJ567" i="1" s="1"/>
  <c r="AJ568" i="1" s="1"/>
  <c r="AJ569" i="1" s="1"/>
  <c r="AJ570" i="1" s="1"/>
  <c r="AJ571" i="1" s="1"/>
  <c r="AJ572" i="1" s="1"/>
  <c r="AJ573" i="1" s="1"/>
  <c r="AJ574" i="1" s="1"/>
  <c r="AJ575" i="1" s="1"/>
  <c r="AJ576" i="1" s="1"/>
  <c r="AJ577" i="1" s="1"/>
  <c r="AJ578" i="1" s="1"/>
  <c r="AJ579" i="1" s="1"/>
  <c r="AJ580" i="1" s="1"/>
  <c r="AJ581" i="1" s="1"/>
  <c r="AJ582" i="1" s="1"/>
  <c r="AJ583" i="1" s="1"/>
  <c r="AJ584" i="1" s="1"/>
  <c r="AJ585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L540" i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C540" i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P539" i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O539" i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N539" i="1"/>
  <c r="M539" i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L539" i="1"/>
  <c r="K539" i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J539" i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C539" i="1"/>
  <c r="AG538" i="1"/>
  <c r="AG539" i="1" s="1"/>
  <c r="AG540" i="1" s="1"/>
  <c r="AG541" i="1" s="1"/>
  <c r="AG542" i="1" s="1"/>
  <c r="AG543" i="1" s="1"/>
  <c r="AG544" i="1" s="1"/>
  <c r="AG545" i="1" s="1"/>
  <c r="AG546" i="1" s="1"/>
  <c r="AG547" i="1" s="1"/>
  <c r="AG548" i="1" s="1"/>
  <c r="AG549" i="1" s="1"/>
  <c r="AG550" i="1" s="1"/>
  <c r="AG551" i="1" s="1"/>
  <c r="AG552" i="1" s="1"/>
  <c r="AG553" i="1" s="1"/>
  <c r="AG554" i="1" s="1"/>
  <c r="AG555" i="1" s="1"/>
  <c r="AG556" i="1" s="1"/>
  <c r="AA538" i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G537" i="1"/>
  <c r="AC537" i="1"/>
  <c r="AC538" i="1" s="1"/>
  <c r="AC539" i="1" s="1"/>
  <c r="AC540" i="1" s="1"/>
  <c r="AC541" i="1" s="1"/>
  <c r="AC542" i="1" s="1"/>
  <c r="AC543" i="1" s="1"/>
  <c r="AC544" i="1" s="1"/>
  <c r="AC545" i="1" s="1"/>
  <c r="AC546" i="1" s="1"/>
  <c r="AC547" i="1" s="1"/>
  <c r="AC548" i="1" s="1"/>
  <c r="AC549" i="1" s="1"/>
  <c r="AC550" i="1" s="1"/>
  <c r="AC551" i="1" s="1"/>
  <c r="AC552" i="1" s="1"/>
  <c r="AC553" i="1" s="1"/>
  <c r="AC554" i="1" s="1"/>
  <c r="AC555" i="1" s="1"/>
  <c r="AC556" i="1" s="1"/>
  <c r="AB537" i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A537" i="1"/>
  <c r="AG536" i="1"/>
  <c r="AF536" i="1"/>
  <c r="AF537" i="1" s="1"/>
  <c r="AF538" i="1" s="1"/>
  <c r="AF539" i="1" s="1"/>
  <c r="AF540" i="1" s="1"/>
  <c r="AF541" i="1" s="1"/>
  <c r="AF542" i="1" s="1"/>
  <c r="AF543" i="1" s="1"/>
  <c r="AF544" i="1" s="1"/>
  <c r="AF545" i="1" s="1"/>
  <c r="AF546" i="1" s="1"/>
  <c r="AF547" i="1" s="1"/>
  <c r="AF548" i="1" s="1"/>
  <c r="AF549" i="1" s="1"/>
  <c r="AF550" i="1" s="1"/>
  <c r="AF551" i="1" s="1"/>
  <c r="AF552" i="1" s="1"/>
  <c r="AF553" i="1" s="1"/>
  <c r="AF554" i="1" s="1"/>
  <c r="AF555" i="1" s="1"/>
  <c r="AF556" i="1" s="1"/>
  <c r="AE536" i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D536" i="1"/>
  <c r="AD537" i="1" s="1"/>
  <c r="AD538" i="1" s="1"/>
  <c r="AD539" i="1" s="1"/>
  <c r="AD540" i="1" s="1"/>
  <c r="AD541" i="1" s="1"/>
  <c r="AD542" i="1" s="1"/>
  <c r="AD543" i="1" s="1"/>
  <c r="AD544" i="1" s="1"/>
  <c r="AD545" i="1" s="1"/>
  <c r="AD546" i="1" s="1"/>
  <c r="AD547" i="1" s="1"/>
  <c r="AD548" i="1" s="1"/>
  <c r="AD549" i="1" s="1"/>
  <c r="AD550" i="1" s="1"/>
  <c r="AD551" i="1" s="1"/>
  <c r="AD552" i="1" s="1"/>
  <c r="AD553" i="1" s="1"/>
  <c r="AD554" i="1" s="1"/>
  <c r="AD555" i="1" s="1"/>
  <c r="AD556" i="1" s="1"/>
  <c r="AC536" i="1"/>
  <c r="AB536" i="1"/>
  <c r="AA536" i="1"/>
  <c r="T536" i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AV535" i="1"/>
  <c r="AV536" i="1" s="1"/>
  <c r="AV537" i="1" s="1"/>
  <c r="AV538" i="1" s="1"/>
  <c r="AV539" i="1" s="1"/>
  <c r="AV540" i="1" s="1"/>
  <c r="AV541" i="1" s="1"/>
  <c r="AV542" i="1" s="1"/>
  <c r="AV543" i="1" s="1"/>
  <c r="AV544" i="1" s="1"/>
  <c r="AV545" i="1" s="1"/>
  <c r="AV546" i="1" s="1"/>
  <c r="AV547" i="1" s="1"/>
  <c r="AV548" i="1" s="1"/>
  <c r="AV549" i="1" s="1"/>
  <c r="AV550" i="1" s="1"/>
  <c r="AV551" i="1" s="1"/>
  <c r="AX534" i="1"/>
  <c r="AX535" i="1" s="1"/>
  <c r="AX536" i="1" s="1"/>
  <c r="AX537" i="1" s="1"/>
  <c r="AX538" i="1" s="1"/>
  <c r="AX539" i="1" s="1"/>
  <c r="AX540" i="1" s="1"/>
  <c r="AX541" i="1" s="1"/>
  <c r="AX542" i="1" s="1"/>
  <c r="AX543" i="1" s="1"/>
  <c r="AX544" i="1" s="1"/>
  <c r="AX545" i="1" s="1"/>
  <c r="AX546" i="1" s="1"/>
  <c r="AX547" i="1" s="1"/>
  <c r="AX548" i="1" s="1"/>
  <c r="AX549" i="1" s="1"/>
  <c r="AX550" i="1" s="1"/>
  <c r="AX551" i="1" s="1"/>
  <c r="AW534" i="1"/>
  <c r="AW535" i="1" s="1"/>
  <c r="AW536" i="1" s="1"/>
  <c r="AW537" i="1" s="1"/>
  <c r="AW538" i="1" s="1"/>
  <c r="AW539" i="1" s="1"/>
  <c r="AW540" i="1" s="1"/>
  <c r="AW541" i="1" s="1"/>
  <c r="AW542" i="1" s="1"/>
  <c r="AW543" i="1" s="1"/>
  <c r="AW544" i="1" s="1"/>
  <c r="AW545" i="1" s="1"/>
  <c r="AW546" i="1" s="1"/>
  <c r="AW547" i="1" s="1"/>
  <c r="AW548" i="1" s="1"/>
  <c r="AW549" i="1" s="1"/>
  <c r="AW550" i="1" s="1"/>
  <c r="AW551" i="1" s="1"/>
  <c r="AV534" i="1"/>
  <c r="N534" i="1"/>
  <c r="N535" i="1" s="1"/>
  <c r="N536" i="1" s="1"/>
  <c r="N537" i="1" s="1"/>
  <c r="J534" i="1"/>
  <c r="J535" i="1" s="1"/>
  <c r="J536" i="1" s="1"/>
  <c r="J537" i="1" s="1"/>
  <c r="C534" i="1"/>
  <c r="C535" i="1" s="1"/>
  <c r="C536" i="1" s="1"/>
  <c r="C537" i="1" s="1"/>
  <c r="AX533" i="1"/>
  <c r="AW533" i="1"/>
  <c r="AV533" i="1"/>
  <c r="AU533" i="1"/>
  <c r="AU534" i="1" s="1"/>
  <c r="AU535" i="1" s="1"/>
  <c r="AU536" i="1" s="1"/>
  <c r="AU537" i="1" s="1"/>
  <c r="AU538" i="1" s="1"/>
  <c r="AU539" i="1" s="1"/>
  <c r="AU540" i="1" s="1"/>
  <c r="AU541" i="1" s="1"/>
  <c r="AU542" i="1" s="1"/>
  <c r="AU543" i="1" s="1"/>
  <c r="AU544" i="1" s="1"/>
  <c r="AU545" i="1" s="1"/>
  <c r="AU546" i="1" s="1"/>
  <c r="AU547" i="1" s="1"/>
  <c r="AU548" i="1" s="1"/>
  <c r="AU549" i="1" s="1"/>
  <c r="AU550" i="1" s="1"/>
  <c r="AU551" i="1" s="1"/>
  <c r="AT533" i="1"/>
  <c r="AT534" i="1" s="1"/>
  <c r="AT535" i="1" s="1"/>
  <c r="AT536" i="1" s="1"/>
  <c r="AT537" i="1" s="1"/>
  <c r="AT538" i="1" s="1"/>
  <c r="AT539" i="1" s="1"/>
  <c r="AT540" i="1" s="1"/>
  <c r="AT541" i="1" s="1"/>
  <c r="AT542" i="1" s="1"/>
  <c r="AT543" i="1" s="1"/>
  <c r="AT544" i="1" s="1"/>
  <c r="AT545" i="1" s="1"/>
  <c r="AT546" i="1" s="1"/>
  <c r="AT547" i="1" s="1"/>
  <c r="AT548" i="1" s="1"/>
  <c r="AT549" i="1" s="1"/>
  <c r="AT550" i="1" s="1"/>
  <c r="AT551" i="1" s="1"/>
  <c r="AS533" i="1"/>
  <c r="AS534" i="1" s="1"/>
  <c r="AS535" i="1" s="1"/>
  <c r="AS536" i="1" s="1"/>
  <c r="AS537" i="1" s="1"/>
  <c r="AS538" i="1" s="1"/>
  <c r="AS539" i="1" s="1"/>
  <c r="AS540" i="1" s="1"/>
  <c r="AS541" i="1" s="1"/>
  <c r="AS542" i="1" s="1"/>
  <c r="AS543" i="1" s="1"/>
  <c r="AS544" i="1" s="1"/>
  <c r="AS545" i="1" s="1"/>
  <c r="AS546" i="1" s="1"/>
  <c r="AS547" i="1" s="1"/>
  <c r="AS548" i="1" s="1"/>
  <c r="AS549" i="1" s="1"/>
  <c r="AS550" i="1" s="1"/>
  <c r="AS551" i="1" s="1"/>
  <c r="AR533" i="1"/>
  <c r="AR534" i="1" s="1"/>
  <c r="AR535" i="1" s="1"/>
  <c r="AR536" i="1" s="1"/>
  <c r="AR537" i="1" s="1"/>
  <c r="AR538" i="1" s="1"/>
  <c r="AR539" i="1" s="1"/>
  <c r="AR540" i="1" s="1"/>
  <c r="AR541" i="1" s="1"/>
  <c r="AR542" i="1" s="1"/>
  <c r="AR543" i="1" s="1"/>
  <c r="AR544" i="1" s="1"/>
  <c r="AR545" i="1" s="1"/>
  <c r="AR546" i="1" s="1"/>
  <c r="AR547" i="1" s="1"/>
  <c r="AR548" i="1" s="1"/>
  <c r="AR549" i="1" s="1"/>
  <c r="AR550" i="1" s="1"/>
  <c r="AR551" i="1" s="1"/>
  <c r="AK533" i="1"/>
  <c r="AK534" i="1" s="1"/>
  <c r="AK535" i="1" s="1"/>
  <c r="AK536" i="1" s="1"/>
  <c r="AK537" i="1" s="1"/>
  <c r="AK538" i="1" s="1"/>
  <c r="AK539" i="1" s="1"/>
  <c r="AK540" i="1" s="1"/>
  <c r="AK541" i="1" s="1"/>
  <c r="AK542" i="1" s="1"/>
  <c r="AK543" i="1" s="1"/>
  <c r="AK544" i="1" s="1"/>
  <c r="AK545" i="1" s="1"/>
  <c r="AK546" i="1" s="1"/>
  <c r="AK547" i="1" s="1"/>
  <c r="AK548" i="1" s="1"/>
  <c r="AK549" i="1" s="1"/>
  <c r="AK550" i="1" s="1"/>
  <c r="AK551" i="1" s="1"/>
  <c r="P533" i="1"/>
  <c r="P534" i="1" s="1"/>
  <c r="P535" i="1" s="1"/>
  <c r="P536" i="1" s="1"/>
  <c r="P537" i="1" s="1"/>
  <c r="O533" i="1"/>
  <c r="O534" i="1" s="1"/>
  <c r="O535" i="1" s="1"/>
  <c r="O536" i="1" s="1"/>
  <c r="O537" i="1" s="1"/>
  <c r="N533" i="1"/>
  <c r="M533" i="1"/>
  <c r="M534" i="1" s="1"/>
  <c r="M535" i="1" s="1"/>
  <c r="M536" i="1" s="1"/>
  <c r="M537" i="1" s="1"/>
  <c r="L533" i="1"/>
  <c r="L534" i="1" s="1"/>
  <c r="L535" i="1" s="1"/>
  <c r="L536" i="1" s="1"/>
  <c r="L537" i="1" s="1"/>
  <c r="K533" i="1"/>
  <c r="K534" i="1" s="1"/>
  <c r="K535" i="1" s="1"/>
  <c r="K536" i="1" s="1"/>
  <c r="K537" i="1" s="1"/>
  <c r="J533" i="1"/>
  <c r="C533" i="1"/>
  <c r="P520" i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O520" i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N520" i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AE519" i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A519" i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T519" i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P519" i="1"/>
  <c r="O519" i="1"/>
  <c r="N519" i="1"/>
  <c r="M519" i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L519" i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K519" i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J519" i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C519" i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AG518" i="1"/>
  <c r="AG519" i="1" s="1"/>
  <c r="AG520" i="1" s="1"/>
  <c r="AG521" i="1" s="1"/>
  <c r="AG522" i="1" s="1"/>
  <c r="AG523" i="1" s="1"/>
  <c r="AG524" i="1" s="1"/>
  <c r="AG525" i="1" s="1"/>
  <c r="AG526" i="1" s="1"/>
  <c r="AG527" i="1" s="1"/>
  <c r="AG528" i="1" s="1"/>
  <c r="AG529" i="1" s="1"/>
  <c r="AG530" i="1" s="1"/>
  <c r="AG531" i="1" s="1"/>
  <c r="AG532" i="1" s="1"/>
  <c r="AG533" i="1" s="1"/>
  <c r="AG534" i="1" s="1"/>
  <c r="AF518" i="1"/>
  <c r="AF519" i="1" s="1"/>
  <c r="AF520" i="1" s="1"/>
  <c r="AF521" i="1" s="1"/>
  <c r="AF522" i="1" s="1"/>
  <c r="AF523" i="1" s="1"/>
  <c r="AF524" i="1" s="1"/>
  <c r="AF525" i="1" s="1"/>
  <c r="AF526" i="1" s="1"/>
  <c r="AF527" i="1" s="1"/>
  <c r="AF528" i="1" s="1"/>
  <c r="AF529" i="1" s="1"/>
  <c r="AF530" i="1" s="1"/>
  <c r="AF531" i="1" s="1"/>
  <c r="AF532" i="1" s="1"/>
  <c r="AF533" i="1" s="1"/>
  <c r="AF534" i="1" s="1"/>
  <c r="AE518" i="1"/>
  <c r="AD518" i="1"/>
  <c r="AD519" i="1" s="1"/>
  <c r="AD520" i="1" s="1"/>
  <c r="AD521" i="1" s="1"/>
  <c r="AD522" i="1" s="1"/>
  <c r="AD523" i="1" s="1"/>
  <c r="AD524" i="1" s="1"/>
  <c r="AD525" i="1" s="1"/>
  <c r="AD526" i="1" s="1"/>
  <c r="AD527" i="1" s="1"/>
  <c r="AD528" i="1" s="1"/>
  <c r="AD529" i="1" s="1"/>
  <c r="AD530" i="1" s="1"/>
  <c r="AD531" i="1" s="1"/>
  <c r="AD532" i="1" s="1"/>
  <c r="AD533" i="1" s="1"/>
  <c r="AD534" i="1" s="1"/>
  <c r="AC518" i="1"/>
  <c r="AC519" i="1" s="1"/>
  <c r="AC520" i="1" s="1"/>
  <c r="AC521" i="1" s="1"/>
  <c r="AC522" i="1" s="1"/>
  <c r="AC523" i="1" s="1"/>
  <c r="AC524" i="1" s="1"/>
  <c r="AC525" i="1" s="1"/>
  <c r="AC526" i="1" s="1"/>
  <c r="AC527" i="1" s="1"/>
  <c r="AC528" i="1" s="1"/>
  <c r="AC529" i="1" s="1"/>
  <c r="AC530" i="1" s="1"/>
  <c r="AC531" i="1" s="1"/>
  <c r="AC532" i="1" s="1"/>
  <c r="AC533" i="1" s="1"/>
  <c r="AC534" i="1" s="1"/>
  <c r="AB518" i="1"/>
  <c r="AB519" i="1" s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A518" i="1"/>
  <c r="T518" i="1"/>
  <c r="B518" i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O516" i="1"/>
  <c r="N516" i="1"/>
  <c r="M516" i="1"/>
  <c r="P515" i="1"/>
  <c r="P516" i="1" s="1"/>
  <c r="O515" i="1"/>
  <c r="N515" i="1"/>
  <c r="M515" i="1"/>
  <c r="L515" i="1"/>
  <c r="L516" i="1" s="1"/>
  <c r="K515" i="1"/>
  <c r="K516" i="1" s="1"/>
  <c r="J515" i="1"/>
  <c r="J516" i="1" s="1"/>
  <c r="C515" i="1"/>
  <c r="C516" i="1" s="1"/>
  <c r="AV514" i="1"/>
  <c r="AV515" i="1" s="1"/>
  <c r="AV516" i="1" s="1"/>
  <c r="AV517" i="1" s="1"/>
  <c r="AV518" i="1" s="1"/>
  <c r="AV519" i="1" s="1"/>
  <c r="AV520" i="1" s="1"/>
  <c r="AV521" i="1" s="1"/>
  <c r="AV522" i="1" s="1"/>
  <c r="AV523" i="1" s="1"/>
  <c r="AV524" i="1" s="1"/>
  <c r="AV525" i="1" s="1"/>
  <c r="AV526" i="1" s="1"/>
  <c r="AV527" i="1" s="1"/>
  <c r="AV528" i="1" s="1"/>
  <c r="AV513" i="1"/>
  <c r="AR513" i="1"/>
  <c r="AR514" i="1" s="1"/>
  <c r="AR515" i="1" s="1"/>
  <c r="AR516" i="1" s="1"/>
  <c r="AR517" i="1" s="1"/>
  <c r="AR518" i="1" s="1"/>
  <c r="AR519" i="1" s="1"/>
  <c r="AR520" i="1" s="1"/>
  <c r="AR521" i="1" s="1"/>
  <c r="AR522" i="1" s="1"/>
  <c r="AR523" i="1" s="1"/>
  <c r="AR524" i="1" s="1"/>
  <c r="AR525" i="1" s="1"/>
  <c r="AR526" i="1" s="1"/>
  <c r="AR527" i="1" s="1"/>
  <c r="AR528" i="1" s="1"/>
  <c r="AK513" i="1"/>
  <c r="AK514" i="1" s="1"/>
  <c r="AK515" i="1" s="1"/>
  <c r="AK516" i="1" s="1"/>
  <c r="AK517" i="1" s="1"/>
  <c r="AK518" i="1" s="1"/>
  <c r="AK519" i="1" s="1"/>
  <c r="AK520" i="1" s="1"/>
  <c r="AK521" i="1" s="1"/>
  <c r="AK522" i="1" s="1"/>
  <c r="AK523" i="1" s="1"/>
  <c r="AK524" i="1" s="1"/>
  <c r="AK525" i="1" s="1"/>
  <c r="AK526" i="1" s="1"/>
  <c r="AK527" i="1" s="1"/>
  <c r="AK528" i="1" s="1"/>
  <c r="AX512" i="1"/>
  <c r="AX513" i="1" s="1"/>
  <c r="AX514" i="1" s="1"/>
  <c r="AX515" i="1" s="1"/>
  <c r="AX516" i="1" s="1"/>
  <c r="AX517" i="1" s="1"/>
  <c r="AX518" i="1" s="1"/>
  <c r="AX519" i="1" s="1"/>
  <c r="AX520" i="1" s="1"/>
  <c r="AX521" i="1" s="1"/>
  <c r="AX522" i="1" s="1"/>
  <c r="AX523" i="1" s="1"/>
  <c r="AX524" i="1" s="1"/>
  <c r="AX525" i="1" s="1"/>
  <c r="AX526" i="1" s="1"/>
  <c r="AX527" i="1" s="1"/>
  <c r="AX528" i="1" s="1"/>
  <c r="AW512" i="1"/>
  <c r="AW513" i="1" s="1"/>
  <c r="AW514" i="1" s="1"/>
  <c r="AW515" i="1" s="1"/>
  <c r="AW516" i="1" s="1"/>
  <c r="AW517" i="1" s="1"/>
  <c r="AW518" i="1" s="1"/>
  <c r="AW519" i="1" s="1"/>
  <c r="AW520" i="1" s="1"/>
  <c r="AW521" i="1" s="1"/>
  <c r="AW522" i="1" s="1"/>
  <c r="AW523" i="1" s="1"/>
  <c r="AW524" i="1" s="1"/>
  <c r="AW525" i="1" s="1"/>
  <c r="AW526" i="1" s="1"/>
  <c r="AW527" i="1" s="1"/>
  <c r="AW528" i="1" s="1"/>
  <c r="AV512" i="1"/>
  <c r="AU512" i="1"/>
  <c r="AU513" i="1" s="1"/>
  <c r="AU514" i="1" s="1"/>
  <c r="AU515" i="1" s="1"/>
  <c r="AU516" i="1" s="1"/>
  <c r="AU517" i="1" s="1"/>
  <c r="AU518" i="1" s="1"/>
  <c r="AU519" i="1" s="1"/>
  <c r="AU520" i="1" s="1"/>
  <c r="AU521" i="1" s="1"/>
  <c r="AU522" i="1" s="1"/>
  <c r="AU523" i="1" s="1"/>
  <c r="AU524" i="1" s="1"/>
  <c r="AU525" i="1" s="1"/>
  <c r="AU526" i="1" s="1"/>
  <c r="AU527" i="1" s="1"/>
  <c r="AU528" i="1" s="1"/>
  <c r="AT512" i="1"/>
  <c r="AT513" i="1" s="1"/>
  <c r="AT514" i="1" s="1"/>
  <c r="AT515" i="1" s="1"/>
  <c r="AT516" i="1" s="1"/>
  <c r="AT517" i="1" s="1"/>
  <c r="AT518" i="1" s="1"/>
  <c r="AT519" i="1" s="1"/>
  <c r="AT520" i="1" s="1"/>
  <c r="AT521" i="1" s="1"/>
  <c r="AT522" i="1" s="1"/>
  <c r="AT523" i="1" s="1"/>
  <c r="AT524" i="1" s="1"/>
  <c r="AT525" i="1" s="1"/>
  <c r="AT526" i="1" s="1"/>
  <c r="AT527" i="1" s="1"/>
  <c r="AT528" i="1" s="1"/>
  <c r="AS512" i="1"/>
  <c r="AS513" i="1" s="1"/>
  <c r="AS514" i="1" s="1"/>
  <c r="AS515" i="1" s="1"/>
  <c r="AS516" i="1" s="1"/>
  <c r="AS517" i="1" s="1"/>
  <c r="AS518" i="1" s="1"/>
  <c r="AS519" i="1" s="1"/>
  <c r="AS520" i="1" s="1"/>
  <c r="AS521" i="1" s="1"/>
  <c r="AS522" i="1" s="1"/>
  <c r="AS523" i="1" s="1"/>
  <c r="AS524" i="1" s="1"/>
  <c r="AS525" i="1" s="1"/>
  <c r="AS526" i="1" s="1"/>
  <c r="AS527" i="1" s="1"/>
  <c r="AS528" i="1" s="1"/>
  <c r="AR512" i="1"/>
  <c r="AK512" i="1"/>
  <c r="AF512" i="1"/>
  <c r="AF513" i="1" s="1"/>
  <c r="AF514" i="1" s="1"/>
  <c r="AF515" i="1" s="1"/>
  <c r="AF516" i="1" s="1"/>
  <c r="AE512" i="1"/>
  <c r="AE513" i="1" s="1"/>
  <c r="AE514" i="1" s="1"/>
  <c r="AE515" i="1" s="1"/>
  <c r="AE516" i="1" s="1"/>
  <c r="AD512" i="1"/>
  <c r="AD513" i="1" s="1"/>
  <c r="AD514" i="1" s="1"/>
  <c r="AD515" i="1" s="1"/>
  <c r="AD516" i="1" s="1"/>
  <c r="AC512" i="1"/>
  <c r="AC513" i="1" s="1"/>
  <c r="AC514" i="1" s="1"/>
  <c r="AC515" i="1" s="1"/>
  <c r="AC516" i="1" s="1"/>
  <c r="AA512" i="1"/>
  <c r="AA513" i="1" s="1"/>
  <c r="AA514" i="1" s="1"/>
  <c r="AA515" i="1" s="1"/>
  <c r="AA516" i="1" s="1"/>
  <c r="T512" i="1"/>
  <c r="T513" i="1" s="1"/>
  <c r="T514" i="1" s="1"/>
  <c r="T515" i="1" s="1"/>
  <c r="T516" i="1" s="1"/>
  <c r="AG511" i="1"/>
  <c r="AG512" i="1" s="1"/>
  <c r="AG513" i="1" s="1"/>
  <c r="AG514" i="1" s="1"/>
  <c r="AG515" i="1" s="1"/>
  <c r="AG516" i="1" s="1"/>
  <c r="AF511" i="1"/>
  <c r="AE511" i="1"/>
  <c r="AD511" i="1"/>
  <c r="AC511" i="1"/>
  <c r="AB511" i="1"/>
  <c r="AB512" i="1" s="1"/>
  <c r="AB513" i="1" s="1"/>
  <c r="AB514" i="1" s="1"/>
  <c r="AB515" i="1" s="1"/>
  <c r="AB516" i="1" s="1"/>
  <c r="AA511" i="1"/>
  <c r="T511" i="1"/>
  <c r="AD507" i="1"/>
  <c r="AD508" i="1" s="1"/>
  <c r="AD509" i="1" s="1"/>
  <c r="T507" i="1"/>
  <c r="T508" i="1" s="1"/>
  <c r="T509" i="1" s="1"/>
  <c r="AG506" i="1"/>
  <c r="AG507" i="1" s="1"/>
  <c r="AG508" i="1" s="1"/>
  <c r="AG509" i="1" s="1"/>
  <c r="AF506" i="1"/>
  <c r="AF507" i="1" s="1"/>
  <c r="AF508" i="1" s="1"/>
  <c r="AF509" i="1" s="1"/>
  <c r="AE506" i="1"/>
  <c r="AE507" i="1" s="1"/>
  <c r="AE508" i="1" s="1"/>
  <c r="AE509" i="1" s="1"/>
  <c r="AD506" i="1"/>
  <c r="AC506" i="1"/>
  <c r="AC507" i="1" s="1"/>
  <c r="AC508" i="1" s="1"/>
  <c r="AC509" i="1" s="1"/>
  <c r="AB506" i="1"/>
  <c r="AB507" i="1" s="1"/>
  <c r="AB508" i="1" s="1"/>
  <c r="AB509" i="1" s="1"/>
  <c r="AA506" i="1"/>
  <c r="AA507" i="1" s="1"/>
  <c r="AA508" i="1" s="1"/>
  <c r="AA509" i="1" s="1"/>
  <c r="T506" i="1"/>
  <c r="N503" i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J503" i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C503" i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P502" i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O502" i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N502" i="1"/>
  <c r="M502" i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L502" i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K502" i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J502" i="1"/>
  <c r="C502" i="1"/>
  <c r="AG499" i="1"/>
  <c r="AG500" i="1" s="1"/>
  <c r="AG501" i="1" s="1"/>
  <c r="AG502" i="1" s="1"/>
  <c r="AG503" i="1" s="1"/>
  <c r="AG504" i="1" s="1"/>
  <c r="AF499" i="1"/>
  <c r="AF500" i="1" s="1"/>
  <c r="AF501" i="1" s="1"/>
  <c r="AF502" i="1" s="1"/>
  <c r="AF503" i="1" s="1"/>
  <c r="AF504" i="1" s="1"/>
  <c r="T499" i="1"/>
  <c r="T500" i="1" s="1"/>
  <c r="T501" i="1" s="1"/>
  <c r="T502" i="1" s="1"/>
  <c r="T503" i="1" s="1"/>
  <c r="T504" i="1" s="1"/>
  <c r="AG498" i="1"/>
  <c r="AF498" i="1"/>
  <c r="AE498" i="1"/>
  <c r="AE499" i="1" s="1"/>
  <c r="AE500" i="1" s="1"/>
  <c r="AE501" i="1" s="1"/>
  <c r="AE502" i="1" s="1"/>
  <c r="AE503" i="1" s="1"/>
  <c r="AE504" i="1" s="1"/>
  <c r="AD498" i="1"/>
  <c r="AD499" i="1" s="1"/>
  <c r="AD500" i="1" s="1"/>
  <c r="AD501" i="1" s="1"/>
  <c r="AD502" i="1" s="1"/>
  <c r="AD503" i="1" s="1"/>
  <c r="AD504" i="1" s="1"/>
  <c r="AC498" i="1"/>
  <c r="AC499" i="1" s="1"/>
  <c r="AC500" i="1" s="1"/>
  <c r="AC501" i="1" s="1"/>
  <c r="AC502" i="1" s="1"/>
  <c r="AC503" i="1" s="1"/>
  <c r="AC504" i="1" s="1"/>
  <c r="AB498" i="1"/>
  <c r="AB499" i="1" s="1"/>
  <c r="AB500" i="1" s="1"/>
  <c r="AB501" i="1" s="1"/>
  <c r="AB502" i="1" s="1"/>
  <c r="AB503" i="1" s="1"/>
  <c r="AB504" i="1" s="1"/>
  <c r="AA498" i="1"/>
  <c r="AA499" i="1" s="1"/>
  <c r="AA500" i="1" s="1"/>
  <c r="AA501" i="1" s="1"/>
  <c r="AA502" i="1" s="1"/>
  <c r="AA503" i="1" s="1"/>
  <c r="AA504" i="1" s="1"/>
  <c r="T498" i="1"/>
  <c r="AU497" i="1"/>
  <c r="AU498" i="1" s="1"/>
  <c r="AU499" i="1" s="1"/>
  <c r="AU500" i="1" s="1"/>
  <c r="AU501" i="1" s="1"/>
  <c r="AU502" i="1" s="1"/>
  <c r="AU503" i="1" s="1"/>
  <c r="AU504" i="1" s="1"/>
  <c r="AU505" i="1" s="1"/>
  <c r="AU506" i="1" s="1"/>
  <c r="AU507" i="1" s="1"/>
  <c r="AU508" i="1" s="1"/>
  <c r="AU509" i="1" s="1"/>
  <c r="AU510" i="1" s="1"/>
  <c r="AU496" i="1"/>
  <c r="AK496" i="1"/>
  <c r="AK497" i="1" s="1"/>
  <c r="AK498" i="1" s="1"/>
  <c r="AK499" i="1" s="1"/>
  <c r="AK500" i="1" s="1"/>
  <c r="AK501" i="1" s="1"/>
  <c r="AK502" i="1" s="1"/>
  <c r="AK503" i="1" s="1"/>
  <c r="AK504" i="1" s="1"/>
  <c r="AK505" i="1" s="1"/>
  <c r="AK506" i="1" s="1"/>
  <c r="AK507" i="1" s="1"/>
  <c r="AK508" i="1" s="1"/>
  <c r="AK509" i="1" s="1"/>
  <c r="AK510" i="1" s="1"/>
  <c r="AX495" i="1"/>
  <c r="AX496" i="1" s="1"/>
  <c r="AX497" i="1" s="1"/>
  <c r="AX498" i="1" s="1"/>
  <c r="AX499" i="1" s="1"/>
  <c r="AX500" i="1" s="1"/>
  <c r="AX501" i="1" s="1"/>
  <c r="AX502" i="1" s="1"/>
  <c r="AX503" i="1" s="1"/>
  <c r="AX504" i="1" s="1"/>
  <c r="AX505" i="1" s="1"/>
  <c r="AX506" i="1" s="1"/>
  <c r="AX507" i="1" s="1"/>
  <c r="AX508" i="1" s="1"/>
  <c r="AX509" i="1" s="1"/>
  <c r="AX510" i="1" s="1"/>
  <c r="AW495" i="1"/>
  <c r="AW496" i="1" s="1"/>
  <c r="AW497" i="1" s="1"/>
  <c r="AW498" i="1" s="1"/>
  <c r="AW499" i="1" s="1"/>
  <c r="AW500" i="1" s="1"/>
  <c r="AW501" i="1" s="1"/>
  <c r="AW502" i="1" s="1"/>
  <c r="AW503" i="1" s="1"/>
  <c r="AW504" i="1" s="1"/>
  <c r="AW505" i="1" s="1"/>
  <c r="AW506" i="1" s="1"/>
  <c r="AW507" i="1" s="1"/>
  <c r="AW508" i="1" s="1"/>
  <c r="AW509" i="1" s="1"/>
  <c r="AW510" i="1" s="1"/>
  <c r="AV495" i="1"/>
  <c r="AV496" i="1" s="1"/>
  <c r="AV497" i="1" s="1"/>
  <c r="AV498" i="1" s="1"/>
  <c r="AV499" i="1" s="1"/>
  <c r="AV500" i="1" s="1"/>
  <c r="AV501" i="1" s="1"/>
  <c r="AV502" i="1" s="1"/>
  <c r="AV503" i="1" s="1"/>
  <c r="AV504" i="1" s="1"/>
  <c r="AV505" i="1" s="1"/>
  <c r="AV506" i="1" s="1"/>
  <c r="AV507" i="1" s="1"/>
  <c r="AV508" i="1" s="1"/>
  <c r="AV509" i="1" s="1"/>
  <c r="AV510" i="1" s="1"/>
  <c r="AU495" i="1"/>
  <c r="AT495" i="1"/>
  <c r="AT496" i="1" s="1"/>
  <c r="AT497" i="1" s="1"/>
  <c r="AT498" i="1" s="1"/>
  <c r="AT499" i="1" s="1"/>
  <c r="AT500" i="1" s="1"/>
  <c r="AT501" i="1" s="1"/>
  <c r="AT502" i="1" s="1"/>
  <c r="AT503" i="1" s="1"/>
  <c r="AT504" i="1" s="1"/>
  <c r="AT505" i="1" s="1"/>
  <c r="AT506" i="1" s="1"/>
  <c r="AT507" i="1" s="1"/>
  <c r="AT508" i="1" s="1"/>
  <c r="AT509" i="1" s="1"/>
  <c r="AT510" i="1" s="1"/>
  <c r="AS495" i="1"/>
  <c r="AS496" i="1" s="1"/>
  <c r="AS497" i="1" s="1"/>
  <c r="AS498" i="1" s="1"/>
  <c r="AS499" i="1" s="1"/>
  <c r="AS500" i="1" s="1"/>
  <c r="AS501" i="1" s="1"/>
  <c r="AS502" i="1" s="1"/>
  <c r="AS503" i="1" s="1"/>
  <c r="AS504" i="1" s="1"/>
  <c r="AS505" i="1" s="1"/>
  <c r="AS506" i="1" s="1"/>
  <c r="AS507" i="1" s="1"/>
  <c r="AS508" i="1" s="1"/>
  <c r="AS509" i="1" s="1"/>
  <c r="AS510" i="1" s="1"/>
  <c r="AR495" i="1"/>
  <c r="AR496" i="1" s="1"/>
  <c r="AR497" i="1" s="1"/>
  <c r="AR498" i="1" s="1"/>
  <c r="AR499" i="1" s="1"/>
  <c r="AR500" i="1" s="1"/>
  <c r="AR501" i="1" s="1"/>
  <c r="AR502" i="1" s="1"/>
  <c r="AR503" i="1" s="1"/>
  <c r="AR504" i="1" s="1"/>
  <c r="AR505" i="1" s="1"/>
  <c r="AR506" i="1" s="1"/>
  <c r="AR507" i="1" s="1"/>
  <c r="AR508" i="1" s="1"/>
  <c r="AR509" i="1" s="1"/>
  <c r="AR510" i="1" s="1"/>
  <c r="AK495" i="1"/>
  <c r="M494" i="1"/>
  <c r="M495" i="1" s="1"/>
  <c r="M496" i="1" s="1"/>
  <c r="M497" i="1" s="1"/>
  <c r="M498" i="1" s="1"/>
  <c r="M499" i="1" s="1"/>
  <c r="M500" i="1" s="1"/>
  <c r="AJ493" i="1"/>
  <c r="AJ494" i="1" s="1"/>
  <c r="AJ495" i="1" s="1"/>
  <c r="AJ496" i="1" s="1"/>
  <c r="AJ497" i="1" s="1"/>
  <c r="AJ498" i="1" s="1"/>
  <c r="AJ499" i="1" s="1"/>
  <c r="AJ500" i="1" s="1"/>
  <c r="AJ501" i="1" s="1"/>
  <c r="AJ502" i="1" s="1"/>
  <c r="AJ503" i="1" s="1"/>
  <c r="AJ504" i="1" s="1"/>
  <c r="AJ505" i="1" s="1"/>
  <c r="AJ506" i="1" s="1"/>
  <c r="AJ507" i="1" s="1"/>
  <c r="AJ508" i="1" s="1"/>
  <c r="AJ509" i="1" s="1"/>
  <c r="AJ510" i="1" s="1"/>
  <c r="AJ511" i="1" s="1"/>
  <c r="AJ512" i="1" s="1"/>
  <c r="AJ513" i="1" s="1"/>
  <c r="AJ514" i="1" s="1"/>
  <c r="AJ515" i="1" s="1"/>
  <c r="AJ516" i="1" s="1"/>
  <c r="AJ517" i="1" s="1"/>
  <c r="AJ518" i="1" s="1"/>
  <c r="AJ519" i="1" s="1"/>
  <c r="AJ520" i="1" s="1"/>
  <c r="AJ521" i="1" s="1"/>
  <c r="AJ522" i="1" s="1"/>
  <c r="AJ523" i="1" s="1"/>
  <c r="AJ524" i="1" s="1"/>
  <c r="AJ525" i="1" s="1"/>
  <c r="AJ526" i="1" s="1"/>
  <c r="AJ527" i="1" s="1"/>
  <c r="AJ528" i="1" s="1"/>
  <c r="AJ529" i="1" s="1"/>
  <c r="AJ530" i="1" s="1"/>
  <c r="AJ531" i="1" s="1"/>
  <c r="AJ532" i="1" s="1"/>
  <c r="AJ533" i="1" s="1"/>
  <c r="AJ534" i="1" s="1"/>
  <c r="AJ535" i="1" s="1"/>
  <c r="AJ536" i="1" s="1"/>
  <c r="AJ537" i="1" s="1"/>
  <c r="AJ538" i="1" s="1"/>
  <c r="P493" i="1"/>
  <c r="P494" i="1" s="1"/>
  <c r="P495" i="1" s="1"/>
  <c r="P496" i="1" s="1"/>
  <c r="P497" i="1" s="1"/>
  <c r="P498" i="1" s="1"/>
  <c r="P499" i="1" s="1"/>
  <c r="P500" i="1" s="1"/>
  <c r="O493" i="1"/>
  <c r="O494" i="1" s="1"/>
  <c r="O495" i="1" s="1"/>
  <c r="O496" i="1" s="1"/>
  <c r="O497" i="1" s="1"/>
  <c r="O498" i="1" s="1"/>
  <c r="O499" i="1" s="1"/>
  <c r="O500" i="1" s="1"/>
  <c r="N493" i="1"/>
  <c r="N494" i="1" s="1"/>
  <c r="N495" i="1" s="1"/>
  <c r="N496" i="1" s="1"/>
  <c r="N497" i="1" s="1"/>
  <c r="N498" i="1" s="1"/>
  <c r="N499" i="1" s="1"/>
  <c r="N500" i="1" s="1"/>
  <c r="M493" i="1"/>
  <c r="C493" i="1"/>
  <c r="C494" i="1" s="1"/>
  <c r="C495" i="1" s="1"/>
  <c r="C496" i="1" s="1"/>
  <c r="C497" i="1" s="1"/>
  <c r="C498" i="1" s="1"/>
  <c r="C499" i="1" s="1"/>
  <c r="C500" i="1" s="1"/>
  <c r="P492" i="1"/>
  <c r="O492" i="1"/>
  <c r="N492" i="1"/>
  <c r="M492" i="1"/>
  <c r="L492" i="1"/>
  <c r="L493" i="1" s="1"/>
  <c r="L494" i="1" s="1"/>
  <c r="L495" i="1" s="1"/>
  <c r="L496" i="1" s="1"/>
  <c r="L497" i="1" s="1"/>
  <c r="L498" i="1" s="1"/>
  <c r="L499" i="1" s="1"/>
  <c r="L500" i="1" s="1"/>
  <c r="K492" i="1"/>
  <c r="K493" i="1" s="1"/>
  <c r="K494" i="1" s="1"/>
  <c r="K495" i="1" s="1"/>
  <c r="K496" i="1" s="1"/>
  <c r="K497" i="1" s="1"/>
  <c r="K498" i="1" s="1"/>
  <c r="K499" i="1" s="1"/>
  <c r="K500" i="1" s="1"/>
  <c r="J492" i="1"/>
  <c r="J493" i="1" s="1"/>
  <c r="J494" i="1" s="1"/>
  <c r="J495" i="1" s="1"/>
  <c r="J496" i="1" s="1"/>
  <c r="J497" i="1" s="1"/>
  <c r="J498" i="1" s="1"/>
  <c r="J499" i="1" s="1"/>
  <c r="J500" i="1" s="1"/>
  <c r="C492" i="1"/>
  <c r="B492" i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491" i="1"/>
  <c r="AC482" i="1"/>
  <c r="AC483" i="1" s="1"/>
  <c r="AC484" i="1" s="1"/>
  <c r="AC485" i="1" s="1"/>
  <c r="AC486" i="1" s="1"/>
  <c r="AC487" i="1" s="1"/>
  <c r="AC488" i="1" s="1"/>
  <c r="AC489" i="1" s="1"/>
  <c r="AC490" i="1" s="1"/>
  <c r="AC491" i="1" s="1"/>
  <c r="AC492" i="1" s="1"/>
  <c r="AC493" i="1" s="1"/>
  <c r="AC494" i="1" s="1"/>
  <c r="AC495" i="1" s="1"/>
  <c r="AC496" i="1" s="1"/>
  <c r="AF481" i="1"/>
  <c r="AF482" i="1" s="1"/>
  <c r="AF483" i="1" s="1"/>
  <c r="AF484" i="1" s="1"/>
  <c r="AF485" i="1" s="1"/>
  <c r="AF486" i="1" s="1"/>
  <c r="AF487" i="1" s="1"/>
  <c r="AF488" i="1" s="1"/>
  <c r="AF489" i="1" s="1"/>
  <c r="AF490" i="1" s="1"/>
  <c r="AF491" i="1" s="1"/>
  <c r="AF492" i="1" s="1"/>
  <c r="AF493" i="1" s="1"/>
  <c r="AF494" i="1" s="1"/>
  <c r="AF495" i="1" s="1"/>
  <c r="AF496" i="1" s="1"/>
  <c r="AD481" i="1"/>
  <c r="AD482" i="1" s="1"/>
  <c r="AD483" i="1" s="1"/>
  <c r="AD484" i="1" s="1"/>
  <c r="AD485" i="1" s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6" i="1" s="1"/>
  <c r="AC481" i="1"/>
  <c r="AB481" i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L481" i="1"/>
  <c r="L482" i="1" s="1"/>
  <c r="L483" i="1" s="1"/>
  <c r="L484" i="1" s="1"/>
  <c r="L485" i="1" s="1"/>
  <c r="L486" i="1" s="1"/>
  <c r="L487" i="1" s="1"/>
  <c r="L488" i="1" s="1"/>
  <c r="L489" i="1" s="1"/>
  <c r="J481" i="1"/>
  <c r="J482" i="1" s="1"/>
  <c r="J483" i="1" s="1"/>
  <c r="J484" i="1" s="1"/>
  <c r="J485" i="1" s="1"/>
  <c r="J486" i="1" s="1"/>
  <c r="J487" i="1" s="1"/>
  <c r="J488" i="1" s="1"/>
  <c r="J489" i="1" s="1"/>
  <c r="AS480" i="1"/>
  <c r="AS481" i="1" s="1"/>
  <c r="AS482" i="1" s="1"/>
  <c r="AS483" i="1" s="1"/>
  <c r="AS484" i="1" s="1"/>
  <c r="AS485" i="1" s="1"/>
  <c r="AS486" i="1" s="1"/>
  <c r="AS487" i="1" s="1"/>
  <c r="AS488" i="1" s="1"/>
  <c r="AS489" i="1" s="1"/>
  <c r="AS490" i="1" s="1"/>
  <c r="AS491" i="1" s="1"/>
  <c r="AS492" i="1" s="1"/>
  <c r="AS493" i="1" s="1"/>
  <c r="AK480" i="1"/>
  <c r="AK481" i="1" s="1"/>
  <c r="AK482" i="1" s="1"/>
  <c r="AK483" i="1" s="1"/>
  <c r="AK484" i="1" s="1"/>
  <c r="AK485" i="1" s="1"/>
  <c r="AK486" i="1" s="1"/>
  <c r="AK487" i="1" s="1"/>
  <c r="AK488" i="1" s="1"/>
  <c r="AK489" i="1" s="1"/>
  <c r="AK490" i="1" s="1"/>
  <c r="AK491" i="1" s="1"/>
  <c r="AK492" i="1" s="1"/>
  <c r="AK493" i="1" s="1"/>
  <c r="AG480" i="1"/>
  <c r="AG481" i="1" s="1"/>
  <c r="AG482" i="1" s="1"/>
  <c r="AG483" i="1" s="1"/>
  <c r="AG484" i="1" s="1"/>
  <c r="AG485" i="1" s="1"/>
  <c r="AG486" i="1" s="1"/>
  <c r="AG487" i="1" s="1"/>
  <c r="AG488" i="1" s="1"/>
  <c r="AG489" i="1" s="1"/>
  <c r="AG490" i="1" s="1"/>
  <c r="AG491" i="1" s="1"/>
  <c r="AG492" i="1" s="1"/>
  <c r="AG493" i="1" s="1"/>
  <c r="AG494" i="1" s="1"/>
  <c r="AG495" i="1" s="1"/>
  <c r="AG496" i="1" s="1"/>
  <c r="AF480" i="1"/>
  <c r="AE480" i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D480" i="1"/>
  <c r="AC480" i="1"/>
  <c r="AB480" i="1"/>
  <c r="AA480" i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T480" i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S480" i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M480" i="1"/>
  <c r="M481" i="1" s="1"/>
  <c r="M482" i="1" s="1"/>
  <c r="M483" i="1" s="1"/>
  <c r="M484" i="1" s="1"/>
  <c r="M485" i="1" s="1"/>
  <c r="M486" i="1" s="1"/>
  <c r="M487" i="1" s="1"/>
  <c r="M488" i="1" s="1"/>
  <c r="M489" i="1" s="1"/>
  <c r="L480" i="1"/>
  <c r="K480" i="1"/>
  <c r="K481" i="1" s="1"/>
  <c r="K482" i="1" s="1"/>
  <c r="K483" i="1" s="1"/>
  <c r="K484" i="1" s="1"/>
  <c r="K485" i="1" s="1"/>
  <c r="K486" i="1" s="1"/>
  <c r="K487" i="1" s="1"/>
  <c r="K488" i="1" s="1"/>
  <c r="K489" i="1" s="1"/>
  <c r="AX479" i="1"/>
  <c r="AX480" i="1" s="1"/>
  <c r="AX481" i="1" s="1"/>
  <c r="AX482" i="1" s="1"/>
  <c r="AX483" i="1" s="1"/>
  <c r="AX484" i="1" s="1"/>
  <c r="AX485" i="1" s="1"/>
  <c r="AX486" i="1" s="1"/>
  <c r="AX487" i="1" s="1"/>
  <c r="AX488" i="1" s="1"/>
  <c r="AX489" i="1" s="1"/>
  <c r="AX490" i="1" s="1"/>
  <c r="AX491" i="1" s="1"/>
  <c r="AX492" i="1" s="1"/>
  <c r="AX493" i="1" s="1"/>
  <c r="AW479" i="1"/>
  <c r="AW480" i="1" s="1"/>
  <c r="AW481" i="1" s="1"/>
  <c r="AW482" i="1" s="1"/>
  <c r="AW483" i="1" s="1"/>
  <c r="AW484" i="1" s="1"/>
  <c r="AW485" i="1" s="1"/>
  <c r="AW486" i="1" s="1"/>
  <c r="AW487" i="1" s="1"/>
  <c r="AW488" i="1" s="1"/>
  <c r="AW489" i="1" s="1"/>
  <c r="AW490" i="1" s="1"/>
  <c r="AW491" i="1" s="1"/>
  <c r="AW492" i="1" s="1"/>
  <c r="AW493" i="1" s="1"/>
  <c r="AV479" i="1"/>
  <c r="AV480" i="1" s="1"/>
  <c r="AV481" i="1" s="1"/>
  <c r="AV482" i="1" s="1"/>
  <c r="AV483" i="1" s="1"/>
  <c r="AV484" i="1" s="1"/>
  <c r="AV485" i="1" s="1"/>
  <c r="AV486" i="1" s="1"/>
  <c r="AV487" i="1" s="1"/>
  <c r="AV488" i="1" s="1"/>
  <c r="AV489" i="1" s="1"/>
  <c r="AV490" i="1" s="1"/>
  <c r="AV491" i="1" s="1"/>
  <c r="AV492" i="1" s="1"/>
  <c r="AV493" i="1" s="1"/>
  <c r="AU479" i="1"/>
  <c r="AU480" i="1" s="1"/>
  <c r="AU481" i="1" s="1"/>
  <c r="AU482" i="1" s="1"/>
  <c r="AU483" i="1" s="1"/>
  <c r="AU484" i="1" s="1"/>
  <c r="AU485" i="1" s="1"/>
  <c r="AU486" i="1" s="1"/>
  <c r="AU487" i="1" s="1"/>
  <c r="AU488" i="1" s="1"/>
  <c r="AU489" i="1" s="1"/>
  <c r="AU490" i="1" s="1"/>
  <c r="AU491" i="1" s="1"/>
  <c r="AU492" i="1" s="1"/>
  <c r="AU493" i="1" s="1"/>
  <c r="AT479" i="1"/>
  <c r="AT480" i="1" s="1"/>
  <c r="AT481" i="1" s="1"/>
  <c r="AT482" i="1" s="1"/>
  <c r="AT483" i="1" s="1"/>
  <c r="AT484" i="1" s="1"/>
  <c r="AT485" i="1" s="1"/>
  <c r="AT486" i="1" s="1"/>
  <c r="AT487" i="1" s="1"/>
  <c r="AT488" i="1" s="1"/>
  <c r="AT489" i="1" s="1"/>
  <c r="AT490" i="1" s="1"/>
  <c r="AT491" i="1" s="1"/>
  <c r="AT492" i="1" s="1"/>
  <c r="AT493" i="1" s="1"/>
  <c r="AS479" i="1"/>
  <c r="AR479" i="1"/>
  <c r="AR480" i="1" s="1"/>
  <c r="AR481" i="1" s="1"/>
  <c r="AR482" i="1" s="1"/>
  <c r="AR483" i="1" s="1"/>
  <c r="AR484" i="1" s="1"/>
  <c r="AR485" i="1" s="1"/>
  <c r="AR486" i="1" s="1"/>
  <c r="AR487" i="1" s="1"/>
  <c r="AR488" i="1" s="1"/>
  <c r="AR489" i="1" s="1"/>
  <c r="AR490" i="1" s="1"/>
  <c r="AR491" i="1" s="1"/>
  <c r="AR492" i="1" s="1"/>
  <c r="AR493" i="1" s="1"/>
  <c r="AK479" i="1"/>
  <c r="L479" i="1"/>
  <c r="K479" i="1"/>
  <c r="J479" i="1"/>
  <c r="J480" i="1" s="1"/>
  <c r="C479" i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P478" i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O478" i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N478" i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M478" i="1"/>
  <c r="M479" i="1" s="1"/>
  <c r="L478" i="1"/>
  <c r="K478" i="1"/>
  <c r="J478" i="1"/>
  <c r="C478" i="1"/>
  <c r="P476" i="1"/>
  <c r="O476" i="1"/>
  <c r="N476" i="1"/>
  <c r="P475" i="1"/>
  <c r="O475" i="1"/>
  <c r="N475" i="1"/>
  <c r="M475" i="1"/>
  <c r="M476" i="1" s="1"/>
  <c r="L475" i="1"/>
  <c r="L476" i="1" s="1"/>
  <c r="K475" i="1"/>
  <c r="K476" i="1" s="1"/>
  <c r="J475" i="1"/>
  <c r="J476" i="1" s="1"/>
  <c r="C475" i="1"/>
  <c r="C476" i="1" s="1"/>
  <c r="J472" i="1"/>
  <c r="J473" i="1" s="1"/>
  <c r="M471" i="1"/>
  <c r="M472" i="1" s="1"/>
  <c r="M473" i="1" s="1"/>
  <c r="K471" i="1"/>
  <c r="K472" i="1" s="1"/>
  <c r="K473" i="1" s="1"/>
  <c r="AR470" i="1"/>
  <c r="AR471" i="1" s="1"/>
  <c r="AR472" i="1" s="1"/>
  <c r="AR473" i="1" s="1"/>
  <c r="AR474" i="1" s="1"/>
  <c r="AR475" i="1" s="1"/>
  <c r="AR476" i="1" s="1"/>
  <c r="P470" i="1"/>
  <c r="P471" i="1" s="1"/>
  <c r="P472" i="1" s="1"/>
  <c r="P473" i="1" s="1"/>
  <c r="N470" i="1"/>
  <c r="N471" i="1" s="1"/>
  <c r="N472" i="1" s="1"/>
  <c r="N473" i="1" s="1"/>
  <c r="M470" i="1"/>
  <c r="L470" i="1"/>
  <c r="L471" i="1" s="1"/>
  <c r="L472" i="1" s="1"/>
  <c r="L473" i="1" s="1"/>
  <c r="P469" i="1"/>
  <c r="O469" i="1"/>
  <c r="O470" i="1" s="1"/>
  <c r="O471" i="1" s="1"/>
  <c r="O472" i="1" s="1"/>
  <c r="O473" i="1" s="1"/>
  <c r="N469" i="1"/>
  <c r="M469" i="1"/>
  <c r="L469" i="1"/>
  <c r="K469" i="1"/>
  <c r="K470" i="1" s="1"/>
  <c r="J469" i="1"/>
  <c r="J470" i="1" s="1"/>
  <c r="J471" i="1" s="1"/>
  <c r="C469" i="1"/>
  <c r="C470" i="1" s="1"/>
  <c r="C471" i="1" s="1"/>
  <c r="C472" i="1" s="1"/>
  <c r="C473" i="1" s="1"/>
  <c r="O467" i="1"/>
  <c r="O463" i="1"/>
  <c r="O464" i="1" s="1"/>
  <c r="O465" i="1" s="1"/>
  <c r="O466" i="1" s="1"/>
  <c r="AT462" i="1"/>
  <c r="AT463" i="1" s="1"/>
  <c r="AT464" i="1" s="1"/>
  <c r="AT465" i="1" s="1"/>
  <c r="AT466" i="1" s="1"/>
  <c r="AT467" i="1" s="1"/>
  <c r="AT468" i="1" s="1"/>
  <c r="AT469" i="1" s="1"/>
  <c r="AT470" i="1" s="1"/>
  <c r="AT471" i="1" s="1"/>
  <c r="AT472" i="1" s="1"/>
  <c r="AT473" i="1" s="1"/>
  <c r="AT474" i="1" s="1"/>
  <c r="AT475" i="1" s="1"/>
  <c r="AT476" i="1" s="1"/>
  <c r="B462" i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C461" i="1"/>
  <c r="C462" i="1" s="1"/>
  <c r="C463" i="1" s="1"/>
  <c r="C464" i="1" s="1"/>
  <c r="C465" i="1" s="1"/>
  <c r="C466" i="1" s="1"/>
  <c r="C467" i="1" s="1"/>
  <c r="B461" i="1"/>
  <c r="AE460" i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N460" i="1"/>
  <c r="N461" i="1" s="1"/>
  <c r="N462" i="1" s="1"/>
  <c r="N463" i="1" s="1"/>
  <c r="N464" i="1" s="1"/>
  <c r="N465" i="1" s="1"/>
  <c r="N466" i="1" s="1"/>
  <c r="N467" i="1" s="1"/>
  <c r="B460" i="1"/>
  <c r="O459" i="1"/>
  <c r="O460" i="1" s="1"/>
  <c r="O461" i="1" s="1"/>
  <c r="O462" i="1" s="1"/>
  <c r="N459" i="1"/>
  <c r="M459" i="1"/>
  <c r="M460" i="1" s="1"/>
  <c r="M461" i="1" s="1"/>
  <c r="M462" i="1" s="1"/>
  <c r="M463" i="1" s="1"/>
  <c r="M464" i="1" s="1"/>
  <c r="M465" i="1" s="1"/>
  <c r="M466" i="1" s="1"/>
  <c r="M467" i="1" s="1"/>
  <c r="AU458" i="1"/>
  <c r="AU459" i="1" s="1"/>
  <c r="AU460" i="1" s="1"/>
  <c r="AU461" i="1" s="1"/>
  <c r="AU462" i="1" s="1"/>
  <c r="AU463" i="1" s="1"/>
  <c r="AU464" i="1" s="1"/>
  <c r="AU465" i="1" s="1"/>
  <c r="AU466" i="1" s="1"/>
  <c r="AU467" i="1" s="1"/>
  <c r="AU468" i="1" s="1"/>
  <c r="AU469" i="1" s="1"/>
  <c r="AU470" i="1" s="1"/>
  <c r="AU471" i="1" s="1"/>
  <c r="AU472" i="1" s="1"/>
  <c r="AU473" i="1" s="1"/>
  <c r="AU474" i="1" s="1"/>
  <c r="AU475" i="1" s="1"/>
  <c r="AU476" i="1" s="1"/>
  <c r="AS458" i="1"/>
  <c r="AS459" i="1" s="1"/>
  <c r="AS460" i="1" s="1"/>
  <c r="AS461" i="1" s="1"/>
  <c r="AS462" i="1" s="1"/>
  <c r="AS463" i="1" s="1"/>
  <c r="AS464" i="1" s="1"/>
  <c r="AS465" i="1" s="1"/>
  <c r="AS466" i="1" s="1"/>
  <c r="AS467" i="1" s="1"/>
  <c r="AS468" i="1" s="1"/>
  <c r="AS469" i="1" s="1"/>
  <c r="AS470" i="1" s="1"/>
  <c r="AS471" i="1" s="1"/>
  <c r="AS472" i="1" s="1"/>
  <c r="AS473" i="1" s="1"/>
  <c r="AS474" i="1" s="1"/>
  <c r="AS475" i="1" s="1"/>
  <c r="AS476" i="1" s="1"/>
  <c r="AR458" i="1"/>
  <c r="AR459" i="1" s="1"/>
  <c r="AR460" i="1" s="1"/>
  <c r="AR461" i="1" s="1"/>
  <c r="AR462" i="1" s="1"/>
  <c r="AR463" i="1" s="1"/>
  <c r="AR464" i="1" s="1"/>
  <c r="AR465" i="1" s="1"/>
  <c r="AR466" i="1" s="1"/>
  <c r="AR467" i="1" s="1"/>
  <c r="AR468" i="1" s="1"/>
  <c r="AR469" i="1" s="1"/>
  <c r="P458" i="1"/>
  <c r="P459" i="1" s="1"/>
  <c r="P460" i="1" s="1"/>
  <c r="P461" i="1" s="1"/>
  <c r="P462" i="1" s="1"/>
  <c r="P463" i="1" s="1"/>
  <c r="P464" i="1" s="1"/>
  <c r="P465" i="1" s="1"/>
  <c r="P466" i="1" s="1"/>
  <c r="P467" i="1" s="1"/>
  <c r="O458" i="1"/>
  <c r="N458" i="1"/>
  <c r="M458" i="1"/>
  <c r="L458" i="1"/>
  <c r="L459" i="1" s="1"/>
  <c r="L460" i="1" s="1"/>
  <c r="L461" i="1" s="1"/>
  <c r="L462" i="1" s="1"/>
  <c r="L463" i="1" s="1"/>
  <c r="L464" i="1" s="1"/>
  <c r="L465" i="1" s="1"/>
  <c r="L466" i="1" s="1"/>
  <c r="L467" i="1" s="1"/>
  <c r="K458" i="1"/>
  <c r="K459" i="1" s="1"/>
  <c r="K460" i="1" s="1"/>
  <c r="K461" i="1" s="1"/>
  <c r="K462" i="1" s="1"/>
  <c r="K463" i="1" s="1"/>
  <c r="K464" i="1" s="1"/>
  <c r="K465" i="1" s="1"/>
  <c r="K466" i="1" s="1"/>
  <c r="K467" i="1" s="1"/>
  <c r="J458" i="1"/>
  <c r="J459" i="1" s="1"/>
  <c r="J460" i="1" s="1"/>
  <c r="J461" i="1" s="1"/>
  <c r="J462" i="1" s="1"/>
  <c r="J463" i="1" s="1"/>
  <c r="J464" i="1" s="1"/>
  <c r="J465" i="1" s="1"/>
  <c r="J466" i="1" s="1"/>
  <c r="J467" i="1" s="1"/>
  <c r="C458" i="1"/>
  <c r="C459" i="1" s="1"/>
  <c r="C460" i="1" s="1"/>
  <c r="AX457" i="1"/>
  <c r="AX458" i="1" s="1"/>
  <c r="AX459" i="1" s="1"/>
  <c r="AX460" i="1" s="1"/>
  <c r="AX461" i="1" s="1"/>
  <c r="AX462" i="1" s="1"/>
  <c r="AX463" i="1" s="1"/>
  <c r="AX464" i="1" s="1"/>
  <c r="AX465" i="1" s="1"/>
  <c r="AX466" i="1" s="1"/>
  <c r="AX467" i="1" s="1"/>
  <c r="AX468" i="1" s="1"/>
  <c r="AX469" i="1" s="1"/>
  <c r="AX470" i="1" s="1"/>
  <c r="AX471" i="1" s="1"/>
  <c r="AX472" i="1" s="1"/>
  <c r="AX473" i="1" s="1"/>
  <c r="AX474" i="1" s="1"/>
  <c r="AX475" i="1" s="1"/>
  <c r="AX476" i="1" s="1"/>
  <c r="AU457" i="1"/>
  <c r="AT457" i="1"/>
  <c r="AT458" i="1" s="1"/>
  <c r="AT459" i="1" s="1"/>
  <c r="AT460" i="1" s="1"/>
  <c r="AT461" i="1" s="1"/>
  <c r="AR457" i="1"/>
  <c r="AG457" i="1"/>
  <c r="AG458" i="1" s="1"/>
  <c r="AG459" i="1" s="1"/>
  <c r="AG460" i="1" s="1"/>
  <c r="AG461" i="1" s="1"/>
  <c r="AG462" i="1" s="1"/>
  <c r="AG463" i="1" s="1"/>
  <c r="AG464" i="1" s="1"/>
  <c r="AG465" i="1" s="1"/>
  <c r="AG466" i="1" s="1"/>
  <c r="AG467" i="1" s="1"/>
  <c r="AG468" i="1" s="1"/>
  <c r="AG469" i="1" s="1"/>
  <c r="AG470" i="1" s="1"/>
  <c r="AG471" i="1" s="1"/>
  <c r="AG472" i="1" s="1"/>
  <c r="AG473" i="1" s="1"/>
  <c r="AG474" i="1" s="1"/>
  <c r="AG475" i="1" s="1"/>
  <c r="AG476" i="1" s="1"/>
  <c r="AG477" i="1" s="1"/>
  <c r="AG478" i="1" s="1"/>
  <c r="AD457" i="1"/>
  <c r="AD458" i="1" s="1"/>
  <c r="AD459" i="1" s="1"/>
  <c r="AD460" i="1" s="1"/>
  <c r="AD461" i="1" s="1"/>
  <c r="AD462" i="1" s="1"/>
  <c r="AD463" i="1" s="1"/>
  <c r="AD464" i="1" s="1"/>
  <c r="AD465" i="1" s="1"/>
  <c r="AD466" i="1" s="1"/>
  <c r="AD467" i="1" s="1"/>
  <c r="AD468" i="1" s="1"/>
  <c r="AD469" i="1" s="1"/>
  <c r="AD470" i="1" s="1"/>
  <c r="AD471" i="1" s="1"/>
  <c r="AD472" i="1" s="1"/>
  <c r="AD473" i="1" s="1"/>
  <c r="AD474" i="1" s="1"/>
  <c r="AD475" i="1" s="1"/>
  <c r="AD476" i="1" s="1"/>
  <c r="AD477" i="1" s="1"/>
  <c r="AD478" i="1" s="1"/>
  <c r="AA457" i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X456" i="1"/>
  <c r="AW456" i="1"/>
  <c r="AW457" i="1" s="1"/>
  <c r="AW458" i="1" s="1"/>
  <c r="AW459" i="1" s="1"/>
  <c r="AW460" i="1" s="1"/>
  <c r="AW461" i="1" s="1"/>
  <c r="AW462" i="1" s="1"/>
  <c r="AW463" i="1" s="1"/>
  <c r="AW464" i="1" s="1"/>
  <c r="AW465" i="1" s="1"/>
  <c r="AW466" i="1" s="1"/>
  <c r="AW467" i="1" s="1"/>
  <c r="AW468" i="1" s="1"/>
  <c r="AW469" i="1" s="1"/>
  <c r="AW470" i="1" s="1"/>
  <c r="AW471" i="1" s="1"/>
  <c r="AW472" i="1" s="1"/>
  <c r="AW473" i="1" s="1"/>
  <c r="AW474" i="1" s="1"/>
  <c r="AW475" i="1" s="1"/>
  <c r="AW476" i="1" s="1"/>
  <c r="AV456" i="1"/>
  <c r="AV457" i="1" s="1"/>
  <c r="AV458" i="1" s="1"/>
  <c r="AV459" i="1" s="1"/>
  <c r="AV460" i="1" s="1"/>
  <c r="AV461" i="1" s="1"/>
  <c r="AV462" i="1" s="1"/>
  <c r="AV463" i="1" s="1"/>
  <c r="AV464" i="1" s="1"/>
  <c r="AV465" i="1" s="1"/>
  <c r="AV466" i="1" s="1"/>
  <c r="AV467" i="1" s="1"/>
  <c r="AV468" i="1" s="1"/>
  <c r="AV469" i="1" s="1"/>
  <c r="AV470" i="1" s="1"/>
  <c r="AV471" i="1" s="1"/>
  <c r="AV472" i="1" s="1"/>
  <c r="AV473" i="1" s="1"/>
  <c r="AV474" i="1" s="1"/>
  <c r="AV475" i="1" s="1"/>
  <c r="AV476" i="1" s="1"/>
  <c r="AU456" i="1"/>
  <c r="AT456" i="1"/>
  <c r="AS456" i="1"/>
  <c r="AS457" i="1" s="1"/>
  <c r="AR456" i="1"/>
  <c r="AK456" i="1"/>
  <c r="AK457" i="1" s="1"/>
  <c r="AK458" i="1" s="1"/>
  <c r="AK459" i="1" s="1"/>
  <c r="AK460" i="1" s="1"/>
  <c r="AK461" i="1" s="1"/>
  <c r="AK462" i="1" s="1"/>
  <c r="AK463" i="1" s="1"/>
  <c r="AK464" i="1" s="1"/>
  <c r="AK465" i="1" s="1"/>
  <c r="AK466" i="1" s="1"/>
  <c r="AK467" i="1" s="1"/>
  <c r="AK468" i="1" s="1"/>
  <c r="AK469" i="1" s="1"/>
  <c r="AK470" i="1" s="1"/>
  <c r="AK471" i="1" s="1"/>
  <c r="AK472" i="1" s="1"/>
  <c r="AK473" i="1" s="1"/>
  <c r="AK474" i="1" s="1"/>
  <c r="AK475" i="1" s="1"/>
  <c r="AK476" i="1" s="1"/>
  <c r="AB456" i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F455" i="1"/>
  <c r="AF456" i="1" s="1"/>
  <c r="AF457" i="1" s="1"/>
  <c r="AF458" i="1" s="1"/>
  <c r="AF459" i="1" s="1"/>
  <c r="AF460" i="1" s="1"/>
  <c r="AF461" i="1" s="1"/>
  <c r="AF462" i="1" s="1"/>
  <c r="AF463" i="1" s="1"/>
  <c r="AF464" i="1" s="1"/>
  <c r="AF465" i="1" s="1"/>
  <c r="AF466" i="1" s="1"/>
  <c r="AF467" i="1" s="1"/>
  <c r="AF468" i="1" s="1"/>
  <c r="AF469" i="1" s="1"/>
  <c r="AF470" i="1" s="1"/>
  <c r="AF471" i="1" s="1"/>
  <c r="AF472" i="1" s="1"/>
  <c r="AF473" i="1" s="1"/>
  <c r="AF474" i="1" s="1"/>
  <c r="AF475" i="1" s="1"/>
  <c r="AF476" i="1" s="1"/>
  <c r="AF477" i="1" s="1"/>
  <c r="AF478" i="1" s="1"/>
  <c r="AD455" i="1"/>
  <c r="AD456" i="1" s="1"/>
  <c r="AG454" i="1"/>
  <c r="AG455" i="1" s="1"/>
  <c r="AG456" i="1" s="1"/>
  <c r="AF454" i="1"/>
  <c r="AE454" i="1"/>
  <c r="AE455" i="1" s="1"/>
  <c r="AE456" i="1" s="1"/>
  <c r="AE457" i="1" s="1"/>
  <c r="AE458" i="1" s="1"/>
  <c r="AE459" i="1" s="1"/>
  <c r="T454" i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AW453" i="1"/>
  <c r="AW454" i="1" s="1"/>
  <c r="AV453" i="1"/>
  <c r="AV454" i="1" s="1"/>
  <c r="AR453" i="1"/>
  <c r="AR454" i="1" s="1"/>
  <c r="AK453" i="1"/>
  <c r="AK454" i="1" s="1"/>
  <c r="AG453" i="1"/>
  <c r="AF453" i="1"/>
  <c r="AE453" i="1"/>
  <c r="AD453" i="1"/>
  <c r="AD454" i="1" s="1"/>
  <c r="AC453" i="1"/>
  <c r="AC454" i="1" s="1"/>
  <c r="AC455" i="1" s="1"/>
  <c r="AC456" i="1" s="1"/>
  <c r="AC457" i="1" s="1"/>
  <c r="AC458" i="1" s="1"/>
  <c r="AC459" i="1" s="1"/>
  <c r="AC460" i="1" s="1"/>
  <c r="AC461" i="1" s="1"/>
  <c r="AC462" i="1" s="1"/>
  <c r="AC463" i="1" s="1"/>
  <c r="AC464" i="1" s="1"/>
  <c r="AC465" i="1" s="1"/>
  <c r="AC466" i="1" s="1"/>
  <c r="AC467" i="1" s="1"/>
  <c r="AC468" i="1" s="1"/>
  <c r="AC469" i="1" s="1"/>
  <c r="AC470" i="1" s="1"/>
  <c r="AC471" i="1" s="1"/>
  <c r="AC472" i="1" s="1"/>
  <c r="AC473" i="1" s="1"/>
  <c r="AC474" i="1" s="1"/>
  <c r="AC475" i="1" s="1"/>
  <c r="AC476" i="1" s="1"/>
  <c r="AC477" i="1" s="1"/>
  <c r="AC478" i="1" s="1"/>
  <c r="AB453" i="1"/>
  <c r="AB454" i="1" s="1"/>
  <c r="AB455" i="1" s="1"/>
  <c r="AA453" i="1"/>
  <c r="AA454" i="1" s="1"/>
  <c r="AA455" i="1" s="1"/>
  <c r="AA456" i="1" s="1"/>
  <c r="T453" i="1"/>
  <c r="C453" i="1"/>
  <c r="C454" i="1" s="1"/>
  <c r="C455" i="1" s="1"/>
  <c r="C456" i="1" s="1"/>
  <c r="AX452" i="1"/>
  <c r="AX453" i="1" s="1"/>
  <c r="AX454" i="1" s="1"/>
  <c r="AW452" i="1"/>
  <c r="AV452" i="1"/>
  <c r="AU452" i="1"/>
  <c r="AU453" i="1" s="1"/>
  <c r="AU454" i="1" s="1"/>
  <c r="AT452" i="1"/>
  <c r="AT453" i="1" s="1"/>
  <c r="AT454" i="1" s="1"/>
  <c r="AS452" i="1"/>
  <c r="AS453" i="1" s="1"/>
  <c r="AS454" i="1" s="1"/>
  <c r="AR452" i="1"/>
  <c r="AK452" i="1"/>
  <c r="M452" i="1"/>
  <c r="M453" i="1" s="1"/>
  <c r="M454" i="1" s="1"/>
  <c r="M455" i="1" s="1"/>
  <c r="M456" i="1" s="1"/>
  <c r="J452" i="1"/>
  <c r="J453" i="1" s="1"/>
  <c r="J454" i="1" s="1"/>
  <c r="J455" i="1" s="1"/>
  <c r="J456" i="1" s="1"/>
  <c r="M450" i="1"/>
  <c r="M451" i="1" s="1"/>
  <c r="C450" i="1"/>
  <c r="C451" i="1" s="1"/>
  <c r="C452" i="1" s="1"/>
  <c r="P449" i="1"/>
  <c r="P450" i="1" s="1"/>
  <c r="P451" i="1" s="1"/>
  <c r="P452" i="1" s="1"/>
  <c r="P453" i="1" s="1"/>
  <c r="P454" i="1" s="1"/>
  <c r="P455" i="1" s="1"/>
  <c r="P456" i="1" s="1"/>
  <c r="O449" i="1"/>
  <c r="O450" i="1" s="1"/>
  <c r="O451" i="1" s="1"/>
  <c r="O452" i="1" s="1"/>
  <c r="O453" i="1" s="1"/>
  <c r="O454" i="1" s="1"/>
  <c r="O455" i="1" s="1"/>
  <c r="O456" i="1" s="1"/>
  <c r="N449" i="1"/>
  <c r="N450" i="1" s="1"/>
  <c r="N451" i="1" s="1"/>
  <c r="N452" i="1" s="1"/>
  <c r="N453" i="1" s="1"/>
  <c r="N454" i="1" s="1"/>
  <c r="N455" i="1" s="1"/>
  <c r="N456" i="1" s="1"/>
  <c r="M449" i="1"/>
  <c r="L449" i="1"/>
  <c r="L450" i="1" s="1"/>
  <c r="L451" i="1" s="1"/>
  <c r="L452" i="1" s="1"/>
  <c r="L453" i="1" s="1"/>
  <c r="L454" i="1" s="1"/>
  <c r="L455" i="1" s="1"/>
  <c r="L456" i="1" s="1"/>
  <c r="K449" i="1"/>
  <c r="K450" i="1" s="1"/>
  <c r="K451" i="1" s="1"/>
  <c r="K452" i="1" s="1"/>
  <c r="K453" i="1" s="1"/>
  <c r="K454" i="1" s="1"/>
  <c r="K455" i="1" s="1"/>
  <c r="K456" i="1" s="1"/>
  <c r="J449" i="1"/>
  <c r="J450" i="1" s="1"/>
  <c r="J451" i="1" s="1"/>
  <c r="C449" i="1"/>
  <c r="AJ448" i="1"/>
  <c r="AJ449" i="1" s="1"/>
  <c r="AJ450" i="1" s="1"/>
  <c r="AJ451" i="1" s="1"/>
  <c r="AJ452" i="1" s="1"/>
  <c r="AJ453" i="1" s="1"/>
  <c r="AJ454" i="1" s="1"/>
  <c r="AJ455" i="1" s="1"/>
  <c r="AJ456" i="1" s="1"/>
  <c r="AJ457" i="1" s="1"/>
  <c r="AJ458" i="1" s="1"/>
  <c r="AJ459" i="1" s="1"/>
  <c r="AJ460" i="1" s="1"/>
  <c r="AJ461" i="1" s="1"/>
  <c r="AJ462" i="1" s="1"/>
  <c r="AJ463" i="1" s="1"/>
  <c r="AJ464" i="1" s="1"/>
  <c r="AJ465" i="1" s="1"/>
  <c r="AJ466" i="1" s="1"/>
  <c r="AJ467" i="1" s="1"/>
  <c r="AJ468" i="1" s="1"/>
  <c r="AJ469" i="1" s="1"/>
  <c r="AJ470" i="1" s="1"/>
  <c r="AJ471" i="1" s="1"/>
  <c r="AJ472" i="1" s="1"/>
  <c r="AJ473" i="1" s="1"/>
  <c r="AJ474" i="1" s="1"/>
  <c r="AJ475" i="1" s="1"/>
  <c r="AJ476" i="1" s="1"/>
  <c r="AJ477" i="1" s="1"/>
  <c r="AJ478" i="1" s="1"/>
  <c r="AJ479" i="1" s="1"/>
  <c r="AJ480" i="1" s="1"/>
  <c r="AJ481" i="1" s="1"/>
  <c r="AJ482" i="1" s="1"/>
  <c r="AJ483" i="1" s="1"/>
  <c r="AJ484" i="1" s="1"/>
  <c r="AJ485" i="1" s="1"/>
  <c r="AJ486" i="1" s="1"/>
  <c r="AJ487" i="1" s="1"/>
  <c r="AJ488" i="1" s="1"/>
  <c r="AJ489" i="1" s="1"/>
  <c r="AJ490" i="1" s="1"/>
  <c r="AJ491" i="1" s="1"/>
  <c r="AJ447" i="1"/>
  <c r="N447" i="1"/>
  <c r="L447" i="1"/>
  <c r="J447" i="1"/>
  <c r="C447" i="1"/>
  <c r="AJ446" i="1"/>
  <c r="P446" i="1"/>
  <c r="P447" i="1" s="1"/>
  <c r="O446" i="1"/>
  <c r="O447" i="1" s="1"/>
  <c r="N446" i="1"/>
  <c r="M446" i="1"/>
  <c r="M447" i="1" s="1"/>
  <c r="L446" i="1"/>
  <c r="K446" i="1"/>
  <c r="K447" i="1" s="1"/>
  <c r="J446" i="1"/>
  <c r="C446" i="1"/>
  <c r="AW441" i="1"/>
  <c r="AW442" i="1" s="1"/>
  <c r="AW443" i="1" s="1"/>
  <c r="AW444" i="1" s="1"/>
  <c r="AW445" i="1" s="1"/>
  <c r="AW446" i="1" s="1"/>
  <c r="AW447" i="1" s="1"/>
  <c r="AW448" i="1" s="1"/>
  <c r="AW449" i="1" s="1"/>
  <c r="AW450" i="1" s="1"/>
  <c r="AU441" i="1"/>
  <c r="AU442" i="1" s="1"/>
  <c r="AU443" i="1" s="1"/>
  <c r="AU444" i="1" s="1"/>
  <c r="AU445" i="1" s="1"/>
  <c r="AU446" i="1" s="1"/>
  <c r="AU447" i="1" s="1"/>
  <c r="AU448" i="1" s="1"/>
  <c r="AU449" i="1" s="1"/>
  <c r="AU450" i="1" s="1"/>
  <c r="AW440" i="1"/>
  <c r="J440" i="1"/>
  <c r="J441" i="1" s="1"/>
  <c r="J442" i="1" s="1"/>
  <c r="J443" i="1" s="1"/>
  <c r="J444" i="1" s="1"/>
  <c r="M439" i="1"/>
  <c r="M440" i="1" s="1"/>
  <c r="M441" i="1" s="1"/>
  <c r="M442" i="1" s="1"/>
  <c r="M443" i="1" s="1"/>
  <c r="M444" i="1" s="1"/>
  <c r="AW438" i="1"/>
  <c r="AW439" i="1" s="1"/>
  <c r="AV438" i="1"/>
  <c r="AV439" i="1" s="1"/>
  <c r="AV440" i="1" s="1"/>
  <c r="AV441" i="1" s="1"/>
  <c r="AV442" i="1" s="1"/>
  <c r="AV443" i="1" s="1"/>
  <c r="AV444" i="1" s="1"/>
  <c r="AV445" i="1" s="1"/>
  <c r="AV446" i="1" s="1"/>
  <c r="AV447" i="1" s="1"/>
  <c r="AV448" i="1" s="1"/>
  <c r="AV449" i="1" s="1"/>
  <c r="AV450" i="1" s="1"/>
  <c r="AR438" i="1"/>
  <c r="AR439" i="1" s="1"/>
  <c r="AR440" i="1" s="1"/>
  <c r="AR441" i="1" s="1"/>
  <c r="AR442" i="1" s="1"/>
  <c r="AR443" i="1" s="1"/>
  <c r="AR444" i="1" s="1"/>
  <c r="AR445" i="1" s="1"/>
  <c r="AR446" i="1" s="1"/>
  <c r="AR447" i="1" s="1"/>
  <c r="AR448" i="1" s="1"/>
  <c r="AR449" i="1" s="1"/>
  <c r="AR450" i="1" s="1"/>
  <c r="AK438" i="1"/>
  <c r="AK439" i="1" s="1"/>
  <c r="AK440" i="1" s="1"/>
  <c r="AK441" i="1" s="1"/>
  <c r="AK442" i="1" s="1"/>
  <c r="AK443" i="1" s="1"/>
  <c r="AK444" i="1" s="1"/>
  <c r="AK445" i="1" s="1"/>
  <c r="AK446" i="1" s="1"/>
  <c r="AK447" i="1" s="1"/>
  <c r="AK448" i="1" s="1"/>
  <c r="AK449" i="1" s="1"/>
  <c r="AK450" i="1" s="1"/>
  <c r="AX437" i="1"/>
  <c r="AX438" i="1" s="1"/>
  <c r="AX439" i="1" s="1"/>
  <c r="AX440" i="1" s="1"/>
  <c r="AX441" i="1" s="1"/>
  <c r="AX442" i="1" s="1"/>
  <c r="AX443" i="1" s="1"/>
  <c r="AX444" i="1" s="1"/>
  <c r="AX445" i="1" s="1"/>
  <c r="AX446" i="1" s="1"/>
  <c r="AX447" i="1" s="1"/>
  <c r="AX448" i="1" s="1"/>
  <c r="AX449" i="1" s="1"/>
  <c r="AX450" i="1" s="1"/>
  <c r="AW437" i="1"/>
  <c r="AV437" i="1"/>
  <c r="AU437" i="1"/>
  <c r="AU438" i="1" s="1"/>
  <c r="AU439" i="1" s="1"/>
  <c r="AU440" i="1" s="1"/>
  <c r="AT437" i="1"/>
  <c r="AT438" i="1" s="1"/>
  <c r="AT439" i="1" s="1"/>
  <c r="AT440" i="1" s="1"/>
  <c r="AT441" i="1" s="1"/>
  <c r="AT442" i="1" s="1"/>
  <c r="AT443" i="1" s="1"/>
  <c r="AT444" i="1" s="1"/>
  <c r="AT445" i="1" s="1"/>
  <c r="AT446" i="1" s="1"/>
  <c r="AT447" i="1" s="1"/>
  <c r="AT448" i="1" s="1"/>
  <c r="AT449" i="1" s="1"/>
  <c r="AT450" i="1" s="1"/>
  <c r="AS437" i="1"/>
  <c r="AS438" i="1" s="1"/>
  <c r="AS439" i="1" s="1"/>
  <c r="AS440" i="1" s="1"/>
  <c r="AS441" i="1" s="1"/>
  <c r="AS442" i="1" s="1"/>
  <c r="AS443" i="1" s="1"/>
  <c r="AS444" i="1" s="1"/>
  <c r="AS445" i="1" s="1"/>
  <c r="AS446" i="1" s="1"/>
  <c r="AS447" i="1" s="1"/>
  <c r="AS448" i="1" s="1"/>
  <c r="AS449" i="1" s="1"/>
  <c r="AS450" i="1" s="1"/>
  <c r="AR437" i="1"/>
  <c r="AK437" i="1"/>
  <c r="L437" i="1"/>
  <c r="L438" i="1" s="1"/>
  <c r="L439" i="1" s="1"/>
  <c r="L440" i="1" s="1"/>
  <c r="L441" i="1" s="1"/>
  <c r="L442" i="1" s="1"/>
  <c r="L443" i="1" s="1"/>
  <c r="L444" i="1" s="1"/>
  <c r="P436" i="1"/>
  <c r="P437" i="1" s="1"/>
  <c r="P438" i="1" s="1"/>
  <c r="P439" i="1" s="1"/>
  <c r="P440" i="1" s="1"/>
  <c r="P441" i="1" s="1"/>
  <c r="P442" i="1" s="1"/>
  <c r="P443" i="1" s="1"/>
  <c r="P444" i="1" s="1"/>
  <c r="N436" i="1"/>
  <c r="N437" i="1" s="1"/>
  <c r="N438" i="1" s="1"/>
  <c r="N439" i="1" s="1"/>
  <c r="N440" i="1" s="1"/>
  <c r="N441" i="1" s="1"/>
  <c r="N442" i="1" s="1"/>
  <c r="N443" i="1" s="1"/>
  <c r="N444" i="1" s="1"/>
  <c r="M436" i="1"/>
  <c r="M437" i="1" s="1"/>
  <c r="M438" i="1" s="1"/>
  <c r="L436" i="1"/>
  <c r="P435" i="1"/>
  <c r="O435" i="1"/>
  <c r="O436" i="1" s="1"/>
  <c r="O437" i="1" s="1"/>
  <c r="O438" i="1" s="1"/>
  <c r="O439" i="1" s="1"/>
  <c r="O440" i="1" s="1"/>
  <c r="O441" i="1" s="1"/>
  <c r="O442" i="1" s="1"/>
  <c r="O443" i="1" s="1"/>
  <c r="O444" i="1" s="1"/>
  <c r="N435" i="1"/>
  <c r="M435" i="1"/>
  <c r="L435" i="1"/>
  <c r="K435" i="1"/>
  <c r="K436" i="1" s="1"/>
  <c r="K437" i="1" s="1"/>
  <c r="K438" i="1" s="1"/>
  <c r="K439" i="1" s="1"/>
  <c r="K440" i="1" s="1"/>
  <c r="K441" i="1" s="1"/>
  <c r="K442" i="1" s="1"/>
  <c r="K443" i="1" s="1"/>
  <c r="K444" i="1" s="1"/>
  <c r="J435" i="1"/>
  <c r="J436" i="1" s="1"/>
  <c r="J437" i="1" s="1"/>
  <c r="J438" i="1" s="1"/>
  <c r="J439" i="1" s="1"/>
  <c r="C435" i="1"/>
  <c r="C436" i="1" s="1"/>
  <c r="C437" i="1" s="1"/>
  <c r="C438" i="1" s="1"/>
  <c r="C439" i="1" s="1"/>
  <c r="C440" i="1" s="1"/>
  <c r="C441" i="1" s="1"/>
  <c r="C442" i="1" s="1"/>
  <c r="C443" i="1" s="1"/>
  <c r="C444" i="1" s="1"/>
  <c r="AD434" i="1"/>
  <c r="AD435" i="1" s="1"/>
  <c r="AD436" i="1" s="1"/>
  <c r="AD437" i="1" s="1"/>
  <c r="AD438" i="1" s="1"/>
  <c r="AD439" i="1" s="1"/>
  <c r="AD440" i="1" s="1"/>
  <c r="AD441" i="1" s="1"/>
  <c r="AD442" i="1" s="1"/>
  <c r="AD443" i="1" s="1"/>
  <c r="AD444" i="1" s="1"/>
  <c r="AD445" i="1" s="1"/>
  <c r="AD446" i="1" s="1"/>
  <c r="AD447" i="1" s="1"/>
  <c r="AD448" i="1" s="1"/>
  <c r="AD449" i="1" s="1"/>
  <c r="AD450" i="1" s="1"/>
  <c r="AD451" i="1" s="1"/>
  <c r="AG427" i="1"/>
  <c r="AG428" i="1" s="1"/>
  <c r="AG429" i="1" s="1"/>
  <c r="AG430" i="1" s="1"/>
  <c r="AG431" i="1" s="1"/>
  <c r="AG432" i="1" s="1"/>
  <c r="AG433" i="1" s="1"/>
  <c r="AG434" i="1" s="1"/>
  <c r="AG435" i="1" s="1"/>
  <c r="AG436" i="1" s="1"/>
  <c r="AG437" i="1" s="1"/>
  <c r="AG438" i="1" s="1"/>
  <c r="AG439" i="1" s="1"/>
  <c r="AG440" i="1" s="1"/>
  <c r="AG441" i="1" s="1"/>
  <c r="AG442" i="1" s="1"/>
  <c r="AG443" i="1" s="1"/>
  <c r="AG444" i="1" s="1"/>
  <c r="AG445" i="1" s="1"/>
  <c r="AG446" i="1" s="1"/>
  <c r="AG447" i="1" s="1"/>
  <c r="AG448" i="1" s="1"/>
  <c r="AG449" i="1" s="1"/>
  <c r="AG450" i="1" s="1"/>
  <c r="AG451" i="1" s="1"/>
  <c r="M427" i="1"/>
  <c r="M428" i="1" s="1"/>
  <c r="M429" i="1" s="1"/>
  <c r="M430" i="1" s="1"/>
  <c r="M431" i="1" s="1"/>
  <c r="M432" i="1" s="1"/>
  <c r="M433" i="1" s="1"/>
  <c r="C427" i="1"/>
  <c r="C428" i="1" s="1"/>
  <c r="C429" i="1" s="1"/>
  <c r="C430" i="1" s="1"/>
  <c r="C431" i="1" s="1"/>
  <c r="C432" i="1" s="1"/>
  <c r="C433" i="1" s="1"/>
  <c r="AF426" i="1"/>
  <c r="AF427" i="1" s="1"/>
  <c r="AF428" i="1" s="1"/>
  <c r="AF429" i="1" s="1"/>
  <c r="AF430" i="1" s="1"/>
  <c r="AF431" i="1" s="1"/>
  <c r="AF432" i="1" s="1"/>
  <c r="AF433" i="1" s="1"/>
  <c r="AF434" i="1" s="1"/>
  <c r="AF435" i="1" s="1"/>
  <c r="AF436" i="1" s="1"/>
  <c r="AF437" i="1" s="1"/>
  <c r="AF438" i="1" s="1"/>
  <c r="AF439" i="1" s="1"/>
  <c r="AF440" i="1" s="1"/>
  <c r="AF441" i="1" s="1"/>
  <c r="AF442" i="1" s="1"/>
  <c r="AF443" i="1" s="1"/>
  <c r="AF444" i="1" s="1"/>
  <c r="AF445" i="1" s="1"/>
  <c r="AF446" i="1" s="1"/>
  <c r="AF447" i="1" s="1"/>
  <c r="AF448" i="1" s="1"/>
  <c r="AF449" i="1" s="1"/>
  <c r="AF450" i="1" s="1"/>
  <c r="AF451" i="1" s="1"/>
  <c r="AE426" i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P426" i="1"/>
  <c r="P427" i="1" s="1"/>
  <c r="P428" i="1" s="1"/>
  <c r="P429" i="1" s="1"/>
  <c r="P430" i="1" s="1"/>
  <c r="P431" i="1" s="1"/>
  <c r="P432" i="1" s="1"/>
  <c r="P433" i="1" s="1"/>
  <c r="O426" i="1"/>
  <c r="O427" i="1" s="1"/>
  <c r="O428" i="1" s="1"/>
  <c r="O429" i="1" s="1"/>
  <c r="O430" i="1" s="1"/>
  <c r="O431" i="1" s="1"/>
  <c r="O432" i="1" s="1"/>
  <c r="O433" i="1" s="1"/>
  <c r="N426" i="1"/>
  <c r="N427" i="1" s="1"/>
  <c r="N428" i="1" s="1"/>
  <c r="N429" i="1" s="1"/>
  <c r="N430" i="1" s="1"/>
  <c r="N431" i="1" s="1"/>
  <c r="N432" i="1" s="1"/>
  <c r="N433" i="1" s="1"/>
  <c r="M426" i="1"/>
  <c r="L426" i="1"/>
  <c r="L427" i="1" s="1"/>
  <c r="L428" i="1" s="1"/>
  <c r="L429" i="1" s="1"/>
  <c r="L430" i="1" s="1"/>
  <c r="L431" i="1" s="1"/>
  <c r="L432" i="1" s="1"/>
  <c r="L433" i="1" s="1"/>
  <c r="K426" i="1"/>
  <c r="K427" i="1" s="1"/>
  <c r="K428" i="1" s="1"/>
  <c r="K429" i="1" s="1"/>
  <c r="K430" i="1" s="1"/>
  <c r="K431" i="1" s="1"/>
  <c r="K432" i="1" s="1"/>
  <c r="K433" i="1" s="1"/>
  <c r="J426" i="1"/>
  <c r="J427" i="1" s="1"/>
  <c r="J428" i="1" s="1"/>
  <c r="J429" i="1" s="1"/>
  <c r="J430" i="1" s="1"/>
  <c r="J431" i="1" s="1"/>
  <c r="J432" i="1" s="1"/>
  <c r="J433" i="1" s="1"/>
  <c r="C426" i="1"/>
  <c r="AG425" i="1"/>
  <c r="AG426" i="1" s="1"/>
  <c r="AA425" i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T425" i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AG424" i="1"/>
  <c r="AF424" i="1"/>
  <c r="AF425" i="1" s="1"/>
  <c r="AE424" i="1"/>
  <c r="AE425" i="1" s="1"/>
  <c r="AD424" i="1"/>
  <c r="AD425" i="1" s="1"/>
  <c r="AD426" i="1" s="1"/>
  <c r="AD427" i="1" s="1"/>
  <c r="AD428" i="1" s="1"/>
  <c r="AD429" i="1" s="1"/>
  <c r="AD430" i="1" s="1"/>
  <c r="AD431" i="1" s="1"/>
  <c r="AD432" i="1" s="1"/>
  <c r="AD433" i="1" s="1"/>
  <c r="AC424" i="1"/>
  <c r="AC425" i="1" s="1"/>
  <c r="AC426" i="1" s="1"/>
  <c r="AC427" i="1" s="1"/>
  <c r="AC428" i="1" s="1"/>
  <c r="AC429" i="1" s="1"/>
  <c r="AC430" i="1" s="1"/>
  <c r="AC431" i="1" s="1"/>
  <c r="AC432" i="1" s="1"/>
  <c r="AC433" i="1" s="1"/>
  <c r="AC434" i="1" s="1"/>
  <c r="AC435" i="1" s="1"/>
  <c r="AC436" i="1" s="1"/>
  <c r="AC437" i="1" s="1"/>
  <c r="AC438" i="1" s="1"/>
  <c r="AC439" i="1" s="1"/>
  <c r="AC440" i="1" s="1"/>
  <c r="AC441" i="1" s="1"/>
  <c r="AC442" i="1" s="1"/>
  <c r="AC443" i="1" s="1"/>
  <c r="AC444" i="1" s="1"/>
  <c r="AC445" i="1" s="1"/>
  <c r="AC446" i="1" s="1"/>
  <c r="AC447" i="1" s="1"/>
  <c r="AC448" i="1" s="1"/>
  <c r="AC449" i="1" s="1"/>
  <c r="AC450" i="1" s="1"/>
  <c r="AC451" i="1" s="1"/>
  <c r="AB424" i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A424" i="1"/>
  <c r="T424" i="1"/>
  <c r="S423" i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AE421" i="1"/>
  <c r="AE422" i="1" s="1"/>
  <c r="AW419" i="1"/>
  <c r="AW420" i="1" s="1"/>
  <c r="AW421" i="1" s="1"/>
  <c r="AW422" i="1" s="1"/>
  <c r="AW423" i="1" s="1"/>
  <c r="AW424" i="1" s="1"/>
  <c r="AW425" i="1" s="1"/>
  <c r="AW426" i="1" s="1"/>
  <c r="AW427" i="1" s="1"/>
  <c r="AW428" i="1" s="1"/>
  <c r="AW429" i="1" s="1"/>
  <c r="AW430" i="1" s="1"/>
  <c r="AW431" i="1" s="1"/>
  <c r="AW432" i="1" s="1"/>
  <c r="AW433" i="1" s="1"/>
  <c r="AW434" i="1" s="1"/>
  <c r="AW435" i="1" s="1"/>
  <c r="AS419" i="1"/>
  <c r="AS420" i="1" s="1"/>
  <c r="AS421" i="1" s="1"/>
  <c r="AS422" i="1" s="1"/>
  <c r="AS423" i="1" s="1"/>
  <c r="AS424" i="1" s="1"/>
  <c r="AS425" i="1" s="1"/>
  <c r="AS426" i="1" s="1"/>
  <c r="AS427" i="1" s="1"/>
  <c r="AS428" i="1" s="1"/>
  <c r="AS429" i="1" s="1"/>
  <c r="AS430" i="1" s="1"/>
  <c r="AS431" i="1" s="1"/>
  <c r="AS432" i="1" s="1"/>
  <c r="AS433" i="1" s="1"/>
  <c r="AS434" i="1" s="1"/>
  <c r="AS435" i="1" s="1"/>
  <c r="S419" i="1"/>
  <c r="S420" i="1" s="1"/>
  <c r="S421" i="1" s="1"/>
  <c r="S422" i="1" s="1"/>
  <c r="C419" i="1"/>
  <c r="C420" i="1" s="1"/>
  <c r="C421" i="1" s="1"/>
  <c r="C422" i="1" s="1"/>
  <c r="C423" i="1" s="1"/>
  <c r="C424" i="1" s="1"/>
  <c r="AV418" i="1"/>
  <c r="AV419" i="1" s="1"/>
  <c r="AV420" i="1" s="1"/>
  <c r="AV421" i="1" s="1"/>
  <c r="AV422" i="1" s="1"/>
  <c r="AV423" i="1" s="1"/>
  <c r="AV424" i="1" s="1"/>
  <c r="AV425" i="1" s="1"/>
  <c r="AV426" i="1" s="1"/>
  <c r="AV427" i="1" s="1"/>
  <c r="AV428" i="1" s="1"/>
  <c r="AV429" i="1" s="1"/>
  <c r="AV430" i="1" s="1"/>
  <c r="AV431" i="1" s="1"/>
  <c r="AV432" i="1" s="1"/>
  <c r="AV433" i="1" s="1"/>
  <c r="AV434" i="1" s="1"/>
  <c r="AV435" i="1" s="1"/>
  <c r="L418" i="1"/>
  <c r="L419" i="1" s="1"/>
  <c r="L420" i="1" s="1"/>
  <c r="L421" i="1" s="1"/>
  <c r="L422" i="1" s="1"/>
  <c r="L423" i="1" s="1"/>
  <c r="L424" i="1" s="1"/>
  <c r="AX417" i="1"/>
  <c r="AX418" i="1" s="1"/>
  <c r="AX419" i="1" s="1"/>
  <c r="AX420" i="1" s="1"/>
  <c r="AX421" i="1" s="1"/>
  <c r="AX422" i="1" s="1"/>
  <c r="AX423" i="1" s="1"/>
  <c r="AX424" i="1" s="1"/>
  <c r="AX425" i="1" s="1"/>
  <c r="AX426" i="1" s="1"/>
  <c r="AX427" i="1" s="1"/>
  <c r="AX428" i="1" s="1"/>
  <c r="AX429" i="1" s="1"/>
  <c r="AX430" i="1" s="1"/>
  <c r="AX431" i="1" s="1"/>
  <c r="AX432" i="1" s="1"/>
  <c r="AX433" i="1" s="1"/>
  <c r="AX434" i="1" s="1"/>
  <c r="AX435" i="1" s="1"/>
  <c r="AW417" i="1"/>
  <c r="AW418" i="1" s="1"/>
  <c r="AK417" i="1"/>
  <c r="AK418" i="1" s="1"/>
  <c r="AK419" i="1" s="1"/>
  <c r="AK420" i="1" s="1"/>
  <c r="AK421" i="1" s="1"/>
  <c r="AK422" i="1" s="1"/>
  <c r="AK423" i="1" s="1"/>
  <c r="AK424" i="1" s="1"/>
  <c r="AK425" i="1" s="1"/>
  <c r="AK426" i="1" s="1"/>
  <c r="AK427" i="1" s="1"/>
  <c r="AK428" i="1" s="1"/>
  <c r="AK429" i="1" s="1"/>
  <c r="AK430" i="1" s="1"/>
  <c r="AK431" i="1" s="1"/>
  <c r="AK432" i="1" s="1"/>
  <c r="AK433" i="1" s="1"/>
  <c r="AK434" i="1" s="1"/>
  <c r="AK435" i="1" s="1"/>
  <c r="AE417" i="1"/>
  <c r="AE418" i="1" s="1"/>
  <c r="AE419" i="1" s="1"/>
  <c r="AE420" i="1" s="1"/>
  <c r="O417" i="1"/>
  <c r="O418" i="1" s="1"/>
  <c r="O419" i="1" s="1"/>
  <c r="O420" i="1" s="1"/>
  <c r="O421" i="1" s="1"/>
  <c r="O422" i="1" s="1"/>
  <c r="O423" i="1" s="1"/>
  <c r="O424" i="1" s="1"/>
  <c r="M417" i="1"/>
  <c r="M418" i="1" s="1"/>
  <c r="M419" i="1" s="1"/>
  <c r="M420" i="1" s="1"/>
  <c r="M421" i="1" s="1"/>
  <c r="M422" i="1" s="1"/>
  <c r="M423" i="1" s="1"/>
  <c r="M424" i="1" s="1"/>
  <c r="K417" i="1"/>
  <c r="K418" i="1" s="1"/>
  <c r="K419" i="1" s="1"/>
  <c r="K420" i="1" s="1"/>
  <c r="K421" i="1" s="1"/>
  <c r="K422" i="1" s="1"/>
  <c r="K423" i="1" s="1"/>
  <c r="K424" i="1" s="1"/>
  <c r="J417" i="1"/>
  <c r="J418" i="1" s="1"/>
  <c r="J419" i="1" s="1"/>
  <c r="J420" i="1" s="1"/>
  <c r="J421" i="1" s="1"/>
  <c r="J422" i="1" s="1"/>
  <c r="J423" i="1" s="1"/>
  <c r="J424" i="1" s="1"/>
  <c r="C417" i="1"/>
  <c r="C418" i="1" s="1"/>
  <c r="AX416" i="1"/>
  <c r="AW416" i="1"/>
  <c r="AV416" i="1"/>
  <c r="AV417" i="1" s="1"/>
  <c r="AU416" i="1"/>
  <c r="AU417" i="1" s="1"/>
  <c r="AU418" i="1" s="1"/>
  <c r="AU419" i="1" s="1"/>
  <c r="AU420" i="1" s="1"/>
  <c r="AU421" i="1" s="1"/>
  <c r="AU422" i="1" s="1"/>
  <c r="AU423" i="1" s="1"/>
  <c r="AU424" i="1" s="1"/>
  <c r="AU425" i="1" s="1"/>
  <c r="AU426" i="1" s="1"/>
  <c r="AU427" i="1" s="1"/>
  <c r="AU428" i="1" s="1"/>
  <c r="AU429" i="1" s="1"/>
  <c r="AU430" i="1" s="1"/>
  <c r="AU431" i="1" s="1"/>
  <c r="AU432" i="1" s="1"/>
  <c r="AU433" i="1" s="1"/>
  <c r="AU434" i="1" s="1"/>
  <c r="AU435" i="1" s="1"/>
  <c r="AT416" i="1"/>
  <c r="AT417" i="1" s="1"/>
  <c r="AT418" i="1" s="1"/>
  <c r="AT419" i="1" s="1"/>
  <c r="AT420" i="1" s="1"/>
  <c r="AT421" i="1" s="1"/>
  <c r="AT422" i="1" s="1"/>
  <c r="AT423" i="1" s="1"/>
  <c r="AT424" i="1" s="1"/>
  <c r="AT425" i="1" s="1"/>
  <c r="AT426" i="1" s="1"/>
  <c r="AT427" i="1" s="1"/>
  <c r="AT428" i="1" s="1"/>
  <c r="AT429" i="1" s="1"/>
  <c r="AT430" i="1" s="1"/>
  <c r="AT431" i="1" s="1"/>
  <c r="AT432" i="1" s="1"/>
  <c r="AT433" i="1" s="1"/>
  <c r="AT434" i="1" s="1"/>
  <c r="AT435" i="1" s="1"/>
  <c r="AS416" i="1"/>
  <c r="AS417" i="1" s="1"/>
  <c r="AS418" i="1" s="1"/>
  <c r="AR416" i="1"/>
  <c r="AR417" i="1" s="1"/>
  <c r="AR418" i="1" s="1"/>
  <c r="AR419" i="1" s="1"/>
  <c r="AR420" i="1" s="1"/>
  <c r="AR421" i="1" s="1"/>
  <c r="AR422" i="1" s="1"/>
  <c r="AR423" i="1" s="1"/>
  <c r="AR424" i="1" s="1"/>
  <c r="AR425" i="1" s="1"/>
  <c r="AR426" i="1" s="1"/>
  <c r="AR427" i="1" s="1"/>
  <c r="AR428" i="1" s="1"/>
  <c r="AR429" i="1" s="1"/>
  <c r="AR430" i="1" s="1"/>
  <c r="AR431" i="1" s="1"/>
  <c r="AR432" i="1" s="1"/>
  <c r="AR433" i="1" s="1"/>
  <c r="AR434" i="1" s="1"/>
  <c r="AR435" i="1" s="1"/>
  <c r="AK416" i="1"/>
  <c r="AG416" i="1"/>
  <c r="AG417" i="1" s="1"/>
  <c r="AG418" i="1" s="1"/>
  <c r="AG419" i="1" s="1"/>
  <c r="AG420" i="1" s="1"/>
  <c r="AG421" i="1" s="1"/>
  <c r="AG422" i="1" s="1"/>
  <c r="AF416" i="1"/>
  <c r="AF417" i="1" s="1"/>
  <c r="AF418" i="1" s="1"/>
  <c r="AF419" i="1" s="1"/>
  <c r="AF420" i="1" s="1"/>
  <c r="AF421" i="1" s="1"/>
  <c r="AF422" i="1" s="1"/>
  <c r="T416" i="1"/>
  <c r="T417" i="1" s="1"/>
  <c r="T418" i="1" s="1"/>
  <c r="T419" i="1" s="1"/>
  <c r="T420" i="1" s="1"/>
  <c r="T421" i="1" s="1"/>
  <c r="T422" i="1" s="1"/>
  <c r="P416" i="1"/>
  <c r="P417" i="1" s="1"/>
  <c r="P418" i="1" s="1"/>
  <c r="P419" i="1" s="1"/>
  <c r="P420" i="1" s="1"/>
  <c r="P421" i="1" s="1"/>
  <c r="P422" i="1" s="1"/>
  <c r="P423" i="1" s="1"/>
  <c r="P424" i="1" s="1"/>
  <c r="O416" i="1"/>
  <c r="N416" i="1"/>
  <c r="N417" i="1" s="1"/>
  <c r="N418" i="1" s="1"/>
  <c r="N419" i="1" s="1"/>
  <c r="N420" i="1" s="1"/>
  <c r="N421" i="1" s="1"/>
  <c r="N422" i="1" s="1"/>
  <c r="N423" i="1" s="1"/>
  <c r="N424" i="1" s="1"/>
  <c r="M416" i="1"/>
  <c r="L416" i="1"/>
  <c r="L417" i="1" s="1"/>
  <c r="K416" i="1"/>
  <c r="J416" i="1"/>
  <c r="C416" i="1"/>
  <c r="AG415" i="1"/>
  <c r="AF415" i="1"/>
  <c r="AE415" i="1"/>
  <c r="AE416" i="1" s="1"/>
  <c r="AA415" i="1"/>
  <c r="AA416" i="1" s="1"/>
  <c r="AA417" i="1" s="1"/>
  <c r="AA418" i="1" s="1"/>
  <c r="AA419" i="1" s="1"/>
  <c r="AA420" i="1" s="1"/>
  <c r="AA421" i="1" s="1"/>
  <c r="AA422" i="1" s="1"/>
  <c r="AG414" i="1"/>
  <c r="AF414" i="1"/>
  <c r="AE414" i="1"/>
  <c r="AD414" i="1"/>
  <c r="AD415" i="1" s="1"/>
  <c r="AD416" i="1" s="1"/>
  <c r="AD417" i="1" s="1"/>
  <c r="AD418" i="1" s="1"/>
  <c r="AD419" i="1" s="1"/>
  <c r="AD420" i="1" s="1"/>
  <c r="AD421" i="1" s="1"/>
  <c r="AD422" i="1" s="1"/>
  <c r="AC414" i="1"/>
  <c r="AC415" i="1" s="1"/>
  <c r="AC416" i="1" s="1"/>
  <c r="AC417" i="1" s="1"/>
  <c r="AC418" i="1" s="1"/>
  <c r="AC419" i="1" s="1"/>
  <c r="AC420" i="1" s="1"/>
  <c r="AC421" i="1" s="1"/>
  <c r="AC422" i="1" s="1"/>
  <c r="AB414" i="1"/>
  <c r="AB415" i="1" s="1"/>
  <c r="AB416" i="1" s="1"/>
  <c r="AB417" i="1" s="1"/>
  <c r="AB418" i="1" s="1"/>
  <c r="AB419" i="1" s="1"/>
  <c r="AB420" i="1" s="1"/>
  <c r="AB421" i="1" s="1"/>
  <c r="AB422" i="1" s="1"/>
  <c r="AA414" i="1"/>
  <c r="T414" i="1"/>
  <c r="T415" i="1" s="1"/>
  <c r="S414" i="1"/>
  <c r="S415" i="1" s="1"/>
  <c r="S416" i="1" s="1"/>
  <c r="S417" i="1" s="1"/>
  <c r="S418" i="1" s="1"/>
  <c r="P411" i="1"/>
  <c r="P412" i="1" s="1"/>
  <c r="P413" i="1" s="1"/>
  <c r="P414" i="1" s="1"/>
  <c r="K408" i="1"/>
  <c r="K409" i="1" s="1"/>
  <c r="K410" i="1" s="1"/>
  <c r="K411" i="1" s="1"/>
  <c r="K412" i="1" s="1"/>
  <c r="K413" i="1" s="1"/>
  <c r="K414" i="1" s="1"/>
  <c r="P407" i="1"/>
  <c r="P408" i="1" s="1"/>
  <c r="P409" i="1" s="1"/>
  <c r="P410" i="1" s="1"/>
  <c r="O407" i="1"/>
  <c r="O408" i="1" s="1"/>
  <c r="O409" i="1" s="1"/>
  <c r="O410" i="1" s="1"/>
  <c r="O411" i="1" s="1"/>
  <c r="O412" i="1" s="1"/>
  <c r="O413" i="1" s="1"/>
  <c r="O414" i="1" s="1"/>
  <c r="N407" i="1"/>
  <c r="N408" i="1" s="1"/>
  <c r="N409" i="1" s="1"/>
  <c r="N410" i="1" s="1"/>
  <c r="N411" i="1" s="1"/>
  <c r="N412" i="1" s="1"/>
  <c r="N413" i="1" s="1"/>
  <c r="N414" i="1" s="1"/>
  <c r="K406" i="1"/>
  <c r="K407" i="1" s="1"/>
  <c r="C406" i="1"/>
  <c r="C407" i="1" s="1"/>
  <c r="C408" i="1" s="1"/>
  <c r="C409" i="1" s="1"/>
  <c r="C410" i="1" s="1"/>
  <c r="C411" i="1" s="1"/>
  <c r="C412" i="1" s="1"/>
  <c r="C413" i="1" s="1"/>
  <c r="C414" i="1" s="1"/>
  <c r="P405" i="1"/>
  <c r="P406" i="1" s="1"/>
  <c r="O405" i="1"/>
  <c r="O406" i="1" s="1"/>
  <c r="N405" i="1"/>
  <c r="N406" i="1" s="1"/>
  <c r="M405" i="1"/>
  <c r="M406" i="1" s="1"/>
  <c r="M407" i="1" s="1"/>
  <c r="M408" i="1" s="1"/>
  <c r="M409" i="1" s="1"/>
  <c r="M410" i="1" s="1"/>
  <c r="M411" i="1" s="1"/>
  <c r="M412" i="1" s="1"/>
  <c r="M413" i="1" s="1"/>
  <c r="M414" i="1" s="1"/>
  <c r="L405" i="1"/>
  <c r="L406" i="1" s="1"/>
  <c r="L407" i="1" s="1"/>
  <c r="L408" i="1" s="1"/>
  <c r="L409" i="1" s="1"/>
  <c r="L410" i="1" s="1"/>
  <c r="L411" i="1" s="1"/>
  <c r="L412" i="1" s="1"/>
  <c r="L413" i="1" s="1"/>
  <c r="L414" i="1" s="1"/>
  <c r="K405" i="1"/>
  <c r="J405" i="1"/>
  <c r="J406" i="1" s="1"/>
  <c r="J407" i="1" s="1"/>
  <c r="J408" i="1" s="1"/>
  <c r="J409" i="1" s="1"/>
  <c r="J410" i="1" s="1"/>
  <c r="J411" i="1" s="1"/>
  <c r="J412" i="1" s="1"/>
  <c r="J413" i="1" s="1"/>
  <c r="J414" i="1" s="1"/>
  <c r="C405" i="1"/>
  <c r="AU402" i="1"/>
  <c r="AU403" i="1" s="1"/>
  <c r="AU404" i="1" s="1"/>
  <c r="AU405" i="1" s="1"/>
  <c r="AU406" i="1" s="1"/>
  <c r="AU407" i="1" s="1"/>
  <c r="AU408" i="1" s="1"/>
  <c r="AU409" i="1" s="1"/>
  <c r="AU410" i="1" s="1"/>
  <c r="AU411" i="1" s="1"/>
  <c r="AU412" i="1" s="1"/>
  <c r="AU413" i="1" s="1"/>
  <c r="AU414" i="1" s="1"/>
  <c r="B402" i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AU401" i="1"/>
  <c r="M401" i="1"/>
  <c r="M402" i="1" s="1"/>
  <c r="L401" i="1"/>
  <c r="L402" i="1" s="1"/>
  <c r="AV400" i="1"/>
  <c r="AV401" i="1" s="1"/>
  <c r="AV402" i="1" s="1"/>
  <c r="AV403" i="1" s="1"/>
  <c r="AV404" i="1" s="1"/>
  <c r="AV405" i="1" s="1"/>
  <c r="AV406" i="1" s="1"/>
  <c r="AV407" i="1" s="1"/>
  <c r="AV408" i="1" s="1"/>
  <c r="AV409" i="1" s="1"/>
  <c r="AV410" i="1" s="1"/>
  <c r="AV411" i="1" s="1"/>
  <c r="AV412" i="1" s="1"/>
  <c r="AV413" i="1" s="1"/>
  <c r="AV414" i="1" s="1"/>
  <c r="AJ400" i="1"/>
  <c r="AJ401" i="1" s="1"/>
  <c r="AJ402" i="1" s="1"/>
  <c r="AJ403" i="1" s="1"/>
  <c r="AJ404" i="1" s="1"/>
  <c r="AJ405" i="1" s="1"/>
  <c r="AJ406" i="1" s="1"/>
  <c r="AJ407" i="1" s="1"/>
  <c r="AJ408" i="1" s="1"/>
  <c r="AJ409" i="1" s="1"/>
  <c r="AJ410" i="1" s="1"/>
  <c r="AJ411" i="1" s="1"/>
  <c r="AJ412" i="1" s="1"/>
  <c r="AJ413" i="1" s="1"/>
  <c r="AJ414" i="1" s="1"/>
  <c r="AJ415" i="1" s="1"/>
  <c r="AJ416" i="1" s="1"/>
  <c r="AJ417" i="1" s="1"/>
  <c r="AJ418" i="1" s="1"/>
  <c r="AJ419" i="1" s="1"/>
  <c r="AJ420" i="1" s="1"/>
  <c r="AJ421" i="1" s="1"/>
  <c r="AJ422" i="1" s="1"/>
  <c r="AJ423" i="1" s="1"/>
  <c r="AJ424" i="1" s="1"/>
  <c r="AJ425" i="1" s="1"/>
  <c r="AJ426" i="1" s="1"/>
  <c r="AJ427" i="1" s="1"/>
  <c r="AJ428" i="1" s="1"/>
  <c r="AJ429" i="1" s="1"/>
  <c r="AJ430" i="1" s="1"/>
  <c r="AJ431" i="1" s="1"/>
  <c r="AJ432" i="1" s="1"/>
  <c r="AJ433" i="1" s="1"/>
  <c r="AJ434" i="1" s="1"/>
  <c r="AJ435" i="1" s="1"/>
  <c r="AJ436" i="1" s="1"/>
  <c r="AJ437" i="1" s="1"/>
  <c r="AJ438" i="1" s="1"/>
  <c r="AJ439" i="1" s="1"/>
  <c r="AJ440" i="1" s="1"/>
  <c r="AJ441" i="1" s="1"/>
  <c r="AJ442" i="1" s="1"/>
  <c r="AJ443" i="1" s="1"/>
  <c r="AJ444" i="1" s="1"/>
  <c r="N400" i="1"/>
  <c r="N401" i="1" s="1"/>
  <c r="N402" i="1" s="1"/>
  <c r="L400" i="1"/>
  <c r="AT399" i="1"/>
  <c r="AT400" i="1" s="1"/>
  <c r="AT401" i="1" s="1"/>
  <c r="AT402" i="1" s="1"/>
  <c r="AT403" i="1" s="1"/>
  <c r="AT404" i="1" s="1"/>
  <c r="AT405" i="1" s="1"/>
  <c r="AT406" i="1" s="1"/>
  <c r="AT407" i="1" s="1"/>
  <c r="AT408" i="1" s="1"/>
  <c r="AT409" i="1" s="1"/>
  <c r="AT410" i="1" s="1"/>
  <c r="AT411" i="1" s="1"/>
  <c r="AT412" i="1" s="1"/>
  <c r="AT413" i="1" s="1"/>
  <c r="AT414" i="1" s="1"/>
  <c r="AS399" i="1"/>
  <c r="AS400" i="1" s="1"/>
  <c r="AS401" i="1" s="1"/>
  <c r="AS402" i="1" s="1"/>
  <c r="AS403" i="1" s="1"/>
  <c r="AS404" i="1" s="1"/>
  <c r="AS405" i="1" s="1"/>
  <c r="AS406" i="1" s="1"/>
  <c r="AS407" i="1" s="1"/>
  <c r="AS408" i="1" s="1"/>
  <c r="AS409" i="1" s="1"/>
  <c r="AS410" i="1" s="1"/>
  <c r="AS411" i="1" s="1"/>
  <c r="AS412" i="1" s="1"/>
  <c r="AS413" i="1" s="1"/>
  <c r="AS414" i="1" s="1"/>
  <c r="M399" i="1"/>
  <c r="M400" i="1" s="1"/>
  <c r="L399" i="1"/>
  <c r="K399" i="1"/>
  <c r="K400" i="1" s="1"/>
  <c r="K401" i="1" s="1"/>
  <c r="K402" i="1" s="1"/>
  <c r="AX398" i="1"/>
  <c r="AX399" i="1" s="1"/>
  <c r="AX400" i="1" s="1"/>
  <c r="AX401" i="1" s="1"/>
  <c r="AX402" i="1" s="1"/>
  <c r="AX403" i="1" s="1"/>
  <c r="AX404" i="1" s="1"/>
  <c r="AX405" i="1" s="1"/>
  <c r="AX406" i="1" s="1"/>
  <c r="AX407" i="1" s="1"/>
  <c r="AX408" i="1" s="1"/>
  <c r="AX409" i="1" s="1"/>
  <c r="AX410" i="1" s="1"/>
  <c r="AX411" i="1" s="1"/>
  <c r="AX412" i="1" s="1"/>
  <c r="AX413" i="1" s="1"/>
  <c r="AX414" i="1" s="1"/>
  <c r="AW398" i="1"/>
  <c r="AW399" i="1" s="1"/>
  <c r="AW400" i="1" s="1"/>
  <c r="AW401" i="1" s="1"/>
  <c r="AW402" i="1" s="1"/>
  <c r="AW403" i="1" s="1"/>
  <c r="AW404" i="1" s="1"/>
  <c r="AW405" i="1" s="1"/>
  <c r="AW406" i="1" s="1"/>
  <c r="AW407" i="1" s="1"/>
  <c r="AW408" i="1" s="1"/>
  <c r="AW409" i="1" s="1"/>
  <c r="AW410" i="1" s="1"/>
  <c r="AW411" i="1" s="1"/>
  <c r="AW412" i="1" s="1"/>
  <c r="AW413" i="1" s="1"/>
  <c r="AW414" i="1" s="1"/>
  <c r="AV398" i="1"/>
  <c r="AV399" i="1" s="1"/>
  <c r="AU398" i="1"/>
  <c r="AU399" i="1" s="1"/>
  <c r="AU400" i="1" s="1"/>
  <c r="AT398" i="1"/>
  <c r="AS398" i="1"/>
  <c r="AR398" i="1"/>
  <c r="AR399" i="1" s="1"/>
  <c r="AR400" i="1" s="1"/>
  <c r="AR401" i="1" s="1"/>
  <c r="AR402" i="1" s="1"/>
  <c r="AR403" i="1" s="1"/>
  <c r="AR404" i="1" s="1"/>
  <c r="AR405" i="1" s="1"/>
  <c r="AR406" i="1" s="1"/>
  <c r="AR407" i="1" s="1"/>
  <c r="AR408" i="1" s="1"/>
  <c r="AR409" i="1" s="1"/>
  <c r="AR410" i="1" s="1"/>
  <c r="AR411" i="1" s="1"/>
  <c r="AR412" i="1" s="1"/>
  <c r="AR413" i="1" s="1"/>
  <c r="AR414" i="1" s="1"/>
  <c r="AK398" i="1"/>
  <c r="AK399" i="1" s="1"/>
  <c r="AK400" i="1" s="1"/>
  <c r="AK401" i="1" s="1"/>
  <c r="AK402" i="1" s="1"/>
  <c r="AK403" i="1" s="1"/>
  <c r="AK404" i="1" s="1"/>
  <c r="AK405" i="1" s="1"/>
  <c r="AK406" i="1" s="1"/>
  <c r="AK407" i="1" s="1"/>
  <c r="AK408" i="1" s="1"/>
  <c r="AK409" i="1" s="1"/>
  <c r="AK410" i="1" s="1"/>
  <c r="AK411" i="1" s="1"/>
  <c r="AK412" i="1" s="1"/>
  <c r="AK413" i="1" s="1"/>
  <c r="AK414" i="1" s="1"/>
  <c r="AJ398" i="1"/>
  <c r="AJ399" i="1" s="1"/>
  <c r="P398" i="1"/>
  <c r="P399" i="1" s="1"/>
  <c r="P400" i="1" s="1"/>
  <c r="P401" i="1" s="1"/>
  <c r="P402" i="1" s="1"/>
  <c r="P403" i="1" s="1"/>
  <c r="O398" i="1"/>
  <c r="O399" i="1" s="1"/>
  <c r="O400" i="1" s="1"/>
  <c r="O401" i="1" s="1"/>
  <c r="O402" i="1" s="1"/>
  <c r="O403" i="1" s="1"/>
  <c r="N398" i="1"/>
  <c r="N399" i="1" s="1"/>
  <c r="M398" i="1"/>
  <c r="L398" i="1"/>
  <c r="K398" i="1"/>
  <c r="J398" i="1"/>
  <c r="J399" i="1" s="1"/>
  <c r="J400" i="1" s="1"/>
  <c r="J401" i="1" s="1"/>
  <c r="J402" i="1" s="1"/>
  <c r="C398" i="1"/>
  <c r="C399" i="1" s="1"/>
  <c r="C400" i="1" s="1"/>
  <c r="C401" i="1" s="1"/>
  <c r="C402" i="1" s="1"/>
  <c r="AJ397" i="1"/>
  <c r="AC397" i="1"/>
  <c r="AC398" i="1" s="1"/>
  <c r="AC399" i="1" s="1"/>
  <c r="AC400" i="1" s="1"/>
  <c r="AC401" i="1" s="1"/>
  <c r="AC402" i="1" s="1"/>
  <c r="AC403" i="1" s="1"/>
  <c r="AC404" i="1" s="1"/>
  <c r="AC405" i="1" s="1"/>
  <c r="AC406" i="1" s="1"/>
  <c r="AC407" i="1" s="1"/>
  <c r="AC408" i="1" s="1"/>
  <c r="AC409" i="1" s="1"/>
  <c r="AC410" i="1" s="1"/>
  <c r="AC411" i="1" s="1"/>
  <c r="AC412" i="1" s="1"/>
  <c r="AD396" i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C396" i="1"/>
  <c r="AG395" i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6" i="1" s="1"/>
  <c r="AG407" i="1" s="1"/>
  <c r="AG408" i="1" s="1"/>
  <c r="AG409" i="1" s="1"/>
  <c r="AG410" i="1" s="1"/>
  <c r="AG411" i="1" s="1"/>
  <c r="AG412" i="1" s="1"/>
  <c r="AF395" i="1"/>
  <c r="AF396" i="1" s="1"/>
  <c r="AF397" i="1" s="1"/>
  <c r="AF398" i="1" s="1"/>
  <c r="AF399" i="1" s="1"/>
  <c r="AF400" i="1" s="1"/>
  <c r="AF401" i="1" s="1"/>
  <c r="AF402" i="1" s="1"/>
  <c r="AF403" i="1" s="1"/>
  <c r="AF404" i="1" s="1"/>
  <c r="AF405" i="1" s="1"/>
  <c r="AF406" i="1" s="1"/>
  <c r="AF407" i="1" s="1"/>
  <c r="AF408" i="1" s="1"/>
  <c r="AF409" i="1" s="1"/>
  <c r="AF410" i="1" s="1"/>
  <c r="AF411" i="1" s="1"/>
  <c r="AF412" i="1" s="1"/>
  <c r="AE395" i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D395" i="1"/>
  <c r="AC395" i="1"/>
  <c r="AB395" i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A395" i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T395" i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AX391" i="1"/>
  <c r="AX392" i="1" s="1"/>
  <c r="AX393" i="1" s="1"/>
  <c r="AX394" i="1" s="1"/>
  <c r="AX395" i="1" s="1"/>
  <c r="AX396" i="1" s="1"/>
  <c r="AW391" i="1"/>
  <c r="AW392" i="1" s="1"/>
  <c r="AW393" i="1" s="1"/>
  <c r="AW394" i="1" s="1"/>
  <c r="AW395" i="1" s="1"/>
  <c r="AW396" i="1" s="1"/>
  <c r="AT391" i="1"/>
  <c r="AT392" i="1" s="1"/>
  <c r="AT393" i="1" s="1"/>
  <c r="AT394" i="1" s="1"/>
  <c r="AT395" i="1" s="1"/>
  <c r="AT396" i="1" s="1"/>
  <c r="AS391" i="1"/>
  <c r="AS392" i="1" s="1"/>
  <c r="AS393" i="1" s="1"/>
  <c r="AS394" i="1" s="1"/>
  <c r="AS395" i="1" s="1"/>
  <c r="AS396" i="1" s="1"/>
  <c r="AR391" i="1"/>
  <c r="AR392" i="1" s="1"/>
  <c r="AR393" i="1" s="1"/>
  <c r="AR394" i="1" s="1"/>
  <c r="AR395" i="1" s="1"/>
  <c r="AR396" i="1" s="1"/>
  <c r="AX390" i="1"/>
  <c r="AW390" i="1"/>
  <c r="AV390" i="1"/>
  <c r="AV391" i="1" s="1"/>
  <c r="AV392" i="1" s="1"/>
  <c r="AV393" i="1" s="1"/>
  <c r="AV394" i="1" s="1"/>
  <c r="AV395" i="1" s="1"/>
  <c r="AV396" i="1" s="1"/>
  <c r="AU390" i="1"/>
  <c r="AU391" i="1" s="1"/>
  <c r="AU392" i="1" s="1"/>
  <c r="AU393" i="1" s="1"/>
  <c r="AU394" i="1" s="1"/>
  <c r="AU395" i="1" s="1"/>
  <c r="AU396" i="1" s="1"/>
  <c r="AT390" i="1"/>
  <c r="AS390" i="1"/>
  <c r="AR390" i="1"/>
  <c r="AK390" i="1"/>
  <c r="AK391" i="1" s="1"/>
  <c r="AK392" i="1" s="1"/>
  <c r="AK393" i="1" s="1"/>
  <c r="AK394" i="1" s="1"/>
  <c r="AK395" i="1" s="1"/>
  <c r="AK396" i="1" s="1"/>
  <c r="J388" i="1"/>
  <c r="J389" i="1" s="1"/>
  <c r="J390" i="1" s="1"/>
  <c r="J391" i="1" s="1"/>
  <c r="J392" i="1" s="1"/>
  <c r="J393" i="1" s="1"/>
  <c r="J394" i="1" s="1"/>
  <c r="J395" i="1" s="1"/>
  <c r="AG387" i="1"/>
  <c r="AG388" i="1" s="1"/>
  <c r="AG389" i="1" s="1"/>
  <c r="AG390" i="1" s="1"/>
  <c r="AG391" i="1" s="1"/>
  <c r="AG392" i="1" s="1"/>
  <c r="AG393" i="1" s="1"/>
  <c r="O387" i="1"/>
  <c r="O388" i="1" s="1"/>
  <c r="O389" i="1" s="1"/>
  <c r="O390" i="1" s="1"/>
  <c r="O391" i="1" s="1"/>
  <c r="O392" i="1" s="1"/>
  <c r="O393" i="1" s="1"/>
  <c r="O394" i="1" s="1"/>
  <c r="O395" i="1" s="1"/>
  <c r="O396" i="1" s="1"/>
  <c r="N387" i="1"/>
  <c r="N388" i="1" s="1"/>
  <c r="N389" i="1" s="1"/>
  <c r="N390" i="1" s="1"/>
  <c r="N391" i="1" s="1"/>
  <c r="N392" i="1" s="1"/>
  <c r="N393" i="1" s="1"/>
  <c r="N394" i="1" s="1"/>
  <c r="N395" i="1" s="1"/>
  <c r="M387" i="1"/>
  <c r="M388" i="1" s="1"/>
  <c r="M389" i="1" s="1"/>
  <c r="M390" i="1" s="1"/>
  <c r="M391" i="1" s="1"/>
  <c r="M392" i="1" s="1"/>
  <c r="M393" i="1" s="1"/>
  <c r="M394" i="1" s="1"/>
  <c r="M395" i="1" s="1"/>
  <c r="J387" i="1"/>
  <c r="C387" i="1"/>
  <c r="C388" i="1" s="1"/>
  <c r="C389" i="1" s="1"/>
  <c r="C390" i="1" s="1"/>
  <c r="C391" i="1" s="1"/>
  <c r="C392" i="1" s="1"/>
  <c r="C393" i="1" s="1"/>
  <c r="C394" i="1" s="1"/>
  <c r="C395" i="1" s="1"/>
  <c r="AG386" i="1"/>
  <c r="P386" i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O386" i="1"/>
  <c r="N386" i="1"/>
  <c r="M386" i="1"/>
  <c r="L386" i="1"/>
  <c r="L387" i="1" s="1"/>
  <c r="L388" i="1" s="1"/>
  <c r="L389" i="1" s="1"/>
  <c r="L390" i="1" s="1"/>
  <c r="L391" i="1" s="1"/>
  <c r="L392" i="1" s="1"/>
  <c r="L393" i="1" s="1"/>
  <c r="L394" i="1" s="1"/>
  <c r="L395" i="1" s="1"/>
  <c r="K386" i="1"/>
  <c r="K387" i="1" s="1"/>
  <c r="K388" i="1" s="1"/>
  <c r="K389" i="1" s="1"/>
  <c r="K390" i="1" s="1"/>
  <c r="K391" i="1" s="1"/>
  <c r="K392" i="1" s="1"/>
  <c r="K393" i="1" s="1"/>
  <c r="K394" i="1" s="1"/>
  <c r="K395" i="1" s="1"/>
  <c r="J386" i="1"/>
  <c r="C386" i="1"/>
  <c r="AG385" i="1"/>
  <c r="AB385" i="1"/>
  <c r="AB386" i="1" s="1"/>
  <c r="AB387" i="1" s="1"/>
  <c r="AB388" i="1" s="1"/>
  <c r="AB389" i="1" s="1"/>
  <c r="AB390" i="1" s="1"/>
  <c r="AB391" i="1" s="1"/>
  <c r="AB392" i="1" s="1"/>
  <c r="AB393" i="1" s="1"/>
  <c r="AA385" i="1"/>
  <c r="AA386" i="1" s="1"/>
  <c r="AA387" i="1" s="1"/>
  <c r="AA388" i="1" s="1"/>
  <c r="AA389" i="1" s="1"/>
  <c r="AA390" i="1" s="1"/>
  <c r="AA391" i="1" s="1"/>
  <c r="AA392" i="1" s="1"/>
  <c r="AA393" i="1" s="1"/>
  <c r="AG384" i="1"/>
  <c r="AF384" i="1"/>
  <c r="AF385" i="1" s="1"/>
  <c r="AF386" i="1" s="1"/>
  <c r="AF387" i="1" s="1"/>
  <c r="AF388" i="1" s="1"/>
  <c r="AF389" i="1" s="1"/>
  <c r="AF390" i="1" s="1"/>
  <c r="AF391" i="1" s="1"/>
  <c r="AF392" i="1" s="1"/>
  <c r="AF393" i="1" s="1"/>
  <c r="AE384" i="1"/>
  <c r="AE385" i="1" s="1"/>
  <c r="AE386" i="1" s="1"/>
  <c r="AE387" i="1" s="1"/>
  <c r="AE388" i="1" s="1"/>
  <c r="AE389" i="1" s="1"/>
  <c r="AE390" i="1" s="1"/>
  <c r="AE391" i="1" s="1"/>
  <c r="AE392" i="1" s="1"/>
  <c r="AE393" i="1" s="1"/>
  <c r="AD384" i="1"/>
  <c r="AD385" i="1" s="1"/>
  <c r="AD386" i="1" s="1"/>
  <c r="AD387" i="1" s="1"/>
  <c r="AD388" i="1" s="1"/>
  <c r="AD389" i="1" s="1"/>
  <c r="AD390" i="1" s="1"/>
  <c r="AD391" i="1" s="1"/>
  <c r="AD392" i="1" s="1"/>
  <c r="AD393" i="1" s="1"/>
  <c r="AC384" i="1"/>
  <c r="AC385" i="1" s="1"/>
  <c r="AC386" i="1" s="1"/>
  <c r="AC387" i="1" s="1"/>
  <c r="AC388" i="1" s="1"/>
  <c r="AC389" i="1" s="1"/>
  <c r="AC390" i="1" s="1"/>
  <c r="AC391" i="1" s="1"/>
  <c r="AC392" i="1" s="1"/>
  <c r="AC393" i="1" s="1"/>
  <c r="AB384" i="1"/>
  <c r="AA384" i="1"/>
  <c r="T384" i="1"/>
  <c r="T385" i="1" s="1"/>
  <c r="T386" i="1" s="1"/>
  <c r="T387" i="1" s="1"/>
  <c r="T388" i="1" s="1"/>
  <c r="T389" i="1" s="1"/>
  <c r="T390" i="1" s="1"/>
  <c r="T391" i="1" s="1"/>
  <c r="T392" i="1" s="1"/>
  <c r="T393" i="1" s="1"/>
  <c r="O381" i="1"/>
  <c r="O382" i="1" s="1"/>
  <c r="O383" i="1" s="1"/>
  <c r="O384" i="1" s="1"/>
  <c r="O380" i="1"/>
  <c r="N380" i="1"/>
  <c r="N381" i="1" s="1"/>
  <c r="N382" i="1" s="1"/>
  <c r="N383" i="1" s="1"/>
  <c r="N384" i="1" s="1"/>
  <c r="M380" i="1"/>
  <c r="M381" i="1" s="1"/>
  <c r="M382" i="1" s="1"/>
  <c r="M383" i="1" s="1"/>
  <c r="M384" i="1" s="1"/>
  <c r="P379" i="1"/>
  <c r="P380" i="1" s="1"/>
  <c r="P381" i="1" s="1"/>
  <c r="P382" i="1" s="1"/>
  <c r="P383" i="1" s="1"/>
  <c r="P384" i="1" s="1"/>
  <c r="O379" i="1"/>
  <c r="N379" i="1"/>
  <c r="M379" i="1"/>
  <c r="L379" i="1"/>
  <c r="L380" i="1" s="1"/>
  <c r="L381" i="1" s="1"/>
  <c r="L382" i="1" s="1"/>
  <c r="L383" i="1" s="1"/>
  <c r="L384" i="1" s="1"/>
  <c r="K379" i="1"/>
  <c r="K380" i="1" s="1"/>
  <c r="K381" i="1" s="1"/>
  <c r="K382" i="1" s="1"/>
  <c r="K383" i="1" s="1"/>
  <c r="K384" i="1" s="1"/>
  <c r="J379" i="1"/>
  <c r="J380" i="1" s="1"/>
  <c r="J381" i="1" s="1"/>
  <c r="J382" i="1" s="1"/>
  <c r="J383" i="1" s="1"/>
  <c r="J384" i="1" s="1"/>
  <c r="C379" i="1"/>
  <c r="C380" i="1" s="1"/>
  <c r="C381" i="1" s="1"/>
  <c r="C382" i="1" s="1"/>
  <c r="C383" i="1" s="1"/>
  <c r="C384" i="1" s="1"/>
  <c r="AG378" i="1"/>
  <c r="AG379" i="1" s="1"/>
  <c r="AG380" i="1" s="1"/>
  <c r="AG381" i="1" s="1"/>
  <c r="AG382" i="1" s="1"/>
  <c r="AF378" i="1"/>
  <c r="AF379" i="1" s="1"/>
  <c r="AF380" i="1" s="1"/>
  <c r="AF381" i="1" s="1"/>
  <c r="AF382" i="1" s="1"/>
  <c r="AA378" i="1"/>
  <c r="AA379" i="1" s="1"/>
  <c r="AA380" i="1" s="1"/>
  <c r="AA381" i="1" s="1"/>
  <c r="AA382" i="1" s="1"/>
  <c r="AG377" i="1"/>
  <c r="AF377" i="1"/>
  <c r="AE377" i="1"/>
  <c r="AE378" i="1" s="1"/>
  <c r="AE379" i="1" s="1"/>
  <c r="AE380" i="1" s="1"/>
  <c r="AE381" i="1" s="1"/>
  <c r="AE382" i="1" s="1"/>
  <c r="AD377" i="1"/>
  <c r="AD378" i="1" s="1"/>
  <c r="AD379" i="1" s="1"/>
  <c r="AD380" i="1" s="1"/>
  <c r="AD381" i="1" s="1"/>
  <c r="AD382" i="1" s="1"/>
  <c r="AC377" i="1"/>
  <c r="AC378" i="1" s="1"/>
  <c r="AC379" i="1" s="1"/>
  <c r="AC380" i="1" s="1"/>
  <c r="AC381" i="1" s="1"/>
  <c r="AC382" i="1" s="1"/>
  <c r="AB377" i="1"/>
  <c r="AB378" i="1" s="1"/>
  <c r="AB379" i="1" s="1"/>
  <c r="AB380" i="1" s="1"/>
  <c r="AB381" i="1" s="1"/>
  <c r="AB382" i="1" s="1"/>
  <c r="AA377" i="1"/>
  <c r="T377" i="1"/>
  <c r="T378" i="1" s="1"/>
  <c r="T379" i="1" s="1"/>
  <c r="T380" i="1" s="1"/>
  <c r="T381" i="1" s="1"/>
  <c r="T382" i="1" s="1"/>
  <c r="AS376" i="1"/>
  <c r="AS377" i="1" s="1"/>
  <c r="AS378" i="1" s="1"/>
  <c r="AS379" i="1" s="1"/>
  <c r="AS380" i="1" s="1"/>
  <c r="AS381" i="1" s="1"/>
  <c r="AS382" i="1" s="1"/>
  <c r="AS383" i="1" s="1"/>
  <c r="AS384" i="1" s="1"/>
  <c r="AS385" i="1" s="1"/>
  <c r="AS386" i="1" s="1"/>
  <c r="AS387" i="1" s="1"/>
  <c r="AS388" i="1" s="1"/>
  <c r="AU375" i="1"/>
  <c r="AU376" i="1" s="1"/>
  <c r="AU377" i="1" s="1"/>
  <c r="AU378" i="1" s="1"/>
  <c r="AU379" i="1" s="1"/>
  <c r="AU380" i="1" s="1"/>
  <c r="AU381" i="1" s="1"/>
  <c r="AU382" i="1" s="1"/>
  <c r="AU383" i="1" s="1"/>
  <c r="AU384" i="1" s="1"/>
  <c r="AU385" i="1" s="1"/>
  <c r="AU386" i="1" s="1"/>
  <c r="AU387" i="1" s="1"/>
  <c r="AU388" i="1" s="1"/>
  <c r="AT375" i="1"/>
  <c r="AT376" i="1" s="1"/>
  <c r="AT377" i="1" s="1"/>
  <c r="AT378" i="1" s="1"/>
  <c r="AT379" i="1" s="1"/>
  <c r="AT380" i="1" s="1"/>
  <c r="AT381" i="1" s="1"/>
  <c r="AT382" i="1" s="1"/>
  <c r="AT383" i="1" s="1"/>
  <c r="AT384" i="1" s="1"/>
  <c r="AT385" i="1" s="1"/>
  <c r="AT386" i="1" s="1"/>
  <c r="AT387" i="1" s="1"/>
  <c r="AT388" i="1" s="1"/>
  <c r="AS375" i="1"/>
  <c r="AG375" i="1"/>
  <c r="AF375" i="1"/>
  <c r="AA375" i="1"/>
  <c r="T375" i="1"/>
  <c r="AX374" i="1"/>
  <c r="AX375" i="1" s="1"/>
  <c r="AX376" i="1" s="1"/>
  <c r="AX377" i="1" s="1"/>
  <c r="AX378" i="1" s="1"/>
  <c r="AX379" i="1" s="1"/>
  <c r="AX380" i="1" s="1"/>
  <c r="AX381" i="1" s="1"/>
  <c r="AX382" i="1" s="1"/>
  <c r="AX383" i="1" s="1"/>
  <c r="AX384" i="1" s="1"/>
  <c r="AX385" i="1" s="1"/>
  <c r="AX386" i="1" s="1"/>
  <c r="AX387" i="1" s="1"/>
  <c r="AX388" i="1" s="1"/>
  <c r="AW374" i="1"/>
  <c r="AW375" i="1" s="1"/>
  <c r="AW376" i="1" s="1"/>
  <c r="AW377" i="1" s="1"/>
  <c r="AW378" i="1" s="1"/>
  <c r="AW379" i="1" s="1"/>
  <c r="AW380" i="1" s="1"/>
  <c r="AW381" i="1" s="1"/>
  <c r="AW382" i="1" s="1"/>
  <c r="AW383" i="1" s="1"/>
  <c r="AW384" i="1" s="1"/>
  <c r="AW385" i="1" s="1"/>
  <c r="AW386" i="1" s="1"/>
  <c r="AW387" i="1" s="1"/>
  <c r="AW388" i="1" s="1"/>
  <c r="AV374" i="1"/>
  <c r="AV375" i="1" s="1"/>
  <c r="AV376" i="1" s="1"/>
  <c r="AV377" i="1" s="1"/>
  <c r="AV378" i="1" s="1"/>
  <c r="AV379" i="1" s="1"/>
  <c r="AV380" i="1" s="1"/>
  <c r="AV381" i="1" s="1"/>
  <c r="AV382" i="1" s="1"/>
  <c r="AV383" i="1" s="1"/>
  <c r="AV384" i="1" s="1"/>
  <c r="AV385" i="1" s="1"/>
  <c r="AV386" i="1" s="1"/>
  <c r="AV387" i="1" s="1"/>
  <c r="AV388" i="1" s="1"/>
  <c r="AU374" i="1"/>
  <c r="AT374" i="1"/>
  <c r="AS374" i="1"/>
  <c r="AR374" i="1"/>
  <c r="AR375" i="1" s="1"/>
  <c r="AR376" i="1" s="1"/>
  <c r="AR377" i="1" s="1"/>
  <c r="AR378" i="1" s="1"/>
  <c r="AR379" i="1" s="1"/>
  <c r="AR380" i="1" s="1"/>
  <c r="AR381" i="1" s="1"/>
  <c r="AR382" i="1" s="1"/>
  <c r="AR383" i="1" s="1"/>
  <c r="AR384" i="1" s="1"/>
  <c r="AR385" i="1" s="1"/>
  <c r="AR386" i="1" s="1"/>
  <c r="AR387" i="1" s="1"/>
  <c r="AR388" i="1" s="1"/>
  <c r="AK374" i="1"/>
  <c r="AK375" i="1" s="1"/>
  <c r="AK376" i="1" s="1"/>
  <c r="AK377" i="1" s="1"/>
  <c r="AK378" i="1" s="1"/>
  <c r="AK379" i="1" s="1"/>
  <c r="AK380" i="1" s="1"/>
  <c r="AK381" i="1" s="1"/>
  <c r="AK382" i="1" s="1"/>
  <c r="AK383" i="1" s="1"/>
  <c r="AK384" i="1" s="1"/>
  <c r="AK385" i="1" s="1"/>
  <c r="AK386" i="1" s="1"/>
  <c r="AK387" i="1" s="1"/>
  <c r="AK388" i="1" s="1"/>
  <c r="AG374" i="1"/>
  <c r="AF374" i="1"/>
  <c r="AE374" i="1"/>
  <c r="AE375" i="1" s="1"/>
  <c r="AD374" i="1"/>
  <c r="AD375" i="1" s="1"/>
  <c r="AC374" i="1"/>
  <c r="AC375" i="1" s="1"/>
  <c r="AB374" i="1"/>
  <c r="AB375" i="1" s="1"/>
  <c r="AA374" i="1"/>
  <c r="T374" i="1"/>
  <c r="C374" i="1"/>
  <c r="C375" i="1" s="1"/>
  <c r="C376" i="1" s="1"/>
  <c r="C377" i="1" s="1"/>
  <c r="AX372" i="1"/>
  <c r="AU372" i="1"/>
  <c r="AT372" i="1"/>
  <c r="AS372" i="1"/>
  <c r="K372" i="1"/>
  <c r="K373" i="1" s="1"/>
  <c r="K374" i="1" s="1"/>
  <c r="K375" i="1" s="1"/>
  <c r="K376" i="1" s="1"/>
  <c r="K377" i="1" s="1"/>
  <c r="AX371" i="1"/>
  <c r="AW371" i="1"/>
  <c r="AW372" i="1" s="1"/>
  <c r="AV371" i="1"/>
  <c r="AV372" i="1" s="1"/>
  <c r="AU371" i="1"/>
  <c r="AT371" i="1"/>
  <c r="AS371" i="1"/>
  <c r="AR371" i="1"/>
  <c r="AR372" i="1" s="1"/>
  <c r="AK371" i="1"/>
  <c r="AK372" i="1" s="1"/>
  <c r="N371" i="1"/>
  <c r="N372" i="1" s="1"/>
  <c r="N373" i="1" s="1"/>
  <c r="N374" i="1" s="1"/>
  <c r="N375" i="1" s="1"/>
  <c r="N376" i="1" s="1"/>
  <c r="N377" i="1" s="1"/>
  <c r="O370" i="1"/>
  <c r="O371" i="1" s="1"/>
  <c r="O372" i="1" s="1"/>
  <c r="O373" i="1" s="1"/>
  <c r="O374" i="1" s="1"/>
  <c r="O375" i="1" s="1"/>
  <c r="O376" i="1" s="1"/>
  <c r="O377" i="1" s="1"/>
  <c r="C370" i="1"/>
  <c r="C371" i="1" s="1"/>
  <c r="C372" i="1" s="1"/>
  <c r="C373" i="1" s="1"/>
  <c r="AE369" i="1"/>
  <c r="AE370" i="1" s="1"/>
  <c r="AE371" i="1" s="1"/>
  <c r="AE372" i="1" s="1"/>
  <c r="AD369" i="1"/>
  <c r="AD370" i="1" s="1"/>
  <c r="AD371" i="1" s="1"/>
  <c r="AD372" i="1" s="1"/>
  <c r="P369" i="1"/>
  <c r="P370" i="1" s="1"/>
  <c r="P371" i="1" s="1"/>
  <c r="P372" i="1" s="1"/>
  <c r="P373" i="1" s="1"/>
  <c r="P374" i="1" s="1"/>
  <c r="P375" i="1" s="1"/>
  <c r="P376" i="1" s="1"/>
  <c r="P377" i="1" s="1"/>
  <c r="O369" i="1"/>
  <c r="N369" i="1"/>
  <c r="N370" i="1" s="1"/>
  <c r="M369" i="1"/>
  <c r="M370" i="1" s="1"/>
  <c r="M371" i="1" s="1"/>
  <c r="M372" i="1" s="1"/>
  <c r="M373" i="1" s="1"/>
  <c r="M374" i="1" s="1"/>
  <c r="M375" i="1" s="1"/>
  <c r="M376" i="1" s="1"/>
  <c r="M377" i="1" s="1"/>
  <c r="L369" i="1"/>
  <c r="L370" i="1" s="1"/>
  <c r="L371" i="1" s="1"/>
  <c r="L372" i="1" s="1"/>
  <c r="L373" i="1" s="1"/>
  <c r="L374" i="1" s="1"/>
  <c r="L375" i="1" s="1"/>
  <c r="L376" i="1" s="1"/>
  <c r="L377" i="1" s="1"/>
  <c r="K369" i="1"/>
  <c r="K370" i="1" s="1"/>
  <c r="K371" i="1" s="1"/>
  <c r="J369" i="1"/>
  <c r="J370" i="1" s="1"/>
  <c r="J371" i="1" s="1"/>
  <c r="J372" i="1" s="1"/>
  <c r="J373" i="1" s="1"/>
  <c r="J374" i="1" s="1"/>
  <c r="J375" i="1" s="1"/>
  <c r="J376" i="1" s="1"/>
  <c r="J377" i="1" s="1"/>
  <c r="C369" i="1"/>
  <c r="AX368" i="1"/>
  <c r="AW368" i="1"/>
  <c r="AV368" i="1"/>
  <c r="AU368" i="1"/>
  <c r="AT368" i="1"/>
  <c r="AS368" i="1"/>
  <c r="AR368" i="1"/>
  <c r="AK368" i="1"/>
  <c r="AG368" i="1"/>
  <c r="AG369" i="1" s="1"/>
  <c r="AG370" i="1" s="1"/>
  <c r="AG371" i="1" s="1"/>
  <c r="AG372" i="1" s="1"/>
  <c r="AE368" i="1"/>
  <c r="AD368" i="1"/>
  <c r="AC368" i="1"/>
  <c r="AC369" i="1" s="1"/>
  <c r="AC370" i="1" s="1"/>
  <c r="AC371" i="1" s="1"/>
  <c r="AC372" i="1" s="1"/>
  <c r="AB368" i="1"/>
  <c r="AB369" i="1" s="1"/>
  <c r="AB370" i="1" s="1"/>
  <c r="AB371" i="1" s="1"/>
  <c r="AB372" i="1" s="1"/>
  <c r="AA368" i="1"/>
  <c r="AA369" i="1" s="1"/>
  <c r="AA370" i="1" s="1"/>
  <c r="AA371" i="1" s="1"/>
  <c r="AA372" i="1" s="1"/>
  <c r="AG367" i="1"/>
  <c r="AF367" i="1"/>
  <c r="AF368" i="1" s="1"/>
  <c r="AF369" i="1" s="1"/>
  <c r="AF370" i="1" s="1"/>
  <c r="AF371" i="1" s="1"/>
  <c r="AF372" i="1" s="1"/>
  <c r="AE367" i="1"/>
  <c r="AD367" i="1"/>
  <c r="AC367" i="1"/>
  <c r="AB367" i="1"/>
  <c r="AA367" i="1"/>
  <c r="T367" i="1"/>
  <c r="T368" i="1" s="1"/>
  <c r="T369" i="1" s="1"/>
  <c r="T370" i="1" s="1"/>
  <c r="T371" i="1" s="1"/>
  <c r="T372" i="1" s="1"/>
  <c r="AK366" i="1"/>
  <c r="J363" i="1"/>
  <c r="J364" i="1" s="1"/>
  <c r="J365" i="1" s="1"/>
  <c r="J366" i="1" s="1"/>
  <c r="J367" i="1" s="1"/>
  <c r="J361" i="1"/>
  <c r="J362" i="1" s="1"/>
  <c r="O359" i="1"/>
  <c r="O360" i="1" s="1"/>
  <c r="O361" i="1" s="1"/>
  <c r="O362" i="1" s="1"/>
  <c r="O363" i="1" s="1"/>
  <c r="O364" i="1" s="1"/>
  <c r="O365" i="1" s="1"/>
  <c r="O366" i="1" s="1"/>
  <c r="O367" i="1" s="1"/>
  <c r="J359" i="1"/>
  <c r="J360" i="1" s="1"/>
  <c r="O358" i="1"/>
  <c r="N358" i="1"/>
  <c r="N359" i="1" s="1"/>
  <c r="N360" i="1" s="1"/>
  <c r="N361" i="1" s="1"/>
  <c r="N362" i="1" s="1"/>
  <c r="N363" i="1" s="1"/>
  <c r="N364" i="1" s="1"/>
  <c r="N365" i="1" s="1"/>
  <c r="N366" i="1" s="1"/>
  <c r="N367" i="1" s="1"/>
  <c r="M358" i="1"/>
  <c r="M359" i="1" s="1"/>
  <c r="M360" i="1" s="1"/>
  <c r="M361" i="1" s="1"/>
  <c r="M362" i="1" s="1"/>
  <c r="M363" i="1" s="1"/>
  <c r="M364" i="1" s="1"/>
  <c r="M365" i="1" s="1"/>
  <c r="M366" i="1" s="1"/>
  <c r="M367" i="1" s="1"/>
  <c r="AR357" i="1"/>
  <c r="AR358" i="1" s="1"/>
  <c r="AR359" i="1" s="1"/>
  <c r="AR360" i="1" s="1"/>
  <c r="AR361" i="1" s="1"/>
  <c r="AR362" i="1" s="1"/>
  <c r="AR363" i="1" s="1"/>
  <c r="AR364" i="1" s="1"/>
  <c r="AR365" i="1" s="1"/>
  <c r="AR366" i="1" s="1"/>
  <c r="P357" i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O357" i="1"/>
  <c r="N357" i="1"/>
  <c r="M357" i="1"/>
  <c r="L357" i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K357" i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J357" i="1"/>
  <c r="J358" i="1" s="1"/>
  <c r="C357" i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AU356" i="1"/>
  <c r="AU357" i="1" s="1"/>
  <c r="AU358" i="1" s="1"/>
  <c r="AU359" i="1" s="1"/>
  <c r="AU360" i="1" s="1"/>
  <c r="AU361" i="1" s="1"/>
  <c r="AU362" i="1" s="1"/>
  <c r="AU363" i="1" s="1"/>
  <c r="AU364" i="1" s="1"/>
  <c r="AU365" i="1" s="1"/>
  <c r="AU366" i="1" s="1"/>
  <c r="S352" i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AV351" i="1"/>
  <c r="AV352" i="1" s="1"/>
  <c r="AV353" i="1" s="1"/>
  <c r="AV354" i="1" s="1"/>
  <c r="AV355" i="1" s="1"/>
  <c r="AV356" i="1" s="1"/>
  <c r="AV357" i="1" s="1"/>
  <c r="AV358" i="1" s="1"/>
  <c r="AV359" i="1" s="1"/>
  <c r="AV360" i="1" s="1"/>
  <c r="AV361" i="1" s="1"/>
  <c r="AV362" i="1" s="1"/>
  <c r="AV363" i="1" s="1"/>
  <c r="AV364" i="1" s="1"/>
  <c r="AV365" i="1" s="1"/>
  <c r="AV366" i="1" s="1"/>
  <c r="AU351" i="1"/>
  <c r="AU352" i="1" s="1"/>
  <c r="AU353" i="1" s="1"/>
  <c r="AU354" i="1" s="1"/>
  <c r="AU355" i="1" s="1"/>
  <c r="AX350" i="1"/>
  <c r="AX351" i="1" s="1"/>
  <c r="AX352" i="1" s="1"/>
  <c r="AX353" i="1" s="1"/>
  <c r="AX354" i="1" s="1"/>
  <c r="AX355" i="1" s="1"/>
  <c r="AX356" i="1" s="1"/>
  <c r="AX357" i="1" s="1"/>
  <c r="AX358" i="1" s="1"/>
  <c r="AX359" i="1" s="1"/>
  <c r="AX360" i="1" s="1"/>
  <c r="AX361" i="1" s="1"/>
  <c r="AX362" i="1" s="1"/>
  <c r="AX363" i="1" s="1"/>
  <c r="AX364" i="1" s="1"/>
  <c r="AX365" i="1" s="1"/>
  <c r="AX366" i="1" s="1"/>
  <c r="AU350" i="1"/>
  <c r="AT350" i="1"/>
  <c r="AT351" i="1" s="1"/>
  <c r="AT352" i="1" s="1"/>
  <c r="AT353" i="1" s="1"/>
  <c r="AT354" i="1" s="1"/>
  <c r="AT355" i="1" s="1"/>
  <c r="AT356" i="1" s="1"/>
  <c r="AT357" i="1" s="1"/>
  <c r="AT358" i="1" s="1"/>
  <c r="AT359" i="1" s="1"/>
  <c r="AT360" i="1" s="1"/>
  <c r="AT361" i="1" s="1"/>
  <c r="AT362" i="1" s="1"/>
  <c r="AT363" i="1" s="1"/>
  <c r="AT364" i="1" s="1"/>
  <c r="AT365" i="1" s="1"/>
  <c r="AT366" i="1" s="1"/>
  <c r="AS350" i="1"/>
  <c r="AS351" i="1" s="1"/>
  <c r="AS352" i="1" s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AS365" i="1" s="1"/>
  <c r="AS366" i="1" s="1"/>
  <c r="AD350" i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S350" i="1"/>
  <c r="S351" i="1" s="1"/>
  <c r="K350" i="1"/>
  <c r="K351" i="1" s="1"/>
  <c r="K352" i="1" s="1"/>
  <c r="K353" i="1" s="1"/>
  <c r="K354" i="1" s="1"/>
  <c r="K355" i="1" s="1"/>
  <c r="J350" i="1"/>
  <c r="J351" i="1" s="1"/>
  <c r="J352" i="1" s="1"/>
  <c r="J353" i="1" s="1"/>
  <c r="J354" i="1" s="1"/>
  <c r="J355" i="1" s="1"/>
  <c r="AX349" i="1"/>
  <c r="AW349" i="1"/>
  <c r="AW350" i="1" s="1"/>
  <c r="AW351" i="1" s="1"/>
  <c r="AW352" i="1" s="1"/>
  <c r="AW353" i="1" s="1"/>
  <c r="AW354" i="1" s="1"/>
  <c r="AW355" i="1" s="1"/>
  <c r="AW356" i="1" s="1"/>
  <c r="AW357" i="1" s="1"/>
  <c r="AW358" i="1" s="1"/>
  <c r="AW359" i="1" s="1"/>
  <c r="AW360" i="1" s="1"/>
  <c r="AW361" i="1" s="1"/>
  <c r="AW362" i="1" s="1"/>
  <c r="AW363" i="1" s="1"/>
  <c r="AW364" i="1" s="1"/>
  <c r="AW365" i="1" s="1"/>
  <c r="AW366" i="1" s="1"/>
  <c r="AV349" i="1"/>
  <c r="AV350" i="1" s="1"/>
  <c r="AU349" i="1"/>
  <c r="AT349" i="1"/>
  <c r="AS349" i="1"/>
  <c r="AR349" i="1"/>
  <c r="AR350" i="1" s="1"/>
  <c r="AR351" i="1" s="1"/>
  <c r="AR352" i="1" s="1"/>
  <c r="AR353" i="1" s="1"/>
  <c r="AR354" i="1" s="1"/>
  <c r="AR355" i="1" s="1"/>
  <c r="AR356" i="1" s="1"/>
  <c r="AK349" i="1"/>
  <c r="AK350" i="1" s="1"/>
  <c r="AK351" i="1" s="1"/>
  <c r="AK352" i="1" s="1"/>
  <c r="AK353" i="1" s="1"/>
  <c r="AK354" i="1" s="1"/>
  <c r="AK355" i="1" s="1"/>
  <c r="AK356" i="1" s="1"/>
  <c r="AK357" i="1" s="1"/>
  <c r="AK358" i="1" s="1"/>
  <c r="AK359" i="1" s="1"/>
  <c r="AK360" i="1" s="1"/>
  <c r="AK361" i="1" s="1"/>
  <c r="AK362" i="1" s="1"/>
  <c r="AK363" i="1" s="1"/>
  <c r="AK364" i="1" s="1"/>
  <c r="AK365" i="1" s="1"/>
  <c r="AJ349" i="1"/>
  <c r="AJ350" i="1" s="1"/>
  <c r="AJ351" i="1" s="1"/>
  <c r="AJ352" i="1" s="1"/>
  <c r="AJ353" i="1" s="1"/>
  <c r="AJ354" i="1" s="1"/>
  <c r="AJ355" i="1" s="1"/>
  <c r="AJ356" i="1" s="1"/>
  <c r="AJ357" i="1" s="1"/>
  <c r="AJ358" i="1" s="1"/>
  <c r="AJ359" i="1" s="1"/>
  <c r="AJ360" i="1" s="1"/>
  <c r="AJ361" i="1" s="1"/>
  <c r="AJ362" i="1" s="1"/>
  <c r="AJ363" i="1" s="1"/>
  <c r="AJ364" i="1" s="1"/>
  <c r="AJ365" i="1" s="1"/>
  <c r="AJ366" i="1" s="1"/>
  <c r="AJ367" i="1" s="1"/>
  <c r="AJ368" i="1" s="1"/>
  <c r="AJ369" i="1" s="1"/>
  <c r="AJ370" i="1" s="1"/>
  <c r="AJ371" i="1" s="1"/>
  <c r="AJ372" i="1" s="1"/>
  <c r="AJ373" i="1" s="1"/>
  <c r="AJ374" i="1" s="1"/>
  <c r="AJ375" i="1" s="1"/>
  <c r="AJ376" i="1" s="1"/>
  <c r="AJ377" i="1" s="1"/>
  <c r="AJ378" i="1" s="1"/>
  <c r="AJ379" i="1" s="1"/>
  <c r="AJ380" i="1" s="1"/>
  <c r="AJ381" i="1" s="1"/>
  <c r="AJ382" i="1" s="1"/>
  <c r="AJ383" i="1" s="1"/>
  <c r="AJ384" i="1" s="1"/>
  <c r="AJ385" i="1" s="1"/>
  <c r="AJ386" i="1" s="1"/>
  <c r="AJ387" i="1" s="1"/>
  <c r="AJ388" i="1" s="1"/>
  <c r="AJ389" i="1" s="1"/>
  <c r="AJ390" i="1" s="1"/>
  <c r="AJ391" i="1" s="1"/>
  <c r="AJ392" i="1" s="1"/>
  <c r="AJ393" i="1" s="1"/>
  <c r="AJ394" i="1" s="1"/>
  <c r="AJ395" i="1" s="1"/>
  <c r="AG349" i="1"/>
  <c r="AG350" i="1" s="1"/>
  <c r="AG351" i="1" s="1"/>
  <c r="AG352" i="1" s="1"/>
  <c r="AG353" i="1" s="1"/>
  <c r="AG354" i="1" s="1"/>
  <c r="AG355" i="1" s="1"/>
  <c r="AG356" i="1" s="1"/>
  <c r="AG357" i="1" s="1"/>
  <c r="AG358" i="1" s="1"/>
  <c r="AG359" i="1" s="1"/>
  <c r="AG360" i="1" s="1"/>
  <c r="AG361" i="1" s="1"/>
  <c r="AG362" i="1" s="1"/>
  <c r="AG363" i="1" s="1"/>
  <c r="AG364" i="1" s="1"/>
  <c r="AG365" i="1" s="1"/>
  <c r="AC349" i="1"/>
  <c r="AC350" i="1" s="1"/>
  <c r="AC351" i="1" s="1"/>
  <c r="AC352" i="1" s="1"/>
  <c r="AC353" i="1" s="1"/>
  <c r="AC354" i="1" s="1"/>
  <c r="AC355" i="1" s="1"/>
  <c r="AC356" i="1" s="1"/>
  <c r="AC357" i="1" s="1"/>
  <c r="AC358" i="1" s="1"/>
  <c r="AC359" i="1" s="1"/>
  <c r="AC360" i="1" s="1"/>
  <c r="AC361" i="1" s="1"/>
  <c r="AC362" i="1" s="1"/>
  <c r="AC363" i="1" s="1"/>
  <c r="AC364" i="1" s="1"/>
  <c r="AB349" i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S349" i="1"/>
  <c r="AG348" i="1"/>
  <c r="AF348" i="1"/>
  <c r="AF349" i="1" s="1"/>
  <c r="AF350" i="1" s="1"/>
  <c r="AF351" i="1" s="1"/>
  <c r="AF352" i="1" s="1"/>
  <c r="AF353" i="1" s="1"/>
  <c r="AF354" i="1" s="1"/>
  <c r="AF355" i="1" s="1"/>
  <c r="AF356" i="1" s="1"/>
  <c r="AF357" i="1" s="1"/>
  <c r="AF358" i="1" s="1"/>
  <c r="AF359" i="1" s="1"/>
  <c r="AF360" i="1" s="1"/>
  <c r="AF361" i="1" s="1"/>
  <c r="AF362" i="1" s="1"/>
  <c r="AF363" i="1" s="1"/>
  <c r="AF364" i="1" s="1"/>
  <c r="AF365" i="1" s="1"/>
  <c r="AE348" i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D348" i="1"/>
  <c r="AD349" i="1" s="1"/>
  <c r="AC348" i="1"/>
  <c r="AB348" i="1"/>
  <c r="AA348" i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T348" i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S348" i="1"/>
  <c r="M347" i="1"/>
  <c r="M348" i="1" s="1"/>
  <c r="M349" i="1" s="1"/>
  <c r="M350" i="1" s="1"/>
  <c r="M351" i="1" s="1"/>
  <c r="M352" i="1" s="1"/>
  <c r="M353" i="1" s="1"/>
  <c r="M354" i="1" s="1"/>
  <c r="M355" i="1" s="1"/>
  <c r="B347" i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AR346" i="1"/>
  <c r="AR347" i="1" s="1"/>
  <c r="P346" i="1"/>
  <c r="P347" i="1" s="1"/>
  <c r="P348" i="1" s="1"/>
  <c r="P349" i="1" s="1"/>
  <c r="P350" i="1" s="1"/>
  <c r="P351" i="1" s="1"/>
  <c r="P352" i="1" s="1"/>
  <c r="P353" i="1" s="1"/>
  <c r="P354" i="1" s="1"/>
  <c r="P355" i="1" s="1"/>
  <c r="M346" i="1"/>
  <c r="L346" i="1"/>
  <c r="L347" i="1" s="1"/>
  <c r="L348" i="1" s="1"/>
  <c r="L349" i="1" s="1"/>
  <c r="L350" i="1" s="1"/>
  <c r="L351" i="1" s="1"/>
  <c r="L352" i="1" s="1"/>
  <c r="L353" i="1" s="1"/>
  <c r="L354" i="1" s="1"/>
  <c r="L355" i="1" s="1"/>
  <c r="K346" i="1"/>
  <c r="K347" i="1" s="1"/>
  <c r="K348" i="1" s="1"/>
  <c r="K349" i="1" s="1"/>
  <c r="P345" i="1"/>
  <c r="O345" i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N345" i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M345" i="1"/>
  <c r="L345" i="1"/>
  <c r="K345" i="1"/>
  <c r="J345" i="1"/>
  <c r="J346" i="1" s="1"/>
  <c r="J347" i="1" s="1"/>
  <c r="J348" i="1" s="1"/>
  <c r="J349" i="1" s="1"/>
  <c r="C345" i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B345" i="1"/>
  <c r="B346" i="1" s="1"/>
  <c r="AX344" i="1"/>
  <c r="AX345" i="1" s="1"/>
  <c r="AX346" i="1" s="1"/>
  <c r="AX347" i="1" s="1"/>
  <c r="AR343" i="1"/>
  <c r="AR344" i="1" s="1"/>
  <c r="AR345" i="1" s="1"/>
  <c r="P343" i="1"/>
  <c r="AW342" i="1"/>
  <c r="AW343" i="1" s="1"/>
  <c r="AW344" i="1" s="1"/>
  <c r="AW345" i="1" s="1"/>
  <c r="AW346" i="1" s="1"/>
  <c r="AW347" i="1" s="1"/>
  <c r="AV342" i="1"/>
  <c r="AV343" i="1" s="1"/>
  <c r="AV344" i="1" s="1"/>
  <c r="AV345" i="1" s="1"/>
  <c r="AV346" i="1" s="1"/>
  <c r="AV347" i="1" s="1"/>
  <c r="AU342" i="1"/>
  <c r="AU343" i="1" s="1"/>
  <c r="AU344" i="1" s="1"/>
  <c r="AU345" i="1" s="1"/>
  <c r="AU346" i="1" s="1"/>
  <c r="AU347" i="1" s="1"/>
  <c r="AR342" i="1"/>
  <c r="AK342" i="1"/>
  <c r="AK343" i="1" s="1"/>
  <c r="AK344" i="1" s="1"/>
  <c r="AK345" i="1" s="1"/>
  <c r="AK346" i="1" s="1"/>
  <c r="AK347" i="1" s="1"/>
  <c r="N342" i="1"/>
  <c r="N343" i="1" s="1"/>
  <c r="AX341" i="1"/>
  <c r="AX342" i="1" s="1"/>
  <c r="AX343" i="1" s="1"/>
  <c r="AW341" i="1"/>
  <c r="AV341" i="1"/>
  <c r="AU341" i="1"/>
  <c r="AT341" i="1"/>
  <c r="AT342" i="1" s="1"/>
  <c r="AT343" i="1" s="1"/>
  <c r="AT344" i="1" s="1"/>
  <c r="AT345" i="1" s="1"/>
  <c r="AT346" i="1" s="1"/>
  <c r="AT347" i="1" s="1"/>
  <c r="AS341" i="1"/>
  <c r="AS342" i="1" s="1"/>
  <c r="AS343" i="1" s="1"/>
  <c r="AS344" i="1" s="1"/>
  <c r="AS345" i="1" s="1"/>
  <c r="AS346" i="1" s="1"/>
  <c r="AS347" i="1" s="1"/>
  <c r="AR341" i="1"/>
  <c r="AK341" i="1"/>
  <c r="O339" i="1"/>
  <c r="O340" i="1" s="1"/>
  <c r="O341" i="1" s="1"/>
  <c r="O342" i="1" s="1"/>
  <c r="O343" i="1" s="1"/>
  <c r="T338" i="1"/>
  <c r="T339" i="1" s="1"/>
  <c r="T340" i="1" s="1"/>
  <c r="T341" i="1" s="1"/>
  <c r="T342" i="1" s="1"/>
  <c r="T343" i="1" s="1"/>
  <c r="T344" i="1" s="1"/>
  <c r="T345" i="1" s="1"/>
  <c r="T346" i="1" s="1"/>
  <c r="L338" i="1"/>
  <c r="L339" i="1" s="1"/>
  <c r="L340" i="1" s="1"/>
  <c r="L341" i="1" s="1"/>
  <c r="L342" i="1" s="1"/>
  <c r="L343" i="1" s="1"/>
  <c r="K338" i="1"/>
  <c r="K339" i="1" s="1"/>
  <c r="K340" i="1" s="1"/>
  <c r="K341" i="1" s="1"/>
  <c r="K342" i="1" s="1"/>
  <c r="K343" i="1" s="1"/>
  <c r="P337" i="1"/>
  <c r="P338" i="1" s="1"/>
  <c r="P339" i="1" s="1"/>
  <c r="P340" i="1" s="1"/>
  <c r="P341" i="1" s="1"/>
  <c r="P342" i="1" s="1"/>
  <c r="O337" i="1"/>
  <c r="O338" i="1" s="1"/>
  <c r="N337" i="1"/>
  <c r="N338" i="1" s="1"/>
  <c r="N339" i="1" s="1"/>
  <c r="N340" i="1" s="1"/>
  <c r="N341" i="1" s="1"/>
  <c r="K337" i="1"/>
  <c r="J337" i="1"/>
  <c r="J338" i="1" s="1"/>
  <c r="J339" i="1" s="1"/>
  <c r="J340" i="1" s="1"/>
  <c r="J341" i="1" s="1"/>
  <c r="J342" i="1" s="1"/>
  <c r="J343" i="1" s="1"/>
  <c r="C337" i="1"/>
  <c r="C338" i="1" s="1"/>
  <c r="C339" i="1" s="1"/>
  <c r="C340" i="1" s="1"/>
  <c r="C341" i="1" s="1"/>
  <c r="C342" i="1" s="1"/>
  <c r="C343" i="1" s="1"/>
  <c r="AT336" i="1"/>
  <c r="AT337" i="1" s="1"/>
  <c r="AT338" i="1" s="1"/>
  <c r="AT339" i="1" s="1"/>
  <c r="AF336" i="1"/>
  <c r="AF337" i="1" s="1"/>
  <c r="AF338" i="1" s="1"/>
  <c r="AF339" i="1" s="1"/>
  <c r="AF340" i="1" s="1"/>
  <c r="AF341" i="1" s="1"/>
  <c r="AF342" i="1" s="1"/>
  <c r="AF343" i="1" s="1"/>
  <c r="AF344" i="1" s="1"/>
  <c r="AF345" i="1" s="1"/>
  <c r="AF346" i="1" s="1"/>
  <c r="T336" i="1"/>
  <c r="T337" i="1" s="1"/>
  <c r="P336" i="1"/>
  <c r="O336" i="1"/>
  <c r="N336" i="1"/>
  <c r="M336" i="1"/>
  <c r="M337" i="1" s="1"/>
  <c r="M338" i="1" s="1"/>
  <c r="M339" i="1" s="1"/>
  <c r="M340" i="1" s="1"/>
  <c r="M341" i="1" s="1"/>
  <c r="M342" i="1" s="1"/>
  <c r="M343" i="1" s="1"/>
  <c r="L336" i="1"/>
  <c r="L337" i="1" s="1"/>
  <c r="K336" i="1"/>
  <c r="J336" i="1"/>
  <c r="C336" i="1"/>
  <c r="AX333" i="1"/>
  <c r="AX334" i="1" s="1"/>
  <c r="AX335" i="1" s="1"/>
  <c r="AX336" i="1" s="1"/>
  <c r="AX337" i="1" s="1"/>
  <c r="AX338" i="1" s="1"/>
  <c r="AX339" i="1" s="1"/>
  <c r="AD333" i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T331" i="1"/>
  <c r="AT332" i="1" s="1"/>
  <c r="AT333" i="1" s="1"/>
  <c r="AT334" i="1" s="1"/>
  <c r="AT335" i="1" s="1"/>
  <c r="AS331" i="1"/>
  <c r="AS332" i="1" s="1"/>
  <c r="AS333" i="1" s="1"/>
  <c r="AS334" i="1" s="1"/>
  <c r="AS335" i="1" s="1"/>
  <c r="AS336" i="1" s="1"/>
  <c r="AS337" i="1" s="1"/>
  <c r="AS338" i="1" s="1"/>
  <c r="AS339" i="1" s="1"/>
  <c r="AR331" i="1"/>
  <c r="AR332" i="1" s="1"/>
  <c r="AR333" i="1" s="1"/>
  <c r="AR334" i="1" s="1"/>
  <c r="AR335" i="1" s="1"/>
  <c r="AR336" i="1" s="1"/>
  <c r="AR337" i="1" s="1"/>
  <c r="AR338" i="1" s="1"/>
  <c r="AR339" i="1" s="1"/>
  <c r="AX330" i="1"/>
  <c r="AX331" i="1" s="1"/>
  <c r="AX332" i="1" s="1"/>
  <c r="AW330" i="1"/>
  <c r="AW331" i="1" s="1"/>
  <c r="AW332" i="1" s="1"/>
  <c r="AW333" i="1" s="1"/>
  <c r="AW334" i="1" s="1"/>
  <c r="AW335" i="1" s="1"/>
  <c r="AW336" i="1" s="1"/>
  <c r="AW337" i="1" s="1"/>
  <c r="AW338" i="1" s="1"/>
  <c r="AW339" i="1" s="1"/>
  <c r="AV330" i="1"/>
  <c r="AV331" i="1" s="1"/>
  <c r="AV332" i="1" s="1"/>
  <c r="AV333" i="1" s="1"/>
  <c r="AV334" i="1" s="1"/>
  <c r="AV335" i="1" s="1"/>
  <c r="AV336" i="1" s="1"/>
  <c r="AV337" i="1" s="1"/>
  <c r="AV338" i="1" s="1"/>
  <c r="AV339" i="1" s="1"/>
  <c r="AU330" i="1"/>
  <c r="AU331" i="1" s="1"/>
  <c r="AU332" i="1" s="1"/>
  <c r="AU333" i="1" s="1"/>
  <c r="AU334" i="1" s="1"/>
  <c r="AU335" i="1" s="1"/>
  <c r="AU336" i="1" s="1"/>
  <c r="AU337" i="1" s="1"/>
  <c r="AU338" i="1" s="1"/>
  <c r="AU339" i="1" s="1"/>
  <c r="AT330" i="1"/>
  <c r="AS330" i="1"/>
  <c r="AR330" i="1"/>
  <c r="AK330" i="1"/>
  <c r="AK331" i="1" s="1"/>
  <c r="AK332" i="1" s="1"/>
  <c r="AK333" i="1" s="1"/>
  <c r="AK334" i="1" s="1"/>
  <c r="AK335" i="1" s="1"/>
  <c r="AK336" i="1" s="1"/>
  <c r="AK337" i="1" s="1"/>
  <c r="AK338" i="1" s="1"/>
  <c r="AK339" i="1" s="1"/>
  <c r="AB330" i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N329" i="1"/>
  <c r="N330" i="1" s="1"/>
  <c r="N331" i="1" s="1"/>
  <c r="N332" i="1" s="1"/>
  <c r="N333" i="1" s="1"/>
  <c r="AG328" i="1"/>
  <c r="AG329" i="1" s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6" i="1" s="1"/>
  <c r="AF328" i="1"/>
  <c r="AF329" i="1" s="1"/>
  <c r="AF330" i="1" s="1"/>
  <c r="AF331" i="1" s="1"/>
  <c r="AF332" i="1" s="1"/>
  <c r="AF333" i="1" s="1"/>
  <c r="AF334" i="1" s="1"/>
  <c r="AF335" i="1" s="1"/>
  <c r="AA328" i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T328" i="1"/>
  <c r="T329" i="1" s="1"/>
  <c r="T330" i="1" s="1"/>
  <c r="T331" i="1" s="1"/>
  <c r="T332" i="1" s="1"/>
  <c r="T333" i="1" s="1"/>
  <c r="T334" i="1" s="1"/>
  <c r="T335" i="1" s="1"/>
  <c r="AG327" i="1"/>
  <c r="AF327" i="1"/>
  <c r="AE327" i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D327" i="1"/>
  <c r="AD328" i="1" s="1"/>
  <c r="AD329" i="1" s="1"/>
  <c r="AD330" i="1" s="1"/>
  <c r="AD331" i="1" s="1"/>
  <c r="AD332" i="1" s="1"/>
  <c r="AC327" i="1"/>
  <c r="AC328" i="1" s="1"/>
  <c r="AC329" i="1" s="1"/>
  <c r="AC330" i="1" s="1"/>
  <c r="AC331" i="1" s="1"/>
  <c r="AC332" i="1" s="1"/>
  <c r="AC333" i="1" s="1"/>
  <c r="AC334" i="1" s="1"/>
  <c r="AC335" i="1" s="1"/>
  <c r="AC336" i="1" s="1"/>
  <c r="AC337" i="1" s="1"/>
  <c r="AC338" i="1" s="1"/>
  <c r="AC339" i="1" s="1"/>
  <c r="AC340" i="1" s="1"/>
  <c r="AC341" i="1" s="1"/>
  <c r="AC342" i="1" s="1"/>
  <c r="AC343" i="1" s="1"/>
  <c r="AC344" i="1" s="1"/>
  <c r="AC345" i="1" s="1"/>
  <c r="AC346" i="1" s="1"/>
  <c r="AB327" i="1"/>
  <c r="AB328" i="1" s="1"/>
  <c r="AB329" i="1" s="1"/>
  <c r="AA327" i="1"/>
  <c r="T327" i="1"/>
  <c r="K327" i="1"/>
  <c r="K328" i="1" s="1"/>
  <c r="K329" i="1" s="1"/>
  <c r="K330" i="1" s="1"/>
  <c r="K331" i="1" s="1"/>
  <c r="K332" i="1" s="1"/>
  <c r="K333" i="1" s="1"/>
  <c r="C327" i="1"/>
  <c r="C328" i="1" s="1"/>
  <c r="C329" i="1" s="1"/>
  <c r="C330" i="1" s="1"/>
  <c r="C331" i="1" s="1"/>
  <c r="C332" i="1" s="1"/>
  <c r="C333" i="1" s="1"/>
  <c r="P326" i="1"/>
  <c r="P327" i="1" s="1"/>
  <c r="P328" i="1" s="1"/>
  <c r="P329" i="1" s="1"/>
  <c r="P330" i="1" s="1"/>
  <c r="P331" i="1" s="1"/>
  <c r="P332" i="1" s="1"/>
  <c r="P333" i="1" s="1"/>
  <c r="K326" i="1"/>
  <c r="AA325" i="1"/>
  <c r="N325" i="1"/>
  <c r="N326" i="1" s="1"/>
  <c r="N327" i="1" s="1"/>
  <c r="N328" i="1" s="1"/>
  <c r="C325" i="1"/>
  <c r="C326" i="1" s="1"/>
  <c r="AF324" i="1"/>
  <c r="AF325" i="1" s="1"/>
  <c r="AC324" i="1"/>
  <c r="AC325" i="1" s="1"/>
  <c r="P324" i="1"/>
  <c r="P325" i="1" s="1"/>
  <c r="L324" i="1"/>
  <c r="L325" i="1" s="1"/>
  <c r="L326" i="1" s="1"/>
  <c r="L327" i="1" s="1"/>
  <c r="L328" i="1" s="1"/>
  <c r="L329" i="1" s="1"/>
  <c r="L330" i="1" s="1"/>
  <c r="L331" i="1" s="1"/>
  <c r="L332" i="1" s="1"/>
  <c r="L333" i="1" s="1"/>
  <c r="K324" i="1"/>
  <c r="K325" i="1" s="1"/>
  <c r="J324" i="1"/>
  <c r="J325" i="1" s="1"/>
  <c r="J326" i="1" s="1"/>
  <c r="J327" i="1" s="1"/>
  <c r="J328" i="1" s="1"/>
  <c r="J329" i="1" s="1"/>
  <c r="J330" i="1" s="1"/>
  <c r="J331" i="1" s="1"/>
  <c r="J332" i="1" s="1"/>
  <c r="J333" i="1" s="1"/>
  <c r="C324" i="1"/>
  <c r="AG323" i="1"/>
  <c r="AG324" i="1" s="1"/>
  <c r="AG325" i="1" s="1"/>
  <c r="AF323" i="1"/>
  <c r="AC323" i="1"/>
  <c r="AB323" i="1"/>
  <c r="AB324" i="1" s="1"/>
  <c r="AB325" i="1" s="1"/>
  <c r="AA323" i="1"/>
  <c r="AA324" i="1" s="1"/>
  <c r="P323" i="1"/>
  <c r="O323" i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N323" i="1"/>
  <c r="N324" i="1" s="1"/>
  <c r="M323" i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L323" i="1"/>
  <c r="K323" i="1"/>
  <c r="J323" i="1"/>
  <c r="C323" i="1"/>
  <c r="AG322" i="1"/>
  <c r="AF322" i="1"/>
  <c r="AE322" i="1"/>
  <c r="AE323" i="1" s="1"/>
  <c r="AE324" i="1" s="1"/>
  <c r="AE325" i="1" s="1"/>
  <c r="AD322" i="1"/>
  <c r="AD323" i="1" s="1"/>
  <c r="AD324" i="1" s="1"/>
  <c r="AD325" i="1" s="1"/>
  <c r="AC322" i="1"/>
  <c r="AB322" i="1"/>
  <c r="AA322" i="1"/>
  <c r="T322" i="1"/>
  <c r="T323" i="1" s="1"/>
  <c r="T324" i="1" s="1"/>
  <c r="T325" i="1" s="1"/>
  <c r="AG320" i="1"/>
  <c r="AB320" i="1"/>
  <c r="T320" i="1"/>
  <c r="AE319" i="1"/>
  <c r="AE320" i="1" s="1"/>
  <c r="AD319" i="1"/>
  <c r="AD320" i="1" s="1"/>
  <c r="AC319" i="1"/>
  <c r="AC320" i="1" s="1"/>
  <c r="AB319" i="1"/>
  <c r="AG318" i="1"/>
  <c r="AG319" i="1" s="1"/>
  <c r="AF318" i="1"/>
  <c r="AF319" i="1" s="1"/>
  <c r="AF320" i="1" s="1"/>
  <c r="AE318" i="1"/>
  <c r="AD318" i="1"/>
  <c r="AC318" i="1"/>
  <c r="AB318" i="1"/>
  <c r="AA318" i="1"/>
  <c r="AA319" i="1" s="1"/>
  <c r="AA320" i="1" s="1"/>
  <c r="T318" i="1"/>
  <c r="T319" i="1" s="1"/>
  <c r="N318" i="1"/>
  <c r="N319" i="1" s="1"/>
  <c r="N320" i="1" s="1"/>
  <c r="N321" i="1" s="1"/>
  <c r="K318" i="1"/>
  <c r="K319" i="1" s="1"/>
  <c r="K320" i="1" s="1"/>
  <c r="K321" i="1" s="1"/>
  <c r="N317" i="1"/>
  <c r="C317" i="1"/>
  <c r="C318" i="1" s="1"/>
  <c r="C319" i="1" s="1"/>
  <c r="C320" i="1" s="1"/>
  <c r="C321" i="1" s="1"/>
  <c r="L316" i="1"/>
  <c r="L317" i="1" s="1"/>
  <c r="L318" i="1" s="1"/>
  <c r="L319" i="1" s="1"/>
  <c r="L320" i="1" s="1"/>
  <c r="L321" i="1" s="1"/>
  <c r="K316" i="1"/>
  <c r="K317" i="1" s="1"/>
  <c r="J316" i="1"/>
  <c r="J317" i="1" s="1"/>
  <c r="J318" i="1" s="1"/>
  <c r="J319" i="1" s="1"/>
  <c r="J320" i="1" s="1"/>
  <c r="J321" i="1" s="1"/>
  <c r="C316" i="1"/>
  <c r="O315" i="1"/>
  <c r="O316" i="1" s="1"/>
  <c r="O317" i="1" s="1"/>
  <c r="O318" i="1" s="1"/>
  <c r="O319" i="1" s="1"/>
  <c r="O320" i="1" s="1"/>
  <c r="O321" i="1" s="1"/>
  <c r="N315" i="1"/>
  <c r="N316" i="1" s="1"/>
  <c r="M315" i="1"/>
  <c r="M316" i="1" s="1"/>
  <c r="M317" i="1" s="1"/>
  <c r="M318" i="1" s="1"/>
  <c r="M319" i="1" s="1"/>
  <c r="M320" i="1" s="1"/>
  <c r="M321" i="1" s="1"/>
  <c r="L315" i="1"/>
  <c r="C315" i="1"/>
  <c r="P314" i="1"/>
  <c r="P315" i="1" s="1"/>
  <c r="P316" i="1" s="1"/>
  <c r="P317" i="1" s="1"/>
  <c r="P318" i="1" s="1"/>
  <c r="P319" i="1" s="1"/>
  <c r="P320" i="1" s="1"/>
  <c r="P321" i="1" s="1"/>
  <c r="O314" i="1"/>
  <c r="N314" i="1"/>
  <c r="M314" i="1"/>
  <c r="L314" i="1"/>
  <c r="K314" i="1"/>
  <c r="K315" i="1" s="1"/>
  <c r="J314" i="1"/>
  <c r="J315" i="1" s="1"/>
  <c r="C314" i="1"/>
  <c r="AV313" i="1"/>
  <c r="AV314" i="1" s="1"/>
  <c r="AV315" i="1" s="1"/>
  <c r="AV316" i="1" s="1"/>
  <c r="AV317" i="1" s="1"/>
  <c r="AV318" i="1" s="1"/>
  <c r="AV319" i="1" s="1"/>
  <c r="AV320" i="1" s="1"/>
  <c r="AV321" i="1" s="1"/>
  <c r="AV322" i="1" s="1"/>
  <c r="AV323" i="1" s="1"/>
  <c r="AV324" i="1" s="1"/>
  <c r="AV325" i="1" s="1"/>
  <c r="AV326" i="1" s="1"/>
  <c r="AV327" i="1" s="1"/>
  <c r="AV328" i="1" s="1"/>
  <c r="AV312" i="1"/>
  <c r="AT311" i="1"/>
  <c r="AT312" i="1" s="1"/>
  <c r="AT313" i="1" s="1"/>
  <c r="AT314" i="1" s="1"/>
  <c r="AT315" i="1" s="1"/>
  <c r="AT316" i="1" s="1"/>
  <c r="AT317" i="1" s="1"/>
  <c r="AT318" i="1" s="1"/>
  <c r="AT319" i="1" s="1"/>
  <c r="AT320" i="1" s="1"/>
  <c r="AT321" i="1" s="1"/>
  <c r="AT322" i="1" s="1"/>
  <c r="AT323" i="1" s="1"/>
  <c r="AT324" i="1" s="1"/>
  <c r="AT325" i="1" s="1"/>
  <c r="AT326" i="1" s="1"/>
  <c r="AT327" i="1" s="1"/>
  <c r="AT328" i="1" s="1"/>
  <c r="AR311" i="1"/>
  <c r="AR312" i="1" s="1"/>
  <c r="AR313" i="1" s="1"/>
  <c r="AR314" i="1" s="1"/>
  <c r="AR315" i="1" s="1"/>
  <c r="AR316" i="1" s="1"/>
  <c r="AR317" i="1" s="1"/>
  <c r="AR318" i="1" s="1"/>
  <c r="AR319" i="1" s="1"/>
  <c r="AR320" i="1" s="1"/>
  <c r="AR321" i="1" s="1"/>
  <c r="AR322" i="1" s="1"/>
  <c r="AR323" i="1" s="1"/>
  <c r="AR324" i="1" s="1"/>
  <c r="AR325" i="1" s="1"/>
  <c r="AR326" i="1" s="1"/>
  <c r="AR327" i="1" s="1"/>
  <c r="AR328" i="1" s="1"/>
  <c r="AW310" i="1"/>
  <c r="AW311" i="1" s="1"/>
  <c r="AW312" i="1" s="1"/>
  <c r="AW313" i="1" s="1"/>
  <c r="AW314" i="1" s="1"/>
  <c r="AW315" i="1" s="1"/>
  <c r="AW316" i="1" s="1"/>
  <c r="AW317" i="1" s="1"/>
  <c r="AW318" i="1" s="1"/>
  <c r="AW319" i="1" s="1"/>
  <c r="AW320" i="1" s="1"/>
  <c r="AW321" i="1" s="1"/>
  <c r="AW322" i="1" s="1"/>
  <c r="AW323" i="1" s="1"/>
  <c r="AW324" i="1" s="1"/>
  <c r="AW325" i="1" s="1"/>
  <c r="AW326" i="1" s="1"/>
  <c r="AW327" i="1" s="1"/>
  <c r="AW328" i="1" s="1"/>
  <c r="AV310" i="1"/>
  <c r="AV311" i="1" s="1"/>
  <c r="AU310" i="1"/>
  <c r="AU311" i="1" s="1"/>
  <c r="AU312" i="1" s="1"/>
  <c r="AU313" i="1" s="1"/>
  <c r="AU314" i="1" s="1"/>
  <c r="AU315" i="1" s="1"/>
  <c r="AU316" i="1" s="1"/>
  <c r="AU317" i="1" s="1"/>
  <c r="AU318" i="1" s="1"/>
  <c r="AU319" i="1" s="1"/>
  <c r="AU320" i="1" s="1"/>
  <c r="AU321" i="1" s="1"/>
  <c r="AU322" i="1" s="1"/>
  <c r="AU323" i="1" s="1"/>
  <c r="AU324" i="1" s="1"/>
  <c r="AU325" i="1" s="1"/>
  <c r="AU326" i="1" s="1"/>
  <c r="AU327" i="1" s="1"/>
  <c r="AU328" i="1" s="1"/>
  <c r="AX309" i="1"/>
  <c r="AX310" i="1" s="1"/>
  <c r="AX311" i="1" s="1"/>
  <c r="AX312" i="1" s="1"/>
  <c r="AX313" i="1" s="1"/>
  <c r="AX314" i="1" s="1"/>
  <c r="AX315" i="1" s="1"/>
  <c r="AX316" i="1" s="1"/>
  <c r="AX317" i="1" s="1"/>
  <c r="AX318" i="1" s="1"/>
  <c r="AX319" i="1" s="1"/>
  <c r="AX320" i="1" s="1"/>
  <c r="AX321" i="1" s="1"/>
  <c r="AX322" i="1" s="1"/>
  <c r="AX323" i="1" s="1"/>
  <c r="AX324" i="1" s="1"/>
  <c r="AX325" i="1" s="1"/>
  <c r="AX326" i="1" s="1"/>
  <c r="AX327" i="1" s="1"/>
  <c r="AX328" i="1" s="1"/>
  <c r="AU309" i="1"/>
  <c r="AT309" i="1"/>
  <c r="AT310" i="1" s="1"/>
  <c r="AS309" i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S320" i="1" s="1"/>
  <c r="AS321" i="1" s="1"/>
  <c r="AS322" i="1" s="1"/>
  <c r="AS323" i="1" s="1"/>
  <c r="AS324" i="1" s="1"/>
  <c r="AS325" i="1" s="1"/>
  <c r="AS326" i="1" s="1"/>
  <c r="AS327" i="1" s="1"/>
  <c r="AS328" i="1" s="1"/>
  <c r="AX308" i="1"/>
  <c r="AW308" i="1"/>
  <c r="AW309" i="1" s="1"/>
  <c r="AV308" i="1"/>
  <c r="AV309" i="1" s="1"/>
  <c r="AU308" i="1"/>
  <c r="AT308" i="1"/>
  <c r="AS308" i="1"/>
  <c r="AR308" i="1"/>
  <c r="AR309" i="1" s="1"/>
  <c r="AR310" i="1" s="1"/>
  <c r="AK308" i="1"/>
  <c r="AK309" i="1" s="1"/>
  <c r="AK310" i="1" s="1"/>
  <c r="AK311" i="1" s="1"/>
  <c r="AK312" i="1" s="1"/>
  <c r="AK313" i="1" s="1"/>
  <c r="AK314" i="1" s="1"/>
  <c r="AK315" i="1" s="1"/>
  <c r="AK316" i="1" s="1"/>
  <c r="AK317" i="1" s="1"/>
  <c r="AK318" i="1" s="1"/>
  <c r="AK319" i="1" s="1"/>
  <c r="AK320" i="1" s="1"/>
  <c r="AK321" i="1" s="1"/>
  <c r="AK322" i="1" s="1"/>
  <c r="AK323" i="1" s="1"/>
  <c r="AK324" i="1" s="1"/>
  <c r="AK325" i="1" s="1"/>
  <c r="AK326" i="1" s="1"/>
  <c r="AK327" i="1" s="1"/>
  <c r="AK328" i="1" s="1"/>
  <c r="AB306" i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T306" i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AE305" i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D305" i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C305" i="1"/>
  <c r="AC306" i="1" s="1"/>
  <c r="AC307" i="1" s="1"/>
  <c r="AC308" i="1" s="1"/>
  <c r="AC309" i="1" s="1"/>
  <c r="AC310" i="1" s="1"/>
  <c r="AC311" i="1" s="1"/>
  <c r="AC312" i="1" s="1"/>
  <c r="AC313" i="1" s="1"/>
  <c r="AC314" i="1" s="1"/>
  <c r="AC315" i="1" s="1"/>
  <c r="AC316" i="1" s="1"/>
  <c r="AB305" i="1"/>
  <c r="AG304" i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6" i="1" s="1"/>
  <c r="AF304" i="1"/>
  <c r="AF305" i="1" s="1"/>
  <c r="AF306" i="1" s="1"/>
  <c r="AF307" i="1" s="1"/>
  <c r="AF308" i="1" s="1"/>
  <c r="AF309" i="1" s="1"/>
  <c r="AF310" i="1" s="1"/>
  <c r="AF311" i="1" s="1"/>
  <c r="AF312" i="1" s="1"/>
  <c r="AF313" i="1" s="1"/>
  <c r="AF314" i="1" s="1"/>
  <c r="AF315" i="1" s="1"/>
  <c r="AF316" i="1" s="1"/>
  <c r="AE304" i="1"/>
  <c r="AB304" i="1"/>
  <c r="AA304" i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T304" i="1"/>
  <c r="T305" i="1" s="1"/>
  <c r="AG303" i="1"/>
  <c r="AF303" i="1"/>
  <c r="AE303" i="1"/>
  <c r="AD303" i="1"/>
  <c r="AD304" i="1" s="1"/>
  <c r="AC303" i="1"/>
  <c r="AC304" i="1" s="1"/>
  <c r="AB303" i="1"/>
  <c r="AA303" i="1"/>
  <c r="T303" i="1"/>
  <c r="P303" i="1"/>
  <c r="P304" i="1" s="1"/>
  <c r="P305" i="1" s="1"/>
  <c r="P306" i="1" s="1"/>
  <c r="P307" i="1" s="1"/>
  <c r="P308" i="1" s="1"/>
  <c r="P309" i="1" s="1"/>
  <c r="P310" i="1" s="1"/>
  <c r="P311" i="1" s="1"/>
  <c r="P312" i="1" s="1"/>
  <c r="N303" i="1"/>
  <c r="N304" i="1" s="1"/>
  <c r="N305" i="1" s="1"/>
  <c r="N306" i="1" s="1"/>
  <c r="N307" i="1" s="1"/>
  <c r="N308" i="1" s="1"/>
  <c r="N309" i="1" s="1"/>
  <c r="N310" i="1" s="1"/>
  <c r="N311" i="1" s="1"/>
  <c r="N312" i="1" s="1"/>
  <c r="P302" i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O301" i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N301" i="1"/>
  <c r="N302" i="1" s="1"/>
  <c r="M301" i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C301" i="1"/>
  <c r="AE300" i="1"/>
  <c r="AE301" i="1" s="1"/>
  <c r="AD300" i="1"/>
  <c r="AD301" i="1" s="1"/>
  <c r="P300" i="1"/>
  <c r="P301" i="1" s="1"/>
  <c r="O300" i="1"/>
  <c r="N300" i="1"/>
  <c r="M300" i="1"/>
  <c r="L300" i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K300" i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J300" i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C300" i="1"/>
  <c r="AJ299" i="1"/>
  <c r="AJ300" i="1" s="1"/>
  <c r="AJ301" i="1" s="1"/>
  <c r="AJ302" i="1" s="1"/>
  <c r="AJ303" i="1" s="1"/>
  <c r="AJ304" i="1" s="1"/>
  <c r="AJ305" i="1" s="1"/>
  <c r="AJ306" i="1" s="1"/>
  <c r="AJ307" i="1" s="1"/>
  <c r="AJ308" i="1" s="1"/>
  <c r="AJ309" i="1" s="1"/>
  <c r="AJ310" i="1" s="1"/>
  <c r="AJ311" i="1" s="1"/>
  <c r="AJ312" i="1" s="1"/>
  <c r="AJ313" i="1" s="1"/>
  <c r="AJ314" i="1" s="1"/>
  <c r="AJ315" i="1" s="1"/>
  <c r="AJ316" i="1" s="1"/>
  <c r="AJ317" i="1" s="1"/>
  <c r="AJ318" i="1" s="1"/>
  <c r="AJ319" i="1" s="1"/>
  <c r="AJ320" i="1" s="1"/>
  <c r="AJ321" i="1" s="1"/>
  <c r="AJ322" i="1" s="1"/>
  <c r="AJ323" i="1" s="1"/>
  <c r="AJ324" i="1" s="1"/>
  <c r="AJ325" i="1" s="1"/>
  <c r="AJ326" i="1" s="1"/>
  <c r="AJ327" i="1" s="1"/>
  <c r="AJ328" i="1" s="1"/>
  <c r="AJ329" i="1" s="1"/>
  <c r="AJ330" i="1" s="1"/>
  <c r="AJ331" i="1" s="1"/>
  <c r="AJ332" i="1" s="1"/>
  <c r="AJ333" i="1" s="1"/>
  <c r="AJ334" i="1" s="1"/>
  <c r="AJ335" i="1" s="1"/>
  <c r="AJ336" i="1" s="1"/>
  <c r="AJ337" i="1" s="1"/>
  <c r="AJ338" i="1" s="1"/>
  <c r="AJ339" i="1" s="1"/>
  <c r="AJ340" i="1" s="1"/>
  <c r="AJ341" i="1" s="1"/>
  <c r="AJ342" i="1" s="1"/>
  <c r="AJ343" i="1" s="1"/>
  <c r="AJ344" i="1" s="1"/>
  <c r="AJ345" i="1" s="1"/>
  <c r="AJ346" i="1" s="1"/>
  <c r="AJ347" i="1" s="1"/>
  <c r="T299" i="1"/>
  <c r="T300" i="1" s="1"/>
  <c r="T301" i="1" s="1"/>
  <c r="AJ298" i="1"/>
  <c r="AD298" i="1"/>
  <c r="AD299" i="1" s="1"/>
  <c r="AC298" i="1"/>
  <c r="AC299" i="1" s="1"/>
  <c r="AC300" i="1" s="1"/>
  <c r="AC301" i="1" s="1"/>
  <c r="AB298" i="1"/>
  <c r="AB299" i="1" s="1"/>
  <c r="AB300" i="1" s="1"/>
  <c r="AB301" i="1" s="1"/>
  <c r="AJ297" i="1"/>
  <c r="AG297" i="1"/>
  <c r="AG298" i="1" s="1"/>
  <c r="AG299" i="1" s="1"/>
  <c r="AG300" i="1" s="1"/>
  <c r="AG301" i="1" s="1"/>
  <c r="AF297" i="1"/>
  <c r="AF298" i="1" s="1"/>
  <c r="AF299" i="1" s="1"/>
  <c r="AF300" i="1" s="1"/>
  <c r="AF301" i="1" s="1"/>
  <c r="AE297" i="1"/>
  <c r="AE298" i="1" s="1"/>
  <c r="AE299" i="1" s="1"/>
  <c r="AD297" i="1"/>
  <c r="AC297" i="1"/>
  <c r="AB297" i="1"/>
  <c r="AA297" i="1"/>
  <c r="AA298" i="1" s="1"/>
  <c r="AA299" i="1" s="1"/>
  <c r="AA300" i="1" s="1"/>
  <c r="AA301" i="1" s="1"/>
  <c r="T297" i="1"/>
  <c r="T298" i="1" s="1"/>
  <c r="AK293" i="1"/>
  <c r="AK294" i="1" s="1"/>
  <c r="AK295" i="1" s="1"/>
  <c r="AK296" i="1" s="1"/>
  <c r="AK297" i="1" s="1"/>
  <c r="AK298" i="1" s="1"/>
  <c r="AK299" i="1" s="1"/>
  <c r="AK300" i="1" s="1"/>
  <c r="AK301" i="1" s="1"/>
  <c r="AK302" i="1" s="1"/>
  <c r="AK303" i="1" s="1"/>
  <c r="AK304" i="1" s="1"/>
  <c r="AK305" i="1" s="1"/>
  <c r="AU292" i="1"/>
  <c r="AU293" i="1" s="1"/>
  <c r="AU294" i="1" s="1"/>
  <c r="AU295" i="1" s="1"/>
  <c r="AU296" i="1" s="1"/>
  <c r="AU297" i="1" s="1"/>
  <c r="AU298" i="1" s="1"/>
  <c r="AU299" i="1" s="1"/>
  <c r="AU300" i="1" s="1"/>
  <c r="AU301" i="1" s="1"/>
  <c r="AU302" i="1" s="1"/>
  <c r="AU303" i="1" s="1"/>
  <c r="AU304" i="1" s="1"/>
  <c r="AU305" i="1" s="1"/>
  <c r="AX291" i="1"/>
  <c r="AX292" i="1" s="1"/>
  <c r="AX293" i="1" s="1"/>
  <c r="AX294" i="1" s="1"/>
  <c r="AX295" i="1" s="1"/>
  <c r="AX296" i="1" s="1"/>
  <c r="AX297" i="1" s="1"/>
  <c r="AX298" i="1" s="1"/>
  <c r="AX299" i="1" s="1"/>
  <c r="AX300" i="1" s="1"/>
  <c r="AX301" i="1" s="1"/>
  <c r="AX302" i="1" s="1"/>
  <c r="AX303" i="1" s="1"/>
  <c r="AX304" i="1" s="1"/>
  <c r="AX305" i="1" s="1"/>
  <c r="AX306" i="1" s="1"/>
  <c r="AW291" i="1"/>
  <c r="AW292" i="1" s="1"/>
  <c r="AW293" i="1" s="1"/>
  <c r="AW294" i="1" s="1"/>
  <c r="AW295" i="1" s="1"/>
  <c r="AW296" i="1" s="1"/>
  <c r="AW297" i="1" s="1"/>
  <c r="AW298" i="1" s="1"/>
  <c r="AW299" i="1" s="1"/>
  <c r="AW300" i="1" s="1"/>
  <c r="AW301" i="1" s="1"/>
  <c r="AW302" i="1" s="1"/>
  <c r="AW303" i="1" s="1"/>
  <c r="AW304" i="1" s="1"/>
  <c r="AW305" i="1" s="1"/>
  <c r="AW306" i="1" s="1"/>
  <c r="AV291" i="1"/>
  <c r="AV292" i="1" s="1"/>
  <c r="AV293" i="1" s="1"/>
  <c r="AV294" i="1" s="1"/>
  <c r="AV295" i="1" s="1"/>
  <c r="AV296" i="1" s="1"/>
  <c r="AV297" i="1" s="1"/>
  <c r="AV298" i="1" s="1"/>
  <c r="AV299" i="1" s="1"/>
  <c r="AV300" i="1" s="1"/>
  <c r="AV301" i="1" s="1"/>
  <c r="AV302" i="1" s="1"/>
  <c r="AV303" i="1" s="1"/>
  <c r="AV304" i="1" s="1"/>
  <c r="AV305" i="1" s="1"/>
  <c r="AR291" i="1"/>
  <c r="AR292" i="1" s="1"/>
  <c r="AR293" i="1" s="1"/>
  <c r="AR294" i="1" s="1"/>
  <c r="AR295" i="1" s="1"/>
  <c r="AR296" i="1" s="1"/>
  <c r="AR297" i="1" s="1"/>
  <c r="AR298" i="1" s="1"/>
  <c r="AR299" i="1" s="1"/>
  <c r="AR300" i="1" s="1"/>
  <c r="AR301" i="1" s="1"/>
  <c r="AR302" i="1" s="1"/>
  <c r="AR303" i="1" s="1"/>
  <c r="AR304" i="1" s="1"/>
  <c r="AR305" i="1" s="1"/>
  <c r="AK291" i="1"/>
  <c r="AK292" i="1" s="1"/>
  <c r="C291" i="1"/>
  <c r="C292" i="1" s="1"/>
  <c r="C293" i="1" s="1"/>
  <c r="C294" i="1" s="1"/>
  <c r="C295" i="1" s="1"/>
  <c r="C296" i="1" s="1"/>
  <c r="C297" i="1" s="1"/>
  <c r="C298" i="1" s="1"/>
  <c r="AX290" i="1"/>
  <c r="AW290" i="1"/>
  <c r="AV290" i="1"/>
  <c r="AU290" i="1"/>
  <c r="AU291" i="1" s="1"/>
  <c r="AT290" i="1"/>
  <c r="AT291" i="1" s="1"/>
  <c r="AT292" i="1" s="1"/>
  <c r="AT293" i="1" s="1"/>
  <c r="AT294" i="1" s="1"/>
  <c r="AT295" i="1" s="1"/>
  <c r="AT296" i="1" s="1"/>
  <c r="AT297" i="1" s="1"/>
  <c r="AT298" i="1" s="1"/>
  <c r="AT299" i="1" s="1"/>
  <c r="AT300" i="1" s="1"/>
  <c r="AT301" i="1" s="1"/>
  <c r="AT302" i="1" s="1"/>
  <c r="AT303" i="1" s="1"/>
  <c r="AT304" i="1" s="1"/>
  <c r="AT305" i="1" s="1"/>
  <c r="AS290" i="1"/>
  <c r="AS291" i="1" s="1"/>
  <c r="AS292" i="1" s="1"/>
  <c r="AS293" i="1" s="1"/>
  <c r="AS294" i="1" s="1"/>
  <c r="AS295" i="1" s="1"/>
  <c r="AS296" i="1" s="1"/>
  <c r="AS297" i="1" s="1"/>
  <c r="AS298" i="1" s="1"/>
  <c r="AS299" i="1" s="1"/>
  <c r="AS300" i="1" s="1"/>
  <c r="AS301" i="1" s="1"/>
  <c r="AS302" i="1" s="1"/>
  <c r="AS303" i="1" s="1"/>
  <c r="AS304" i="1" s="1"/>
  <c r="AS305" i="1" s="1"/>
  <c r="AR290" i="1"/>
  <c r="AK290" i="1"/>
  <c r="M290" i="1"/>
  <c r="M291" i="1" s="1"/>
  <c r="M292" i="1" s="1"/>
  <c r="M293" i="1" s="1"/>
  <c r="M294" i="1" s="1"/>
  <c r="M295" i="1" s="1"/>
  <c r="M296" i="1" s="1"/>
  <c r="M297" i="1" s="1"/>
  <c r="M298" i="1" s="1"/>
  <c r="K290" i="1"/>
  <c r="K291" i="1" s="1"/>
  <c r="K292" i="1" s="1"/>
  <c r="K293" i="1" s="1"/>
  <c r="K294" i="1" s="1"/>
  <c r="K295" i="1" s="1"/>
  <c r="K296" i="1" s="1"/>
  <c r="K297" i="1" s="1"/>
  <c r="K298" i="1" s="1"/>
  <c r="M289" i="1"/>
  <c r="L289" i="1"/>
  <c r="L290" i="1" s="1"/>
  <c r="L291" i="1" s="1"/>
  <c r="L292" i="1" s="1"/>
  <c r="L293" i="1" s="1"/>
  <c r="L294" i="1" s="1"/>
  <c r="L295" i="1" s="1"/>
  <c r="L296" i="1" s="1"/>
  <c r="L297" i="1" s="1"/>
  <c r="L298" i="1" s="1"/>
  <c r="K289" i="1"/>
  <c r="B289" i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P288" i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O288" i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N288" i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M288" i="1"/>
  <c r="L288" i="1"/>
  <c r="K288" i="1"/>
  <c r="J288" i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C288" i="1"/>
  <c r="C289" i="1" s="1"/>
  <c r="C290" i="1" s="1"/>
  <c r="AA286" i="1"/>
  <c r="AA287" i="1" s="1"/>
  <c r="AA288" i="1" s="1"/>
  <c r="AA289" i="1" s="1"/>
  <c r="AA290" i="1" s="1"/>
  <c r="AA291" i="1" s="1"/>
  <c r="AA292" i="1" s="1"/>
  <c r="AA293" i="1" s="1"/>
  <c r="AA294" i="1" s="1"/>
  <c r="AA295" i="1" s="1"/>
  <c r="B286" i="1"/>
  <c r="B287" i="1" s="1"/>
  <c r="B288" i="1" s="1"/>
  <c r="AD285" i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A284" i="1"/>
  <c r="AA285" i="1" s="1"/>
  <c r="T284" i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AE283" i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D283" i="1"/>
  <c r="AD284" i="1" s="1"/>
  <c r="AC283" i="1"/>
  <c r="AC284" i="1" s="1"/>
  <c r="AC285" i="1" s="1"/>
  <c r="AC286" i="1" s="1"/>
  <c r="AC287" i="1" s="1"/>
  <c r="AC288" i="1" s="1"/>
  <c r="AC289" i="1" s="1"/>
  <c r="AC290" i="1" s="1"/>
  <c r="AC291" i="1" s="1"/>
  <c r="AC292" i="1" s="1"/>
  <c r="AC293" i="1" s="1"/>
  <c r="AC294" i="1" s="1"/>
  <c r="AC295" i="1" s="1"/>
  <c r="AB283" i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S283" i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AG282" i="1"/>
  <c r="AG283" i="1" s="1"/>
  <c r="AG284" i="1" s="1"/>
  <c r="AG285" i="1" s="1"/>
  <c r="AG286" i="1" s="1"/>
  <c r="AG287" i="1" s="1"/>
  <c r="AG288" i="1" s="1"/>
  <c r="AG289" i="1" s="1"/>
  <c r="AG290" i="1" s="1"/>
  <c r="AG291" i="1" s="1"/>
  <c r="AG292" i="1" s="1"/>
  <c r="AG293" i="1" s="1"/>
  <c r="AG294" i="1" s="1"/>
  <c r="AG295" i="1" s="1"/>
  <c r="AF282" i="1"/>
  <c r="AF283" i="1" s="1"/>
  <c r="AF284" i="1" s="1"/>
  <c r="AF285" i="1" s="1"/>
  <c r="AF286" i="1" s="1"/>
  <c r="AF287" i="1" s="1"/>
  <c r="AF288" i="1" s="1"/>
  <c r="AF289" i="1" s="1"/>
  <c r="AF290" i="1" s="1"/>
  <c r="AF291" i="1" s="1"/>
  <c r="AF292" i="1" s="1"/>
  <c r="AF293" i="1" s="1"/>
  <c r="AF294" i="1" s="1"/>
  <c r="AF295" i="1" s="1"/>
  <c r="AE282" i="1"/>
  <c r="AD282" i="1"/>
  <c r="AC282" i="1"/>
  <c r="AB282" i="1"/>
  <c r="AA282" i="1"/>
  <c r="AA283" i="1" s="1"/>
  <c r="T282" i="1"/>
  <c r="T283" i="1" s="1"/>
  <c r="N281" i="1"/>
  <c r="N282" i="1" s="1"/>
  <c r="N283" i="1" s="1"/>
  <c r="N284" i="1" s="1"/>
  <c r="N285" i="1" s="1"/>
  <c r="N286" i="1" s="1"/>
  <c r="S280" i="1"/>
  <c r="S281" i="1" s="1"/>
  <c r="S282" i="1" s="1"/>
  <c r="P280" i="1"/>
  <c r="P281" i="1" s="1"/>
  <c r="P282" i="1" s="1"/>
  <c r="P283" i="1" s="1"/>
  <c r="P284" i="1" s="1"/>
  <c r="P285" i="1" s="1"/>
  <c r="P286" i="1" s="1"/>
  <c r="AG279" i="1"/>
  <c r="AG280" i="1" s="1"/>
  <c r="AF279" i="1"/>
  <c r="AF280" i="1" s="1"/>
  <c r="AC279" i="1"/>
  <c r="AC280" i="1" s="1"/>
  <c r="N279" i="1"/>
  <c r="N280" i="1" s="1"/>
  <c r="M279" i="1"/>
  <c r="M280" i="1" s="1"/>
  <c r="M281" i="1" s="1"/>
  <c r="M282" i="1" s="1"/>
  <c r="M283" i="1" s="1"/>
  <c r="M284" i="1" s="1"/>
  <c r="M285" i="1" s="1"/>
  <c r="M286" i="1" s="1"/>
  <c r="AF278" i="1"/>
  <c r="AE278" i="1"/>
  <c r="AE279" i="1" s="1"/>
  <c r="AE280" i="1" s="1"/>
  <c r="S278" i="1"/>
  <c r="S279" i="1" s="1"/>
  <c r="P278" i="1"/>
  <c r="P279" i="1" s="1"/>
  <c r="O278" i="1"/>
  <c r="O279" i="1" s="1"/>
  <c r="O280" i="1" s="1"/>
  <c r="O281" i="1" s="1"/>
  <c r="O282" i="1" s="1"/>
  <c r="O283" i="1" s="1"/>
  <c r="O284" i="1" s="1"/>
  <c r="O285" i="1" s="1"/>
  <c r="O286" i="1" s="1"/>
  <c r="L278" i="1"/>
  <c r="L279" i="1" s="1"/>
  <c r="L280" i="1" s="1"/>
  <c r="L281" i="1" s="1"/>
  <c r="L282" i="1" s="1"/>
  <c r="L283" i="1" s="1"/>
  <c r="L284" i="1" s="1"/>
  <c r="L285" i="1" s="1"/>
  <c r="L286" i="1" s="1"/>
  <c r="K278" i="1"/>
  <c r="K279" i="1" s="1"/>
  <c r="K280" i="1" s="1"/>
  <c r="K281" i="1" s="1"/>
  <c r="K282" i="1" s="1"/>
  <c r="K283" i="1" s="1"/>
  <c r="K284" i="1" s="1"/>
  <c r="K285" i="1" s="1"/>
  <c r="K286" i="1" s="1"/>
  <c r="AG277" i="1"/>
  <c r="AG278" i="1" s="1"/>
  <c r="AF277" i="1"/>
  <c r="AE277" i="1"/>
  <c r="AD277" i="1"/>
  <c r="AD278" i="1" s="1"/>
  <c r="AD279" i="1" s="1"/>
  <c r="AD280" i="1" s="1"/>
  <c r="AC277" i="1"/>
  <c r="AC278" i="1" s="1"/>
  <c r="AB277" i="1"/>
  <c r="AB278" i="1" s="1"/>
  <c r="AB279" i="1" s="1"/>
  <c r="AB280" i="1" s="1"/>
  <c r="AA277" i="1"/>
  <c r="AA278" i="1" s="1"/>
  <c r="AA279" i="1" s="1"/>
  <c r="AA280" i="1" s="1"/>
  <c r="T277" i="1"/>
  <c r="T278" i="1" s="1"/>
  <c r="T279" i="1" s="1"/>
  <c r="T280" i="1" s="1"/>
  <c r="S277" i="1"/>
  <c r="P277" i="1"/>
  <c r="O277" i="1"/>
  <c r="N277" i="1"/>
  <c r="N278" i="1" s="1"/>
  <c r="M277" i="1"/>
  <c r="M278" i="1" s="1"/>
  <c r="L277" i="1"/>
  <c r="K277" i="1"/>
  <c r="J277" i="1"/>
  <c r="J278" i="1" s="1"/>
  <c r="J279" i="1" s="1"/>
  <c r="J280" i="1" s="1"/>
  <c r="J281" i="1" s="1"/>
  <c r="J282" i="1" s="1"/>
  <c r="J283" i="1" s="1"/>
  <c r="J284" i="1" s="1"/>
  <c r="J285" i="1" s="1"/>
  <c r="J286" i="1" s="1"/>
  <c r="C277" i="1"/>
  <c r="C278" i="1" s="1"/>
  <c r="C279" i="1" s="1"/>
  <c r="C280" i="1" s="1"/>
  <c r="C281" i="1" s="1"/>
  <c r="C282" i="1" s="1"/>
  <c r="C283" i="1" s="1"/>
  <c r="C284" i="1" s="1"/>
  <c r="C285" i="1" s="1"/>
  <c r="C286" i="1" s="1"/>
  <c r="AG274" i="1"/>
  <c r="AG275" i="1" s="1"/>
  <c r="AF274" i="1"/>
  <c r="AF275" i="1" s="1"/>
  <c r="AE274" i="1"/>
  <c r="AE275" i="1" s="1"/>
  <c r="AD274" i="1"/>
  <c r="AD275" i="1" s="1"/>
  <c r="AA274" i="1"/>
  <c r="AA275" i="1" s="1"/>
  <c r="T274" i="1"/>
  <c r="T275" i="1" s="1"/>
  <c r="AW273" i="1"/>
  <c r="AW274" i="1" s="1"/>
  <c r="AW275" i="1" s="1"/>
  <c r="AW276" i="1" s="1"/>
  <c r="AW277" i="1" s="1"/>
  <c r="AW278" i="1" s="1"/>
  <c r="AW279" i="1" s="1"/>
  <c r="AW280" i="1" s="1"/>
  <c r="AW281" i="1" s="1"/>
  <c r="AW282" i="1" s="1"/>
  <c r="AW283" i="1" s="1"/>
  <c r="AW284" i="1" s="1"/>
  <c r="AW285" i="1" s="1"/>
  <c r="AW286" i="1" s="1"/>
  <c r="AW287" i="1" s="1"/>
  <c r="AW288" i="1" s="1"/>
  <c r="AS273" i="1"/>
  <c r="AS274" i="1" s="1"/>
  <c r="AS275" i="1" s="1"/>
  <c r="AS276" i="1" s="1"/>
  <c r="AS277" i="1" s="1"/>
  <c r="AS278" i="1" s="1"/>
  <c r="AS279" i="1" s="1"/>
  <c r="AS280" i="1" s="1"/>
  <c r="AS281" i="1" s="1"/>
  <c r="AS282" i="1" s="1"/>
  <c r="AS283" i="1" s="1"/>
  <c r="AS284" i="1" s="1"/>
  <c r="AS285" i="1" s="1"/>
  <c r="AS286" i="1" s="1"/>
  <c r="AS287" i="1" s="1"/>
  <c r="AS288" i="1" s="1"/>
  <c r="AG273" i="1"/>
  <c r="AF273" i="1"/>
  <c r="AE273" i="1"/>
  <c r="AD273" i="1"/>
  <c r="AC273" i="1"/>
  <c r="AC274" i="1" s="1"/>
  <c r="AC275" i="1" s="1"/>
  <c r="AB273" i="1"/>
  <c r="AB274" i="1" s="1"/>
  <c r="AB275" i="1" s="1"/>
  <c r="AA273" i="1"/>
  <c r="T273" i="1"/>
  <c r="AS272" i="1"/>
  <c r="AR272" i="1"/>
  <c r="AR273" i="1" s="1"/>
  <c r="AR274" i="1" s="1"/>
  <c r="AR275" i="1" s="1"/>
  <c r="AR276" i="1" s="1"/>
  <c r="AR277" i="1" s="1"/>
  <c r="AR278" i="1" s="1"/>
  <c r="AR279" i="1" s="1"/>
  <c r="AR280" i="1" s="1"/>
  <c r="AR281" i="1" s="1"/>
  <c r="AR282" i="1" s="1"/>
  <c r="AR283" i="1" s="1"/>
  <c r="AR284" i="1" s="1"/>
  <c r="AR285" i="1" s="1"/>
  <c r="AR286" i="1" s="1"/>
  <c r="AR287" i="1" s="1"/>
  <c r="AR288" i="1" s="1"/>
  <c r="AV271" i="1"/>
  <c r="AV272" i="1" s="1"/>
  <c r="AV273" i="1" s="1"/>
  <c r="AV274" i="1" s="1"/>
  <c r="AV275" i="1" s="1"/>
  <c r="AV276" i="1" s="1"/>
  <c r="AV277" i="1" s="1"/>
  <c r="AV278" i="1" s="1"/>
  <c r="AV279" i="1" s="1"/>
  <c r="AV280" i="1" s="1"/>
  <c r="AV281" i="1" s="1"/>
  <c r="AV282" i="1" s="1"/>
  <c r="AV283" i="1" s="1"/>
  <c r="AV284" i="1" s="1"/>
  <c r="AV285" i="1" s="1"/>
  <c r="AV286" i="1" s="1"/>
  <c r="AV287" i="1" s="1"/>
  <c r="AV288" i="1" s="1"/>
  <c r="AU271" i="1"/>
  <c r="AU272" i="1" s="1"/>
  <c r="AU273" i="1" s="1"/>
  <c r="AU274" i="1" s="1"/>
  <c r="AU275" i="1" s="1"/>
  <c r="AU276" i="1" s="1"/>
  <c r="AU277" i="1" s="1"/>
  <c r="AU278" i="1" s="1"/>
  <c r="AU279" i="1" s="1"/>
  <c r="AU280" i="1" s="1"/>
  <c r="AU281" i="1" s="1"/>
  <c r="AU282" i="1" s="1"/>
  <c r="AU283" i="1" s="1"/>
  <c r="AU284" i="1" s="1"/>
  <c r="AU285" i="1" s="1"/>
  <c r="AU286" i="1" s="1"/>
  <c r="AU287" i="1" s="1"/>
  <c r="AU288" i="1" s="1"/>
  <c r="AT271" i="1"/>
  <c r="AT272" i="1" s="1"/>
  <c r="AT273" i="1" s="1"/>
  <c r="AT274" i="1" s="1"/>
  <c r="AT275" i="1" s="1"/>
  <c r="AT276" i="1" s="1"/>
  <c r="AT277" i="1" s="1"/>
  <c r="AT278" i="1" s="1"/>
  <c r="AT279" i="1" s="1"/>
  <c r="AT280" i="1" s="1"/>
  <c r="AT281" i="1" s="1"/>
  <c r="AT282" i="1" s="1"/>
  <c r="AT283" i="1" s="1"/>
  <c r="AT284" i="1" s="1"/>
  <c r="AT285" i="1" s="1"/>
  <c r="AT286" i="1" s="1"/>
  <c r="AT287" i="1" s="1"/>
  <c r="AT288" i="1" s="1"/>
  <c r="AK271" i="1"/>
  <c r="AK272" i="1" s="1"/>
  <c r="AK273" i="1" s="1"/>
  <c r="AK274" i="1" s="1"/>
  <c r="AK275" i="1" s="1"/>
  <c r="AK276" i="1" s="1"/>
  <c r="AK277" i="1" s="1"/>
  <c r="AK278" i="1" s="1"/>
  <c r="AK279" i="1" s="1"/>
  <c r="AK280" i="1" s="1"/>
  <c r="AK281" i="1" s="1"/>
  <c r="AK282" i="1" s="1"/>
  <c r="AK283" i="1" s="1"/>
  <c r="AK284" i="1" s="1"/>
  <c r="AK285" i="1" s="1"/>
  <c r="AK286" i="1" s="1"/>
  <c r="AK287" i="1" s="1"/>
  <c r="AK288" i="1" s="1"/>
  <c r="AX270" i="1"/>
  <c r="AX271" i="1" s="1"/>
  <c r="AX272" i="1" s="1"/>
  <c r="AX273" i="1" s="1"/>
  <c r="AX274" i="1" s="1"/>
  <c r="AX275" i="1" s="1"/>
  <c r="AX276" i="1" s="1"/>
  <c r="AX277" i="1" s="1"/>
  <c r="AX278" i="1" s="1"/>
  <c r="AX279" i="1" s="1"/>
  <c r="AX280" i="1" s="1"/>
  <c r="AX281" i="1" s="1"/>
  <c r="AX282" i="1" s="1"/>
  <c r="AX283" i="1" s="1"/>
  <c r="AX284" i="1" s="1"/>
  <c r="AX285" i="1" s="1"/>
  <c r="AX286" i="1" s="1"/>
  <c r="AX287" i="1" s="1"/>
  <c r="AX288" i="1" s="1"/>
  <c r="AW270" i="1"/>
  <c r="AW271" i="1" s="1"/>
  <c r="AW272" i="1" s="1"/>
  <c r="AV270" i="1"/>
  <c r="AU270" i="1"/>
  <c r="AT270" i="1"/>
  <c r="AS270" i="1"/>
  <c r="AS271" i="1" s="1"/>
  <c r="AR270" i="1"/>
  <c r="AR271" i="1" s="1"/>
  <c r="AK270" i="1"/>
  <c r="O266" i="1"/>
  <c r="O267" i="1" s="1"/>
  <c r="O268" i="1" s="1"/>
  <c r="O269" i="1" s="1"/>
  <c r="O270" i="1" s="1"/>
  <c r="O271" i="1" s="1"/>
  <c r="O272" i="1" s="1"/>
  <c r="O273" i="1" s="1"/>
  <c r="O274" i="1" s="1"/>
  <c r="O275" i="1" s="1"/>
  <c r="N266" i="1"/>
  <c r="N267" i="1" s="1"/>
  <c r="N268" i="1" s="1"/>
  <c r="N269" i="1" s="1"/>
  <c r="N270" i="1" s="1"/>
  <c r="N271" i="1" s="1"/>
  <c r="N272" i="1" s="1"/>
  <c r="N273" i="1" s="1"/>
  <c r="N274" i="1" s="1"/>
  <c r="N275" i="1" s="1"/>
  <c r="M266" i="1"/>
  <c r="M267" i="1" s="1"/>
  <c r="M268" i="1" s="1"/>
  <c r="M269" i="1" s="1"/>
  <c r="M270" i="1" s="1"/>
  <c r="M271" i="1" s="1"/>
  <c r="M272" i="1" s="1"/>
  <c r="M273" i="1" s="1"/>
  <c r="M274" i="1" s="1"/>
  <c r="M275" i="1" s="1"/>
  <c r="J266" i="1"/>
  <c r="J267" i="1" s="1"/>
  <c r="J268" i="1" s="1"/>
  <c r="J269" i="1" s="1"/>
  <c r="J270" i="1" s="1"/>
  <c r="J271" i="1" s="1"/>
  <c r="J272" i="1" s="1"/>
  <c r="J273" i="1" s="1"/>
  <c r="J274" i="1" s="1"/>
  <c r="J275" i="1" s="1"/>
  <c r="P265" i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O265" i="1"/>
  <c r="N265" i="1"/>
  <c r="M265" i="1"/>
  <c r="L265" i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K265" i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J265" i="1"/>
  <c r="C265" i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AD259" i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C259" i="1"/>
  <c r="AC260" i="1" s="1"/>
  <c r="AC261" i="1" s="1"/>
  <c r="AC262" i="1" s="1"/>
  <c r="AC263" i="1" s="1"/>
  <c r="AC264" i="1" s="1"/>
  <c r="AC265" i="1" s="1"/>
  <c r="AC266" i="1" s="1"/>
  <c r="AC267" i="1" s="1"/>
  <c r="AC268" i="1" s="1"/>
  <c r="AC269" i="1" s="1"/>
  <c r="AC270" i="1" s="1"/>
  <c r="AC271" i="1" s="1"/>
  <c r="AB259" i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A259" i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G258" i="1"/>
  <c r="AG259" i="1" s="1"/>
  <c r="AG260" i="1" s="1"/>
  <c r="AG261" i="1" s="1"/>
  <c r="AG262" i="1" s="1"/>
  <c r="AG263" i="1" s="1"/>
  <c r="AG264" i="1" s="1"/>
  <c r="AG265" i="1" s="1"/>
  <c r="AG266" i="1" s="1"/>
  <c r="AG267" i="1" s="1"/>
  <c r="AG268" i="1" s="1"/>
  <c r="AG269" i="1" s="1"/>
  <c r="AG270" i="1" s="1"/>
  <c r="AG271" i="1" s="1"/>
  <c r="AF258" i="1"/>
  <c r="AF259" i="1" s="1"/>
  <c r="AF260" i="1" s="1"/>
  <c r="AF261" i="1" s="1"/>
  <c r="AF262" i="1" s="1"/>
  <c r="AF263" i="1" s="1"/>
  <c r="AF264" i="1" s="1"/>
  <c r="AF265" i="1" s="1"/>
  <c r="AF266" i="1" s="1"/>
  <c r="AF267" i="1" s="1"/>
  <c r="AF268" i="1" s="1"/>
  <c r="AF269" i="1" s="1"/>
  <c r="AF270" i="1" s="1"/>
  <c r="AF271" i="1" s="1"/>
  <c r="AE258" i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D258" i="1"/>
  <c r="AC258" i="1"/>
  <c r="AB258" i="1"/>
  <c r="AA258" i="1"/>
  <c r="T258" i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J258" i="1"/>
  <c r="J259" i="1" s="1"/>
  <c r="J260" i="1" s="1"/>
  <c r="J261" i="1" s="1"/>
  <c r="J262" i="1" s="1"/>
  <c r="J263" i="1" s="1"/>
  <c r="M257" i="1"/>
  <c r="M258" i="1" s="1"/>
  <c r="M259" i="1" s="1"/>
  <c r="M260" i="1" s="1"/>
  <c r="M261" i="1" s="1"/>
  <c r="M262" i="1" s="1"/>
  <c r="M263" i="1" s="1"/>
  <c r="C257" i="1"/>
  <c r="C258" i="1" s="1"/>
  <c r="C259" i="1" s="1"/>
  <c r="C260" i="1" s="1"/>
  <c r="C261" i="1" s="1"/>
  <c r="C262" i="1" s="1"/>
  <c r="C263" i="1" s="1"/>
  <c r="P256" i="1"/>
  <c r="P257" i="1" s="1"/>
  <c r="P258" i="1" s="1"/>
  <c r="P259" i="1" s="1"/>
  <c r="P260" i="1" s="1"/>
  <c r="P261" i="1" s="1"/>
  <c r="P262" i="1" s="1"/>
  <c r="P263" i="1" s="1"/>
  <c r="J256" i="1"/>
  <c r="J257" i="1" s="1"/>
  <c r="C256" i="1"/>
  <c r="P255" i="1"/>
  <c r="O255" i="1"/>
  <c r="O256" i="1" s="1"/>
  <c r="O257" i="1" s="1"/>
  <c r="O258" i="1" s="1"/>
  <c r="O259" i="1" s="1"/>
  <c r="O260" i="1" s="1"/>
  <c r="O261" i="1" s="1"/>
  <c r="O262" i="1" s="1"/>
  <c r="O263" i="1" s="1"/>
  <c r="N255" i="1"/>
  <c r="N256" i="1" s="1"/>
  <c r="N257" i="1" s="1"/>
  <c r="N258" i="1" s="1"/>
  <c r="N259" i="1" s="1"/>
  <c r="N260" i="1" s="1"/>
  <c r="N261" i="1" s="1"/>
  <c r="N262" i="1" s="1"/>
  <c r="N263" i="1" s="1"/>
  <c r="M255" i="1"/>
  <c r="M256" i="1" s="1"/>
  <c r="L255" i="1"/>
  <c r="L256" i="1" s="1"/>
  <c r="L257" i="1" s="1"/>
  <c r="L258" i="1" s="1"/>
  <c r="L259" i="1" s="1"/>
  <c r="L260" i="1" s="1"/>
  <c r="L261" i="1" s="1"/>
  <c r="L262" i="1" s="1"/>
  <c r="L263" i="1" s="1"/>
  <c r="K255" i="1"/>
  <c r="K256" i="1" s="1"/>
  <c r="K257" i="1" s="1"/>
  <c r="K258" i="1" s="1"/>
  <c r="K259" i="1" s="1"/>
  <c r="K260" i="1" s="1"/>
  <c r="K261" i="1" s="1"/>
  <c r="K262" i="1" s="1"/>
  <c r="K263" i="1" s="1"/>
  <c r="J255" i="1"/>
  <c r="C255" i="1"/>
  <c r="AX250" i="1"/>
  <c r="AX251" i="1" s="1"/>
  <c r="AX252" i="1" s="1"/>
  <c r="AX253" i="1" s="1"/>
  <c r="AX254" i="1" s="1"/>
  <c r="AX255" i="1" s="1"/>
  <c r="AX256" i="1" s="1"/>
  <c r="AX257" i="1" s="1"/>
  <c r="AX258" i="1" s="1"/>
  <c r="AX259" i="1" s="1"/>
  <c r="AX260" i="1" s="1"/>
  <c r="AX261" i="1" s="1"/>
  <c r="AX262" i="1" s="1"/>
  <c r="AX263" i="1" s="1"/>
  <c r="AX264" i="1" s="1"/>
  <c r="AX265" i="1" s="1"/>
  <c r="AX266" i="1" s="1"/>
  <c r="AX267" i="1" s="1"/>
  <c r="AX268" i="1" s="1"/>
  <c r="AV250" i="1"/>
  <c r="AV251" i="1" s="1"/>
  <c r="AV252" i="1" s="1"/>
  <c r="AV253" i="1" s="1"/>
  <c r="AV254" i="1" s="1"/>
  <c r="AV255" i="1" s="1"/>
  <c r="AV256" i="1" s="1"/>
  <c r="AV257" i="1" s="1"/>
  <c r="AV258" i="1" s="1"/>
  <c r="AV259" i="1" s="1"/>
  <c r="AV260" i="1" s="1"/>
  <c r="AV261" i="1" s="1"/>
  <c r="AV262" i="1" s="1"/>
  <c r="AV263" i="1" s="1"/>
  <c r="AV264" i="1" s="1"/>
  <c r="AV265" i="1" s="1"/>
  <c r="AV266" i="1" s="1"/>
  <c r="AV267" i="1" s="1"/>
  <c r="AV268" i="1" s="1"/>
  <c r="AT250" i="1"/>
  <c r="AT251" i="1" s="1"/>
  <c r="AT252" i="1" s="1"/>
  <c r="AT253" i="1" s="1"/>
  <c r="AT254" i="1" s="1"/>
  <c r="AT255" i="1" s="1"/>
  <c r="AT256" i="1" s="1"/>
  <c r="AT257" i="1" s="1"/>
  <c r="AT258" i="1" s="1"/>
  <c r="AT259" i="1" s="1"/>
  <c r="AT260" i="1" s="1"/>
  <c r="AT261" i="1" s="1"/>
  <c r="AT262" i="1" s="1"/>
  <c r="AT263" i="1" s="1"/>
  <c r="AT264" i="1" s="1"/>
  <c r="AT265" i="1" s="1"/>
  <c r="AT266" i="1" s="1"/>
  <c r="AT267" i="1" s="1"/>
  <c r="AT268" i="1" s="1"/>
  <c r="AX249" i="1"/>
  <c r="AT249" i="1"/>
  <c r="AS249" i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AS261" i="1" s="1"/>
  <c r="AS262" i="1" s="1"/>
  <c r="AS263" i="1" s="1"/>
  <c r="AS264" i="1" s="1"/>
  <c r="AS265" i="1" s="1"/>
  <c r="AS266" i="1" s="1"/>
  <c r="AS267" i="1" s="1"/>
  <c r="AS268" i="1" s="1"/>
  <c r="AR249" i="1"/>
  <c r="AR250" i="1" s="1"/>
  <c r="AR251" i="1" s="1"/>
  <c r="AR252" i="1" s="1"/>
  <c r="AR253" i="1" s="1"/>
  <c r="AR254" i="1" s="1"/>
  <c r="AR255" i="1" s="1"/>
  <c r="AR256" i="1" s="1"/>
  <c r="AR257" i="1" s="1"/>
  <c r="AR258" i="1" s="1"/>
  <c r="AR259" i="1" s="1"/>
  <c r="AR260" i="1" s="1"/>
  <c r="AR261" i="1" s="1"/>
  <c r="AR262" i="1" s="1"/>
  <c r="AR263" i="1" s="1"/>
  <c r="AR264" i="1" s="1"/>
  <c r="AR265" i="1" s="1"/>
  <c r="AR266" i="1" s="1"/>
  <c r="AR267" i="1" s="1"/>
  <c r="AR268" i="1" s="1"/>
  <c r="AX248" i="1"/>
  <c r="AW248" i="1"/>
  <c r="AW249" i="1" s="1"/>
  <c r="AW250" i="1" s="1"/>
  <c r="AW251" i="1" s="1"/>
  <c r="AW252" i="1" s="1"/>
  <c r="AW253" i="1" s="1"/>
  <c r="AW254" i="1" s="1"/>
  <c r="AW255" i="1" s="1"/>
  <c r="AW256" i="1" s="1"/>
  <c r="AW257" i="1" s="1"/>
  <c r="AW258" i="1" s="1"/>
  <c r="AW259" i="1" s="1"/>
  <c r="AW260" i="1" s="1"/>
  <c r="AW261" i="1" s="1"/>
  <c r="AW262" i="1" s="1"/>
  <c r="AW263" i="1" s="1"/>
  <c r="AW264" i="1" s="1"/>
  <c r="AW265" i="1" s="1"/>
  <c r="AW266" i="1" s="1"/>
  <c r="AW267" i="1" s="1"/>
  <c r="AW268" i="1" s="1"/>
  <c r="AV248" i="1"/>
  <c r="AV249" i="1" s="1"/>
  <c r="AU248" i="1"/>
  <c r="AU249" i="1" s="1"/>
  <c r="AU250" i="1" s="1"/>
  <c r="AU251" i="1" s="1"/>
  <c r="AU252" i="1" s="1"/>
  <c r="AU253" i="1" s="1"/>
  <c r="AU254" i="1" s="1"/>
  <c r="AU255" i="1" s="1"/>
  <c r="AU256" i="1" s="1"/>
  <c r="AU257" i="1" s="1"/>
  <c r="AU258" i="1" s="1"/>
  <c r="AU259" i="1" s="1"/>
  <c r="AU260" i="1" s="1"/>
  <c r="AU261" i="1" s="1"/>
  <c r="AU262" i="1" s="1"/>
  <c r="AU263" i="1" s="1"/>
  <c r="AU264" i="1" s="1"/>
  <c r="AU265" i="1" s="1"/>
  <c r="AU266" i="1" s="1"/>
  <c r="AU267" i="1" s="1"/>
  <c r="AU268" i="1" s="1"/>
  <c r="AT248" i="1"/>
  <c r="AS248" i="1"/>
  <c r="AR248" i="1"/>
  <c r="AK248" i="1"/>
  <c r="AK249" i="1" s="1"/>
  <c r="AK250" i="1" s="1"/>
  <c r="AK251" i="1" s="1"/>
  <c r="AK252" i="1" s="1"/>
  <c r="AK253" i="1" s="1"/>
  <c r="AK254" i="1" s="1"/>
  <c r="AK255" i="1" s="1"/>
  <c r="AK256" i="1" s="1"/>
  <c r="AK257" i="1" s="1"/>
  <c r="AK258" i="1" s="1"/>
  <c r="AK259" i="1" s="1"/>
  <c r="AK260" i="1" s="1"/>
  <c r="AK261" i="1" s="1"/>
  <c r="AK262" i="1" s="1"/>
  <c r="AK263" i="1" s="1"/>
  <c r="AK264" i="1" s="1"/>
  <c r="AK265" i="1" s="1"/>
  <c r="AK266" i="1" s="1"/>
  <c r="AK267" i="1" s="1"/>
  <c r="AK268" i="1" s="1"/>
  <c r="AJ248" i="1"/>
  <c r="AJ249" i="1" s="1"/>
  <c r="AJ250" i="1" s="1"/>
  <c r="AJ251" i="1" s="1"/>
  <c r="AJ252" i="1" s="1"/>
  <c r="AJ253" i="1" s="1"/>
  <c r="AJ254" i="1" s="1"/>
  <c r="AJ255" i="1" s="1"/>
  <c r="AJ256" i="1" s="1"/>
  <c r="AJ257" i="1" s="1"/>
  <c r="AJ258" i="1" s="1"/>
  <c r="AJ259" i="1" s="1"/>
  <c r="AJ260" i="1" s="1"/>
  <c r="AJ261" i="1" s="1"/>
  <c r="AJ262" i="1" s="1"/>
  <c r="AJ263" i="1" s="1"/>
  <c r="AJ264" i="1" s="1"/>
  <c r="AJ265" i="1" s="1"/>
  <c r="AJ266" i="1" s="1"/>
  <c r="AJ267" i="1" s="1"/>
  <c r="AJ268" i="1" s="1"/>
  <c r="AJ269" i="1" s="1"/>
  <c r="AJ270" i="1" s="1"/>
  <c r="AJ271" i="1" s="1"/>
  <c r="AJ272" i="1" s="1"/>
  <c r="AJ273" i="1" s="1"/>
  <c r="AJ274" i="1" s="1"/>
  <c r="AJ275" i="1" s="1"/>
  <c r="AJ276" i="1" s="1"/>
  <c r="AJ277" i="1" s="1"/>
  <c r="AJ278" i="1" s="1"/>
  <c r="AJ279" i="1" s="1"/>
  <c r="AJ280" i="1" s="1"/>
  <c r="AJ281" i="1" s="1"/>
  <c r="AJ282" i="1" s="1"/>
  <c r="AJ283" i="1" s="1"/>
  <c r="AJ284" i="1" s="1"/>
  <c r="AJ285" i="1" s="1"/>
  <c r="AJ286" i="1" s="1"/>
  <c r="AJ287" i="1" s="1"/>
  <c r="AJ288" i="1" s="1"/>
  <c r="AJ289" i="1" s="1"/>
  <c r="AJ290" i="1" s="1"/>
  <c r="AJ291" i="1" s="1"/>
  <c r="AJ292" i="1" s="1"/>
  <c r="AJ293" i="1" s="1"/>
  <c r="AJ294" i="1" s="1"/>
  <c r="AJ295" i="1" s="1"/>
  <c r="M246" i="1"/>
  <c r="M247" i="1" s="1"/>
  <c r="M248" i="1" s="1"/>
  <c r="M249" i="1" s="1"/>
  <c r="M250" i="1" s="1"/>
  <c r="M251" i="1" s="1"/>
  <c r="M252" i="1" s="1"/>
  <c r="M253" i="1" s="1"/>
  <c r="AF245" i="1"/>
  <c r="AF246" i="1" s="1"/>
  <c r="AF247" i="1" s="1"/>
  <c r="AF248" i="1" s="1"/>
  <c r="AF249" i="1" s="1"/>
  <c r="AF250" i="1" s="1"/>
  <c r="AF251" i="1" s="1"/>
  <c r="AF252" i="1" s="1"/>
  <c r="AF253" i="1" s="1"/>
  <c r="AF254" i="1" s="1"/>
  <c r="AF255" i="1" s="1"/>
  <c r="AF256" i="1" s="1"/>
  <c r="M245" i="1"/>
  <c r="P244" i="1"/>
  <c r="P245" i="1" s="1"/>
  <c r="P246" i="1" s="1"/>
  <c r="P247" i="1" s="1"/>
  <c r="P248" i="1" s="1"/>
  <c r="P249" i="1" s="1"/>
  <c r="P250" i="1" s="1"/>
  <c r="P251" i="1" s="1"/>
  <c r="P252" i="1" s="1"/>
  <c r="P253" i="1" s="1"/>
  <c r="O244" i="1"/>
  <c r="O245" i="1" s="1"/>
  <c r="O246" i="1" s="1"/>
  <c r="O247" i="1" s="1"/>
  <c r="O248" i="1" s="1"/>
  <c r="O249" i="1" s="1"/>
  <c r="O250" i="1" s="1"/>
  <c r="O251" i="1" s="1"/>
  <c r="O252" i="1" s="1"/>
  <c r="O253" i="1" s="1"/>
  <c r="L244" i="1"/>
  <c r="L245" i="1" s="1"/>
  <c r="L246" i="1" s="1"/>
  <c r="L247" i="1" s="1"/>
  <c r="L248" i="1" s="1"/>
  <c r="L249" i="1" s="1"/>
  <c r="L250" i="1" s="1"/>
  <c r="L251" i="1" s="1"/>
  <c r="L252" i="1" s="1"/>
  <c r="L253" i="1" s="1"/>
  <c r="K244" i="1"/>
  <c r="K245" i="1" s="1"/>
  <c r="K246" i="1" s="1"/>
  <c r="K247" i="1" s="1"/>
  <c r="K248" i="1" s="1"/>
  <c r="K249" i="1" s="1"/>
  <c r="K250" i="1" s="1"/>
  <c r="K251" i="1" s="1"/>
  <c r="K252" i="1" s="1"/>
  <c r="K253" i="1" s="1"/>
  <c r="AD243" i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B243" i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P243" i="1"/>
  <c r="O243" i="1"/>
  <c r="N243" i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M243" i="1"/>
  <c r="M244" i="1" s="1"/>
  <c r="L243" i="1"/>
  <c r="K243" i="1"/>
  <c r="J243" i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C243" i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AD242" i="1"/>
  <c r="AC242" i="1"/>
  <c r="AC243" i="1" s="1"/>
  <c r="AC244" i="1" s="1"/>
  <c r="AC245" i="1" s="1"/>
  <c r="AC246" i="1" s="1"/>
  <c r="AC247" i="1" s="1"/>
  <c r="AC248" i="1" s="1"/>
  <c r="AC249" i="1" s="1"/>
  <c r="AC250" i="1" s="1"/>
  <c r="AC251" i="1" s="1"/>
  <c r="AC252" i="1" s="1"/>
  <c r="AC253" i="1" s="1"/>
  <c r="AC254" i="1" s="1"/>
  <c r="AC255" i="1" s="1"/>
  <c r="AC256" i="1" s="1"/>
  <c r="T242" i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AF241" i="1"/>
  <c r="AF242" i="1" s="1"/>
  <c r="AF243" i="1" s="1"/>
  <c r="AF244" i="1" s="1"/>
  <c r="AB241" i="1"/>
  <c r="AB242" i="1" s="1"/>
  <c r="AA241" i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T241" i="1"/>
  <c r="AR240" i="1"/>
  <c r="AR241" i="1" s="1"/>
  <c r="AR242" i="1" s="1"/>
  <c r="AR243" i="1" s="1"/>
  <c r="AR244" i="1" s="1"/>
  <c r="AR245" i="1" s="1"/>
  <c r="AR246" i="1" s="1"/>
  <c r="AG240" i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F240" i="1"/>
  <c r="AE240" i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D240" i="1"/>
  <c r="AD241" i="1" s="1"/>
  <c r="AC240" i="1"/>
  <c r="AC241" i="1" s="1"/>
  <c r="AB240" i="1"/>
  <c r="AA240" i="1"/>
  <c r="T240" i="1"/>
  <c r="AS239" i="1"/>
  <c r="AS240" i="1" s="1"/>
  <c r="AS241" i="1" s="1"/>
  <c r="AS242" i="1" s="1"/>
  <c r="AS243" i="1" s="1"/>
  <c r="AS244" i="1" s="1"/>
  <c r="AS245" i="1" s="1"/>
  <c r="AS246" i="1" s="1"/>
  <c r="AT236" i="1"/>
  <c r="AT237" i="1" s="1"/>
  <c r="AT238" i="1" s="1"/>
  <c r="AT239" i="1" s="1"/>
  <c r="AT240" i="1" s="1"/>
  <c r="AT241" i="1" s="1"/>
  <c r="AT242" i="1" s="1"/>
  <c r="AT243" i="1" s="1"/>
  <c r="AT244" i="1" s="1"/>
  <c r="AT245" i="1" s="1"/>
  <c r="AT246" i="1" s="1"/>
  <c r="AW235" i="1"/>
  <c r="AW236" i="1" s="1"/>
  <c r="AW237" i="1" s="1"/>
  <c r="AW238" i="1" s="1"/>
  <c r="AW239" i="1" s="1"/>
  <c r="AW240" i="1" s="1"/>
  <c r="AW241" i="1" s="1"/>
  <c r="AW242" i="1" s="1"/>
  <c r="AW243" i="1" s="1"/>
  <c r="AW244" i="1" s="1"/>
  <c r="AW245" i="1" s="1"/>
  <c r="AW246" i="1" s="1"/>
  <c r="L234" i="1"/>
  <c r="L235" i="1" s="1"/>
  <c r="L236" i="1" s="1"/>
  <c r="L237" i="1" s="1"/>
  <c r="L238" i="1" s="1"/>
  <c r="L239" i="1" s="1"/>
  <c r="L240" i="1" s="1"/>
  <c r="L241" i="1" s="1"/>
  <c r="AK233" i="1"/>
  <c r="AK234" i="1" s="1"/>
  <c r="AK235" i="1" s="1"/>
  <c r="AK236" i="1" s="1"/>
  <c r="AK237" i="1" s="1"/>
  <c r="AK238" i="1" s="1"/>
  <c r="AK239" i="1" s="1"/>
  <c r="AK240" i="1" s="1"/>
  <c r="AK241" i="1" s="1"/>
  <c r="AK242" i="1" s="1"/>
  <c r="AK243" i="1" s="1"/>
  <c r="AK244" i="1" s="1"/>
  <c r="AK245" i="1" s="1"/>
  <c r="AK246" i="1" s="1"/>
  <c r="O233" i="1"/>
  <c r="O234" i="1" s="1"/>
  <c r="O235" i="1" s="1"/>
  <c r="O236" i="1" s="1"/>
  <c r="O237" i="1" s="1"/>
  <c r="O238" i="1" s="1"/>
  <c r="O239" i="1" s="1"/>
  <c r="O240" i="1" s="1"/>
  <c r="O241" i="1" s="1"/>
  <c r="AV232" i="1"/>
  <c r="AV233" i="1" s="1"/>
  <c r="AV234" i="1" s="1"/>
  <c r="AV235" i="1" s="1"/>
  <c r="AV236" i="1" s="1"/>
  <c r="AV237" i="1" s="1"/>
  <c r="AV238" i="1" s="1"/>
  <c r="AV239" i="1" s="1"/>
  <c r="AV240" i="1" s="1"/>
  <c r="AV241" i="1" s="1"/>
  <c r="AV242" i="1" s="1"/>
  <c r="AV243" i="1" s="1"/>
  <c r="AV244" i="1" s="1"/>
  <c r="AV245" i="1" s="1"/>
  <c r="AV246" i="1" s="1"/>
  <c r="AT232" i="1"/>
  <c r="AT233" i="1" s="1"/>
  <c r="AT234" i="1" s="1"/>
  <c r="AT235" i="1" s="1"/>
  <c r="AR232" i="1"/>
  <c r="AR233" i="1" s="1"/>
  <c r="AR234" i="1" s="1"/>
  <c r="AR235" i="1" s="1"/>
  <c r="AR236" i="1" s="1"/>
  <c r="AR237" i="1" s="1"/>
  <c r="AR238" i="1" s="1"/>
  <c r="AR239" i="1" s="1"/>
  <c r="AK232" i="1"/>
  <c r="T232" i="1"/>
  <c r="T233" i="1" s="1"/>
  <c r="T234" i="1" s="1"/>
  <c r="T235" i="1" s="1"/>
  <c r="T236" i="1" s="1"/>
  <c r="T237" i="1" s="1"/>
  <c r="T238" i="1" s="1"/>
  <c r="AX231" i="1"/>
  <c r="AX232" i="1" s="1"/>
  <c r="AX233" i="1" s="1"/>
  <c r="AX234" i="1" s="1"/>
  <c r="AX235" i="1" s="1"/>
  <c r="AX236" i="1" s="1"/>
  <c r="AX237" i="1" s="1"/>
  <c r="AX238" i="1" s="1"/>
  <c r="AX239" i="1" s="1"/>
  <c r="AX240" i="1" s="1"/>
  <c r="AX241" i="1" s="1"/>
  <c r="AX242" i="1" s="1"/>
  <c r="AX243" i="1" s="1"/>
  <c r="AX244" i="1" s="1"/>
  <c r="AX245" i="1" s="1"/>
  <c r="AX246" i="1" s="1"/>
  <c r="AW231" i="1"/>
  <c r="AW232" i="1" s="1"/>
  <c r="AW233" i="1" s="1"/>
  <c r="AW234" i="1" s="1"/>
  <c r="AV231" i="1"/>
  <c r="AU231" i="1"/>
  <c r="AU232" i="1" s="1"/>
  <c r="AU233" i="1" s="1"/>
  <c r="AU234" i="1" s="1"/>
  <c r="AU235" i="1" s="1"/>
  <c r="AU236" i="1" s="1"/>
  <c r="AU237" i="1" s="1"/>
  <c r="AU238" i="1" s="1"/>
  <c r="AU239" i="1" s="1"/>
  <c r="AU240" i="1" s="1"/>
  <c r="AU241" i="1" s="1"/>
  <c r="AU242" i="1" s="1"/>
  <c r="AU243" i="1" s="1"/>
  <c r="AU244" i="1" s="1"/>
  <c r="AU245" i="1" s="1"/>
  <c r="AU246" i="1" s="1"/>
  <c r="AT231" i="1"/>
  <c r="AS231" i="1"/>
  <c r="AS232" i="1" s="1"/>
  <c r="AS233" i="1" s="1"/>
  <c r="AS234" i="1" s="1"/>
  <c r="AS235" i="1" s="1"/>
  <c r="AS236" i="1" s="1"/>
  <c r="AS237" i="1" s="1"/>
  <c r="AS238" i="1" s="1"/>
  <c r="AR231" i="1"/>
  <c r="AK231" i="1"/>
  <c r="P230" i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N230" i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M230" i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K230" i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P229" i="1"/>
  <c r="O229" i="1"/>
  <c r="O230" i="1" s="1"/>
  <c r="O231" i="1" s="1"/>
  <c r="O232" i="1" s="1"/>
  <c r="N229" i="1"/>
  <c r="M229" i="1"/>
  <c r="L229" i="1"/>
  <c r="L230" i="1" s="1"/>
  <c r="L231" i="1" s="1"/>
  <c r="L232" i="1" s="1"/>
  <c r="L233" i="1" s="1"/>
  <c r="K229" i="1"/>
  <c r="J229" i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C229" i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B229" i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AD228" i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P227" i="1"/>
  <c r="O227" i="1"/>
  <c r="AG226" i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24" i="1"/>
  <c r="AG225" i="1" s="1"/>
  <c r="AG223" i="1"/>
  <c r="AB223" i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T223" i="1"/>
  <c r="T224" i="1" s="1"/>
  <c r="T225" i="1" s="1"/>
  <c r="T226" i="1" s="1"/>
  <c r="T227" i="1" s="1"/>
  <c r="T228" i="1" s="1"/>
  <c r="T229" i="1" s="1"/>
  <c r="T230" i="1" s="1"/>
  <c r="T231" i="1" s="1"/>
  <c r="AG222" i="1"/>
  <c r="AF222" i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E222" i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D222" i="1"/>
  <c r="AD223" i="1" s="1"/>
  <c r="AD224" i="1" s="1"/>
  <c r="AD225" i="1" s="1"/>
  <c r="AD226" i="1" s="1"/>
  <c r="AD227" i="1" s="1"/>
  <c r="AC222" i="1"/>
  <c r="AC223" i="1" s="1"/>
  <c r="AC224" i="1" s="1"/>
  <c r="AC225" i="1" s="1"/>
  <c r="AC226" i="1" s="1"/>
  <c r="AC227" i="1" s="1"/>
  <c r="AC228" i="1" s="1"/>
  <c r="AC229" i="1" s="1"/>
  <c r="AC230" i="1" s="1"/>
  <c r="AC231" i="1" s="1"/>
  <c r="AC232" i="1" s="1"/>
  <c r="AC233" i="1" s="1"/>
  <c r="AC234" i="1" s="1"/>
  <c r="AC235" i="1" s="1"/>
  <c r="AC236" i="1" s="1"/>
  <c r="AC237" i="1" s="1"/>
  <c r="AC238" i="1" s="1"/>
  <c r="AB222" i="1"/>
  <c r="AA222" i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T222" i="1"/>
  <c r="S222" i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O221" i="1"/>
  <c r="O222" i="1" s="1"/>
  <c r="O223" i="1" s="1"/>
  <c r="O224" i="1" s="1"/>
  <c r="C219" i="1"/>
  <c r="C220" i="1" s="1"/>
  <c r="C221" i="1" s="1"/>
  <c r="C222" i="1" s="1"/>
  <c r="C223" i="1" s="1"/>
  <c r="C224" i="1" s="1"/>
  <c r="N218" i="1"/>
  <c r="N219" i="1" s="1"/>
  <c r="N220" i="1" s="1"/>
  <c r="N221" i="1" s="1"/>
  <c r="N222" i="1" s="1"/>
  <c r="N223" i="1" s="1"/>
  <c r="N224" i="1" s="1"/>
  <c r="L218" i="1"/>
  <c r="L219" i="1" s="1"/>
  <c r="L220" i="1" s="1"/>
  <c r="L221" i="1" s="1"/>
  <c r="L222" i="1" s="1"/>
  <c r="L223" i="1" s="1"/>
  <c r="L224" i="1" s="1"/>
  <c r="J218" i="1"/>
  <c r="J219" i="1" s="1"/>
  <c r="J220" i="1" s="1"/>
  <c r="J221" i="1" s="1"/>
  <c r="J222" i="1" s="1"/>
  <c r="J223" i="1" s="1"/>
  <c r="J224" i="1" s="1"/>
  <c r="C218" i="1"/>
  <c r="P217" i="1"/>
  <c r="P218" i="1" s="1"/>
  <c r="P219" i="1" s="1"/>
  <c r="P220" i="1" s="1"/>
  <c r="P221" i="1" s="1"/>
  <c r="P222" i="1" s="1"/>
  <c r="P223" i="1" s="1"/>
  <c r="P224" i="1" s="1"/>
  <c r="O217" i="1"/>
  <c r="O218" i="1" s="1"/>
  <c r="O219" i="1" s="1"/>
  <c r="O220" i="1" s="1"/>
  <c r="N217" i="1"/>
  <c r="M217" i="1"/>
  <c r="M218" i="1" s="1"/>
  <c r="M219" i="1" s="1"/>
  <c r="M220" i="1" s="1"/>
  <c r="M221" i="1" s="1"/>
  <c r="M222" i="1" s="1"/>
  <c r="M223" i="1" s="1"/>
  <c r="M224" i="1" s="1"/>
  <c r="L217" i="1"/>
  <c r="K217" i="1"/>
  <c r="K218" i="1" s="1"/>
  <c r="K219" i="1" s="1"/>
  <c r="K220" i="1" s="1"/>
  <c r="K221" i="1" s="1"/>
  <c r="K222" i="1" s="1"/>
  <c r="K223" i="1" s="1"/>
  <c r="K224" i="1" s="1"/>
  <c r="J217" i="1"/>
  <c r="C217" i="1"/>
  <c r="AR214" i="1"/>
  <c r="AR215" i="1" s="1"/>
  <c r="AR216" i="1" s="1"/>
  <c r="AR217" i="1" s="1"/>
  <c r="AR218" i="1" s="1"/>
  <c r="AR219" i="1" s="1"/>
  <c r="AR220" i="1" s="1"/>
  <c r="AR221" i="1" s="1"/>
  <c r="AR222" i="1" s="1"/>
  <c r="AR223" i="1" s="1"/>
  <c r="AR224" i="1" s="1"/>
  <c r="AR225" i="1" s="1"/>
  <c r="AR226" i="1" s="1"/>
  <c r="AR227" i="1" s="1"/>
  <c r="AR228" i="1" s="1"/>
  <c r="AR229" i="1" s="1"/>
  <c r="AX212" i="1"/>
  <c r="AX213" i="1" s="1"/>
  <c r="AX214" i="1" s="1"/>
  <c r="AX215" i="1" s="1"/>
  <c r="AX216" i="1" s="1"/>
  <c r="AX217" i="1" s="1"/>
  <c r="AX218" i="1" s="1"/>
  <c r="AX219" i="1" s="1"/>
  <c r="AX220" i="1" s="1"/>
  <c r="AX221" i="1" s="1"/>
  <c r="AX222" i="1" s="1"/>
  <c r="AX223" i="1" s="1"/>
  <c r="AX224" i="1" s="1"/>
  <c r="AX225" i="1" s="1"/>
  <c r="AX226" i="1" s="1"/>
  <c r="AX227" i="1" s="1"/>
  <c r="AX228" i="1" s="1"/>
  <c r="AX229" i="1" s="1"/>
  <c r="J212" i="1"/>
  <c r="J213" i="1" s="1"/>
  <c r="J214" i="1" s="1"/>
  <c r="J215" i="1" s="1"/>
  <c r="AR210" i="1"/>
  <c r="AR211" i="1" s="1"/>
  <c r="AR212" i="1" s="1"/>
  <c r="AR213" i="1" s="1"/>
  <c r="P210" i="1"/>
  <c r="P211" i="1" s="1"/>
  <c r="P212" i="1" s="1"/>
  <c r="P213" i="1" s="1"/>
  <c r="P214" i="1" s="1"/>
  <c r="P215" i="1" s="1"/>
  <c r="AW209" i="1"/>
  <c r="AW210" i="1" s="1"/>
  <c r="AW211" i="1" s="1"/>
  <c r="AW212" i="1" s="1"/>
  <c r="AW213" i="1" s="1"/>
  <c r="AW214" i="1" s="1"/>
  <c r="AW215" i="1" s="1"/>
  <c r="AW216" i="1" s="1"/>
  <c r="AW217" i="1" s="1"/>
  <c r="AW218" i="1" s="1"/>
  <c r="AW219" i="1" s="1"/>
  <c r="AW220" i="1" s="1"/>
  <c r="AW221" i="1" s="1"/>
  <c r="AW222" i="1" s="1"/>
  <c r="AW223" i="1" s="1"/>
  <c r="AW224" i="1" s="1"/>
  <c r="AW225" i="1" s="1"/>
  <c r="AW226" i="1" s="1"/>
  <c r="AW227" i="1" s="1"/>
  <c r="AW228" i="1" s="1"/>
  <c r="AW229" i="1" s="1"/>
  <c r="AU209" i="1"/>
  <c r="AU210" i="1" s="1"/>
  <c r="AU211" i="1" s="1"/>
  <c r="AU212" i="1" s="1"/>
  <c r="AU213" i="1" s="1"/>
  <c r="AU214" i="1" s="1"/>
  <c r="AU215" i="1" s="1"/>
  <c r="AU216" i="1" s="1"/>
  <c r="AU217" i="1" s="1"/>
  <c r="AU218" i="1" s="1"/>
  <c r="AU219" i="1" s="1"/>
  <c r="AU220" i="1" s="1"/>
  <c r="AU221" i="1" s="1"/>
  <c r="AU222" i="1" s="1"/>
  <c r="AU223" i="1" s="1"/>
  <c r="AU224" i="1" s="1"/>
  <c r="AU225" i="1" s="1"/>
  <c r="AU226" i="1" s="1"/>
  <c r="AU227" i="1" s="1"/>
  <c r="AU228" i="1" s="1"/>
  <c r="AU229" i="1" s="1"/>
  <c r="AS209" i="1"/>
  <c r="AS210" i="1" s="1"/>
  <c r="AS211" i="1" s="1"/>
  <c r="AS212" i="1" s="1"/>
  <c r="AS213" i="1" s="1"/>
  <c r="AS214" i="1" s="1"/>
  <c r="AS215" i="1" s="1"/>
  <c r="AS216" i="1" s="1"/>
  <c r="AS217" i="1" s="1"/>
  <c r="AS218" i="1" s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R209" i="1"/>
  <c r="AK209" i="1"/>
  <c r="AK210" i="1" s="1"/>
  <c r="AK211" i="1" s="1"/>
  <c r="AK212" i="1" s="1"/>
  <c r="AK213" i="1" s="1"/>
  <c r="AK214" i="1" s="1"/>
  <c r="AK215" i="1" s="1"/>
  <c r="AK216" i="1" s="1"/>
  <c r="AK217" i="1" s="1"/>
  <c r="AK218" i="1" s="1"/>
  <c r="AK219" i="1" s="1"/>
  <c r="AK220" i="1" s="1"/>
  <c r="AK221" i="1" s="1"/>
  <c r="AK222" i="1" s="1"/>
  <c r="AK223" i="1" s="1"/>
  <c r="AK224" i="1" s="1"/>
  <c r="AK225" i="1" s="1"/>
  <c r="AK226" i="1" s="1"/>
  <c r="AK227" i="1" s="1"/>
  <c r="AK228" i="1" s="1"/>
  <c r="AK229" i="1" s="1"/>
  <c r="AA209" i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C209" i="1"/>
  <c r="C210" i="1" s="1"/>
  <c r="C211" i="1" s="1"/>
  <c r="C212" i="1" s="1"/>
  <c r="C213" i="1" s="1"/>
  <c r="C214" i="1" s="1"/>
  <c r="C215" i="1" s="1"/>
  <c r="AX208" i="1"/>
  <c r="AX209" i="1" s="1"/>
  <c r="AX210" i="1" s="1"/>
  <c r="AX211" i="1" s="1"/>
  <c r="AW208" i="1"/>
  <c r="AV208" i="1"/>
  <c r="AV209" i="1" s="1"/>
  <c r="AV210" i="1" s="1"/>
  <c r="AV211" i="1" s="1"/>
  <c r="AV212" i="1" s="1"/>
  <c r="AV213" i="1" s="1"/>
  <c r="AV214" i="1" s="1"/>
  <c r="AV215" i="1" s="1"/>
  <c r="AV216" i="1" s="1"/>
  <c r="AV217" i="1" s="1"/>
  <c r="AV218" i="1" s="1"/>
  <c r="AV219" i="1" s="1"/>
  <c r="AV220" i="1" s="1"/>
  <c r="AV221" i="1" s="1"/>
  <c r="AV222" i="1" s="1"/>
  <c r="AV223" i="1" s="1"/>
  <c r="AV224" i="1" s="1"/>
  <c r="AV225" i="1" s="1"/>
  <c r="AV226" i="1" s="1"/>
  <c r="AV227" i="1" s="1"/>
  <c r="AV228" i="1" s="1"/>
  <c r="AV229" i="1" s="1"/>
  <c r="AU208" i="1"/>
  <c r="AT208" i="1"/>
  <c r="AT209" i="1" s="1"/>
  <c r="AT210" i="1" s="1"/>
  <c r="AT211" i="1" s="1"/>
  <c r="AT212" i="1" s="1"/>
  <c r="AT213" i="1" s="1"/>
  <c r="AT214" i="1" s="1"/>
  <c r="AT215" i="1" s="1"/>
  <c r="AT216" i="1" s="1"/>
  <c r="AT217" i="1" s="1"/>
  <c r="AT218" i="1" s="1"/>
  <c r="AT219" i="1" s="1"/>
  <c r="AT220" i="1" s="1"/>
  <c r="AT221" i="1" s="1"/>
  <c r="AT222" i="1" s="1"/>
  <c r="AT223" i="1" s="1"/>
  <c r="AT224" i="1" s="1"/>
  <c r="AT225" i="1" s="1"/>
  <c r="AT226" i="1" s="1"/>
  <c r="AT227" i="1" s="1"/>
  <c r="AT228" i="1" s="1"/>
  <c r="AT229" i="1" s="1"/>
  <c r="AS208" i="1"/>
  <c r="AR208" i="1"/>
  <c r="AK208" i="1"/>
  <c r="M208" i="1"/>
  <c r="M209" i="1" s="1"/>
  <c r="M210" i="1" s="1"/>
  <c r="M211" i="1" s="1"/>
  <c r="M212" i="1" s="1"/>
  <c r="M213" i="1" s="1"/>
  <c r="M214" i="1" s="1"/>
  <c r="M215" i="1" s="1"/>
  <c r="K208" i="1"/>
  <c r="K209" i="1" s="1"/>
  <c r="K210" i="1" s="1"/>
  <c r="K211" i="1" s="1"/>
  <c r="K212" i="1" s="1"/>
  <c r="K213" i="1" s="1"/>
  <c r="K214" i="1" s="1"/>
  <c r="K215" i="1" s="1"/>
  <c r="J208" i="1"/>
  <c r="J209" i="1" s="1"/>
  <c r="J210" i="1" s="1"/>
  <c r="J211" i="1" s="1"/>
  <c r="C208" i="1"/>
  <c r="P207" i="1"/>
  <c r="P208" i="1" s="1"/>
  <c r="P209" i="1" s="1"/>
  <c r="O207" i="1"/>
  <c r="O208" i="1" s="1"/>
  <c r="O209" i="1" s="1"/>
  <c r="O210" i="1" s="1"/>
  <c r="O211" i="1" s="1"/>
  <c r="O212" i="1" s="1"/>
  <c r="O213" i="1" s="1"/>
  <c r="O214" i="1" s="1"/>
  <c r="O215" i="1" s="1"/>
  <c r="N207" i="1"/>
  <c r="N208" i="1" s="1"/>
  <c r="N209" i="1" s="1"/>
  <c r="N210" i="1" s="1"/>
  <c r="N211" i="1" s="1"/>
  <c r="N212" i="1" s="1"/>
  <c r="N213" i="1" s="1"/>
  <c r="N214" i="1" s="1"/>
  <c r="N215" i="1" s="1"/>
  <c r="M207" i="1"/>
  <c r="L207" i="1"/>
  <c r="L208" i="1" s="1"/>
  <c r="L209" i="1" s="1"/>
  <c r="L210" i="1" s="1"/>
  <c r="L211" i="1" s="1"/>
  <c r="L212" i="1" s="1"/>
  <c r="L213" i="1" s="1"/>
  <c r="L214" i="1" s="1"/>
  <c r="L215" i="1" s="1"/>
  <c r="K207" i="1"/>
  <c r="J207" i="1"/>
  <c r="C207" i="1"/>
  <c r="AB206" i="1"/>
  <c r="AB207" i="1" s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T204" i="1"/>
  <c r="AT205" i="1" s="1"/>
  <c r="AT206" i="1" s="1"/>
  <c r="AC203" i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AC219" i="1" s="1"/>
  <c r="AC220" i="1" s="1"/>
  <c r="AA203" i="1"/>
  <c r="AA204" i="1" s="1"/>
  <c r="AA205" i="1" s="1"/>
  <c r="AA206" i="1" s="1"/>
  <c r="AA207" i="1" s="1"/>
  <c r="AA208" i="1" s="1"/>
  <c r="AJ202" i="1"/>
  <c r="AJ203" i="1" s="1"/>
  <c r="AJ204" i="1" s="1"/>
  <c r="AJ205" i="1" s="1"/>
  <c r="AJ206" i="1" s="1"/>
  <c r="AJ207" i="1" s="1"/>
  <c r="AJ208" i="1" s="1"/>
  <c r="AJ209" i="1" s="1"/>
  <c r="AJ210" i="1" s="1"/>
  <c r="AJ211" i="1" s="1"/>
  <c r="AJ212" i="1" s="1"/>
  <c r="AJ213" i="1" s="1"/>
  <c r="AJ214" i="1" s="1"/>
  <c r="AJ215" i="1" s="1"/>
  <c r="AJ216" i="1" s="1"/>
  <c r="AJ217" i="1" s="1"/>
  <c r="AJ218" i="1" s="1"/>
  <c r="AJ219" i="1" s="1"/>
  <c r="AJ220" i="1" s="1"/>
  <c r="AJ221" i="1" s="1"/>
  <c r="AJ222" i="1" s="1"/>
  <c r="AJ223" i="1" s="1"/>
  <c r="AJ224" i="1" s="1"/>
  <c r="AJ225" i="1" s="1"/>
  <c r="AJ226" i="1" s="1"/>
  <c r="AJ227" i="1" s="1"/>
  <c r="AJ228" i="1" s="1"/>
  <c r="AJ229" i="1" s="1"/>
  <c r="AJ230" i="1" s="1"/>
  <c r="AJ231" i="1" s="1"/>
  <c r="AJ232" i="1" s="1"/>
  <c r="AJ233" i="1" s="1"/>
  <c r="AJ234" i="1" s="1"/>
  <c r="AJ235" i="1" s="1"/>
  <c r="AJ236" i="1" s="1"/>
  <c r="AJ237" i="1" s="1"/>
  <c r="AJ238" i="1" s="1"/>
  <c r="AJ239" i="1" s="1"/>
  <c r="AJ240" i="1" s="1"/>
  <c r="AJ241" i="1" s="1"/>
  <c r="AJ242" i="1" s="1"/>
  <c r="AJ243" i="1" s="1"/>
  <c r="AJ244" i="1" s="1"/>
  <c r="AJ245" i="1" s="1"/>
  <c r="AJ246" i="1" s="1"/>
  <c r="AD202" i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L202" i="1"/>
  <c r="L203" i="1" s="1"/>
  <c r="L204" i="1" s="1"/>
  <c r="L205" i="1" s="1"/>
  <c r="AJ201" i="1"/>
  <c r="AT200" i="1"/>
  <c r="AT201" i="1" s="1"/>
  <c r="AT202" i="1" s="1"/>
  <c r="AT203" i="1" s="1"/>
  <c r="AT199" i="1"/>
  <c r="AD199" i="1"/>
  <c r="AD200" i="1" s="1"/>
  <c r="AD201" i="1" s="1"/>
  <c r="AB199" i="1"/>
  <c r="AB200" i="1" s="1"/>
  <c r="AB201" i="1" s="1"/>
  <c r="AB202" i="1" s="1"/>
  <c r="AB203" i="1" s="1"/>
  <c r="AB204" i="1" s="1"/>
  <c r="AB205" i="1" s="1"/>
  <c r="T199" i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J199" i="1"/>
  <c r="J200" i="1" s="1"/>
  <c r="J201" i="1" s="1"/>
  <c r="J202" i="1" s="1"/>
  <c r="J203" i="1" s="1"/>
  <c r="J204" i="1" s="1"/>
  <c r="J205" i="1" s="1"/>
  <c r="AG198" i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F198" i="1"/>
  <c r="AF199" i="1" s="1"/>
  <c r="AF200" i="1" s="1"/>
  <c r="AF201" i="1" s="1"/>
  <c r="AF202" i="1" s="1"/>
  <c r="AF203" i="1" s="1"/>
  <c r="AF204" i="1" s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E198" i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D198" i="1"/>
  <c r="AC198" i="1"/>
  <c r="AC199" i="1" s="1"/>
  <c r="AC200" i="1" s="1"/>
  <c r="AC201" i="1" s="1"/>
  <c r="AC202" i="1" s="1"/>
  <c r="AB198" i="1"/>
  <c r="AA198" i="1"/>
  <c r="AA199" i="1" s="1"/>
  <c r="AA200" i="1" s="1"/>
  <c r="AA201" i="1" s="1"/>
  <c r="AA202" i="1" s="1"/>
  <c r="T198" i="1"/>
  <c r="N198" i="1"/>
  <c r="N199" i="1" s="1"/>
  <c r="N200" i="1" s="1"/>
  <c r="N201" i="1" s="1"/>
  <c r="N202" i="1" s="1"/>
  <c r="N203" i="1" s="1"/>
  <c r="N204" i="1" s="1"/>
  <c r="N205" i="1" s="1"/>
  <c r="L198" i="1"/>
  <c r="L199" i="1" s="1"/>
  <c r="L200" i="1" s="1"/>
  <c r="L201" i="1" s="1"/>
  <c r="K198" i="1"/>
  <c r="K199" i="1" s="1"/>
  <c r="K200" i="1" s="1"/>
  <c r="K201" i="1" s="1"/>
  <c r="K202" i="1" s="1"/>
  <c r="K203" i="1" s="1"/>
  <c r="K204" i="1" s="1"/>
  <c r="K205" i="1" s="1"/>
  <c r="J198" i="1"/>
  <c r="C198" i="1"/>
  <c r="C199" i="1" s="1"/>
  <c r="C200" i="1" s="1"/>
  <c r="C201" i="1" s="1"/>
  <c r="C202" i="1" s="1"/>
  <c r="C203" i="1" s="1"/>
  <c r="C204" i="1" s="1"/>
  <c r="C205" i="1" s="1"/>
  <c r="P197" i="1"/>
  <c r="P198" i="1" s="1"/>
  <c r="P199" i="1" s="1"/>
  <c r="P200" i="1" s="1"/>
  <c r="P201" i="1" s="1"/>
  <c r="P202" i="1" s="1"/>
  <c r="P203" i="1" s="1"/>
  <c r="P204" i="1" s="1"/>
  <c r="P205" i="1" s="1"/>
  <c r="O197" i="1"/>
  <c r="O198" i="1" s="1"/>
  <c r="O199" i="1" s="1"/>
  <c r="O200" i="1" s="1"/>
  <c r="O201" i="1" s="1"/>
  <c r="O202" i="1" s="1"/>
  <c r="O203" i="1" s="1"/>
  <c r="O204" i="1" s="1"/>
  <c r="O205" i="1" s="1"/>
  <c r="N197" i="1"/>
  <c r="M197" i="1"/>
  <c r="M198" i="1" s="1"/>
  <c r="M199" i="1" s="1"/>
  <c r="M200" i="1" s="1"/>
  <c r="M201" i="1" s="1"/>
  <c r="M202" i="1" s="1"/>
  <c r="M203" i="1" s="1"/>
  <c r="M204" i="1" s="1"/>
  <c r="M205" i="1" s="1"/>
  <c r="L197" i="1"/>
  <c r="K197" i="1"/>
  <c r="J197" i="1"/>
  <c r="C197" i="1"/>
  <c r="AW196" i="1"/>
  <c r="AW197" i="1" s="1"/>
  <c r="AW198" i="1" s="1"/>
  <c r="AW199" i="1" s="1"/>
  <c r="AW200" i="1" s="1"/>
  <c r="AW201" i="1" s="1"/>
  <c r="AW202" i="1" s="1"/>
  <c r="AW203" i="1" s="1"/>
  <c r="AW204" i="1" s="1"/>
  <c r="AW205" i="1" s="1"/>
  <c r="AW206" i="1" s="1"/>
  <c r="AX193" i="1"/>
  <c r="AX194" i="1" s="1"/>
  <c r="AX195" i="1" s="1"/>
  <c r="AX196" i="1" s="1"/>
  <c r="AX197" i="1" s="1"/>
  <c r="AX198" i="1" s="1"/>
  <c r="AX199" i="1" s="1"/>
  <c r="AX200" i="1" s="1"/>
  <c r="AX201" i="1" s="1"/>
  <c r="AX202" i="1" s="1"/>
  <c r="AX203" i="1" s="1"/>
  <c r="AX204" i="1" s="1"/>
  <c r="AX205" i="1" s="1"/>
  <c r="AX206" i="1" s="1"/>
  <c r="J193" i="1"/>
  <c r="J194" i="1" s="1"/>
  <c r="J195" i="1" s="1"/>
  <c r="P191" i="1"/>
  <c r="P192" i="1" s="1"/>
  <c r="P193" i="1" s="1"/>
  <c r="P194" i="1" s="1"/>
  <c r="P195" i="1" s="1"/>
  <c r="AU190" i="1"/>
  <c r="AU191" i="1" s="1"/>
  <c r="AU192" i="1" s="1"/>
  <c r="AU193" i="1" s="1"/>
  <c r="AU194" i="1" s="1"/>
  <c r="AU195" i="1" s="1"/>
  <c r="AU196" i="1" s="1"/>
  <c r="AU197" i="1" s="1"/>
  <c r="AU198" i="1" s="1"/>
  <c r="AU199" i="1" s="1"/>
  <c r="AU200" i="1" s="1"/>
  <c r="AU201" i="1" s="1"/>
  <c r="AU202" i="1" s="1"/>
  <c r="AU203" i="1" s="1"/>
  <c r="AU204" i="1" s="1"/>
  <c r="AU205" i="1" s="1"/>
  <c r="AU206" i="1" s="1"/>
  <c r="AX189" i="1"/>
  <c r="AX190" i="1" s="1"/>
  <c r="AX191" i="1" s="1"/>
  <c r="AX192" i="1" s="1"/>
  <c r="AV189" i="1"/>
  <c r="AV190" i="1" s="1"/>
  <c r="AV191" i="1" s="1"/>
  <c r="AV192" i="1" s="1"/>
  <c r="AV193" i="1" s="1"/>
  <c r="AV194" i="1" s="1"/>
  <c r="AV195" i="1" s="1"/>
  <c r="AV196" i="1" s="1"/>
  <c r="AV197" i="1" s="1"/>
  <c r="AV198" i="1" s="1"/>
  <c r="AV199" i="1" s="1"/>
  <c r="AV200" i="1" s="1"/>
  <c r="AV201" i="1" s="1"/>
  <c r="AV202" i="1" s="1"/>
  <c r="AV203" i="1" s="1"/>
  <c r="AV204" i="1" s="1"/>
  <c r="AV205" i="1" s="1"/>
  <c r="AV206" i="1" s="1"/>
  <c r="J189" i="1"/>
  <c r="J190" i="1" s="1"/>
  <c r="J191" i="1" s="1"/>
  <c r="J192" i="1" s="1"/>
  <c r="M188" i="1"/>
  <c r="M189" i="1" s="1"/>
  <c r="M190" i="1" s="1"/>
  <c r="M191" i="1" s="1"/>
  <c r="M192" i="1" s="1"/>
  <c r="M193" i="1" s="1"/>
  <c r="M194" i="1" s="1"/>
  <c r="M195" i="1" s="1"/>
  <c r="AR187" i="1"/>
  <c r="AR188" i="1" s="1"/>
  <c r="AR189" i="1" s="1"/>
  <c r="AR190" i="1" s="1"/>
  <c r="AR191" i="1" s="1"/>
  <c r="AR192" i="1" s="1"/>
  <c r="AR193" i="1" s="1"/>
  <c r="AR194" i="1" s="1"/>
  <c r="AR195" i="1" s="1"/>
  <c r="AR196" i="1" s="1"/>
  <c r="AR197" i="1" s="1"/>
  <c r="AR198" i="1" s="1"/>
  <c r="AR199" i="1" s="1"/>
  <c r="AR200" i="1" s="1"/>
  <c r="AR201" i="1" s="1"/>
  <c r="AR202" i="1" s="1"/>
  <c r="AR203" i="1" s="1"/>
  <c r="AR204" i="1" s="1"/>
  <c r="AR205" i="1" s="1"/>
  <c r="AR206" i="1" s="1"/>
  <c r="P187" i="1"/>
  <c r="P188" i="1" s="1"/>
  <c r="P189" i="1" s="1"/>
  <c r="P190" i="1" s="1"/>
  <c r="N187" i="1"/>
  <c r="N188" i="1" s="1"/>
  <c r="N189" i="1" s="1"/>
  <c r="N190" i="1" s="1"/>
  <c r="N191" i="1" s="1"/>
  <c r="N192" i="1" s="1"/>
  <c r="N193" i="1" s="1"/>
  <c r="N194" i="1" s="1"/>
  <c r="N195" i="1" s="1"/>
  <c r="AW186" i="1"/>
  <c r="AW187" i="1" s="1"/>
  <c r="AW188" i="1" s="1"/>
  <c r="AW189" i="1" s="1"/>
  <c r="AW190" i="1" s="1"/>
  <c r="AW191" i="1" s="1"/>
  <c r="AW192" i="1" s="1"/>
  <c r="AW193" i="1" s="1"/>
  <c r="AW194" i="1" s="1"/>
  <c r="AW195" i="1" s="1"/>
  <c r="AU186" i="1"/>
  <c r="AU187" i="1" s="1"/>
  <c r="AU188" i="1" s="1"/>
  <c r="AU189" i="1" s="1"/>
  <c r="AS186" i="1"/>
  <c r="AS187" i="1" s="1"/>
  <c r="AS188" i="1" s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R186" i="1"/>
  <c r="AK186" i="1"/>
  <c r="AK187" i="1" s="1"/>
  <c r="AK188" i="1" s="1"/>
  <c r="AK189" i="1" s="1"/>
  <c r="AK190" i="1" s="1"/>
  <c r="AK191" i="1" s="1"/>
  <c r="AK192" i="1" s="1"/>
  <c r="AK193" i="1" s="1"/>
  <c r="AK194" i="1" s="1"/>
  <c r="AK195" i="1" s="1"/>
  <c r="AK196" i="1" s="1"/>
  <c r="AK197" i="1" s="1"/>
  <c r="AK198" i="1" s="1"/>
  <c r="AK199" i="1" s="1"/>
  <c r="AK200" i="1" s="1"/>
  <c r="AK201" i="1" s="1"/>
  <c r="AK202" i="1" s="1"/>
  <c r="AK203" i="1" s="1"/>
  <c r="AK204" i="1" s="1"/>
  <c r="AK205" i="1" s="1"/>
  <c r="AK206" i="1" s="1"/>
  <c r="P186" i="1"/>
  <c r="O186" i="1"/>
  <c r="O187" i="1" s="1"/>
  <c r="O188" i="1" s="1"/>
  <c r="O189" i="1" s="1"/>
  <c r="O190" i="1" s="1"/>
  <c r="O191" i="1" s="1"/>
  <c r="O192" i="1" s="1"/>
  <c r="O193" i="1" s="1"/>
  <c r="O194" i="1" s="1"/>
  <c r="O195" i="1" s="1"/>
  <c r="N186" i="1"/>
  <c r="C186" i="1"/>
  <c r="C187" i="1" s="1"/>
  <c r="C188" i="1" s="1"/>
  <c r="C189" i="1" s="1"/>
  <c r="C190" i="1" s="1"/>
  <c r="C191" i="1" s="1"/>
  <c r="C192" i="1" s="1"/>
  <c r="C193" i="1" s="1"/>
  <c r="C194" i="1" s="1"/>
  <c r="C195" i="1" s="1"/>
  <c r="AX185" i="1"/>
  <c r="AX186" i="1" s="1"/>
  <c r="AX187" i="1" s="1"/>
  <c r="AX188" i="1" s="1"/>
  <c r="AW185" i="1"/>
  <c r="AV185" i="1"/>
  <c r="AV186" i="1" s="1"/>
  <c r="AV187" i="1" s="1"/>
  <c r="AV188" i="1" s="1"/>
  <c r="AU185" i="1"/>
  <c r="AT185" i="1"/>
  <c r="AT186" i="1" s="1"/>
  <c r="AT187" i="1" s="1"/>
  <c r="AT188" i="1" s="1"/>
  <c r="AT189" i="1" s="1"/>
  <c r="AT190" i="1" s="1"/>
  <c r="AT191" i="1" s="1"/>
  <c r="AT192" i="1" s="1"/>
  <c r="AT193" i="1" s="1"/>
  <c r="AT194" i="1" s="1"/>
  <c r="AT195" i="1" s="1"/>
  <c r="AT196" i="1" s="1"/>
  <c r="AT197" i="1" s="1"/>
  <c r="AT198" i="1" s="1"/>
  <c r="AS185" i="1"/>
  <c r="AR185" i="1"/>
  <c r="AK185" i="1"/>
  <c r="AB185" i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P185" i="1"/>
  <c r="O185" i="1"/>
  <c r="N185" i="1"/>
  <c r="M185" i="1"/>
  <c r="M186" i="1" s="1"/>
  <c r="M187" i="1" s="1"/>
  <c r="L185" i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K185" i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J185" i="1"/>
  <c r="J186" i="1" s="1"/>
  <c r="J187" i="1" s="1"/>
  <c r="J188" i="1" s="1"/>
  <c r="C185" i="1"/>
  <c r="AX183" i="1"/>
  <c r="AW183" i="1"/>
  <c r="AV183" i="1"/>
  <c r="AU183" i="1"/>
  <c r="AS183" i="1"/>
  <c r="AR183" i="1"/>
  <c r="AK183" i="1"/>
  <c r="C183" i="1"/>
  <c r="T182" i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C181" i="1"/>
  <c r="C182" i="1" s="1"/>
  <c r="P179" i="1"/>
  <c r="P180" i="1" s="1"/>
  <c r="P181" i="1" s="1"/>
  <c r="P182" i="1" s="1"/>
  <c r="P183" i="1" s="1"/>
  <c r="M179" i="1"/>
  <c r="M180" i="1" s="1"/>
  <c r="M181" i="1" s="1"/>
  <c r="M182" i="1" s="1"/>
  <c r="M183" i="1" s="1"/>
  <c r="T178" i="1"/>
  <c r="T179" i="1" s="1"/>
  <c r="T180" i="1" s="1"/>
  <c r="T181" i="1" s="1"/>
  <c r="P178" i="1"/>
  <c r="P177" i="1"/>
  <c r="K177" i="1"/>
  <c r="K178" i="1" s="1"/>
  <c r="K179" i="1" s="1"/>
  <c r="K180" i="1" s="1"/>
  <c r="K181" i="1" s="1"/>
  <c r="K182" i="1" s="1"/>
  <c r="K183" i="1" s="1"/>
  <c r="J177" i="1"/>
  <c r="J178" i="1" s="1"/>
  <c r="J179" i="1" s="1"/>
  <c r="J180" i="1" s="1"/>
  <c r="J181" i="1" s="1"/>
  <c r="J182" i="1" s="1"/>
  <c r="J183" i="1" s="1"/>
  <c r="C177" i="1"/>
  <c r="C178" i="1" s="1"/>
  <c r="C179" i="1" s="1"/>
  <c r="C180" i="1" s="1"/>
  <c r="AG176" i="1"/>
  <c r="AG177" i="1" s="1"/>
  <c r="AG178" i="1" s="1"/>
  <c r="AG179" i="1" s="1"/>
  <c r="AG180" i="1" s="1"/>
  <c r="AG181" i="1" s="1"/>
  <c r="AG182" i="1" s="1"/>
  <c r="AG183" i="1" s="1"/>
  <c r="AG184" i="1" s="1"/>
  <c r="AG185" i="1" s="1"/>
  <c r="AG186" i="1" s="1"/>
  <c r="AG187" i="1" s="1"/>
  <c r="AG188" i="1" s="1"/>
  <c r="AG189" i="1" s="1"/>
  <c r="AG190" i="1" s="1"/>
  <c r="AG191" i="1" s="1"/>
  <c r="AG192" i="1" s="1"/>
  <c r="AG193" i="1" s="1"/>
  <c r="AG194" i="1" s="1"/>
  <c r="AG195" i="1" s="1"/>
  <c r="AG196" i="1" s="1"/>
  <c r="AF176" i="1"/>
  <c r="AF177" i="1" s="1"/>
  <c r="AF178" i="1" s="1"/>
  <c r="AF179" i="1" s="1"/>
  <c r="AF180" i="1" s="1"/>
  <c r="AF181" i="1" s="1"/>
  <c r="AF182" i="1" s="1"/>
  <c r="AF183" i="1" s="1"/>
  <c r="AF184" i="1" s="1"/>
  <c r="AF185" i="1" s="1"/>
  <c r="AF186" i="1" s="1"/>
  <c r="AF187" i="1" s="1"/>
  <c r="AF188" i="1" s="1"/>
  <c r="AF189" i="1" s="1"/>
  <c r="AF190" i="1" s="1"/>
  <c r="AF191" i="1" s="1"/>
  <c r="AF192" i="1" s="1"/>
  <c r="AF193" i="1" s="1"/>
  <c r="AF194" i="1" s="1"/>
  <c r="AF195" i="1" s="1"/>
  <c r="AF196" i="1" s="1"/>
  <c r="P176" i="1"/>
  <c r="O176" i="1"/>
  <c r="O177" i="1" s="1"/>
  <c r="O178" i="1" s="1"/>
  <c r="O179" i="1" s="1"/>
  <c r="O180" i="1" s="1"/>
  <c r="O181" i="1" s="1"/>
  <c r="O182" i="1" s="1"/>
  <c r="O183" i="1" s="1"/>
  <c r="N176" i="1"/>
  <c r="N177" i="1" s="1"/>
  <c r="N178" i="1" s="1"/>
  <c r="N179" i="1" s="1"/>
  <c r="N180" i="1" s="1"/>
  <c r="N181" i="1" s="1"/>
  <c r="N182" i="1" s="1"/>
  <c r="N183" i="1" s="1"/>
  <c r="M176" i="1"/>
  <c r="M177" i="1" s="1"/>
  <c r="M178" i="1" s="1"/>
  <c r="L176" i="1"/>
  <c r="L177" i="1" s="1"/>
  <c r="L178" i="1" s="1"/>
  <c r="L179" i="1" s="1"/>
  <c r="L180" i="1" s="1"/>
  <c r="L181" i="1" s="1"/>
  <c r="L182" i="1" s="1"/>
  <c r="L183" i="1" s="1"/>
  <c r="K176" i="1"/>
  <c r="J176" i="1"/>
  <c r="C176" i="1"/>
  <c r="B176" i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AG175" i="1"/>
  <c r="AD175" i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T175" i="1"/>
  <c r="T176" i="1" s="1"/>
  <c r="T177" i="1" s="1"/>
  <c r="AG174" i="1"/>
  <c r="AF174" i="1"/>
  <c r="AF175" i="1" s="1"/>
  <c r="AE174" i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D174" i="1"/>
  <c r="AC174" i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B174" i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A174" i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T174" i="1"/>
  <c r="M170" i="1"/>
  <c r="M171" i="1" s="1"/>
  <c r="M172" i="1" s="1"/>
  <c r="M173" i="1" s="1"/>
  <c r="M174" i="1" s="1"/>
  <c r="K170" i="1"/>
  <c r="K171" i="1" s="1"/>
  <c r="K172" i="1" s="1"/>
  <c r="K173" i="1" s="1"/>
  <c r="K174" i="1" s="1"/>
  <c r="AE169" i="1"/>
  <c r="AE170" i="1" s="1"/>
  <c r="AE171" i="1" s="1"/>
  <c r="AE172" i="1" s="1"/>
  <c r="AA169" i="1"/>
  <c r="AA170" i="1" s="1"/>
  <c r="AA171" i="1" s="1"/>
  <c r="AA172" i="1" s="1"/>
  <c r="N169" i="1"/>
  <c r="N170" i="1" s="1"/>
  <c r="N171" i="1" s="1"/>
  <c r="N172" i="1" s="1"/>
  <c r="N173" i="1" s="1"/>
  <c r="N174" i="1" s="1"/>
  <c r="K169" i="1"/>
  <c r="AD168" i="1"/>
  <c r="AD169" i="1" s="1"/>
  <c r="AD170" i="1" s="1"/>
  <c r="AD171" i="1" s="1"/>
  <c r="AD172" i="1" s="1"/>
  <c r="AC168" i="1"/>
  <c r="AC169" i="1" s="1"/>
  <c r="AC170" i="1" s="1"/>
  <c r="AC171" i="1" s="1"/>
  <c r="AC172" i="1" s="1"/>
  <c r="AA168" i="1"/>
  <c r="N168" i="1"/>
  <c r="J168" i="1"/>
  <c r="J169" i="1" s="1"/>
  <c r="J170" i="1" s="1"/>
  <c r="J171" i="1" s="1"/>
  <c r="J172" i="1" s="1"/>
  <c r="J173" i="1" s="1"/>
  <c r="J174" i="1" s="1"/>
  <c r="C168" i="1"/>
  <c r="C169" i="1" s="1"/>
  <c r="C170" i="1" s="1"/>
  <c r="C171" i="1" s="1"/>
  <c r="C172" i="1" s="1"/>
  <c r="C173" i="1" s="1"/>
  <c r="C174" i="1" s="1"/>
  <c r="AG167" i="1"/>
  <c r="AG168" i="1" s="1"/>
  <c r="AG169" i="1" s="1"/>
  <c r="AG170" i="1" s="1"/>
  <c r="AG171" i="1" s="1"/>
  <c r="AG172" i="1" s="1"/>
  <c r="AF167" i="1"/>
  <c r="AF168" i="1" s="1"/>
  <c r="AF169" i="1" s="1"/>
  <c r="AF170" i="1" s="1"/>
  <c r="AF171" i="1" s="1"/>
  <c r="AF172" i="1" s="1"/>
  <c r="AE167" i="1"/>
  <c r="AE168" i="1" s="1"/>
  <c r="AD167" i="1"/>
  <c r="AC167" i="1"/>
  <c r="AB167" i="1"/>
  <c r="AB168" i="1" s="1"/>
  <c r="AB169" i="1" s="1"/>
  <c r="AB170" i="1" s="1"/>
  <c r="AB171" i="1" s="1"/>
  <c r="AB172" i="1" s="1"/>
  <c r="AA167" i="1"/>
  <c r="T167" i="1"/>
  <c r="T168" i="1" s="1"/>
  <c r="T169" i="1" s="1"/>
  <c r="T170" i="1" s="1"/>
  <c r="T171" i="1" s="1"/>
  <c r="T172" i="1" s="1"/>
  <c r="M167" i="1"/>
  <c r="M168" i="1" s="1"/>
  <c r="M169" i="1" s="1"/>
  <c r="L167" i="1"/>
  <c r="L168" i="1" s="1"/>
  <c r="L169" i="1" s="1"/>
  <c r="L170" i="1" s="1"/>
  <c r="L171" i="1" s="1"/>
  <c r="L172" i="1" s="1"/>
  <c r="L173" i="1" s="1"/>
  <c r="L174" i="1" s="1"/>
  <c r="K167" i="1"/>
  <c r="K168" i="1" s="1"/>
  <c r="J167" i="1"/>
  <c r="P166" i="1"/>
  <c r="P167" i="1" s="1"/>
  <c r="P168" i="1" s="1"/>
  <c r="P169" i="1" s="1"/>
  <c r="P170" i="1" s="1"/>
  <c r="P171" i="1" s="1"/>
  <c r="P172" i="1" s="1"/>
  <c r="P173" i="1" s="1"/>
  <c r="P174" i="1" s="1"/>
  <c r="O166" i="1"/>
  <c r="O167" i="1" s="1"/>
  <c r="O168" i="1" s="1"/>
  <c r="O169" i="1" s="1"/>
  <c r="O170" i="1" s="1"/>
  <c r="O171" i="1" s="1"/>
  <c r="O172" i="1" s="1"/>
  <c r="O173" i="1" s="1"/>
  <c r="O174" i="1" s="1"/>
  <c r="N166" i="1"/>
  <c r="N167" i="1" s="1"/>
  <c r="M166" i="1"/>
  <c r="L166" i="1"/>
  <c r="K166" i="1"/>
  <c r="J166" i="1"/>
  <c r="C166" i="1"/>
  <c r="C167" i="1" s="1"/>
  <c r="AR164" i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K164" i="1"/>
  <c r="AK165" i="1" s="1"/>
  <c r="AK166" i="1" s="1"/>
  <c r="AK167" i="1" s="1"/>
  <c r="AK168" i="1" s="1"/>
  <c r="AK169" i="1" s="1"/>
  <c r="AK170" i="1" s="1"/>
  <c r="AK171" i="1" s="1"/>
  <c r="AK172" i="1" s="1"/>
  <c r="AK173" i="1" s="1"/>
  <c r="AK174" i="1" s="1"/>
  <c r="AK175" i="1" s="1"/>
  <c r="AK176" i="1" s="1"/>
  <c r="AK177" i="1" s="1"/>
  <c r="AK178" i="1" s="1"/>
  <c r="AK179" i="1" s="1"/>
  <c r="AK180" i="1" s="1"/>
  <c r="AK181" i="1" s="1"/>
  <c r="AU163" i="1"/>
  <c r="AU164" i="1" s="1"/>
  <c r="AU165" i="1" s="1"/>
  <c r="AU166" i="1" s="1"/>
  <c r="AU167" i="1" s="1"/>
  <c r="AU168" i="1" s="1"/>
  <c r="AU169" i="1" s="1"/>
  <c r="AU170" i="1" s="1"/>
  <c r="AU171" i="1" s="1"/>
  <c r="AU172" i="1" s="1"/>
  <c r="AU173" i="1" s="1"/>
  <c r="AU174" i="1" s="1"/>
  <c r="AU175" i="1" s="1"/>
  <c r="AU176" i="1" s="1"/>
  <c r="AU177" i="1" s="1"/>
  <c r="AU178" i="1" s="1"/>
  <c r="AU179" i="1" s="1"/>
  <c r="AU180" i="1" s="1"/>
  <c r="AU181" i="1" s="1"/>
  <c r="AT163" i="1"/>
  <c r="AT164" i="1" s="1"/>
  <c r="AT165" i="1" s="1"/>
  <c r="AT166" i="1" s="1"/>
  <c r="AT167" i="1" s="1"/>
  <c r="AT168" i="1" s="1"/>
  <c r="AT169" i="1" s="1"/>
  <c r="AT170" i="1" s="1"/>
  <c r="AT171" i="1" s="1"/>
  <c r="AT172" i="1" s="1"/>
  <c r="AT173" i="1" s="1"/>
  <c r="AT174" i="1" s="1"/>
  <c r="AT175" i="1" s="1"/>
  <c r="AT176" i="1" s="1"/>
  <c r="AT177" i="1" s="1"/>
  <c r="AT178" i="1" s="1"/>
  <c r="AT179" i="1" s="1"/>
  <c r="AT180" i="1" s="1"/>
  <c r="AT181" i="1" s="1"/>
  <c r="AR163" i="1"/>
  <c r="AW162" i="1"/>
  <c r="AW163" i="1" s="1"/>
  <c r="AW164" i="1" s="1"/>
  <c r="AW165" i="1" s="1"/>
  <c r="AW166" i="1" s="1"/>
  <c r="AW167" i="1" s="1"/>
  <c r="AW168" i="1" s="1"/>
  <c r="AW169" i="1" s="1"/>
  <c r="AW170" i="1" s="1"/>
  <c r="AW171" i="1" s="1"/>
  <c r="AW172" i="1" s="1"/>
  <c r="AW173" i="1" s="1"/>
  <c r="AW174" i="1" s="1"/>
  <c r="AW175" i="1" s="1"/>
  <c r="AW176" i="1" s="1"/>
  <c r="AW177" i="1" s="1"/>
  <c r="AW178" i="1" s="1"/>
  <c r="AW179" i="1" s="1"/>
  <c r="AW180" i="1" s="1"/>
  <c r="AW181" i="1" s="1"/>
  <c r="AU162" i="1"/>
  <c r="AT162" i="1"/>
  <c r="AR162" i="1"/>
  <c r="AX161" i="1"/>
  <c r="AX162" i="1" s="1"/>
  <c r="AX163" i="1" s="1"/>
  <c r="AX164" i="1" s="1"/>
  <c r="AX165" i="1" s="1"/>
  <c r="AX166" i="1" s="1"/>
  <c r="AX167" i="1" s="1"/>
  <c r="AX168" i="1" s="1"/>
  <c r="AX169" i="1" s="1"/>
  <c r="AX170" i="1" s="1"/>
  <c r="AX171" i="1" s="1"/>
  <c r="AX172" i="1" s="1"/>
  <c r="AX173" i="1" s="1"/>
  <c r="AX174" i="1" s="1"/>
  <c r="AX175" i="1" s="1"/>
  <c r="AX176" i="1" s="1"/>
  <c r="AX177" i="1" s="1"/>
  <c r="AX178" i="1" s="1"/>
  <c r="AX179" i="1" s="1"/>
  <c r="AX180" i="1" s="1"/>
  <c r="AX181" i="1" s="1"/>
  <c r="AW161" i="1"/>
  <c r="AV161" i="1"/>
  <c r="AV162" i="1" s="1"/>
  <c r="AV163" i="1" s="1"/>
  <c r="AV164" i="1" s="1"/>
  <c r="AV165" i="1" s="1"/>
  <c r="AV166" i="1" s="1"/>
  <c r="AV167" i="1" s="1"/>
  <c r="AV168" i="1" s="1"/>
  <c r="AV169" i="1" s="1"/>
  <c r="AV170" i="1" s="1"/>
  <c r="AV171" i="1" s="1"/>
  <c r="AV172" i="1" s="1"/>
  <c r="AV173" i="1" s="1"/>
  <c r="AV174" i="1" s="1"/>
  <c r="AV175" i="1" s="1"/>
  <c r="AV176" i="1" s="1"/>
  <c r="AV177" i="1" s="1"/>
  <c r="AV178" i="1" s="1"/>
  <c r="AV179" i="1" s="1"/>
  <c r="AV180" i="1" s="1"/>
  <c r="AV181" i="1" s="1"/>
  <c r="AU161" i="1"/>
  <c r="AT161" i="1"/>
  <c r="AS161" i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R161" i="1"/>
  <c r="AK161" i="1"/>
  <c r="AK162" i="1" s="1"/>
  <c r="AK163" i="1" s="1"/>
  <c r="C160" i="1"/>
  <c r="C161" i="1" s="1"/>
  <c r="C162" i="1" s="1"/>
  <c r="C163" i="1" s="1"/>
  <c r="C164" i="1" s="1"/>
  <c r="L159" i="1"/>
  <c r="L160" i="1" s="1"/>
  <c r="L161" i="1" s="1"/>
  <c r="L162" i="1" s="1"/>
  <c r="L163" i="1" s="1"/>
  <c r="L164" i="1" s="1"/>
  <c r="K159" i="1"/>
  <c r="K160" i="1" s="1"/>
  <c r="K161" i="1" s="1"/>
  <c r="K162" i="1" s="1"/>
  <c r="K163" i="1" s="1"/>
  <c r="K164" i="1" s="1"/>
  <c r="K158" i="1"/>
  <c r="J158" i="1"/>
  <c r="J159" i="1" s="1"/>
  <c r="J160" i="1" s="1"/>
  <c r="J161" i="1" s="1"/>
  <c r="J162" i="1" s="1"/>
  <c r="J163" i="1" s="1"/>
  <c r="J164" i="1" s="1"/>
  <c r="AJ157" i="1"/>
  <c r="AJ158" i="1" s="1"/>
  <c r="AJ159" i="1" s="1"/>
  <c r="AJ160" i="1" s="1"/>
  <c r="AJ161" i="1" s="1"/>
  <c r="AJ162" i="1" s="1"/>
  <c r="AJ163" i="1" s="1"/>
  <c r="AJ164" i="1" s="1"/>
  <c r="AJ165" i="1" s="1"/>
  <c r="AJ166" i="1" s="1"/>
  <c r="AJ167" i="1" s="1"/>
  <c r="AJ168" i="1" s="1"/>
  <c r="AJ169" i="1" s="1"/>
  <c r="AJ170" i="1" s="1"/>
  <c r="AJ171" i="1" s="1"/>
  <c r="AJ172" i="1" s="1"/>
  <c r="AJ173" i="1" s="1"/>
  <c r="AJ174" i="1" s="1"/>
  <c r="AJ175" i="1" s="1"/>
  <c r="AJ176" i="1" s="1"/>
  <c r="AJ177" i="1" s="1"/>
  <c r="AJ178" i="1" s="1"/>
  <c r="AJ179" i="1" s="1"/>
  <c r="AJ180" i="1" s="1"/>
  <c r="AJ181" i="1" s="1"/>
  <c r="AJ182" i="1" s="1"/>
  <c r="AJ183" i="1" s="1"/>
  <c r="AJ184" i="1" s="1"/>
  <c r="AJ185" i="1" s="1"/>
  <c r="AJ186" i="1" s="1"/>
  <c r="AJ187" i="1" s="1"/>
  <c r="AJ188" i="1" s="1"/>
  <c r="AJ189" i="1" s="1"/>
  <c r="AJ190" i="1" s="1"/>
  <c r="AJ191" i="1" s="1"/>
  <c r="AJ192" i="1" s="1"/>
  <c r="AJ193" i="1" s="1"/>
  <c r="AJ194" i="1" s="1"/>
  <c r="AJ195" i="1" s="1"/>
  <c r="AJ196" i="1" s="1"/>
  <c r="AJ197" i="1" s="1"/>
  <c r="AJ198" i="1" s="1"/>
  <c r="AJ199" i="1" s="1"/>
  <c r="P157" i="1"/>
  <c r="P158" i="1" s="1"/>
  <c r="P159" i="1" s="1"/>
  <c r="P160" i="1" s="1"/>
  <c r="P161" i="1" s="1"/>
  <c r="P162" i="1" s="1"/>
  <c r="P163" i="1" s="1"/>
  <c r="P164" i="1" s="1"/>
  <c r="M157" i="1"/>
  <c r="M158" i="1" s="1"/>
  <c r="M159" i="1" s="1"/>
  <c r="M160" i="1" s="1"/>
  <c r="M161" i="1" s="1"/>
  <c r="M162" i="1" s="1"/>
  <c r="M163" i="1" s="1"/>
  <c r="M164" i="1" s="1"/>
  <c r="K157" i="1"/>
  <c r="AX156" i="1"/>
  <c r="AX157" i="1" s="1"/>
  <c r="AX158" i="1" s="1"/>
  <c r="AX159" i="1" s="1"/>
  <c r="AJ156" i="1"/>
  <c r="P156" i="1"/>
  <c r="O156" i="1"/>
  <c r="O157" i="1" s="1"/>
  <c r="O158" i="1" s="1"/>
  <c r="O159" i="1" s="1"/>
  <c r="O160" i="1" s="1"/>
  <c r="O161" i="1" s="1"/>
  <c r="O162" i="1" s="1"/>
  <c r="O163" i="1" s="1"/>
  <c r="O164" i="1" s="1"/>
  <c r="N156" i="1"/>
  <c r="N157" i="1" s="1"/>
  <c r="N158" i="1" s="1"/>
  <c r="N159" i="1" s="1"/>
  <c r="N160" i="1" s="1"/>
  <c r="N161" i="1" s="1"/>
  <c r="N162" i="1" s="1"/>
  <c r="N163" i="1" s="1"/>
  <c r="N164" i="1" s="1"/>
  <c r="M156" i="1"/>
  <c r="L156" i="1"/>
  <c r="L157" i="1" s="1"/>
  <c r="L158" i="1" s="1"/>
  <c r="K156" i="1"/>
  <c r="J156" i="1"/>
  <c r="J157" i="1" s="1"/>
  <c r="C156" i="1"/>
  <c r="C157" i="1" s="1"/>
  <c r="C158" i="1" s="1"/>
  <c r="C159" i="1" s="1"/>
  <c r="AX155" i="1"/>
  <c r="AS155" i="1"/>
  <c r="AS156" i="1" s="1"/>
  <c r="AS157" i="1" s="1"/>
  <c r="AS158" i="1" s="1"/>
  <c r="AS159" i="1" s="1"/>
  <c r="AV154" i="1"/>
  <c r="AV155" i="1" s="1"/>
  <c r="AV156" i="1" s="1"/>
  <c r="AV157" i="1" s="1"/>
  <c r="AV158" i="1" s="1"/>
  <c r="AV159" i="1" s="1"/>
  <c r="AU154" i="1"/>
  <c r="AU155" i="1" s="1"/>
  <c r="AU156" i="1" s="1"/>
  <c r="AU157" i="1" s="1"/>
  <c r="AU158" i="1" s="1"/>
  <c r="AU159" i="1" s="1"/>
  <c r="AT154" i="1"/>
  <c r="AT155" i="1" s="1"/>
  <c r="AT156" i="1" s="1"/>
  <c r="AT157" i="1" s="1"/>
  <c r="AT158" i="1" s="1"/>
  <c r="AT159" i="1" s="1"/>
  <c r="AS154" i="1"/>
  <c r="AK154" i="1"/>
  <c r="AK155" i="1" s="1"/>
  <c r="AK156" i="1" s="1"/>
  <c r="AK157" i="1" s="1"/>
  <c r="AK158" i="1" s="1"/>
  <c r="AK159" i="1" s="1"/>
  <c r="AJ154" i="1"/>
  <c r="AJ155" i="1" s="1"/>
  <c r="AX153" i="1"/>
  <c r="AX154" i="1" s="1"/>
  <c r="AW153" i="1"/>
  <c r="AW154" i="1" s="1"/>
  <c r="AW155" i="1" s="1"/>
  <c r="AW156" i="1" s="1"/>
  <c r="AW157" i="1" s="1"/>
  <c r="AW158" i="1" s="1"/>
  <c r="AW159" i="1" s="1"/>
  <c r="AV153" i="1"/>
  <c r="AU153" i="1"/>
  <c r="AT153" i="1"/>
  <c r="AS153" i="1"/>
  <c r="AR153" i="1"/>
  <c r="AR154" i="1" s="1"/>
  <c r="AR155" i="1" s="1"/>
  <c r="AR156" i="1" s="1"/>
  <c r="AR157" i="1" s="1"/>
  <c r="AR158" i="1" s="1"/>
  <c r="AR159" i="1" s="1"/>
  <c r="AK153" i="1"/>
  <c r="AJ153" i="1"/>
  <c r="AA151" i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D150" i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G149" i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F149" i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C149" i="1"/>
  <c r="AC150" i="1" s="1"/>
  <c r="AC151" i="1" s="1"/>
  <c r="AC152" i="1" s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B149" i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T149" i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M149" i="1"/>
  <c r="M150" i="1" s="1"/>
  <c r="M151" i="1" s="1"/>
  <c r="M152" i="1" s="1"/>
  <c r="M153" i="1" s="1"/>
  <c r="M154" i="1" s="1"/>
  <c r="AG148" i="1"/>
  <c r="AF148" i="1"/>
  <c r="AE148" i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D148" i="1"/>
  <c r="AD149" i="1" s="1"/>
  <c r="AC148" i="1"/>
  <c r="AB148" i="1"/>
  <c r="AA148" i="1"/>
  <c r="AA149" i="1" s="1"/>
  <c r="AA150" i="1" s="1"/>
  <c r="T148" i="1"/>
  <c r="S148" i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P148" i="1"/>
  <c r="P149" i="1" s="1"/>
  <c r="P150" i="1" s="1"/>
  <c r="P151" i="1" s="1"/>
  <c r="P152" i="1" s="1"/>
  <c r="P153" i="1" s="1"/>
  <c r="P154" i="1" s="1"/>
  <c r="N146" i="1"/>
  <c r="N147" i="1" s="1"/>
  <c r="N148" i="1" s="1"/>
  <c r="N149" i="1" s="1"/>
  <c r="N150" i="1" s="1"/>
  <c r="N151" i="1" s="1"/>
  <c r="N152" i="1" s="1"/>
  <c r="N153" i="1" s="1"/>
  <c r="N154" i="1" s="1"/>
  <c r="M146" i="1"/>
  <c r="M147" i="1" s="1"/>
  <c r="M148" i="1" s="1"/>
  <c r="L146" i="1"/>
  <c r="L147" i="1" s="1"/>
  <c r="L148" i="1" s="1"/>
  <c r="L149" i="1" s="1"/>
  <c r="L150" i="1" s="1"/>
  <c r="L151" i="1" s="1"/>
  <c r="L152" i="1" s="1"/>
  <c r="L153" i="1" s="1"/>
  <c r="L154" i="1" s="1"/>
  <c r="P145" i="1"/>
  <c r="P146" i="1" s="1"/>
  <c r="P147" i="1" s="1"/>
  <c r="O145" i="1"/>
  <c r="O146" i="1" s="1"/>
  <c r="O147" i="1" s="1"/>
  <c r="O148" i="1" s="1"/>
  <c r="O149" i="1" s="1"/>
  <c r="O150" i="1" s="1"/>
  <c r="O151" i="1" s="1"/>
  <c r="O152" i="1" s="1"/>
  <c r="O153" i="1" s="1"/>
  <c r="O154" i="1" s="1"/>
  <c r="N145" i="1"/>
  <c r="M145" i="1"/>
  <c r="L145" i="1"/>
  <c r="K145" i="1"/>
  <c r="K146" i="1" s="1"/>
  <c r="K147" i="1" s="1"/>
  <c r="K148" i="1" s="1"/>
  <c r="K149" i="1" s="1"/>
  <c r="K150" i="1" s="1"/>
  <c r="K151" i="1" s="1"/>
  <c r="K152" i="1" s="1"/>
  <c r="K153" i="1" s="1"/>
  <c r="K154" i="1" s="1"/>
  <c r="J145" i="1"/>
  <c r="J146" i="1" s="1"/>
  <c r="J147" i="1" s="1"/>
  <c r="J148" i="1" s="1"/>
  <c r="J149" i="1" s="1"/>
  <c r="J150" i="1" s="1"/>
  <c r="J151" i="1" s="1"/>
  <c r="J152" i="1" s="1"/>
  <c r="J153" i="1" s="1"/>
  <c r="J154" i="1" s="1"/>
  <c r="C145" i="1"/>
  <c r="C146" i="1" s="1"/>
  <c r="C147" i="1" s="1"/>
  <c r="C148" i="1" s="1"/>
  <c r="C149" i="1" s="1"/>
  <c r="C150" i="1" s="1"/>
  <c r="C151" i="1" s="1"/>
  <c r="C152" i="1" s="1"/>
  <c r="C153" i="1" s="1"/>
  <c r="C154" i="1" s="1"/>
  <c r="K140" i="1"/>
  <c r="K141" i="1" s="1"/>
  <c r="K142" i="1" s="1"/>
  <c r="K143" i="1" s="1"/>
  <c r="N139" i="1"/>
  <c r="N140" i="1" s="1"/>
  <c r="N141" i="1" s="1"/>
  <c r="N142" i="1" s="1"/>
  <c r="N143" i="1" s="1"/>
  <c r="L139" i="1"/>
  <c r="L140" i="1" s="1"/>
  <c r="L141" i="1" s="1"/>
  <c r="L142" i="1" s="1"/>
  <c r="L143" i="1" s="1"/>
  <c r="O138" i="1"/>
  <c r="O139" i="1" s="1"/>
  <c r="O140" i="1" s="1"/>
  <c r="O141" i="1" s="1"/>
  <c r="O142" i="1" s="1"/>
  <c r="O143" i="1" s="1"/>
  <c r="L138" i="1"/>
  <c r="J138" i="1"/>
  <c r="J139" i="1" s="1"/>
  <c r="J140" i="1" s="1"/>
  <c r="J141" i="1" s="1"/>
  <c r="J142" i="1" s="1"/>
  <c r="J143" i="1" s="1"/>
  <c r="P137" i="1"/>
  <c r="P138" i="1" s="1"/>
  <c r="P139" i="1" s="1"/>
  <c r="P140" i="1" s="1"/>
  <c r="P141" i="1" s="1"/>
  <c r="P142" i="1" s="1"/>
  <c r="P143" i="1" s="1"/>
  <c r="O137" i="1"/>
  <c r="N137" i="1"/>
  <c r="N138" i="1" s="1"/>
  <c r="M137" i="1"/>
  <c r="M138" i="1" s="1"/>
  <c r="M139" i="1" s="1"/>
  <c r="M140" i="1" s="1"/>
  <c r="M141" i="1" s="1"/>
  <c r="M142" i="1" s="1"/>
  <c r="M143" i="1" s="1"/>
  <c r="L137" i="1"/>
  <c r="K137" i="1"/>
  <c r="K138" i="1" s="1"/>
  <c r="K139" i="1" s="1"/>
  <c r="J137" i="1"/>
  <c r="C137" i="1"/>
  <c r="C138" i="1" s="1"/>
  <c r="C139" i="1" s="1"/>
  <c r="C140" i="1" s="1"/>
  <c r="C141" i="1" s="1"/>
  <c r="C142" i="1" s="1"/>
  <c r="C143" i="1" s="1"/>
  <c r="T136" i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35" i="1"/>
  <c r="AS134" i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S147" i="1" s="1"/>
  <c r="AS148" i="1" s="1"/>
  <c r="AS149" i="1" s="1"/>
  <c r="AS150" i="1" s="1"/>
  <c r="AS151" i="1" s="1"/>
  <c r="AC134" i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X133" i="1"/>
  <c r="AX134" i="1" s="1"/>
  <c r="AX135" i="1" s="1"/>
  <c r="AX136" i="1" s="1"/>
  <c r="AX137" i="1" s="1"/>
  <c r="AX138" i="1" s="1"/>
  <c r="AX139" i="1" s="1"/>
  <c r="AX140" i="1" s="1"/>
  <c r="AX141" i="1" s="1"/>
  <c r="AX142" i="1" s="1"/>
  <c r="AX143" i="1" s="1"/>
  <c r="AX144" i="1" s="1"/>
  <c r="AX145" i="1" s="1"/>
  <c r="AX146" i="1" s="1"/>
  <c r="AX147" i="1" s="1"/>
  <c r="AX148" i="1" s="1"/>
  <c r="AX149" i="1" s="1"/>
  <c r="AX150" i="1" s="1"/>
  <c r="AX151" i="1" s="1"/>
  <c r="AV133" i="1"/>
  <c r="AV134" i="1" s="1"/>
  <c r="AV135" i="1" s="1"/>
  <c r="AV136" i="1" s="1"/>
  <c r="AV137" i="1" s="1"/>
  <c r="AV138" i="1" s="1"/>
  <c r="AV139" i="1" s="1"/>
  <c r="AV140" i="1" s="1"/>
  <c r="AV141" i="1" s="1"/>
  <c r="AV142" i="1" s="1"/>
  <c r="AV143" i="1" s="1"/>
  <c r="AV144" i="1" s="1"/>
  <c r="AV145" i="1" s="1"/>
  <c r="AV146" i="1" s="1"/>
  <c r="AV147" i="1" s="1"/>
  <c r="AV148" i="1" s="1"/>
  <c r="AV149" i="1" s="1"/>
  <c r="AV150" i="1" s="1"/>
  <c r="AV151" i="1" s="1"/>
  <c r="AS133" i="1"/>
  <c r="AF133" i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X132" i="1"/>
  <c r="AW132" i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V132" i="1"/>
  <c r="AK132" i="1"/>
  <c r="AK133" i="1" s="1"/>
  <c r="AK134" i="1" s="1"/>
  <c r="AK135" i="1" s="1"/>
  <c r="AK136" i="1" s="1"/>
  <c r="AK137" i="1" s="1"/>
  <c r="AK138" i="1" s="1"/>
  <c r="AK139" i="1" s="1"/>
  <c r="AK140" i="1" s="1"/>
  <c r="AK141" i="1" s="1"/>
  <c r="AK142" i="1" s="1"/>
  <c r="AK143" i="1" s="1"/>
  <c r="AK144" i="1" s="1"/>
  <c r="AK145" i="1" s="1"/>
  <c r="AK146" i="1" s="1"/>
  <c r="AK147" i="1" s="1"/>
  <c r="AK148" i="1" s="1"/>
  <c r="AK149" i="1" s="1"/>
  <c r="AK150" i="1" s="1"/>
  <c r="AK151" i="1" s="1"/>
  <c r="AD132" i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B132" i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X131" i="1"/>
  <c r="AW131" i="1"/>
  <c r="AV131" i="1"/>
  <c r="AU131" i="1"/>
  <c r="AU132" i="1" s="1"/>
  <c r="AU133" i="1" s="1"/>
  <c r="AU134" i="1" s="1"/>
  <c r="AU135" i="1" s="1"/>
  <c r="AU136" i="1" s="1"/>
  <c r="AU137" i="1" s="1"/>
  <c r="AU138" i="1" s="1"/>
  <c r="AU139" i="1" s="1"/>
  <c r="AU140" i="1" s="1"/>
  <c r="AU141" i="1" s="1"/>
  <c r="AU142" i="1" s="1"/>
  <c r="AU143" i="1" s="1"/>
  <c r="AU144" i="1" s="1"/>
  <c r="AU145" i="1" s="1"/>
  <c r="AU146" i="1" s="1"/>
  <c r="AU147" i="1" s="1"/>
  <c r="AU148" i="1" s="1"/>
  <c r="AU149" i="1" s="1"/>
  <c r="AU150" i="1" s="1"/>
  <c r="AU151" i="1" s="1"/>
  <c r="AT131" i="1"/>
  <c r="AT132" i="1" s="1"/>
  <c r="AT133" i="1" s="1"/>
  <c r="AT134" i="1" s="1"/>
  <c r="AT135" i="1" s="1"/>
  <c r="AT136" i="1" s="1"/>
  <c r="AT137" i="1" s="1"/>
  <c r="AT138" i="1" s="1"/>
  <c r="AT139" i="1" s="1"/>
  <c r="AT140" i="1" s="1"/>
  <c r="AT141" i="1" s="1"/>
  <c r="AT142" i="1" s="1"/>
  <c r="AT143" i="1" s="1"/>
  <c r="AT144" i="1" s="1"/>
  <c r="AT145" i="1" s="1"/>
  <c r="AT146" i="1" s="1"/>
  <c r="AT147" i="1" s="1"/>
  <c r="AT148" i="1" s="1"/>
  <c r="AT149" i="1" s="1"/>
  <c r="AT150" i="1" s="1"/>
  <c r="AT151" i="1" s="1"/>
  <c r="AS131" i="1"/>
  <c r="AS132" i="1" s="1"/>
  <c r="AR131" i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K131" i="1"/>
  <c r="AD131" i="1"/>
  <c r="AA131" i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T131" i="1"/>
  <c r="T132" i="1" s="1"/>
  <c r="T133" i="1" s="1"/>
  <c r="T134" i="1" s="1"/>
  <c r="AG130" i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F130" i="1"/>
  <c r="AF131" i="1" s="1"/>
  <c r="AF132" i="1" s="1"/>
  <c r="AE130" i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D130" i="1"/>
  <c r="AC130" i="1"/>
  <c r="AC131" i="1" s="1"/>
  <c r="AC132" i="1" s="1"/>
  <c r="AC133" i="1" s="1"/>
  <c r="AB130" i="1"/>
  <c r="AB131" i="1" s="1"/>
  <c r="AA130" i="1"/>
  <c r="T130" i="1"/>
  <c r="N130" i="1"/>
  <c r="N131" i="1" s="1"/>
  <c r="N132" i="1" s="1"/>
  <c r="N133" i="1" s="1"/>
  <c r="N134" i="1" s="1"/>
  <c r="N135" i="1" s="1"/>
  <c r="K128" i="1"/>
  <c r="K129" i="1" s="1"/>
  <c r="K130" i="1" s="1"/>
  <c r="K131" i="1" s="1"/>
  <c r="K132" i="1" s="1"/>
  <c r="K133" i="1" s="1"/>
  <c r="K134" i="1" s="1"/>
  <c r="K135" i="1" s="1"/>
  <c r="N127" i="1"/>
  <c r="N128" i="1" s="1"/>
  <c r="N129" i="1" s="1"/>
  <c r="P126" i="1"/>
  <c r="P127" i="1" s="1"/>
  <c r="P128" i="1" s="1"/>
  <c r="P129" i="1" s="1"/>
  <c r="P130" i="1" s="1"/>
  <c r="P131" i="1" s="1"/>
  <c r="P132" i="1" s="1"/>
  <c r="P133" i="1" s="1"/>
  <c r="P134" i="1" s="1"/>
  <c r="P135" i="1" s="1"/>
  <c r="P125" i="1"/>
  <c r="P124" i="1"/>
  <c r="L124" i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K124" i="1"/>
  <c r="K125" i="1" s="1"/>
  <c r="K126" i="1" s="1"/>
  <c r="K127" i="1" s="1"/>
  <c r="C124" i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P123" i="1"/>
  <c r="O123" i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N123" i="1"/>
  <c r="N124" i="1" s="1"/>
  <c r="N125" i="1" s="1"/>
  <c r="N126" i="1" s="1"/>
  <c r="M123" i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L123" i="1"/>
  <c r="K123" i="1"/>
  <c r="J123" i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C123" i="1"/>
  <c r="B123" i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AW119" i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U119" i="1"/>
  <c r="AU120" i="1" s="1"/>
  <c r="AU121" i="1" s="1"/>
  <c r="AU122" i="1" s="1"/>
  <c r="AU123" i="1" s="1"/>
  <c r="AU124" i="1" s="1"/>
  <c r="AU125" i="1" s="1"/>
  <c r="AU126" i="1" s="1"/>
  <c r="AU127" i="1" s="1"/>
  <c r="AU128" i="1" s="1"/>
  <c r="AU129" i="1" s="1"/>
  <c r="AS119" i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K119" i="1"/>
  <c r="AK120" i="1" s="1"/>
  <c r="AK121" i="1" s="1"/>
  <c r="AK122" i="1" s="1"/>
  <c r="AK123" i="1" s="1"/>
  <c r="AK124" i="1" s="1"/>
  <c r="AK125" i="1" s="1"/>
  <c r="AK126" i="1" s="1"/>
  <c r="AK127" i="1" s="1"/>
  <c r="AK128" i="1" s="1"/>
  <c r="AK129" i="1" s="1"/>
  <c r="AX118" i="1"/>
  <c r="AX119" i="1" s="1"/>
  <c r="AX120" i="1" s="1"/>
  <c r="AX121" i="1" s="1"/>
  <c r="AX122" i="1" s="1"/>
  <c r="AX123" i="1" s="1"/>
  <c r="AX124" i="1" s="1"/>
  <c r="AX125" i="1" s="1"/>
  <c r="AX126" i="1" s="1"/>
  <c r="AX127" i="1" s="1"/>
  <c r="AX128" i="1" s="1"/>
  <c r="AX129" i="1" s="1"/>
  <c r="AW118" i="1"/>
  <c r="AV118" i="1"/>
  <c r="AV119" i="1" s="1"/>
  <c r="AV120" i="1" s="1"/>
  <c r="AV121" i="1" s="1"/>
  <c r="AV122" i="1" s="1"/>
  <c r="AV123" i="1" s="1"/>
  <c r="AV124" i="1" s="1"/>
  <c r="AV125" i="1" s="1"/>
  <c r="AV126" i="1" s="1"/>
  <c r="AV127" i="1" s="1"/>
  <c r="AV128" i="1" s="1"/>
  <c r="AV129" i="1" s="1"/>
  <c r="AU118" i="1"/>
  <c r="AT118" i="1"/>
  <c r="AT119" i="1" s="1"/>
  <c r="AT120" i="1" s="1"/>
  <c r="AT121" i="1" s="1"/>
  <c r="AT122" i="1" s="1"/>
  <c r="AT123" i="1" s="1"/>
  <c r="AT124" i="1" s="1"/>
  <c r="AT125" i="1" s="1"/>
  <c r="AT126" i="1" s="1"/>
  <c r="AT127" i="1" s="1"/>
  <c r="AT128" i="1" s="1"/>
  <c r="AT129" i="1" s="1"/>
  <c r="AS118" i="1"/>
  <c r="AR118" i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K118" i="1"/>
  <c r="J118" i="1"/>
  <c r="J119" i="1" s="1"/>
  <c r="J120" i="1" s="1"/>
  <c r="J121" i="1" s="1"/>
  <c r="O117" i="1"/>
  <c r="O118" i="1" s="1"/>
  <c r="O119" i="1" s="1"/>
  <c r="O120" i="1" s="1"/>
  <c r="O121" i="1" s="1"/>
  <c r="M117" i="1"/>
  <c r="M118" i="1" s="1"/>
  <c r="M119" i="1" s="1"/>
  <c r="M120" i="1" s="1"/>
  <c r="M121" i="1" s="1"/>
  <c r="J117" i="1"/>
  <c r="P116" i="1"/>
  <c r="P117" i="1" s="1"/>
  <c r="P118" i="1" s="1"/>
  <c r="P119" i="1" s="1"/>
  <c r="P120" i="1" s="1"/>
  <c r="P121" i="1" s="1"/>
  <c r="O116" i="1"/>
  <c r="N116" i="1"/>
  <c r="N117" i="1" s="1"/>
  <c r="N118" i="1" s="1"/>
  <c r="N119" i="1" s="1"/>
  <c r="N120" i="1" s="1"/>
  <c r="N121" i="1" s="1"/>
  <c r="M116" i="1"/>
  <c r="J116" i="1"/>
  <c r="P115" i="1"/>
  <c r="O115" i="1"/>
  <c r="N115" i="1"/>
  <c r="M115" i="1"/>
  <c r="L115" i="1"/>
  <c r="L116" i="1" s="1"/>
  <c r="L117" i="1" s="1"/>
  <c r="L118" i="1" s="1"/>
  <c r="L119" i="1" s="1"/>
  <c r="L120" i="1" s="1"/>
  <c r="L121" i="1" s="1"/>
  <c r="K115" i="1"/>
  <c r="K116" i="1" s="1"/>
  <c r="K117" i="1" s="1"/>
  <c r="K118" i="1" s="1"/>
  <c r="K119" i="1" s="1"/>
  <c r="K120" i="1" s="1"/>
  <c r="K121" i="1" s="1"/>
  <c r="J115" i="1"/>
  <c r="C115" i="1"/>
  <c r="C116" i="1" s="1"/>
  <c r="C117" i="1" s="1"/>
  <c r="C118" i="1" s="1"/>
  <c r="C119" i="1" s="1"/>
  <c r="C120" i="1" s="1"/>
  <c r="C121" i="1" s="1"/>
  <c r="AA109" i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F108" i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F125" i="1" s="1"/>
  <c r="AF126" i="1" s="1"/>
  <c r="AF127" i="1" s="1"/>
  <c r="AF128" i="1" s="1"/>
  <c r="AD108" i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B108" i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A108" i="1"/>
  <c r="T108" i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AG107" i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F107" i="1"/>
  <c r="AE107" i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D107" i="1"/>
  <c r="AC107" i="1"/>
  <c r="AC108" i="1" s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B107" i="1"/>
  <c r="AA107" i="1"/>
  <c r="T107" i="1"/>
  <c r="AJ106" i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J123" i="1" s="1"/>
  <c r="AJ124" i="1" s="1"/>
  <c r="AJ125" i="1" s="1"/>
  <c r="AJ126" i="1" s="1"/>
  <c r="AJ127" i="1" s="1"/>
  <c r="AJ128" i="1" s="1"/>
  <c r="AJ129" i="1" s="1"/>
  <c r="AJ130" i="1" s="1"/>
  <c r="AJ131" i="1" s="1"/>
  <c r="AJ132" i="1" s="1"/>
  <c r="AJ133" i="1" s="1"/>
  <c r="AJ134" i="1" s="1"/>
  <c r="AJ135" i="1" s="1"/>
  <c r="AJ136" i="1" s="1"/>
  <c r="AJ137" i="1" s="1"/>
  <c r="AJ138" i="1" s="1"/>
  <c r="AJ139" i="1" s="1"/>
  <c r="AJ140" i="1" s="1"/>
  <c r="AJ141" i="1" s="1"/>
  <c r="AJ142" i="1" s="1"/>
  <c r="AJ143" i="1" s="1"/>
  <c r="AJ144" i="1" s="1"/>
  <c r="AJ145" i="1" s="1"/>
  <c r="AJ146" i="1" s="1"/>
  <c r="AJ147" i="1" s="1"/>
  <c r="AJ148" i="1" s="1"/>
  <c r="AJ149" i="1" s="1"/>
  <c r="AJ150" i="1" s="1"/>
  <c r="AJ151" i="1" s="1"/>
  <c r="J106" i="1"/>
  <c r="J107" i="1" s="1"/>
  <c r="J108" i="1" s="1"/>
  <c r="J109" i="1" s="1"/>
  <c r="J110" i="1" s="1"/>
  <c r="J111" i="1" s="1"/>
  <c r="J112" i="1" s="1"/>
  <c r="J113" i="1" s="1"/>
  <c r="AJ105" i="1"/>
  <c r="M105" i="1"/>
  <c r="M106" i="1" s="1"/>
  <c r="M107" i="1" s="1"/>
  <c r="M108" i="1" s="1"/>
  <c r="M109" i="1" s="1"/>
  <c r="M110" i="1" s="1"/>
  <c r="M111" i="1" s="1"/>
  <c r="M112" i="1" s="1"/>
  <c r="M113" i="1" s="1"/>
  <c r="J105" i="1"/>
  <c r="C105" i="1"/>
  <c r="C106" i="1" s="1"/>
  <c r="C107" i="1" s="1"/>
  <c r="C108" i="1" s="1"/>
  <c r="C109" i="1" s="1"/>
  <c r="C110" i="1" s="1"/>
  <c r="C111" i="1" s="1"/>
  <c r="C112" i="1" s="1"/>
  <c r="C113" i="1" s="1"/>
  <c r="O104" i="1"/>
  <c r="O105" i="1" s="1"/>
  <c r="O106" i="1" s="1"/>
  <c r="O107" i="1" s="1"/>
  <c r="O108" i="1" s="1"/>
  <c r="O109" i="1" s="1"/>
  <c r="O110" i="1" s="1"/>
  <c r="O111" i="1" s="1"/>
  <c r="O112" i="1" s="1"/>
  <c r="O113" i="1" s="1"/>
  <c r="M104" i="1"/>
  <c r="K104" i="1"/>
  <c r="K105" i="1" s="1"/>
  <c r="K106" i="1" s="1"/>
  <c r="K107" i="1" s="1"/>
  <c r="K108" i="1" s="1"/>
  <c r="K109" i="1" s="1"/>
  <c r="K110" i="1" s="1"/>
  <c r="K111" i="1" s="1"/>
  <c r="K112" i="1" s="1"/>
  <c r="K113" i="1" s="1"/>
  <c r="J104" i="1"/>
  <c r="C104" i="1"/>
  <c r="P103" i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O103" i="1"/>
  <c r="N103" i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M103" i="1"/>
  <c r="L103" i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K103" i="1"/>
  <c r="J103" i="1"/>
  <c r="C103" i="1"/>
  <c r="AW102" i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01" i="1"/>
  <c r="AW100" i="1"/>
  <c r="AU100" i="1"/>
  <c r="AU101" i="1" s="1"/>
  <c r="AU102" i="1" s="1"/>
  <c r="AU103" i="1" s="1"/>
  <c r="AU104" i="1" s="1"/>
  <c r="AU105" i="1" s="1"/>
  <c r="AU106" i="1" s="1"/>
  <c r="AU107" i="1" s="1"/>
  <c r="AU108" i="1" s="1"/>
  <c r="AU109" i="1" s="1"/>
  <c r="AU110" i="1" s="1"/>
  <c r="AU111" i="1" s="1"/>
  <c r="AU112" i="1" s="1"/>
  <c r="AU113" i="1" s="1"/>
  <c r="AU114" i="1" s="1"/>
  <c r="AU115" i="1" s="1"/>
  <c r="AU116" i="1" s="1"/>
  <c r="AS100" i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S112" i="1" s="1"/>
  <c r="AS113" i="1" s="1"/>
  <c r="AS114" i="1" s="1"/>
  <c r="AS115" i="1" s="1"/>
  <c r="AS116" i="1" s="1"/>
  <c r="AK100" i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K111" i="1" s="1"/>
  <c r="AK112" i="1" s="1"/>
  <c r="AK113" i="1" s="1"/>
  <c r="AK114" i="1" s="1"/>
  <c r="AK115" i="1" s="1"/>
  <c r="AK116" i="1" s="1"/>
  <c r="AX99" i="1"/>
  <c r="AX100" i="1" s="1"/>
  <c r="AX101" i="1" s="1"/>
  <c r="AX102" i="1" s="1"/>
  <c r="AX103" i="1" s="1"/>
  <c r="AX104" i="1" s="1"/>
  <c r="AX105" i="1" s="1"/>
  <c r="AX106" i="1" s="1"/>
  <c r="AX107" i="1" s="1"/>
  <c r="AX108" i="1" s="1"/>
  <c r="AX109" i="1" s="1"/>
  <c r="AX110" i="1" s="1"/>
  <c r="AX111" i="1" s="1"/>
  <c r="AX112" i="1" s="1"/>
  <c r="AX113" i="1" s="1"/>
  <c r="AX114" i="1" s="1"/>
  <c r="AX115" i="1" s="1"/>
  <c r="AX116" i="1" s="1"/>
  <c r="AW99" i="1"/>
  <c r="AV99" i="1"/>
  <c r="AV100" i="1" s="1"/>
  <c r="AV101" i="1" s="1"/>
  <c r="AV102" i="1" s="1"/>
  <c r="AV103" i="1" s="1"/>
  <c r="AV104" i="1" s="1"/>
  <c r="AV105" i="1" s="1"/>
  <c r="AV106" i="1" s="1"/>
  <c r="AV107" i="1" s="1"/>
  <c r="AV108" i="1" s="1"/>
  <c r="AV109" i="1" s="1"/>
  <c r="AV110" i="1" s="1"/>
  <c r="AV111" i="1" s="1"/>
  <c r="AV112" i="1" s="1"/>
  <c r="AV113" i="1" s="1"/>
  <c r="AV114" i="1" s="1"/>
  <c r="AV115" i="1" s="1"/>
  <c r="AV116" i="1" s="1"/>
  <c r="AU99" i="1"/>
  <c r="AT99" i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T112" i="1" s="1"/>
  <c r="AT113" i="1" s="1"/>
  <c r="AT114" i="1" s="1"/>
  <c r="AT115" i="1" s="1"/>
  <c r="AT116" i="1" s="1"/>
  <c r="AS99" i="1"/>
  <c r="AR99" i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K99" i="1"/>
  <c r="P93" i="1"/>
  <c r="P94" i="1" s="1"/>
  <c r="P95" i="1" s="1"/>
  <c r="P96" i="1" s="1"/>
  <c r="P97" i="1" s="1"/>
  <c r="P98" i="1" s="1"/>
  <c r="P99" i="1" s="1"/>
  <c r="P100" i="1" s="1"/>
  <c r="P101" i="1" s="1"/>
  <c r="AA92" i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P92" i="1"/>
  <c r="C92" i="1"/>
  <c r="C93" i="1" s="1"/>
  <c r="C94" i="1" s="1"/>
  <c r="C95" i="1" s="1"/>
  <c r="C96" i="1" s="1"/>
  <c r="C97" i="1" s="1"/>
  <c r="C98" i="1" s="1"/>
  <c r="C99" i="1" s="1"/>
  <c r="C100" i="1" s="1"/>
  <c r="C101" i="1" s="1"/>
  <c r="AF91" i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D91" i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A91" i="1"/>
  <c r="P91" i="1"/>
  <c r="N91" i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L91" i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J91" i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C91" i="1"/>
  <c r="AG90" i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F90" i="1"/>
  <c r="AE90" i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D90" i="1"/>
  <c r="AA90" i="1"/>
  <c r="S90" i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P90" i="1"/>
  <c r="O90" i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N90" i="1"/>
  <c r="M90" i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L90" i="1"/>
  <c r="K90" i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J90" i="1"/>
  <c r="C90" i="1"/>
  <c r="AG89" i="1"/>
  <c r="AF89" i="1"/>
  <c r="AE89" i="1"/>
  <c r="AD89" i="1"/>
  <c r="AC89" i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B89" i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A89" i="1"/>
  <c r="T89" i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S89" i="1"/>
  <c r="AR84" i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N84" i="1"/>
  <c r="N85" i="1" s="1"/>
  <c r="N86" i="1" s="1"/>
  <c r="N87" i="1" s="1"/>
  <c r="N88" i="1" s="1"/>
  <c r="AW83" i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U83" i="1"/>
  <c r="AU84" i="1" s="1"/>
  <c r="AU85" i="1" s="1"/>
  <c r="AU86" i="1" s="1"/>
  <c r="AU87" i="1" s="1"/>
  <c r="AU88" i="1" s="1"/>
  <c r="AU89" i="1" s="1"/>
  <c r="AU90" i="1" s="1"/>
  <c r="AU91" i="1" s="1"/>
  <c r="AU92" i="1" s="1"/>
  <c r="AU93" i="1" s="1"/>
  <c r="AU94" i="1" s="1"/>
  <c r="AU95" i="1" s="1"/>
  <c r="AU96" i="1" s="1"/>
  <c r="AU97" i="1" s="1"/>
  <c r="AS83" i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R83" i="1"/>
  <c r="AK83" i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N83" i="1"/>
  <c r="AX82" i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W82" i="1"/>
  <c r="AV82" i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AV96" i="1" s="1"/>
  <c r="AV97" i="1" s="1"/>
  <c r="AU82" i="1"/>
  <c r="AT82" i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S82" i="1"/>
  <c r="AR82" i="1"/>
  <c r="AK82" i="1"/>
  <c r="N82" i="1"/>
  <c r="L82" i="1"/>
  <c r="L83" i="1" s="1"/>
  <c r="L84" i="1" s="1"/>
  <c r="L85" i="1" s="1"/>
  <c r="L86" i="1" s="1"/>
  <c r="L87" i="1" s="1"/>
  <c r="L88" i="1" s="1"/>
  <c r="O81" i="1"/>
  <c r="O82" i="1" s="1"/>
  <c r="O83" i="1" s="1"/>
  <c r="O84" i="1" s="1"/>
  <c r="O85" i="1" s="1"/>
  <c r="O86" i="1" s="1"/>
  <c r="O87" i="1" s="1"/>
  <c r="O88" i="1" s="1"/>
  <c r="N81" i="1"/>
  <c r="M81" i="1"/>
  <c r="M82" i="1" s="1"/>
  <c r="M83" i="1" s="1"/>
  <c r="M84" i="1" s="1"/>
  <c r="M85" i="1" s="1"/>
  <c r="M86" i="1" s="1"/>
  <c r="M87" i="1" s="1"/>
  <c r="M88" i="1" s="1"/>
  <c r="L81" i="1"/>
  <c r="C81" i="1"/>
  <c r="C82" i="1" s="1"/>
  <c r="C83" i="1" s="1"/>
  <c r="C84" i="1" s="1"/>
  <c r="C85" i="1" s="1"/>
  <c r="C86" i="1" s="1"/>
  <c r="C87" i="1" s="1"/>
  <c r="C88" i="1" s="1"/>
  <c r="P80" i="1"/>
  <c r="P81" i="1" s="1"/>
  <c r="P82" i="1" s="1"/>
  <c r="P83" i="1" s="1"/>
  <c r="P84" i="1" s="1"/>
  <c r="P85" i="1" s="1"/>
  <c r="P86" i="1" s="1"/>
  <c r="P87" i="1" s="1"/>
  <c r="P88" i="1" s="1"/>
  <c r="O80" i="1"/>
  <c r="N80" i="1"/>
  <c r="M80" i="1"/>
  <c r="L80" i="1"/>
  <c r="K80" i="1"/>
  <c r="K81" i="1" s="1"/>
  <c r="K82" i="1" s="1"/>
  <c r="K83" i="1" s="1"/>
  <c r="K84" i="1" s="1"/>
  <c r="K85" i="1" s="1"/>
  <c r="K86" i="1" s="1"/>
  <c r="K87" i="1" s="1"/>
  <c r="K88" i="1" s="1"/>
  <c r="J80" i="1"/>
  <c r="J81" i="1" s="1"/>
  <c r="J82" i="1" s="1"/>
  <c r="J83" i="1" s="1"/>
  <c r="J84" i="1" s="1"/>
  <c r="J85" i="1" s="1"/>
  <c r="J86" i="1" s="1"/>
  <c r="J87" i="1" s="1"/>
  <c r="J88" i="1" s="1"/>
  <c r="C80" i="1"/>
  <c r="AT78" i="1"/>
  <c r="AT79" i="1" s="1"/>
  <c r="AT80" i="1" s="1"/>
  <c r="AR78" i="1"/>
  <c r="AR79" i="1" s="1"/>
  <c r="AR80" i="1" s="1"/>
  <c r="AW77" i="1"/>
  <c r="AW78" i="1" s="1"/>
  <c r="AW79" i="1" s="1"/>
  <c r="AW80" i="1" s="1"/>
  <c r="AU77" i="1"/>
  <c r="AU78" i="1" s="1"/>
  <c r="AU79" i="1" s="1"/>
  <c r="AU80" i="1" s="1"/>
  <c r="AT77" i="1"/>
  <c r="AS77" i="1"/>
  <c r="AS78" i="1" s="1"/>
  <c r="AS79" i="1" s="1"/>
  <c r="AS80" i="1" s="1"/>
  <c r="AR77" i="1"/>
  <c r="AX76" i="1"/>
  <c r="AX77" i="1" s="1"/>
  <c r="AX78" i="1" s="1"/>
  <c r="AX79" i="1" s="1"/>
  <c r="AX80" i="1" s="1"/>
  <c r="AW76" i="1"/>
  <c r="AV76" i="1"/>
  <c r="AV77" i="1" s="1"/>
  <c r="AV78" i="1" s="1"/>
  <c r="AV79" i="1" s="1"/>
  <c r="AV80" i="1" s="1"/>
  <c r="AU76" i="1"/>
  <c r="AT76" i="1"/>
  <c r="AS76" i="1"/>
  <c r="AR76" i="1"/>
  <c r="AK76" i="1"/>
  <c r="AK77" i="1" s="1"/>
  <c r="AK78" i="1" s="1"/>
  <c r="AK79" i="1" s="1"/>
  <c r="AK80" i="1" s="1"/>
  <c r="AD74" i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B74" i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G73" i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E73" i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D73" i="1"/>
  <c r="AC73" i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B73" i="1"/>
  <c r="AG72" i="1"/>
  <c r="AF72" i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E72" i="1"/>
  <c r="AD72" i="1"/>
  <c r="AC72" i="1"/>
  <c r="AB72" i="1"/>
  <c r="AA72" i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T72" i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L70" i="1"/>
  <c r="L71" i="1" s="1"/>
  <c r="L72" i="1" s="1"/>
  <c r="L73" i="1" s="1"/>
  <c r="L74" i="1" s="1"/>
  <c r="L75" i="1" s="1"/>
  <c r="L76" i="1" s="1"/>
  <c r="L77" i="1" s="1"/>
  <c r="L78" i="1" s="1"/>
  <c r="O69" i="1"/>
  <c r="O70" i="1" s="1"/>
  <c r="O71" i="1" s="1"/>
  <c r="O72" i="1" s="1"/>
  <c r="O73" i="1" s="1"/>
  <c r="O74" i="1" s="1"/>
  <c r="O75" i="1" s="1"/>
  <c r="O76" i="1" s="1"/>
  <c r="O77" i="1" s="1"/>
  <c r="O78" i="1" s="1"/>
  <c r="L69" i="1"/>
  <c r="P68" i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O68" i="1"/>
  <c r="L68" i="1"/>
  <c r="J68" i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P67" i="1"/>
  <c r="O67" i="1"/>
  <c r="N67" i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M67" i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L67" i="1"/>
  <c r="K67" i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J67" i="1"/>
  <c r="C67" i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B66" i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L63" i="1"/>
  <c r="L64" i="1" s="1"/>
  <c r="L65" i="1" s="1"/>
  <c r="O62" i="1"/>
  <c r="O63" i="1" s="1"/>
  <c r="O64" i="1" s="1"/>
  <c r="O65" i="1" s="1"/>
  <c r="L62" i="1"/>
  <c r="AT61" i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P61" i="1"/>
  <c r="P62" i="1" s="1"/>
  <c r="P63" i="1" s="1"/>
  <c r="P64" i="1" s="1"/>
  <c r="P65" i="1" s="1"/>
  <c r="O61" i="1"/>
  <c r="L61" i="1"/>
  <c r="J61" i="1"/>
  <c r="J62" i="1" s="1"/>
  <c r="J63" i="1" s="1"/>
  <c r="J64" i="1" s="1"/>
  <c r="J65" i="1" s="1"/>
  <c r="AT60" i="1"/>
  <c r="P60" i="1"/>
  <c r="O60" i="1"/>
  <c r="N60" i="1"/>
  <c r="N61" i="1" s="1"/>
  <c r="N62" i="1" s="1"/>
  <c r="N63" i="1" s="1"/>
  <c r="N64" i="1" s="1"/>
  <c r="N65" i="1" s="1"/>
  <c r="M60" i="1"/>
  <c r="M61" i="1" s="1"/>
  <c r="M62" i="1" s="1"/>
  <c r="M63" i="1" s="1"/>
  <c r="M64" i="1" s="1"/>
  <c r="M65" i="1" s="1"/>
  <c r="L60" i="1"/>
  <c r="K60" i="1"/>
  <c r="K61" i="1" s="1"/>
  <c r="K62" i="1" s="1"/>
  <c r="K63" i="1" s="1"/>
  <c r="K64" i="1" s="1"/>
  <c r="K65" i="1" s="1"/>
  <c r="J60" i="1"/>
  <c r="C60" i="1"/>
  <c r="C61" i="1" s="1"/>
  <c r="C62" i="1" s="1"/>
  <c r="C63" i="1" s="1"/>
  <c r="C64" i="1" s="1"/>
  <c r="C65" i="1" s="1"/>
  <c r="AT59" i="1"/>
  <c r="AR59" i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W58" i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U58" i="1"/>
  <c r="AU59" i="1" s="1"/>
  <c r="AU60" i="1" s="1"/>
  <c r="AU61" i="1" s="1"/>
  <c r="AU62" i="1" s="1"/>
  <c r="AU63" i="1" s="1"/>
  <c r="AU64" i="1" s="1"/>
  <c r="AU65" i="1" s="1"/>
  <c r="AU66" i="1" s="1"/>
  <c r="AU67" i="1" s="1"/>
  <c r="AU68" i="1" s="1"/>
  <c r="AU69" i="1" s="1"/>
  <c r="AU70" i="1" s="1"/>
  <c r="AU71" i="1" s="1"/>
  <c r="AU72" i="1" s="1"/>
  <c r="AU73" i="1" s="1"/>
  <c r="AU74" i="1" s="1"/>
  <c r="AT58" i="1"/>
  <c r="AS58" i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R58" i="1"/>
  <c r="AX57" i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W57" i="1"/>
  <c r="AV57" i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U57" i="1"/>
  <c r="AT57" i="1"/>
  <c r="AS57" i="1"/>
  <c r="AR57" i="1"/>
  <c r="AK57" i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J57" i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A55" i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X54" i="1"/>
  <c r="AX55" i="1" s="1"/>
  <c r="AF54" i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D54" i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A54" i="1"/>
  <c r="AX53" i="1"/>
  <c r="AK53" i="1"/>
  <c r="AK54" i="1" s="1"/>
  <c r="AK55" i="1" s="1"/>
  <c r="AG53" i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F53" i="1"/>
  <c r="AE53" i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D53" i="1"/>
  <c r="AA53" i="1"/>
  <c r="AX52" i="1"/>
  <c r="AV52" i="1"/>
  <c r="AV53" i="1" s="1"/>
  <c r="AV54" i="1" s="1"/>
  <c r="AV55" i="1" s="1"/>
  <c r="AT52" i="1"/>
  <c r="AT53" i="1" s="1"/>
  <c r="AT54" i="1" s="1"/>
  <c r="AT55" i="1" s="1"/>
  <c r="AR52" i="1"/>
  <c r="AR53" i="1" s="1"/>
  <c r="AR54" i="1" s="1"/>
  <c r="AR55" i="1" s="1"/>
  <c r="AK52" i="1"/>
  <c r="AG52" i="1"/>
  <c r="AF52" i="1"/>
  <c r="AE52" i="1"/>
  <c r="AD52" i="1"/>
  <c r="AC52" i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B52" i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A52" i="1"/>
  <c r="T52" i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AX51" i="1"/>
  <c r="AW51" i="1"/>
  <c r="AW52" i="1" s="1"/>
  <c r="AW53" i="1" s="1"/>
  <c r="AW54" i="1" s="1"/>
  <c r="AW55" i="1" s="1"/>
  <c r="AV51" i="1"/>
  <c r="AU51" i="1"/>
  <c r="AU52" i="1" s="1"/>
  <c r="AU53" i="1" s="1"/>
  <c r="AU54" i="1" s="1"/>
  <c r="AU55" i="1" s="1"/>
  <c r="AT51" i="1"/>
  <c r="AS51" i="1"/>
  <c r="AS52" i="1" s="1"/>
  <c r="AS53" i="1" s="1"/>
  <c r="AS54" i="1" s="1"/>
  <c r="AS55" i="1" s="1"/>
  <c r="AR51" i="1"/>
  <c r="AK51" i="1"/>
  <c r="O51" i="1"/>
  <c r="O52" i="1" s="1"/>
  <c r="O53" i="1" s="1"/>
  <c r="O54" i="1" s="1"/>
  <c r="O55" i="1" s="1"/>
  <c r="O56" i="1" s="1"/>
  <c r="O57" i="1" s="1"/>
  <c r="O58" i="1" s="1"/>
  <c r="P50" i="1"/>
  <c r="P51" i="1" s="1"/>
  <c r="P52" i="1" s="1"/>
  <c r="P53" i="1" s="1"/>
  <c r="P54" i="1" s="1"/>
  <c r="P55" i="1" s="1"/>
  <c r="P56" i="1" s="1"/>
  <c r="P57" i="1" s="1"/>
  <c r="P58" i="1" s="1"/>
  <c r="O50" i="1"/>
  <c r="L50" i="1"/>
  <c r="L51" i="1" s="1"/>
  <c r="L52" i="1" s="1"/>
  <c r="L53" i="1" s="1"/>
  <c r="L54" i="1" s="1"/>
  <c r="L55" i="1" s="1"/>
  <c r="L56" i="1" s="1"/>
  <c r="L57" i="1" s="1"/>
  <c r="L58" i="1" s="1"/>
  <c r="J50" i="1"/>
  <c r="J51" i="1" s="1"/>
  <c r="J52" i="1" s="1"/>
  <c r="J53" i="1" s="1"/>
  <c r="J54" i="1" s="1"/>
  <c r="J55" i="1" s="1"/>
  <c r="J56" i="1" s="1"/>
  <c r="J57" i="1" s="1"/>
  <c r="J58" i="1" s="1"/>
  <c r="P49" i="1"/>
  <c r="O49" i="1"/>
  <c r="N49" i="1"/>
  <c r="N50" i="1" s="1"/>
  <c r="N51" i="1" s="1"/>
  <c r="N52" i="1" s="1"/>
  <c r="N53" i="1" s="1"/>
  <c r="N54" i="1" s="1"/>
  <c r="N55" i="1" s="1"/>
  <c r="N56" i="1" s="1"/>
  <c r="N57" i="1" s="1"/>
  <c r="N58" i="1" s="1"/>
  <c r="M49" i="1"/>
  <c r="M50" i="1" s="1"/>
  <c r="M51" i="1" s="1"/>
  <c r="M52" i="1" s="1"/>
  <c r="M53" i="1" s="1"/>
  <c r="M54" i="1" s="1"/>
  <c r="M55" i="1" s="1"/>
  <c r="M56" i="1" s="1"/>
  <c r="M57" i="1" s="1"/>
  <c r="M58" i="1" s="1"/>
  <c r="L49" i="1"/>
  <c r="K49" i="1"/>
  <c r="K50" i="1" s="1"/>
  <c r="K51" i="1" s="1"/>
  <c r="K52" i="1" s="1"/>
  <c r="K53" i="1" s="1"/>
  <c r="K54" i="1" s="1"/>
  <c r="K55" i="1" s="1"/>
  <c r="K56" i="1" s="1"/>
  <c r="K57" i="1" s="1"/>
  <c r="K58" i="1" s="1"/>
  <c r="J49" i="1"/>
  <c r="C49" i="1"/>
  <c r="C50" i="1" s="1"/>
  <c r="C51" i="1" s="1"/>
  <c r="C52" i="1" s="1"/>
  <c r="C53" i="1" s="1"/>
  <c r="C54" i="1" s="1"/>
  <c r="C55" i="1" s="1"/>
  <c r="C56" i="1" s="1"/>
  <c r="C57" i="1" s="1"/>
  <c r="C58" i="1" s="1"/>
  <c r="AW47" i="1"/>
  <c r="AW48" i="1" s="1"/>
  <c r="AW49" i="1" s="1"/>
  <c r="AU47" i="1"/>
  <c r="AU48" i="1" s="1"/>
  <c r="AU49" i="1" s="1"/>
  <c r="AS47" i="1"/>
  <c r="AS48" i="1" s="1"/>
  <c r="AS49" i="1" s="1"/>
  <c r="AX46" i="1"/>
  <c r="AX47" i="1" s="1"/>
  <c r="AX48" i="1" s="1"/>
  <c r="AX49" i="1" s="1"/>
  <c r="AW46" i="1"/>
  <c r="AV46" i="1"/>
  <c r="AV47" i="1" s="1"/>
  <c r="AV48" i="1" s="1"/>
  <c r="AV49" i="1" s="1"/>
  <c r="AU46" i="1"/>
  <c r="AT46" i="1"/>
  <c r="AT47" i="1" s="1"/>
  <c r="AT48" i="1" s="1"/>
  <c r="AT49" i="1" s="1"/>
  <c r="AS46" i="1"/>
  <c r="AR46" i="1"/>
  <c r="AR47" i="1" s="1"/>
  <c r="AR48" i="1" s="1"/>
  <c r="AR49" i="1" s="1"/>
  <c r="AK46" i="1"/>
  <c r="AK47" i="1" s="1"/>
  <c r="AK48" i="1" s="1"/>
  <c r="AK49" i="1" s="1"/>
  <c r="K41" i="1"/>
  <c r="K42" i="1" s="1"/>
  <c r="K43" i="1" s="1"/>
  <c r="K44" i="1" s="1"/>
  <c r="K45" i="1" s="1"/>
  <c r="K46" i="1" s="1"/>
  <c r="P40" i="1"/>
  <c r="P41" i="1" s="1"/>
  <c r="P42" i="1" s="1"/>
  <c r="P43" i="1" s="1"/>
  <c r="P44" i="1" s="1"/>
  <c r="P45" i="1" s="1"/>
  <c r="P46" i="1" s="1"/>
  <c r="P47" i="1" s="1"/>
  <c r="N40" i="1"/>
  <c r="N41" i="1" s="1"/>
  <c r="N42" i="1" s="1"/>
  <c r="N43" i="1" s="1"/>
  <c r="N44" i="1" s="1"/>
  <c r="N45" i="1" s="1"/>
  <c r="N46" i="1" s="1"/>
  <c r="K40" i="1"/>
  <c r="P39" i="1"/>
  <c r="O39" i="1"/>
  <c r="O40" i="1" s="1"/>
  <c r="O41" i="1" s="1"/>
  <c r="O42" i="1" s="1"/>
  <c r="O43" i="1" s="1"/>
  <c r="O44" i="1" s="1"/>
  <c r="O45" i="1" s="1"/>
  <c r="O46" i="1" s="1"/>
  <c r="O47" i="1" s="1"/>
  <c r="N39" i="1"/>
  <c r="K39" i="1"/>
  <c r="C39" i="1"/>
  <c r="C40" i="1" s="1"/>
  <c r="C41" i="1" s="1"/>
  <c r="C42" i="1" s="1"/>
  <c r="C43" i="1" s="1"/>
  <c r="C44" i="1" s="1"/>
  <c r="C45" i="1" s="1"/>
  <c r="C46" i="1" s="1"/>
  <c r="P38" i="1"/>
  <c r="O38" i="1"/>
  <c r="N38" i="1"/>
  <c r="M38" i="1"/>
  <c r="M39" i="1" s="1"/>
  <c r="M40" i="1" s="1"/>
  <c r="M41" i="1" s="1"/>
  <c r="M42" i="1" s="1"/>
  <c r="M43" i="1" s="1"/>
  <c r="M44" i="1" s="1"/>
  <c r="M45" i="1" s="1"/>
  <c r="M46" i="1" s="1"/>
  <c r="L38" i="1"/>
  <c r="L39" i="1" s="1"/>
  <c r="L40" i="1" s="1"/>
  <c r="L41" i="1" s="1"/>
  <c r="L42" i="1" s="1"/>
  <c r="L43" i="1" s="1"/>
  <c r="L44" i="1" s="1"/>
  <c r="L45" i="1" s="1"/>
  <c r="L46" i="1" s="1"/>
  <c r="K38" i="1"/>
  <c r="J38" i="1"/>
  <c r="J39" i="1" s="1"/>
  <c r="J40" i="1" s="1"/>
  <c r="J41" i="1" s="1"/>
  <c r="J42" i="1" s="1"/>
  <c r="J43" i="1" s="1"/>
  <c r="J44" i="1" s="1"/>
  <c r="J45" i="1" s="1"/>
  <c r="J46" i="1" s="1"/>
  <c r="C38" i="1"/>
  <c r="AK37" i="1"/>
  <c r="AK38" i="1" s="1"/>
  <c r="AK39" i="1" s="1"/>
  <c r="AK40" i="1" s="1"/>
  <c r="AK41" i="1" s="1"/>
  <c r="AK42" i="1" s="1"/>
  <c r="AK43" i="1" s="1"/>
  <c r="AK44" i="1" s="1"/>
  <c r="AV36" i="1"/>
  <c r="AV37" i="1" s="1"/>
  <c r="AV38" i="1" s="1"/>
  <c r="AV39" i="1" s="1"/>
  <c r="AV40" i="1" s="1"/>
  <c r="AV41" i="1" s="1"/>
  <c r="AV42" i="1" s="1"/>
  <c r="AV43" i="1" s="1"/>
  <c r="AV44" i="1" s="1"/>
  <c r="AT36" i="1"/>
  <c r="AT37" i="1" s="1"/>
  <c r="AT38" i="1" s="1"/>
  <c r="AT39" i="1" s="1"/>
  <c r="AT40" i="1" s="1"/>
  <c r="AT41" i="1" s="1"/>
  <c r="AT42" i="1" s="1"/>
  <c r="AT43" i="1" s="1"/>
  <c r="AT44" i="1" s="1"/>
  <c r="AK36" i="1"/>
  <c r="AB36" i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T36" i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AW35" i="1"/>
  <c r="AW36" i="1" s="1"/>
  <c r="AW37" i="1" s="1"/>
  <c r="AW38" i="1" s="1"/>
  <c r="AW39" i="1" s="1"/>
  <c r="AW40" i="1" s="1"/>
  <c r="AW41" i="1" s="1"/>
  <c r="AW42" i="1" s="1"/>
  <c r="AW43" i="1" s="1"/>
  <c r="AW44" i="1" s="1"/>
  <c r="AV35" i="1"/>
  <c r="AU35" i="1"/>
  <c r="AU36" i="1" s="1"/>
  <c r="AU37" i="1" s="1"/>
  <c r="AU38" i="1" s="1"/>
  <c r="AU39" i="1" s="1"/>
  <c r="AU40" i="1" s="1"/>
  <c r="AU41" i="1" s="1"/>
  <c r="AU42" i="1" s="1"/>
  <c r="AU43" i="1" s="1"/>
  <c r="AU44" i="1" s="1"/>
  <c r="AT35" i="1"/>
  <c r="AK35" i="1"/>
  <c r="AG35" i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E35" i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C35" i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B35" i="1"/>
  <c r="AA35" i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T35" i="1"/>
  <c r="AX34" i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W34" i="1"/>
  <c r="AV34" i="1"/>
  <c r="AU34" i="1"/>
  <c r="AT34" i="1"/>
  <c r="AS34" i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R34" i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K34" i="1"/>
  <c r="AG34" i="1"/>
  <c r="AF34" i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E34" i="1"/>
  <c r="AD34" i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C34" i="1"/>
  <c r="AB34" i="1"/>
  <c r="AA34" i="1"/>
  <c r="T34" i="1"/>
  <c r="AW31" i="1"/>
  <c r="AV31" i="1"/>
  <c r="AU31" i="1"/>
  <c r="AT31" i="1"/>
  <c r="AK31" i="1"/>
  <c r="AX30" i="1"/>
  <c r="AX31" i="1" s="1"/>
  <c r="AW30" i="1"/>
  <c r="AV30" i="1"/>
  <c r="AU30" i="1"/>
  <c r="AT30" i="1"/>
  <c r="AS30" i="1"/>
  <c r="AS31" i="1" s="1"/>
  <c r="AR30" i="1"/>
  <c r="AR31" i="1" s="1"/>
  <c r="AK30" i="1"/>
  <c r="P30" i="1"/>
  <c r="P31" i="1" s="1"/>
  <c r="P32" i="1" s="1"/>
  <c r="P33" i="1" s="1"/>
  <c r="P34" i="1" s="1"/>
  <c r="P35" i="1" s="1"/>
  <c r="P36" i="1" s="1"/>
  <c r="P29" i="1"/>
  <c r="C29" i="1"/>
  <c r="C30" i="1" s="1"/>
  <c r="C31" i="1" s="1"/>
  <c r="C32" i="1" s="1"/>
  <c r="C33" i="1" s="1"/>
  <c r="C34" i="1" s="1"/>
  <c r="C35" i="1" s="1"/>
  <c r="C36" i="1" s="1"/>
  <c r="P28" i="1"/>
  <c r="N28" i="1"/>
  <c r="N29" i="1" s="1"/>
  <c r="N30" i="1" s="1"/>
  <c r="N31" i="1" s="1"/>
  <c r="N32" i="1" s="1"/>
  <c r="N33" i="1" s="1"/>
  <c r="N34" i="1" s="1"/>
  <c r="N35" i="1" s="1"/>
  <c r="N36" i="1" s="1"/>
  <c r="L28" i="1"/>
  <c r="L29" i="1" s="1"/>
  <c r="L30" i="1" s="1"/>
  <c r="L31" i="1" s="1"/>
  <c r="L32" i="1" s="1"/>
  <c r="L33" i="1" s="1"/>
  <c r="L34" i="1" s="1"/>
  <c r="L35" i="1" s="1"/>
  <c r="L36" i="1" s="1"/>
  <c r="J28" i="1"/>
  <c r="J29" i="1" s="1"/>
  <c r="J30" i="1" s="1"/>
  <c r="J31" i="1" s="1"/>
  <c r="J32" i="1" s="1"/>
  <c r="J33" i="1" s="1"/>
  <c r="J34" i="1" s="1"/>
  <c r="J35" i="1" s="1"/>
  <c r="J36" i="1" s="1"/>
  <c r="C28" i="1"/>
  <c r="P27" i="1"/>
  <c r="O27" i="1"/>
  <c r="O28" i="1" s="1"/>
  <c r="O29" i="1" s="1"/>
  <c r="O30" i="1" s="1"/>
  <c r="O31" i="1" s="1"/>
  <c r="O32" i="1" s="1"/>
  <c r="O33" i="1" s="1"/>
  <c r="O34" i="1" s="1"/>
  <c r="O35" i="1" s="1"/>
  <c r="O36" i="1" s="1"/>
  <c r="N27" i="1"/>
  <c r="M27" i="1"/>
  <c r="M28" i="1" s="1"/>
  <c r="M29" i="1" s="1"/>
  <c r="M30" i="1" s="1"/>
  <c r="M31" i="1" s="1"/>
  <c r="M32" i="1" s="1"/>
  <c r="M33" i="1" s="1"/>
  <c r="M34" i="1" s="1"/>
  <c r="M35" i="1" s="1"/>
  <c r="M36" i="1" s="1"/>
  <c r="L27" i="1"/>
  <c r="K27" i="1"/>
  <c r="K28" i="1" s="1"/>
  <c r="K29" i="1" s="1"/>
  <c r="K30" i="1" s="1"/>
  <c r="K31" i="1" s="1"/>
  <c r="K32" i="1" s="1"/>
  <c r="K33" i="1" s="1"/>
  <c r="K34" i="1" s="1"/>
  <c r="K35" i="1" s="1"/>
  <c r="K36" i="1" s="1"/>
  <c r="J27" i="1"/>
  <c r="C27" i="1"/>
  <c r="AB22" i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J22" i="1"/>
  <c r="J23" i="1" s="1"/>
  <c r="J24" i="1" s="1"/>
  <c r="J25" i="1" s="1"/>
  <c r="AG21" i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E21" i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B21" i="1"/>
  <c r="O21" i="1"/>
  <c r="O22" i="1" s="1"/>
  <c r="O23" i="1" s="1"/>
  <c r="O24" i="1" s="1"/>
  <c r="O25" i="1" s="1"/>
  <c r="M21" i="1"/>
  <c r="M22" i="1" s="1"/>
  <c r="M23" i="1" s="1"/>
  <c r="M24" i="1" s="1"/>
  <c r="M25" i="1" s="1"/>
  <c r="K21" i="1"/>
  <c r="K22" i="1" s="1"/>
  <c r="K23" i="1" s="1"/>
  <c r="K24" i="1" s="1"/>
  <c r="K25" i="1" s="1"/>
  <c r="J21" i="1"/>
  <c r="C21" i="1"/>
  <c r="C22" i="1" s="1"/>
  <c r="C23" i="1" s="1"/>
  <c r="C24" i="1" s="1"/>
  <c r="C25" i="1" s="1"/>
  <c r="AG20" i="1"/>
  <c r="AF20" i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E20" i="1"/>
  <c r="AB20" i="1"/>
  <c r="T20" i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P20" i="1"/>
  <c r="P21" i="1" s="1"/>
  <c r="P22" i="1" s="1"/>
  <c r="P23" i="1" s="1"/>
  <c r="P24" i="1" s="1"/>
  <c r="P25" i="1" s="1"/>
  <c r="O20" i="1"/>
  <c r="N20" i="1"/>
  <c r="N21" i="1" s="1"/>
  <c r="N22" i="1" s="1"/>
  <c r="N23" i="1" s="1"/>
  <c r="N24" i="1" s="1"/>
  <c r="N25" i="1" s="1"/>
  <c r="M20" i="1"/>
  <c r="L20" i="1"/>
  <c r="L21" i="1" s="1"/>
  <c r="L22" i="1" s="1"/>
  <c r="L23" i="1" s="1"/>
  <c r="L24" i="1" s="1"/>
  <c r="L25" i="1" s="1"/>
  <c r="K20" i="1"/>
  <c r="J20" i="1"/>
  <c r="C20" i="1"/>
  <c r="AG19" i="1"/>
  <c r="AF19" i="1"/>
  <c r="AE19" i="1"/>
  <c r="AD19" i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C19" i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B19" i="1"/>
  <c r="AA19" i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T19" i="1"/>
  <c r="AT18" i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P18" i="1"/>
  <c r="AT17" i="1"/>
  <c r="AS17" i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K17" i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G17" i="1"/>
  <c r="AE17" i="1"/>
  <c r="T17" i="1"/>
  <c r="S17" i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P17" i="1"/>
  <c r="O17" i="1"/>
  <c r="O18" i="1" s="1"/>
  <c r="AX16" i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W16" i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V16" i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U16" i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T16" i="1"/>
  <c r="AS16" i="1"/>
  <c r="AR16" i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K16" i="1"/>
  <c r="AJ16" i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G16" i="1"/>
  <c r="AF16" i="1"/>
  <c r="AF17" i="1" s="1"/>
  <c r="AE16" i="1"/>
  <c r="AD16" i="1"/>
  <c r="AD17" i="1" s="1"/>
  <c r="AC16" i="1"/>
  <c r="AC17" i="1" s="1"/>
  <c r="AB16" i="1"/>
  <c r="AB17" i="1" s="1"/>
  <c r="AA16" i="1"/>
  <c r="AA17" i="1" s="1"/>
  <c r="T16" i="1"/>
  <c r="S16" i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A14" i="1"/>
</calcChain>
</file>

<file path=xl/sharedStrings.xml><?xml version="1.0" encoding="utf-8"?>
<sst xmlns="http://schemas.openxmlformats.org/spreadsheetml/2006/main" count="1328" uniqueCount="101">
  <si>
    <t>TIEMPOS DE ESPERA RECLAMO DE EQUIPAJE</t>
  </si>
  <si>
    <t>Marzo</t>
  </si>
  <si>
    <t>Abril</t>
  </si>
  <si>
    <t>JUNIO</t>
  </si>
  <si>
    <t>LÍNEA AÉREA</t>
  </si>
  <si>
    <t># Vuelo</t>
  </si>
  <si>
    <t>HORA AERONAVE POSICIÓN</t>
  </si>
  <si>
    <r>
      <t xml:space="preserve">HORA                             </t>
    </r>
    <r>
      <rPr>
        <b/>
        <u/>
        <sz val="9"/>
        <color theme="3"/>
        <rFont val="Calibri"/>
        <family val="2"/>
        <scheme val="minor"/>
      </rPr>
      <t>PRIMER MALETA</t>
    </r>
  </si>
  <si>
    <t>Tiempo</t>
  </si>
  <si>
    <r>
      <t xml:space="preserve">HORA                     </t>
    </r>
    <r>
      <rPr>
        <b/>
        <sz val="9"/>
        <color theme="3"/>
        <rFont val="Calibri"/>
        <family val="2"/>
        <scheme val="minor"/>
      </rPr>
      <t>ÚLTIMA MALETA</t>
    </r>
  </si>
  <si>
    <t>FECHA</t>
  </si>
  <si>
    <t>Nacional/ Internacional</t>
  </si>
  <si>
    <r>
      <t xml:space="preserve">Promedio por      </t>
    </r>
    <r>
      <rPr>
        <b/>
        <sz val="10"/>
        <color theme="3"/>
        <rFont val="Calibri"/>
        <family val="2"/>
        <scheme val="minor"/>
      </rPr>
      <t>número de vuelo 1er Maleta</t>
    </r>
  </si>
  <si>
    <r>
      <t xml:space="preserve">Promedio por         </t>
    </r>
    <r>
      <rPr>
        <b/>
        <sz val="10"/>
        <color theme="3"/>
        <rFont val="Calibri"/>
        <family val="2"/>
        <scheme val="minor"/>
      </rPr>
      <t>número de vuelo última Maleta</t>
    </r>
  </si>
  <si>
    <r>
      <t xml:space="preserve">Tiempo promedio de todo el proceso </t>
    </r>
    <r>
      <rPr>
        <b/>
        <sz val="10"/>
        <color theme="3"/>
        <rFont val="Calibri"/>
        <family val="2"/>
        <scheme val="minor"/>
      </rPr>
      <t>por número de Vuelo</t>
    </r>
  </si>
  <si>
    <t>Equipo</t>
  </si>
  <si>
    <t>Capacidad</t>
  </si>
  <si>
    <t>Procedencia</t>
  </si>
  <si>
    <t>MEXICO AEREO</t>
  </si>
  <si>
    <t>Nacional</t>
  </si>
  <si>
    <t>ER4</t>
  </si>
  <si>
    <t>MEX</t>
  </si>
  <si>
    <t>Internacional</t>
  </si>
  <si>
    <t>DFW</t>
  </si>
  <si>
    <t>QRO</t>
  </si>
  <si>
    <t xml:space="preserve">No encontrado, probable error </t>
  </si>
  <si>
    <t>TLC</t>
  </si>
  <si>
    <t>HMO</t>
  </si>
  <si>
    <t>MTY</t>
  </si>
  <si>
    <t>PVR</t>
  </si>
  <si>
    <t>MID</t>
  </si>
  <si>
    <t>L</t>
  </si>
  <si>
    <t>SAT</t>
  </si>
  <si>
    <t>CUU</t>
  </si>
  <si>
    <t>TIJ</t>
  </si>
  <si>
    <t>CUL</t>
  </si>
  <si>
    <t>CJS</t>
  </si>
  <si>
    <t>MTV</t>
  </si>
  <si>
    <t>ZCL</t>
  </si>
  <si>
    <t>B737-800</t>
  </si>
  <si>
    <t>LAX</t>
  </si>
  <si>
    <t>ONT</t>
  </si>
  <si>
    <t>LAP</t>
  </si>
  <si>
    <t>SFO</t>
  </si>
  <si>
    <t>ORD</t>
  </si>
  <si>
    <t>B737-700</t>
  </si>
  <si>
    <t>CUN</t>
  </si>
  <si>
    <t xml:space="preserve">POSIBLE ERROR </t>
  </si>
  <si>
    <t>SMF</t>
  </si>
  <si>
    <t>FAT</t>
  </si>
  <si>
    <t>E90</t>
  </si>
  <si>
    <t>VUELOS AL NORTE</t>
  </si>
  <si>
    <t>SEA</t>
  </si>
  <si>
    <t>AEROLINEAS DE AMERICA</t>
  </si>
  <si>
    <t>IAH</t>
  </si>
  <si>
    <t>SNA</t>
  </si>
  <si>
    <t>M80</t>
  </si>
  <si>
    <t>A319</t>
  </si>
  <si>
    <t>VER</t>
  </si>
  <si>
    <t>COPA</t>
  </si>
  <si>
    <t>PTY</t>
  </si>
  <si>
    <t>AVIONES ROJOS</t>
  </si>
  <si>
    <t>CR9</t>
  </si>
  <si>
    <t>SLC</t>
  </si>
  <si>
    <t>ATL</t>
  </si>
  <si>
    <t>INTERAVIÓN</t>
  </si>
  <si>
    <t>SJD</t>
  </si>
  <si>
    <t>MXL</t>
  </si>
  <si>
    <t>LAS</t>
  </si>
  <si>
    <t xml:space="preserve">GRANRENTA </t>
  </si>
  <si>
    <t>TOR</t>
  </si>
  <si>
    <t>UNIDOS VOLAMOS</t>
  </si>
  <si>
    <t>VUELOS AL NORTE AIRLINES</t>
  </si>
  <si>
    <t>SJC</t>
  </si>
  <si>
    <t>VIAS AÉREAS DE USA</t>
  </si>
  <si>
    <t>CRJ 700</t>
  </si>
  <si>
    <t>PHX</t>
  </si>
  <si>
    <t>BARATA Y MORADA</t>
  </si>
  <si>
    <t>OAK</t>
  </si>
  <si>
    <t>B757-200</t>
  </si>
  <si>
    <t>MDW</t>
  </si>
  <si>
    <t>SU1</t>
  </si>
  <si>
    <t>COPA AIRLINES</t>
  </si>
  <si>
    <t>AVIONES ROJOS AIRLINES</t>
  </si>
  <si>
    <t>TGZ</t>
  </si>
  <si>
    <t>PBC</t>
  </si>
  <si>
    <t>LMM</t>
  </si>
  <si>
    <t xml:space="preserve">INTERAVIÓN </t>
  </si>
  <si>
    <t>SID</t>
  </si>
  <si>
    <t xml:space="preserve">Promedio General </t>
  </si>
  <si>
    <t xml:space="preserve">ER4 </t>
  </si>
  <si>
    <t>GRANRENTA</t>
  </si>
  <si>
    <t>AGU</t>
  </si>
  <si>
    <t>AEROLÍNEA TOR</t>
  </si>
  <si>
    <t>DGO</t>
  </si>
  <si>
    <t>UNIDOS VOLAMOS AIRLINES</t>
  </si>
  <si>
    <t>AIH</t>
  </si>
  <si>
    <t>CRJ700</t>
  </si>
  <si>
    <t>a319</t>
  </si>
  <si>
    <t>SAN</t>
  </si>
  <si>
    <t>No encontrado, probable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</si>
</sst>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 applyAlignment="1">
      <alignment vertical="center"/>
    </xf>
    <xf numFmtId="21" fontId="3" fillId="0" borderId="0" xfId="0" applyNumberFormat="1" applyFon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1" fontId="0" fillId="0" borderId="0" xfId="0" applyNumberFormat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21" fontId="3" fillId="0" borderId="2" xfId="0" applyNumberFormat="1" applyFont="1" applyBorder="1" applyAlignment="1">
      <alignment horizontal="center" vertical="center"/>
    </xf>
    <xf numFmtId="21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2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21" fontId="4" fillId="0" borderId="0" xfId="0" applyNumberFormat="1" applyFont="1" applyAlignment="1">
      <alignment horizontal="center" vertical="center"/>
    </xf>
    <xf numFmtId="21" fontId="3" fillId="0" borderId="4" xfId="0" applyNumberFormat="1" applyFont="1" applyBorder="1" applyAlignment="1">
      <alignment horizontal="center" vertical="center"/>
    </xf>
    <xf numFmtId="21" fontId="3" fillId="0" borderId="5" xfId="0" applyNumberFormat="1" applyFont="1" applyBorder="1" applyAlignment="1">
      <alignment horizontal="center" vertical="center"/>
    </xf>
    <xf numFmtId="21" fontId="3" fillId="0" borderId="6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3" borderId="0" xfId="0" applyFill="1"/>
    <xf numFmtId="0" fontId="6" fillId="2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21" fontId="7" fillId="4" borderId="17" xfId="0" applyNumberFormat="1" applyFont="1" applyFill="1" applyBorder="1" applyAlignment="1">
      <alignment horizontal="center" vertical="center" wrapText="1"/>
    </xf>
    <xf numFmtId="21" fontId="8" fillId="4" borderId="17" xfId="0" applyNumberFormat="1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1" fontId="0" fillId="0" borderId="17" xfId="0" applyNumberFormat="1" applyBorder="1" applyAlignment="1">
      <alignment horizontal="center" vertical="center"/>
    </xf>
    <xf numFmtId="21" fontId="1" fillId="0" borderId="17" xfId="0" applyNumberFormat="1" applyFont="1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1" fontId="13" fillId="0" borderId="18" xfId="0" applyNumberFormat="1" applyFont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1" fontId="0" fillId="0" borderId="26" xfId="0" applyNumberFormat="1" applyBorder="1" applyAlignment="1">
      <alignment vertical="center"/>
    </xf>
    <xf numFmtId="21" fontId="0" fillId="0" borderId="26" xfId="0" applyNumberFormat="1" applyBorder="1" applyAlignment="1">
      <alignment horizontal="center" vertical="center"/>
    </xf>
    <xf numFmtId="21" fontId="1" fillId="0" borderId="26" xfId="0" applyNumberFormat="1" applyFont="1" applyBorder="1" applyAlignment="1">
      <alignment horizontal="center" vertical="center"/>
    </xf>
    <xf numFmtId="15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1" fontId="0" fillId="0" borderId="27" xfId="0" applyNumberFormat="1" applyBorder="1" applyAlignment="1">
      <alignment horizontal="center" vertical="center"/>
    </xf>
    <xf numFmtId="46" fontId="0" fillId="0" borderId="27" xfId="0" applyNumberFormat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164" fontId="0" fillId="3" borderId="28" xfId="0" applyNumberFormat="1" applyFill="1" applyBorder="1" applyAlignment="1">
      <alignment horizontal="center" vertical="center"/>
    </xf>
    <xf numFmtId="164" fontId="0" fillId="3" borderId="26" xfId="0" applyNumberFormat="1" applyFill="1" applyBorder="1" applyAlignment="1">
      <alignment horizontal="center" vertical="center"/>
    </xf>
    <xf numFmtId="20" fontId="1" fillId="3" borderId="26" xfId="0" applyNumberFormat="1" applyFont="1" applyFill="1" applyBorder="1" applyAlignment="1">
      <alignment horizontal="center" vertical="center"/>
    </xf>
    <xf numFmtId="15" fontId="0" fillId="3" borderId="26" xfId="0" applyNumberForma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20" fontId="0" fillId="3" borderId="27" xfId="0" applyNumberFormat="1" applyFill="1" applyBorder="1" applyAlignment="1">
      <alignment horizontal="center" vertical="center"/>
    </xf>
    <xf numFmtId="20" fontId="0" fillId="3" borderId="26" xfId="0" applyNumberForma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21" fontId="0" fillId="0" borderId="2" xfId="0" applyNumberFormat="1" applyBorder="1" applyAlignment="1">
      <alignment vertical="center"/>
    </xf>
    <xf numFmtId="21" fontId="0" fillId="0" borderId="2" xfId="0" applyNumberFormat="1" applyBorder="1" applyAlignment="1">
      <alignment horizontal="center" vertical="center"/>
    </xf>
    <xf numFmtId="21" fontId="1" fillId="0" borderId="2" xfId="0" applyNumberFormat="1" applyFon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20" fontId="1" fillId="3" borderId="2" xfId="0" applyNumberFormat="1" applyFont="1" applyFill="1" applyBorder="1" applyAlignment="1">
      <alignment horizontal="center" vertical="center"/>
    </xf>
    <xf numFmtId="15" fontId="0" fillId="3" borderId="2" xfId="0" applyNumberFormat="1" applyFill="1" applyBorder="1" applyAlignment="1">
      <alignment horizontal="center" vertical="center"/>
    </xf>
    <xf numFmtId="0" fontId="0" fillId="5" borderId="23" xfId="0" applyFill="1" applyBorder="1" applyAlignment="1">
      <alignment horizontal="left" vertical="center"/>
    </xf>
    <xf numFmtId="21" fontId="0" fillId="0" borderId="30" xfId="0" applyNumberFormat="1" applyBorder="1" applyAlignment="1">
      <alignment vertical="center"/>
    </xf>
    <xf numFmtId="21" fontId="0" fillId="0" borderId="30" xfId="0" applyNumberFormat="1" applyBorder="1" applyAlignment="1">
      <alignment horizontal="center" vertical="center"/>
    </xf>
    <xf numFmtId="21" fontId="1" fillId="0" borderId="30" xfId="0" applyNumberFormat="1" applyFont="1" applyBorder="1" applyAlignment="1">
      <alignment horizontal="center" vertical="center"/>
    </xf>
    <xf numFmtId="15" fontId="0" fillId="0" borderId="30" xfId="0" applyNumberFormat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1" fontId="13" fillId="0" borderId="32" xfId="0" applyNumberFormat="1" applyFont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21" fontId="13" fillId="0" borderId="35" xfId="0" applyNumberFormat="1" applyFont="1" applyBorder="1" applyAlignment="1">
      <alignment horizontal="center" vertical="center"/>
    </xf>
    <xf numFmtId="164" fontId="0" fillId="3" borderId="36" xfId="0" applyNumberFormat="1" applyFill="1" applyBorder="1" applyAlignment="1">
      <alignment horizontal="center" vertical="center"/>
    </xf>
    <xf numFmtId="164" fontId="0" fillId="3" borderId="30" xfId="0" applyNumberFormat="1" applyFill="1" applyBorder="1" applyAlignment="1">
      <alignment horizontal="center" vertical="center"/>
    </xf>
    <xf numFmtId="20" fontId="1" fillId="3" borderId="30" xfId="0" applyNumberFormat="1" applyFont="1" applyFill="1" applyBorder="1" applyAlignment="1">
      <alignment horizontal="center" vertical="center"/>
    </xf>
    <xf numFmtId="15" fontId="0" fillId="3" borderId="30" xfId="0" applyNumberFormat="1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164" fontId="0" fillId="3" borderId="17" xfId="0" applyNumberFormat="1" applyFill="1" applyBorder="1" applyAlignment="1">
      <alignment horizontal="center" vertical="center"/>
    </xf>
    <xf numFmtId="20" fontId="1" fillId="3" borderId="17" xfId="0" applyNumberFormat="1" applyFont="1" applyFill="1" applyBorder="1" applyAlignment="1">
      <alignment horizontal="center" vertical="center"/>
    </xf>
    <xf numFmtId="15" fontId="0" fillId="3" borderId="17" xfId="0" applyNumberForma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20" fontId="0" fillId="3" borderId="17" xfId="0" applyNumberForma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15" fontId="0" fillId="0" borderId="27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21" fontId="0" fillId="0" borderId="40" xfId="0" applyNumberFormat="1" applyBorder="1" applyAlignment="1">
      <alignment horizontal="center" vertical="center"/>
    </xf>
    <xf numFmtId="21" fontId="1" fillId="0" borderId="40" xfId="0" applyNumberFormat="1" applyFont="1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21" fontId="0" fillId="0" borderId="41" xfId="0" applyNumberFormat="1" applyBorder="1" applyAlignment="1">
      <alignment horizontal="center" vertical="center"/>
    </xf>
    <xf numFmtId="21" fontId="13" fillId="0" borderId="42" xfId="0" applyNumberFormat="1" applyFont="1" applyBorder="1" applyAlignment="1">
      <alignment horizontal="center" vertical="center"/>
    </xf>
    <xf numFmtId="21" fontId="0" fillId="3" borderId="2" xfId="0" applyNumberFormat="1" applyFill="1" applyBorder="1" applyAlignment="1">
      <alignment horizontal="center" vertical="center"/>
    </xf>
    <xf numFmtId="21" fontId="1" fillId="3" borderId="2" xfId="0" applyNumberFormat="1" applyFont="1" applyFill="1" applyBorder="1" applyAlignment="1">
      <alignment horizontal="center" vertical="center"/>
    </xf>
    <xf numFmtId="21" fontId="0" fillId="0" borderId="5" xfId="0" applyNumberFormat="1" applyBorder="1" applyAlignment="1">
      <alignment horizontal="center" vertical="center"/>
    </xf>
    <xf numFmtId="21" fontId="1" fillId="0" borderId="5" xfId="0" applyNumberFormat="1" applyFont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20" fontId="0" fillId="3" borderId="21" xfId="0" applyNumberForma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46" fontId="0" fillId="3" borderId="27" xfId="0" applyNumberForma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1" fontId="0" fillId="3" borderId="27" xfId="0" applyNumberForma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1" fontId="0" fillId="0" borderId="17" xfId="0" applyNumberFormat="1" applyBorder="1" applyAlignment="1">
      <alignment vertical="center"/>
    </xf>
    <xf numFmtId="21" fontId="0" fillId="0" borderId="18" xfId="0" applyNumberFormat="1" applyBorder="1" applyAlignment="1">
      <alignment horizontal="center" vertical="center"/>
    </xf>
    <xf numFmtId="0" fontId="0" fillId="5" borderId="0" xfId="0" applyFill="1"/>
    <xf numFmtId="46" fontId="13" fillId="0" borderId="32" xfId="0" applyNumberFormat="1" applyFont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64" fontId="13" fillId="3" borderId="2" xfId="0" applyNumberFormat="1" applyFont="1" applyFill="1" applyBorder="1" applyAlignment="1">
      <alignment horizontal="center" vertical="center"/>
    </xf>
    <xf numFmtId="46" fontId="13" fillId="0" borderId="18" xfId="0" applyNumberFormat="1" applyFon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21" fontId="0" fillId="3" borderId="17" xfId="0" applyNumberFormat="1" applyFill="1" applyBorder="1" applyAlignment="1">
      <alignment horizontal="center" vertical="center"/>
    </xf>
    <xf numFmtId="21" fontId="1" fillId="3" borderId="17" xfId="0" applyNumberFormat="1" applyFont="1" applyFill="1" applyBorder="1" applyAlignment="1">
      <alignment horizontal="center" vertical="center"/>
    </xf>
    <xf numFmtId="21" fontId="0" fillId="3" borderId="17" xfId="0" applyNumberFormat="1" applyFill="1" applyBorder="1" applyAlignment="1">
      <alignment vertical="center"/>
    </xf>
    <xf numFmtId="46" fontId="13" fillId="3" borderId="18" xfId="0" applyNumberFormat="1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21" fontId="0" fillId="3" borderId="26" xfId="0" applyNumberFormat="1" applyFill="1" applyBorder="1" applyAlignment="1">
      <alignment horizontal="center" vertical="center"/>
    </xf>
    <xf numFmtId="21" fontId="1" fillId="3" borderId="26" xfId="0" applyNumberFormat="1" applyFont="1" applyFill="1" applyBorder="1" applyAlignment="1">
      <alignment horizontal="center" vertical="center"/>
    </xf>
    <xf numFmtId="46" fontId="13" fillId="3" borderId="32" xfId="0" applyNumberFormat="1" applyFont="1" applyFill="1" applyBorder="1" applyAlignment="1">
      <alignment horizontal="center" vertical="center"/>
    </xf>
    <xf numFmtId="164" fontId="0" fillId="3" borderId="47" xfId="0" applyNumberForma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center" vertical="center"/>
    </xf>
    <xf numFmtId="20" fontId="1" fillId="3" borderId="40" xfId="0" applyNumberFormat="1" applyFont="1" applyFill="1" applyBorder="1" applyAlignment="1">
      <alignment horizontal="center" vertical="center"/>
    </xf>
    <xf numFmtId="15" fontId="0" fillId="3" borderId="40" xfId="0" applyNumberFormat="1" applyFill="1" applyBorder="1" applyAlignment="1">
      <alignment horizontal="center" vertical="center"/>
    </xf>
    <xf numFmtId="20" fontId="0" fillId="3" borderId="40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20" fontId="1" fillId="3" borderId="5" xfId="0" applyNumberFormat="1" applyFont="1" applyFill="1" applyBorder="1" applyAlignment="1">
      <alignment horizontal="center" vertical="center"/>
    </xf>
    <xf numFmtId="15" fontId="0" fillId="3" borderId="5" xfId="0" applyNumberForma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21" fontId="0" fillId="5" borderId="20" xfId="0" applyNumberFormat="1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46" fontId="0" fillId="5" borderId="44" xfId="0" applyNumberFormat="1" applyFill="1" applyBorder="1" applyAlignment="1">
      <alignment horizontal="center" vertical="center"/>
    </xf>
    <xf numFmtId="21" fontId="0" fillId="0" borderId="44" xfId="0" applyNumberFormat="1" applyBorder="1" applyAlignment="1">
      <alignment horizontal="center" vertical="center"/>
    </xf>
    <xf numFmtId="46" fontId="13" fillId="0" borderId="0" xfId="0" applyNumberFormat="1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1" fontId="13" fillId="0" borderId="26" xfId="0" applyNumberFormat="1" applyFont="1" applyBorder="1" applyAlignment="1">
      <alignment horizontal="center" vertical="center"/>
    </xf>
    <xf numFmtId="21" fontId="14" fillId="0" borderId="2" xfId="0" applyNumberFormat="1" applyFont="1" applyBorder="1" applyAlignment="1">
      <alignment horizontal="center" vertical="center"/>
    </xf>
    <xf numFmtId="15" fontId="0" fillId="3" borderId="27" xfId="0" applyNumberFormat="1" applyFill="1" applyBorder="1" applyAlignment="1">
      <alignment horizontal="center" vertical="center"/>
    </xf>
    <xf numFmtId="21" fontId="13" fillId="3" borderId="32" xfId="0" applyNumberFormat="1" applyFont="1" applyFill="1" applyBorder="1" applyAlignment="1">
      <alignment horizontal="center" vertical="center"/>
    </xf>
    <xf numFmtId="21" fontId="0" fillId="3" borderId="30" xfId="0" applyNumberFormat="1" applyFill="1" applyBorder="1" applyAlignment="1">
      <alignment horizontal="center" vertical="center"/>
    </xf>
    <xf numFmtId="21" fontId="1" fillId="3" borderId="30" xfId="0" applyNumberFormat="1" applyFont="1" applyFill="1" applyBorder="1" applyAlignment="1">
      <alignment horizontal="center" vertical="center"/>
    </xf>
    <xf numFmtId="21" fontId="0" fillId="3" borderId="5" xfId="0" applyNumberFormat="1" applyFill="1" applyBorder="1" applyAlignment="1">
      <alignment horizontal="center" vertical="center"/>
    </xf>
    <xf numFmtId="21" fontId="1" fillId="3" borderId="5" xfId="0" applyNumberFormat="1" applyFont="1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46" fontId="13" fillId="3" borderId="26" xfId="0" applyNumberFormat="1" applyFont="1" applyFill="1" applyBorder="1" applyAlignment="1">
      <alignment horizontal="center" vertical="center"/>
    </xf>
    <xf numFmtId="21" fontId="0" fillId="5" borderId="44" xfId="0" applyNumberForma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64" fontId="0" fillId="3" borderId="43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3" borderId="48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13" fillId="3" borderId="23" xfId="0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46" fontId="13" fillId="5" borderId="44" xfId="0" applyNumberFormat="1" applyFont="1" applyFill="1" applyBorder="1" applyAlignment="1">
      <alignment horizontal="center" vertical="center"/>
    </xf>
    <xf numFmtId="164" fontId="13" fillId="3" borderId="43" xfId="0" applyNumberFormat="1" applyFont="1" applyFill="1" applyBorder="1" applyAlignment="1">
      <alignment horizontal="center" vertical="center"/>
    </xf>
    <xf numFmtId="164" fontId="13" fillId="3" borderId="26" xfId="0" applyNumberFormat="1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1" fontId="13" fillId="3" borderId="44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5" fillId="0" borderId="0" xfId="0" applyFont="1"/>
    <xf numFmtId="0" fontId="16" fillId="2" borderId="50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 wrapText="1"/>
    </xf>
    <xf numFmtId="21" fontId="2" fillId="2" borderId="3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21" fontId="16" fillId="2" borderId="38" xfId="0" applyNumberFormat="1" applyFont="1" applyFill="1" applyBorder="1" applyAlignment="1">
      <alignment horizontal="center" vertical="center"/>
    </xf>
    <xf numFmtId="21" fontId="16" fillId="5" borderId="10" xfId="0" applyNumberFormat="1" applyFont="1" applyFill="1" applyBorder="1" applyAlignment="1">
      <alignment horizontal="center" vertical="center"/>
    </xf>
    <xf numFmtId="21" fontId="16" fillId="5" borderId="11" xfId="0" applyNumberFormat="1" applyFont="1" applyFill="1" applyBorder="1" applyAlignment="1">
      <alignment horizontal="center" vertical="center"/>
    </xf>
    <xf numFmtId="21" fontId="16" fillId="5" borderId="14" xfId="0" applyNumberFormat="1" applyFont="1" applyFill="1" applyBorder="1" applyAlignment="1">
      <alignment horizontal="center" vertical="center"/>
    </xf>
    <xf numFmtId="21" fontId="13" fillId="5" borderId="44" xfId="0" applyNumberFormat="1" applyFont="1" applyFill="1" applyBorder="1" applyAlignment="1">
      <alignment horizontal="center" vertical="center"/>
    </xf>
    <xf numFmtId="21" fontId="0" fillId="0" borderId="5" xfId="0" applyNumberFormat="1" applyBorder="1" applyAlignment="1">
      <alignment vertical="center"/>
    </xf>
    <xf numFmtId="0" fontId="0" fillId="0" borderId="26" xfId="0" applyBorder="1" applyAlignment="1">
      <alignment horizontal="center" vertical="center"/>
    </xf>
    <xf numFmtId="46" fontId="0" fillId="0" borderId="26" xfId="0" applyNumberFormat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46" fontId="0" fillId="5" borderId="29" xfId="0" applyNumberForma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21" fontId="0" fillId="0" borderId="40" xfId="0" applyNumberFormat="1" applyBorder="1" applyAlignment="1">
      <alignment vertical="center"/>
    </xf>
    <xf numFmtId="0" fontId="0" fillId="0" borderId="41" xfId="0" applyBorder="1" applyAlignment="1">
      <alignment horizontal="center" vertical="center"/>
    </xf>
    <xf numFmtId="46" fontId="0" fillId="0" borderId="41" xfId="0" applyNumberFormat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46" fontId="0" fillId="5" borderId="52" xfId="0" applyNumberFormat="1" applyFill="1" applyBorder="1" applyAlignment="1">
      <alignment horizontal="center" vertical="center"/>
    </xf>
    <xf numFmtId="46" fontId="0" fillId="0" borderId="17" xfId="0" applyNumberFormat="1" applyBorder="1" applyAlignment="1">
      <alignment horizontal="center" vertical="center"/>
    </xf>
    <xf numFmtId="46" fontId="0" fillId="5" borderId="20" xfId="0" applyNumberForma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21" fontId="0" fillId="0" borderId="54" xfId="0" applyNumberFormat="1" applyBorder="1" applyAlignment="1">
      <alignment vertical="center"/>
    </xf>
    <xf numFmtId="21" fontId="0" fillId="0" borderId="54" xfId="0" applyNumberFormat="1" applyBorder="1" applyAlignment="1">
      <alignment horizontal="center" vertical="center"/>
    </xf>
    <xf numFmtId="21" fontId="1" fillId="0" borderId="54" xfId="0" applyNumberFormat="1" applyFont="1" applyBorder="1" applyAlignment="1">
      <alignment horizontal="center" vertical="center"/>
    </xf>
    <xf numFmtId="15" fontId="0" fillId="0" borderId="54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46" fontId="0" fillId="0" borderId="55" xfId="0" applyNumberFormat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46" fontId="0" fillId="5" borderId="15" xfId="0" applyNumberFormat="1" applyFill="1" applyBorder="1" applyAlignment="1">
      <alignment horizontal="center" vertical="center"/>
    </xf>
    <xf numFmtId="46" fontId="0" fillId="0" borderId="32" xfId="0" applyNumberFormat="1" applyBorder="1" applyAlignment="1">
      <alignment horizontal="center" vertical="center"/>
    </xf>
    <xf numFmtId="46" fontId="0" fillId="5" borderId="21" xfId="0" applyNumberFormat="1" applyFill="1" applyBorder="1" applyAlignment="1">
      <alignment horizontal="center" vertical="center"/>
    </xf>
    <xf numFmtId="20" fontId="0" fillId="0" borderId="30" xfId="0" applyNumberFormat="1" applyBorder="1" applyAlignment="1">
      <alignment horizontal="center" vertical="center"/>
    </xf>
    <xf numFmtId="21" fontId="0" fillId="0" borderId="32" xfId="0" applyNumberFormat="1" applyBorder="1" applyAlignment="1">
      <alignment horizontal="center" vertical="center"/>
    </xf>
    <xf numFmtId="20" fontId="0" fillId="0" borderId="2" xfId="0" applyNumberFormat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46" fontId="0" fillId="0" borderId="18" xfId="0" applyNumberFormat="1" applyBorder="1" applyAlignment="1">
      <alignment horizontal="center" vertical="center"/>
    </xf>
    <xf numFmtId="0" fontId="0" fillId="5" borderId="19" xfId="0" applyFill="1" applyBorder="1" applyAlignment="1">
      <alignment vertical="center"/>
    </xf>
    <xf numFmtId="46" fontId="0" fillId="5" borderId="19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 wrapText="1"/>
    </xf>
    <xf numFmtId="0" fontId="16" fillId="2" borderId="38" xfId="0" applyFont="1" applyFill="1" applyBorder="1"/>
    <xf numFmtId="21" fontId="16" fillId="2" borderId="5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0</xdr:rowOff>
    </xdr:from>
    <xdr:to>
      <xdr:col>12</xdr:col>
      <xdr:colOff>342899</xdr:colOff>
      <xdr:row>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84BF335D-ADEB-4EEC-9496-BE8731E74584}"/>
            </a:ext>
          </a:extLst>
        </xdr:cNvPr>
        <xdr:cNvSpPr txBox="1"/>
      </xdr:nvSpPr>
      <xdr:spPr>
        <a:xfrm>
          <a:off x="4581525" y="0"/>
          <a:ext cx="4905374" cy="1409700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000" b="0">
              <a:solidFill>
                <a:schemeClr val="lt1"/>
              </a:solidFill>
              <a:latin typeface="Franklin Gothic Demi Cond" panose="020B0706030402020204" pitchFamily="34" charset="0"/>
              <a:ea typeface="+mn-ea"/>
              <a:cs typeface="+mn-cs"/>
            </a:rPr>
            <a:t>Instrucciones</a:t>
          </a:r>
        </a:p>
        <a:p>
          <a:pPr marL="0" indent="0"/>
          <a:endParaRPr lang="en-US" sz="2000" b="0">
            <a:solidFill>
              <a:schemeClr val="lt1"/>
            </a:solidFill>
            <a:latin typeface="Franklin Gothic Demi Cond" panose="020B0706030402020204" pitchFamily="34" charset="0"/>
            <a:ea typeface="+mn-ea"/>
            <a:cs typeface="+mn-cs"/>
          </a:endParaRPr>
        </a:p>
        <a:p>
          <a:pPr marL="0" indent="0"/>
          <a:r>
            <a:rPr lang="en-US" sz="12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A continuación se presentan 3 tablas terriblemente organizadas, todas parte de la misma base de datos. Normálizalas y presenta los resultados en una hoja nueva. Recuerda de darle formato como tabla al resultado.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727605</xdr:colOff>
      <xdr:row>7</xdr:row>
      <xdr:rowOff>134408</xdr:rowOff>
    </xdr:to>
    <xdr:grpSp>
      <xdr:nvGrpSpPr>
        <xdr:cNvPr id="3" name="Group 6">
          <a:extLst>
            <a:ext uri="{FF2B5EF4-FFF2-40B4-BE49-F238E27FC236}">
              <a16:creationId xmlns="" xmlns:a16="http://schemas.microsoft.com/office/drawing/2014/main" id="{67BFE7F1-5A2E-4A46-94BF-8292AAEF92B8}"/>
            </a:ext>
          </a:extLst>
        </xdr:cNvPr>
        <xdr:cNvGrpSpPr/>
      </xdr:nvGrpSpPr>
      <xdr:grpSpPr>
        <a:xfrm>
          <a:off x="0" y="0"/>
          <a:ext cx="4537605" cy="1467908"/>
          <a:chOff x="0" y="0"/>
          <a:chExt cx="4275667" cy="1439333"/>
        </a:xfrm>
      </xdr:grpSpPr>
      <xdr:pic>
        <xdr:nvPicPr>
          <xdr:cNvPr id="4" name="Imagen 1" descr="A green and white logo&#10;&#10;Description automatically generated">
            <a:extLst>
              <a:ext uri="{FF2B5EF4-FFF2-40B4-BE49-F238E27FC236}">
                <a16:creationId xmlns="" xmlns:a16="http://schemas.microsoft.com/office/drawing/2014/main" id="{155DEEB5-7317-3E13-1B68-78DCA12285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5" name="Rectangle 8">
            <a:extLst>
              <a:ext uri="{FF2B5EF4-FFF2-40B4-BE49-F238E27FC236}">
                <a16:creationId xmlns="" xmlns:a16="http://schemas.microsoft.com/office/drawing/2014/main" id="{7A67F5F3-D260-7082-3700-C6E70FEC27D0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RECLAMO DE EQUIPAJE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7447"/>
  </sheetPr>
  <dimension ref="A10:AX2434"/>
  <sheetViews>
    <sheetView tabSelected="1" topLeftCell="AB10" workbookViewId="0">
      <selection activeCell="AH33" sqref="AH33"/>
    </sheetView>
  </sheetViews>
  <sheetFormatPr baseColWidth="10" defaultRowHeight="15" x14ac:dyDescent="0.25"/>
  <sheetData>
    <row r="10" spans="1:50" x14ac:dyDescent="0.25">
      <c r="B10" s="1"/>
      <c r="C10" s="1"/>
      <c r="D10" s="2"/>
      <c r="E10" s="3" t="s">
        <v>0</v>
      </c>
      <c r="F10" s="4"/>
      <c r="G10" s="4"/>
      <c r="H10" s="4"/>
      <c r="I10" s="4"/>
      <c r="J10" s="4"/>
      <c r="K10" s="5"/>
      <c r="L10" s="5"/>
      <c r="M10" s="5"/>
      <c r="N10" s="1"/>
      <c r="O10" s="1"/>
      <c r="P10" s="1"/>
      <c r="S10" s="1"/>
      <c r="T10" s="1"/>
      <c r="U10" s="2"/>
      <c r="V10" s="3" t="s">
        <v>0</v>
      </c>
      <c r="W10" s="4"/>
      <c r="X10" s="4"/>
      <c r="Y10" s="4"/>
      <c r="Z10" s="4"/>
      <c r="AA10" s="4"/>
      <c r="AB10" s="5"/>
      <c r="AC10" s="5"/>
      <c r="AD10" s="5"/>
      <c r="AJ10" s="1"/>
      <c r="AK10" s="5"/>
      <c r="AL10" s="6"/>
      <c r="AM10" s="7" t="s">
        <v>0</v>
      </c>
      <c r="AN10" s="8"/>
      <c r="AO10" s="8"/>
      <c r="AP10" s="8"/>
      <c r="AQ10" s="8"/>
      <c r="AR10" s="9"/>
      <c r="AS10" s="5"/>
      <c r="AT10" s="5"/>
      <c r="AU10" s="1"/>
    </row>
    <row r="11" spans="1:50" ht="15.75" thickBot="1" x14ac:dyDescent="0.3">
      <c r="A11" s="10"/>
      <c r="B11" s="11"/>
      <c r="C11" s="11"/>
      <c r="D11" s="12"/>
      <c r="E11" s="4"/>
      <c r="F11" s="4"/>
      <c r="G11" s="4"/>
      <c r="H11" s="4"/>
      <c r="I11" s="4"/>
      <c r="J11" s="4"/>
      <c r="K11" s="13"/>
      <c r="L11" s="13"/>
      <c r="M11" s="13"/>
      <c r="N11" s="14"/>
      <c r="O11" s="14"/>
      <c r="P11" s="14"/>
      <c r="R11" s="10"/>
      <c r="S11" s="11"/>
      <c r="T11" s="11"/>
      <c r="U11" s="12"/>
      <c r="V11" s="4"/>
      <c r="W11" s="4"/>
      <c r="X11" s="4"/>
      <c r="Y11" s="4"/>
      <c r="Z11" s="4"/>
      <c r="AA11" s="4"/>
      <c r="AB11" s="13"/>
      <c r="AC11" s="13"/>
      <c r="AD11" s="13"/>
      <c r="AE11" s="10"/>
      <c r="AF11" s="10"/>
      <c r="AG11" s="10"/>
      <c r="AJ11" s="11"/>
      <c r="AK11" s="15"/>
      <c r="AL11" s="16"/>
      <c r="AM11" s="17"/>
      <c r="AN11" s="18"/>
      <c r="AO11" s="18"/>
      <c r="AP11" s="18"/>
      <c r="AQ11" s="18"/>
      <c r="AR11" s="19"/>
      <c r="AS11" s="13"/>
      <c r="AT11" s="13"/>
      <c r="AU11" s="14"/>
    </row>
    <row r="12" spans="1:50" ht="33.75" x14ac:dyDescent="0.5">
      <c r="A12" s="10"/>
      <c r="B12" s="20" t="s">
        <v>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  <c r="O12" s="23"/>
      <c r="P12" s="24"/>
      <c r="S12" s="20" t="s">
        <v>2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5"/>
      <c r="AE12" s="20"/>
      <c r="AF12" s="21"/>
      <c r="AG12" s="25"/>
      <c r="AJ12" s="20" t="s">
        <v>3</v>
      </c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5"/>
    </row>
    <row r="13" spans="1:50" ht="34.5" thickBot="1" x14ac:dyDescent="0.55000000000000004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/>
      <c r="O13" s="29"/>
      <c r="P13" s="30"/>
      <c r="R13" s="31"/>
      <c r="S13" s="32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4"/>
      <c r="AE13" s="32"/>
      <c r="AF13" s="33"/>
      <c r="AG13" s="34"/>
      <c r="AJ13" s="26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35"/>
    </row>
    <row r="14" spans="1:50" ht="77.25" thickBot="1" x14ac:dyDescent="0.3">
      <c r="A14" s="36">
        <f>A13</f>
        <v>0</v>
      </c>
      <c r="B14" s="37" t="s">
        <v>4</v>
      </c>
      <c r="C14" s="38" t="s">
        <v>5</v>
      </c>
      <c r="D14" s="39" t="s">
        <v>6</v>
      </c>
      <c r="E14" s="40" t="s">
        <v>7</v>
      </c>
      <c r="F14" s="38" t="s">
        <v>8</v>
      </c>
      <c r="G14" s="39" t="s">
        <v>9</v>
      </c>
      <c r="H14" s="38" t="s">
        <v>8</v>
      </c>
      <c r="I14" s="38" t="s">
        <v>10</v>
      </c>
      <c r="J14" s="41" t="s">
        <v>11</v>
      </c>
      <c r="K14" s="41" t="s">
        <v>12</v>
      </c>
      <c r="L14" s="41" t="s">
        <v>13</v>
      </c>
      <c r="M14" s="42" t="s">
        <v>14</v>
      </c>
      <c r="N14" s="43" t="s">
        <v>15</v>
      </c>
      <c r="O14" s="44" t="s">
        <v>16</v>
      </c>
      <c r="P14" s="44" t="s">
        <v>17</v>
      </c>
      <c r="S14" s="37" t="s">
        <v>4</v>
      </c>
      <c r="T14" s="38" t="s">
        <v>5</v>
      </c>
      <c r="U14" s="39" t="s">
        <v>6</v>
      </c>
      <c r="V14" s="40" t="s">
        <v>7</v>
      </c>
      <c r="W14" s="38" t="s">
        <v>8</v>
      </c>
      <c r="X14" s="39" t="s">
        <v>9</v>
      </c>
      <c r="Y14" s="38" t="s">
        <v>8</v>
      </c>
      <c r="Z14" s="38" t="s">
        <v>10</v>
      </c>
      <c r="AA14" s="41" t="s">
        <v>11</v>
      </c>
      <c r="AB14" s="41" t="s">
        <v>12</v>
      </c>
      <c r="AC14" s="41" t="s">
        <v>13</v>
      </c>
      <c r="AD14" s="42" t="s">
        <v>14</v>
      </c>
      <c r="AE14" s="43" t="s">
        <v>15</v>
      </c>
      <c r="AF14" s="44" t="s">
        <v>16</v>
      </c>
      <c r="AG14" s="44" t="s">
        <v>17</v>
      </c>
      <c r="AJ14" s="37" t="s">
        <v>4</v>
      </c>
      <c r="AK14" s="38" t="s">
        <v>5</v>
      </c>
      <c r="AL14" s="39" t="s">
        <v>6</v>
      </c>
      <c r="AM14" s="40" t="s">
        <v>7</v>
      </c>
      <c r="AN14" s="38" t="s">
        <v>8</v>
      </c>
      <c r="AO14" s="39" t="s">
        <v>9</v>
      </c>
      <c r="AP14" s="38" t="s">
        <v>8</v>
      </c>
      <c r="AQ14" s="38" t="s">
        <v>10</v>
      </c>
      <c r="AR14" s="41" t="s">
        <v>11</v>
      </c>
      <c r="AS14" s="41" t="s">
        <v>12</v>
      </c>
      <c r="AT14" s="41" t="s">
        <v>13</v>
      </c>
      <c r="AU14" s="42" t="s">
        <v>14</v>
      </c>
      <c r="AV14" s="43" t="s">
        <v>15</v>
      </c>
      <c r="AW14" s="44" t="s">
        <v>16</v>
      </c>
      <c r="AX14" s="44" t="s">
        <v>17</v>
      </c>
    </row>
    <row r="15" spans="1:50" ht="15.75" thickBot="1" x14ac:dyDescent="0.3">
      <c r="A15">
        <v>1</v>
      </c>
      <c r="B15" s="45" t="s">
        <v>18</v>
      </c>
      <c r="C15" s="46">
        <v>8851</v>
      </c>
      <c r="D15" s="47">
        <v>0.87152777777777779</v>
      </c>
      <c r="E15" s="47">
        <v>0.91111111111111109</v>
      </c>
      <c r="F15" s="48">
        <v>3.9583333333333304E-2</v>
      </c>
      <c r="G15" s="47">
        <v>0.91666666666666663</v>
      </c>
      <c r="H15" s="48">
        <v>5.5555555555555358E-3</v>
      </c>
      <c r="I15" s="49">
        <v>41721</v>
      </c>
      <c r="J15" s="50" t="s">
        <v>19</v>
      </c>
      <c r="K15" s="47">
        <v>3.9583333333333304E-2</v>
      </c>
      <c r="L15" s="47">
        <v>5.5555555555555358E-3</v>
      </c>
      <c r="M15" s="51">
        <v>4.513888888888884E-2</v>
      </c>
      <c r="N15" s="52" t="s">
        <v>20</v>
      </c>
      <c r="O15" s="53">
        <v>50</v>
      </c>
      <c r="P15" s="54" t="s">
        <v>21</v>
      </c>
      <c r="R15">
        <v>1</v>
      </c>
      <c r="S15" s="45" t="s">
        <v>18</v>
      </c>
      <c r="T15" s="55">
        <v>3275</v>
      </c>
      <c r="U15" s="56">
        <v>0.4465277777777778</v>
      </c>
      <c r="V15" s="57">
        <v>0.45902777777777781</v>
      </c>
      <c r="W15" s="58">
        <v>1.2500000000000011E-2</v>
      </c>
      <c r="X15" s="57">
        <v>0.46111111111111108</v>
      </c>
      <c r="Y15" s="58">
        <v>2.0833333333332704E-3</v>
      </c>
      <c r="Z15" s="59">
        <v>41733</v>
      </c>
      <c r="AA15" s="60" t="s">
        <v>22</v>
      </c>
      <c r="AB15" s="61">
        <v>1.1574074074074051E-2</v>
      </c>
      <c r="AC15" s="61">
        <v>6.2499999999999596E-3</v>
      </c>
      <c r="AD15" s="62">
        <v>1.782407407407401E-2</v>
      </c>
      <c r="AE15" s="53" t="s">
        <v>20</v>
      </c>
      <c r="AF15" s="53">
        <v>50</v>
      </c>
      <c r="AG15" s="53" t="s">
        <v>23</v>
      </c>
      <c r="AI15">
        <v>1</v>
      </c>
      <c r="AJ15" s="63" t="s">
        <v>18</v>
      </c>
      <c r="AK15" s="63">
        <v>3228</v>
      </c>
      <c r="AL15" s="64">
        <v>0.74722222222222223</v>
      </c>
      <c r="AM15" s="65">
        <v>0.75486111111111109</v>
      </c>
      <c r="AN15" s="66">
        <v>7.6388888888888618E-3</v>
      </c>
      <c r="AO15" s="65">
        <v>0.75694444444444453</v>
      </c>
      <c r="AP15" s="66">
        <v>2.083333333333437E-3</v>
      </c>
      <c r="AQ15" s="67">
        <v>41799</v>
      </c>
      <c r="AR15" s="68" t="s">
        <v>19</v>
      </c>
      <c r="AS15" s="69">
        <v>7.6388888888888618E-3</v>
      </c>
      <c r="AT15" s="70">
        <v>6.29960317460318E-3</v>
      </c>
      <c r="AU15" s="70">
        <v>1.3938492063492042E-2</v>
      </c>
      <c r="AV15" s="71" t="s">
        <v>20</v>
      </c>
      <c r="AW15" s="71">
        <v>50</v>
      </c>
      <c r="AX15" s="72" t="s">
        <v>21</v>
      </c>
    </row>
    <row r="16" spans="1:50" ht="15.75" thickBot="1" x14ac:dyDescent="0.3">
      <c r="A16">
        <v>2</v>
      </c>
      <c r="B16" s="36" t="str">
        <f>B15</f>
        <v>MEXICO AEREO</v>
      </c>
      <c r="C16" s="46">
        <v>8702</v>
      </c>
      <c r="D16" s="47">
        <v>0.63402777777777775</v>
      </c>
      <c r="E16" s="47">
        <v>0.64027777777777783</v>
      </c>
      <c r="F16" s="48">
        <v>6.2500000000000888E-3</v>
      </c>
      <c r="G16" s="47">
        <v>0.64861111111111114</v>
      </c>
      <c r="H16" s="48">
        <v>8.3333333333333037E-3</v>
      </c>
      <c r="I16" s="49">
        <v>41725</v>
      </c>
      <c r="J16" s="50" t="s">
        <v>19</v>
      </c>
      <c r="K16" s="47">
        <v>6.2500000000000888E-3</v>
      </c>
      <c r="L16" s="47">
        <v>8.3333333333333037E-3</v>
      </c>
      <c r="M16" s="51">
        <v>1.4583333333333393E-2</v>
      </c>
      <c r="N16" s="52" t="s">
        <v>20</v>
      </c>
      <c r="O16" s="53">
        <v>50</v>
      </c>
      <c r="P16" s="54" t="s">
        <v>24</v>
      </c>
      <c r="R16">
        <v>2</v>
      </c>
      <c r="S16" s="36" t="str">
        <f>S15</f>
        <v>MEXICO AEREO</v>
      </c>
      <c r="T16" s="36">
        <f t="shared" ref="T16:T17" si="0">T15</f>
        <v>3275</v>
      </c>
      <c r="U16" s="73">
        <v>0.49583333333333335</v>
      </c>
      <c r="V16" s="74">
        <v>0.5083333333333333</v>
      </c>
      <c r="W16" s="75">
        <v>1.2499999999999956E-2</v>
      </c>
      <c r="X16" s="74">
        <v>0.51458333333333328</v>
      </c>
      <c r="Y16" s="75">
        <v>6.2499999999999778E-3</v>
      </c>
      <c r="Z16" s="76">
        <v>41753</v>
      </c>
      <c r="AA16" s="36" t="str">
        <f t="shared" ref="AA16:AG17" si="1">AA15</f>
        <v>Internacional</v>
      </c>
      <c r="AB16" s="36">
        <f t="shared" si="1"/>
        <v>1.1574074074074051E-2</v>
      </c>
      <c r="AC16" s="36">
        <f t="shared" si="1"/>
        <v>6.2499999999999596E-3</v>
      </c>
      <c r="AD16" s="36">
        <f t="shared" si="1"/>
        <v>1.782407407407401E-2</v>
      </c>
      <c r="AE16" s="36" t="str">
        <f t="shared" si="1"/>
        <v>ER4</v>
      </c>
      <c r="AF16" s="36">
        <f t="shared" si="1"/>
        <v>50</v>
      </c>
      <c r="AG16" s="36" t="str">
        <f t="shared" si="1"/>
        <v>DFW</v>
      </c>
      <c r="AI16">
        <v>2</v>
      </c>
      <c r="AJ16" s="77" t="str">
        <f>AJ15</f>
        <v>MEXICO AEREO</v>
      </c>
      <c r="AK16" s="77">
        <f t="shared" ref="AK16:AK28" si="2">AK15</f>
        <v>3228</v>
      </c>
      <c r="AL16" s="78">
        <v>0.4375</v>
      </c>
      <c r="AM16" s="79">
        <v>0.4375</v>
      </c>
      <c r="AN16" s="80">
        <v>0</v>
      </c>
      <c r="AO16" s="79">
        <v>0.44097222222222227</v>
      </c>
      <c r="AP16" s="80">
        <v>3.4722222222222654E-3</v>
      </c>
      <c r="AQ16" s="81">
        <v>41801</v>
      </c>
      <c r="AR16" s="77" t="str">
        <f t="shared" ref="AR16:AX28" si="3">AR15</f>
        <v>Nacional</v>
      </c>
      <c r="AS16" s="77">
        <f t="shared" si="3"/>
        <v>7.6388888888888618E-3</v>
      </c>
      <c r="AT16" s="77">
        <f t="shared" si="3"/>
        <v>6.29960317460318E-3</v>
      </c>
      <c r="AU16" s="77">
        <f t="shared" si="3"/>
        <v>1.3938492063492042E-2</v>
      </c>
      <c r="AV16" s="77" t="str">
        <f t="shared" si="3"/>
        <v>ER4</v>
      </c>
      <c r="AW16" s="77">
        <f t="shared" si="3"/>
        <v>50</v>
      </c>
      <c r="AX16" s="77" t="str">
        <f t="shared" si="3"/>
        <v>MEX</v>
      </c>
    </row>
    <row r="17" spans="1:50" ht="15.75" thickBot="1" x14ac:dyDescent="0.3">
      <c r="A17">
        <v>3</v>
      </c>
      <c r="B17" s="36" t="str">
        <f t="shared" ref="B17:C64" si="4">B16</f>
        <v>MEXICO AEREO</v>
      </c>
      <c r="C17" s="46">
        <v>3120</v>
      </c>
      <c r="D17" s="47">
        <v>0.44027777777777777</v>
      </c>
      <c r="E17" s="47">
        <v>0.44791666666666669</v>
      </c>
      <c r="F17" s="48">
        <v>7.6388888888889173E-3</v>
      </c>
      <c r="G17" s="47">
        <v>0.45208333333333334</v>
      </c>
      <c r="H17" s="48">
        <v>4.1666666666666519E-3</v>
      </c>
      <c r="I17" s="49">
        <v>41726</v>
      </c>
      <c r="J17" s="50" t="s">
        <v>19</v>
      </c>
      <c r="K17" s="47">
        <v>7.6388888888889173E-3</v>
      </c>
      <c r="L17" s="47">
        <v>4.1666666666666519E-3</v>
      </c>
      <c r="M17" s="51">
        <v>1.1805555555555569E-2</v>
      </c>
      <c r="N17" s="82" t="s">
        <v>25</v>
      </c>
      <c r="O17" s="36">
        <f t="shared" ref="O17:P18" si="5">O16</f>
        <v>50</v>
      </c>
      <c r="P17" s="36" t="str">
        <f t="shared" si="5"/>
        <v>QRO</v>
      </c>
      <c r="R17">
        <v>3</v>
      </c>
      <c r="S17" s="36" t="str">
        <f t="shared" ref="S17:T80" si="6">S16</f>
        <v>MEXICO AEREO</v>
      </c>
      <c r="T17" s="36">
        <f t="shared" si="0"/>
        <v>3275</v>
      </c>
      <c r="U17" s="83">
        <v>0.49027777777777781</v>
      </c>
      <c r="V17" s="84">
        <v>0.5</v>
      </c>
      <c r="W17" s="85">
        <v>9.7222222222221877E-3</v>
      </c>
      <c r="X17" s="84">
        <v>0.51041666666666663</v>
      </c>
      <c r="Y17" s="85">
        <v>1.041666666666663E-2</v>
      </c>
      <c r="Z17" s="86">
        <v>41758</v>
      </c>
      <c r="AA17" s="36" t="str">
        <f t="shared" si="1"/>
        <v>Internacional</v>
      </c>
      <c r="AB17" s="36">
        <f t="shared" si="1"/>
        <v>1.1574074074074051E-2</v>
      </c>
      <c r="AC17" s="36">
        <f t="shared" si="1"/>
        <v>6.2499999999999596E-3</v>
      </c>
      <c r="AD17" s="36">
        <f t="shared" si="1"/>
        <v>1.782407407407401E-2</v>
      </c>
      <c r="AE17" s="36" t="str">
        <f t="shared" si="1"/>
        <v>ER4</v>
      </c>
      <c r="AF17" s="36">
        <f t="shared" si="1"/>
        <v>50</v>
      </c>
      <c r="AG17" s="36" t="str">
        <f t="shared" si="1"/>
        <v>DFW</v>
      </c>
      <c r="AI17">
        <v>3</v>
      </c>
      <c r="AJ17" s="77" t="str">
        <f t="shared" ref="AJ17:AK55" si="7">AJ16</f>
        <v>MEXICO AEREO</v>
      </c>
      <c r="AK17" s="77">
        <f t="shared" si="2"/>
        <v>3228</v>
      </c>
      <c r="AL17" s="78">
        <v>0.25833333333333336</v>
      </c>
      <c r="AM17" s="79">
        <v>0.26319444444444445</v>
      </c>
      <c r="AN17" s="80">
        <v>4.8611111111110938E-3</v>
      </c>
      <c r="AO17" s="79">
        <v>0.27361111111111108</v>
      </c>
      <c r="AP17" s="80">
        <v>1.041666666666663E-2</v>
      </c>
      <c r="AQ17" s="81">
        <v>41802</v>
      </c>
      <c r="AR17" s="77" t="str">
        <f t="shared" si="3"/>
        <v>Nacional</v>
      </c>
      <c r="AS17" s="77">
        <f t="shared" si="3"/>
        <v>7.6388888888888618E-3</v>
      </c>
      <c r="AT17" s="77">
        <f t="shared" si="3"/>
        <v>6.29960317460318E-3</v>
      </c>
      <c r="AU17" s="77">
        <f t="shared" si="3"/>
        <v>1.3938492063492042E-2</v>
      </c>
      <c r="AV17" s="77" t="str">
        <f t="shared" si="3"/>
        <v>ER4</v>
      </c>
      <c r="AW17" s="77">
        <f t="shared" si="3"/>
        <v>50</v>
      </c>
      <c r="AX17" s="77" t="str">
        <f t="shared" si="3"/>
        <v>MEX</v>
      </c>
    </row>
    <row r="18" spans="1:50" ht="15.75" thickBot="1" x14ac:dyDescent="0.3">
      <c r="A18">
        <v>4</v>
      </c>
      <c r="B18" s="36" t="str">
        <f t="shared" si="4"/>
        <v>MEXICO AEREO</v>
      </c>
      <c r="C18" s="46">
        <v>2811</v>
      </c>
      <c r="D18" s="47">
        <v>0.59583333333333333</v>
      </c>
      <c r="E18" s="47">
        <v>0.59861111111111109</v>
      </c>
      <c r="F18" s="48">
        <v>2.7777777777777679E-3</v>
      </c>
      <c r="G18" s="47">
        <v>0.60416666666666663</v>
      </c>
      <c r="H18" s="48">
        <v>5.5555555555555358E-3</v>
      </c>
      <c r="I18" s="49">
        <v>41722</v>
      </c>
      <c r="J18" s="50" t="s">
        <v>19</v>
      </c>
      <c r="K18" s="47">
        <v>2.7777777777777679E-3</v>
      </c>
      <c r="L18" s="47">
        <v>5.5555555555555358E-3</v>
      </c>
      <c r="M18" s="51">
        <v>8.3333333333333037E-3</v>
      </c>
      <c r="N18" s="82" t="s">
        <v>25</v>
      </c>
      <c r="O18" s="36">
        <f t="shared" si="5"/>
        <v>50</v>
      </c>
      <c r="P18" s="36" t="str">
        <f t="shared" si="5"/>
        <v>QRO</v>
      </c>
      <c r="R18">
        <v>4</v>
      </c>
      <c r="S18" s="36" t="str">
        <f t="shared" si="6"/>
        <v>MEXICO AEREO</v>
      </c>
      <c r="T18" s="55">
        <v>2625</v>
      </c>
      <c r="U18" s="56">
        <v>0.83819444444444446</v>
      </c>
      <c r="V18" s="57">
        <v>0.84375</v>
      </c>
      <c r="W18" s="58">
        <v>5.5555555555555358E-3</v>
      </c>
      <c r="X18" s="57">
        <v>0.87152777777777779</v>
      </c>
      <c r="Y18" s="58">
        <v>2.777777777777779E-2</v>
      </c>
      <c r="Z18" s="59">
        <v>41730</v>
      </c>
      <c r="AA18" s="60" t="s">
        <v>19</v>
      </c>
      <c r="AB18" s="61">
        <v>7.3611111111110926E-3</v>
      </c>
      <c r="AC18" s="61">
        <v>6.4351851851851697E-3</v>
      </c>
      <c r="AD18" s="62">
        <v>1.3796296296296261E-2</v>
      </c>
      <c r="AE18" s="87" t="s">
        <v>20</v>
      </c>
      <c r="AF18" s="87">
        <v>50</v>
      </c>
      <c r="AG18" s="87" t="s">
        <v>26</v>
      </c>
      <c r="AI18">
        <v>4</v>
      </c>
      <c r="AJ18" s="77" t="str">
        <f t="shared" si="7"/>
        <v>MEXICO AEREO</v>
      </c>
      <c r="AK18" s="77">
        <f t="shared" si="2"/>
        <v>3228</v>
      </c>
      <c r="AL18" s="78">
        <v>0.52916666666666667</v>
      </c>
      <c r="AM18" s="79">
        <v>0.53472222222222221</v>
      </c>
      <c r="AN18" s="80">
        <v>5.5555555555555358E-3</v>
      </c>
      <c r="AO18" s="79">
        <v>0.53611111111111109</v>
      </c>
      <c r="AP18" s="80">
        <v>1.388888888888884E-3</v>
      </c>
      <c r="AQ18" s="81">
        <v>41803</v>
      </c>
      <c r="AR18" s="77" t="str">
        <f t="shared" si="3"/>
        <v>Nacional</v>
      </c>
      <c r="AS18" s="77">
        <f t="shared" si="3"/>
        <v>7.6388888888888618E-3</v>
      </c>
      <c r="AT18" s="77">
        <f t="shared" si="3"/>
        <v>6.29960317460318E-3</v>
      </c>
      <c r="AU18" s="77">
        <f t="shared" si="3"/>
        <v>1.3938492063492042E-2</v>
      </c>
      <c r="AV18" s="77" t="str">
        <f t="shared" si="3"/>
        <v>ER4</v>
      </c>
      <c r="AW18" s="77">
        <f t="shared" si="3"/>
        <v>50</v>
      </c>
      <c r="AX18" s="77" t="str">
        <f t="shared" si="3"/>
        <v>MEX</v>
      </c>
    </row>
    <row r="19" spans="1:50" x14ac:dyDescent="0.25">
      <c r="A19">
        <v>5</v>
      </c>
      <c r="B19" s="36" t="str">
        <f t="shared" si="4"/>
        <v>MEXICO AEREO</v>
      </c>
      <c r="C19" s="88">
        <v>2625</v>
      </c>
      <c r="D19" s="57">
        <v>0.8666666666666667</v>
      </c>
      <c r="E19" s="57">
        <v>0.875</v>
      </c>
      <c r="F19" s="58">
        <v>8.3333333333333037E-3</v>
      </c>
      <c r="G19" s="57">
        <v>0.87708333333333333</v>
      </c>
      <c r="H19" s="58">
        <v>2.0833333333333259E-3</v>
      </c>
      <c r="I19" s="59">
        <v>41715</v>
      </c>
      <c r="J19" s="60" t="s">
        <v>19</v>
      </c>
      <c r="K19" s="61">
        <v>7.1428571428571331E-3</v>
      </c>
      <c r="L19" s="61">
        <v>3.3730158730158771E-3</v>
      </c>
      <c r="M19" s="89">
        <v>1.051587301587301E-2</v>
      </c>
      <c r="N19" s="90" t="s">
        <v>20</v>
      </c>
      <c r="O19" s="91">
        <v>50</v>
      </c>
      <c r="P19" s="92" t="s">
        <v>26</v>
      </c>
      <c r="R19">
        <v>5</v>
      </c>
      <c r="S19" s="36" t="str">
        <f t="shared" si="6"/>
        <v>MEXICO AEREO</v>
      </c>
      <c r="T19" s="36">
        <f t="shared" si="6"/>
        <v>2625</v>
      </c>
      <c r="U19" s="73">
        <v>0.82916666666666661</v>
      </c>
      <c r="V19" s="74">
        <v>0.8354166666666667</v>
      </c>
      <c r="W19" s="75">
        <v>6.2500000000000888E-3</v>
      </c>
      <c r="X19" s="74">
        <v>0.83680555555555547</v>
      </c>
      <c r="Y19" s="75">
        <v>1.3888888888887729E-3</v>
      </c>
      <c r="Z19" s="76">
        <v>41732</v>
      </c>
      <c r="AA19" s="36" t="str">
        <f t="shared" ref="AA19:AG32" si="8">AA18</f>
        <v>Nacional</v>
      </c>
      <c r="AB19" s="36">
        <f t="shared" si="8"/>
        <v>7.3611111111110926E-3</v>
      </c>
      <c r="AC19" s="36">
        <f t="shared" si="8"/>
        <v>6.4351851851851697E-3</v>
      </c>
      <c r="AD19" s="36">
        <f t="shared" si="8"/>
        <v>1.3796296296296261E-2</v>
      </c>
      <c r="AE19" s="36" t="str">
        <f t="shared" si="8"/>
        <v>ER4</v>
      </c>
      <c r="AF19" s="36">
        <f t="shared" si="8"/>
        <v>50</v>
      </c>
      <c r="AG19" s="36" t="str">
        <f t="shared" si="8"/>
        <v>TLC</v>
      </c>
      <c r="AI19">
        <v>5</v>
      </c>
      <c r="AJ19" s="77" t="str">
        <f t="shared" si="7"/>
        <v>MEXICO AEREO</v>
      </c>
      <c r="AK19" s="77">
        <f t="shared" si="2"/>
        <v>3228</v>
      </c>
      <c r="AL19" s="78">
        <v>0.71180555555555547</v>
      </c>
      <c r="AM19" s="79">
        <v>0.72152777777777777</v>
      </c>
      <c r="AN19" s="80">
        <v>9.7222222222222987E-3</v>
      </c>
      <c r="AO19" s="79">
        <v>0.72569444444444453</v>
      </c>
      <c r="AP19" s="80">
        <v>4.1666666666667629E-3</v>
      </c>
      <c r="AQ19" s="81">
        <v>41804</v>
      </c>
      <c r="AR19" s="77" t="str">
        <f t="shared" si="3"/>
        <v>Nacional</v>
      </c>
      <c r="AS19" s="77">
        <f t="shared" si="3"/>
        <v>7.6388888888888618E-3</v>
      </c>
      <c r="AT19" s="77">
        <f t="shared" si="3"/>
        <v>6.29960317460318E-3</v>
      </c>
      <c r="AU19" s="77">
        <f t="shared" si="3"/>
        <v>1.3938492063492042E-2</v>
      </c>
      <c r="AV19" s="77" t="str">
        <f t="shared" si="3"/>
        <v>ER4</v>
      </c>
      <c r="AW19" s="77">
        <f t="shared" si="3"/>
        <v>50</v>
      </c>
      <c r="AX19" s="77" t="str">
        <f t="shared" si="3"/>
        <v>MEX</v>
      </c>
    </row>
    <row r="20" spans="1:50" x14ac:dyDescent="0.25">
      <c r="A20">
        <v>6</v>
      </c>
      <c r="B20" s="36" t="str">
        <f t="shared" si="4"/>
        <v>MEXICO AEREO</v>
      </c>
      <c r="C20" s="36">
        <f t="shared" si="4"/>
        <v>2625</v>
      </c>
      <c r="D20" s="74">
        <v>0.86597222222222225</v>
      </c>
      <c r="E20" s="74">
        <v>0.87361111111111101</v>
      </c>
      <c r="F20" s="75">
        <v>7.6388888888887507E-3</v>
      </c>
      <c r="G20" s="74">
        <v>0.87847222222222221</v>
      </c>
      <c r="H20" s="75">
        <v>4.8611111111112049E-3</v>
      </c>
      <c r="I20" s="76">
        <v>41719</v>
      </c>
      <c r="J20" s="36" t="str">
        <f t="shared" ref="J20:P25" si="9">J19</f>
        <v>Nacional</v>
      </c>
      <c r="K20" s="36">
        <f t="shared" si="9"/>
        <v>7.1428571428571331E-3</v>
      </c>
      <c r="L20" s="36">
        <f t="shared" si="9"/>
        <v>3.3730158730158771E-3</v>
      </c>
      <c r="M20" s="36">
        <f t="shared" si="9"/>
        <v>1.051587301587301E-2</v>
      </c>
      <c r="N20" s="36" t="str">
        <f t="shared" si="9"/>
        <v>ER4</v>
      </c>
      <c r="O20" s="36">
        <f t="shared" si="9"/>
        <v>50</v>
      </c>
      <c r="P20" s="36" t="str">
        <f t="shared" si="9"/>
        <v>TLC</v>
      </c>
      <c r="R20">
        <v>6</v>
      </c>
      <c r="S20" s="36" t="str">
        <f t="shared" si="6"/>
        <v>MEXICO AEREO</v>
      </c>
      <c r="T20" s="36">
        <f t="shared" si="6"/>
        <v>2625</v>
      </c>
      <c r="U20" s="73">
        <v>0.95486111111111116</v>
      </c>
      <c r="V20" s="74">
        <v>0.9590277777777777</v>
      </c>
      <c r="W20" s="75">
        <v>4.1666666666665408E-3</v>
      </c>
      <c r="X20" s="74">
        <v>0.96458333333333324</v>
      </c>
      <c r="Y20" s="75">
        <v>5.5555555555555358E-3</v>
      </c>
      <c r="Z20" s="76">
        <v>41736</v>
      </c>
      <c r="AA20" s="36" t="str">
        <f t="shared" si="8"/>
        <v>Nacional</v>
      </c>
      <c r="AB20" s="36">
        <f t="shared" si="8"/>
        <v>7.3611111111110926E-3</v>
      </c>
      <c r="AC20" s="36">
        <f t="shared" si="8"/>
        <v>6.4351851851851697E-3</v>
      </c>
      <c r="AD20" s="36">
        <f t="shared" si="8"/>
        <v>1.3796296296296261E-2</v>
      </c>
      <c r="AE20" s="36" t="str">
        <f t="shared" si="8"/>
        <v>ER4</v>
      </c>
      <c r="AF20" s="36">
        <f t="shared" si="8"/>
        <v>50</v>
      </c>
      <c r="AG20" s="36" t="str">
        <f t="shared" si="8"/>
        <v>TLC</v>
      </c>
      <c r="AI20">
        <v>6</v>
      </c>
      <c r="AJ20" s="77" t="str">
        <f t="shared" si="7"/>
        <v>MEXICO AEREO</v>
      </c>
      <c r="AK20" s="77">
        <f t="shared" si="2"/>
        <v>3228</v>
      </c>
      <c r="AL20" s="78">
        <v>0.53819444444444442</v>
      </c>
      <c r="AM20" s="79">
        <v>0.54513888888888895</v>
      </c>
      <c r="AN20" s="80">
        <v>6.9444444444445308E-3</v>
      </c>
      <c r="AO20" s="79">
        <v>0.55625000000000002</v>
      </c>
      <c r="AP20" s="80">
        <v>1.1111111111111072E-2</v>
      </c>
      <c r="AQ20" s="81">
        <v>41805</v>
      </c>
      <c r="AR20" s="77" t="str">
        <f t="shared" si="3"/>
        <v>Nacional</v>
      </c>
      <c r="AS20" s="77">
        <f t="shared" si="3"/>
        <v>7.6388888888888618E-3</v>
      </c>
      <c r="AT20" s="77">
        <f t="shared" si="3"/>
        <v>6.29960317460318E-3</v>
      </c>
      <c r="AU20" s="77">
        <f t="shared" si="3"/>
        <v>1.3938492063492042E-2</v>
      </c>
      <c r="AV20" s="77" t="str">
        <f t="shared" si="3"/>
        <v>ER4</v>
      </c>
      <c r="AW20" s="77">
        <f t="shared" si="3"/>
        <v>50</v>
      </c>
      <c r="AX20" s="77" t="str">
        <f t="shared" si="3"/>
        <v>MEX</v>
      </c>
    </row>
    <row r="21" spans="1:50" x14ac:dyDescent="0.25">
      <c r="A21">
        <v>7</v>
      </c>
      <c r="B21" s="36" t="str">
        <f t="shared" si="4"/>
        <v>MEXICO AEREO</v>
      </c>
      <c r="C21" s="36">
        <f t="shared" si="4"/>
        <v>2625</v>
      </c>
      <c r="D21" s="74">
        <v>0.85416666666666663</v>
      </c>
      <c r="E21" s="74">
        <v>0.85902777777777783</v>
      </c>
      <c r="F21" s="75">
        <v>4.8611111111112049E-3</v>
      </c>
      <c r="G21" s="74">
        <v>0.8618055555555556</v>
      </c>
      <c r="H21" s="75">
        <v>2.7777777777777679E-3</v>
      </c>
      <c r="I21" s="76">
        <v>41723</v>
      </c>
      <c r="J21" s="36" t="str">
        <f t="shared" si="9"/>
        <v>Nacional</v>
      </c>
      <c r="K21" s="36">
        <f t="shared" si="9"/>
        <v>7.1428571428571331E-3</v>
      </c>
      <c r="L21" s="36">
        <f t="shared" si="9"/>
        <v>3.3730158730158771E-3</v>
      </c>
      <c r="M21" s="36">
        <f t="shared" si="9"/>
        <v>1.051587301587301E-2</v>
      </c>
      <c r="N21" s="36" t="str">
        <f t="shared" si="9"/>
        <v>ER4</v>
      </c>
      <c r="O21" s="36">
        <f t="shared" si="9"/>
        <v>50</v>
      </c>
      <c r="P21" s="36" t="str">
        <f t="shared" si="9"/>
        <v>TLC</v>
      </c>
      <c r="R21">
        <v>7</v>
      </c>
      <c r="S21" s="36" t="str">
        <f t="shared" si="6"/>
        <v>MEXICO AEREO</v>
      </c>
      <c r="T21" s="36">
        <f t="shared" si="6"/>
        <v>2625</v>
      </c>
      <c r="U21" s="73">
        <v>0.96875</v>
      </c>
      <c r="V21" s="74">
        <v>0.97361111111111109</v>
      </c>
      <c r="W21" s="75">
        <v>4.8611111111110938E-3</v>
      </c>
      <c r="X21" s="74">
        <v>0.97569444444444453</v>
      </c>
      <c r="Y21" s="75">
        <v>2.083333333333437E-3</v>
      </c>
      <c r="Z21" s="76">
        <v>41736</v>
      </c>
      <c r="AA21" s="36" t="str">
        <f t="shared" si="8"/>
        <v>Nacional</v>
      </c>
      <c r="AB21" s="36">
        <f t="shared" si="8"/>
        <v>7.3611111111110926E-3</v>
      </c>
      <c r="AC21" s="36">
        <f t="shared" si="8"/>
        <v>6.4351851851851697E-3</v>
      </c>
      <c r="AD21" s="36">
        <f t="shared" si="8"/>
        <v>1.3796296296296261E-2</v>
      </c>
      <c r="AE21" s="36" t="str">
        <f t="shared" si="8"/>
        <v>ER4</v>
      </c>
      <c r="AF21" s="36">
        <f t="shared" si="8"/>
        <v>50</v>
      </c>
      <c r="AG21" s="36" t="str">
        <f t="shared" si="8"/>
        <v>TLC</v>
      </c>
      <c r="AI21">
        <v>7</v>
      </c>
      <c r="AJ21" s="77" t="str">
        <f t="shared" si="7"/>
        <v>MEXICO AEREO</v>
      </c>
      <c r="AK21" s="77">
        <f t="shared" si="2"/>
        <v>3228</v>
      </c>
      <c r="AL21" s="78">
        <v>0.24444444444444446</v>
      </c>
      <c r="AM21" s="79">
        <v>0.26527777777777778</v>
      </c>
      <c r="AN21" s="80">
        <v>2.0833333333333315E-2</v>
      </c>
      <c r="AO21" s="79">
        <v>0.27361111111111108</v>
      </c>
      <c r="AP21" s="80">
        <v>8.3333333333333037E-3</v>
      </c>
      <c r="AQ21" s="81">
        <v>41806</v>
      </c>
      <c r="AR21" s="77" t="str">
        <f t="shared" si="3"/>
        <v>Nacional</v>
      </c>
      <c r="AS21" s="77">
        <f t="shared" si="3"/>
        <v>7.6388888888888618E-3</v>
      </c>
      <c r="AT21" s="77">
        <f t="shared" si="3"/>
        <v>6.29960317460318E-3</v>
      </c>
      <c r="AU21" s="77">
        <f t="shared" si="3"/>
        <v>1.3938492063492042E-2</v>
      </c>
      <c r="AV21" s="77" t="str">
        <f t="shared" si="3"/>
        <v>ER4</v>
      </c>
      <c r="AW21" s="77">
        <f t="shared" si="3"/>
        <v>50</v>
      </c>
      <c r="AX21" s="77" t="str">
        <f t="shared" si="3"/>
        <v>MEX</v>
      </c>
    </row>
    <row r="22" spans="1:50" x14ac:dyDescent="0.25">
      <c r="A22">
        <v>8</v>
      </c>
      <c r="B22" s="36" t="str">
        <f t="shared" si="4"/>
        <v>MEXICO AEREO</v>
      </c>
      <c r="C22" s="36">
        <f t="shared" si="4"/>
        <v>2625</v>
      </c>
      <c r="D22" s="74">
        <v>0.87847222222222221</v>
      </c>
      <c r="E22" s="74">
        <v>0.8833333333333333</v>
      </c>
      <c r="F22" s="75">
        <v>4.8611111111110938E-3</v>
      </c>
      <c r="G22" s="74">
        <v>0.88611111111111107</v>
      </c>
      <c r="H22" s="75">
        <v>2.7777777777777679E-3</v>
      </c>
      <c r="I22" s="76">
        <v>41724</v>
      </c>
      <c r="J22" s="36" t="str">
        <f t="shared" si="9"/>
        <v>Nacional</v>
      </c>
      <c r="K22" s="36">
        <f t="shared" si="9"/>
        <v>7.1428571428571331E-3</v>
      </c>
      <c r="L22" s="36">
        <f t="shared" si="9"/>
        <v>3.3730158730158771E-3</v>
      </c>
      <c r="M22" s="36">
        <f t="shared" si="9"/>
        <v>1.051587301587301E-2</v>
      </c>
      <c r="N22" s="36" t="str">
        <f t="shared" si="9"/>
        <v>ER4</v>
      </c>
      <c r="O22" s="36">
        <f t="shared" si="9"/>
        <v>50</v>
      </c>
      <c r="P22" s="36" t="str">
        <f t="shared" si="9"/>
        <v>TLC</v>
      </c>
      <c r="R22">
        <v>8</v>
      </c>
      <c r="S22" s="36" t="str">
        <f t="shared" si="6"/>
        <v>MEXICO AEREO</v>
      </c>
      <c r="T22" s="36">
        <f t="shared" si="6"/>
        <v>2625</v>
      </c>
      <c r="U22" s="73">
        <v>0.99652777777777779</v>
      </c>
      <c r="V22" s="74">
        <v>1.0041666666666667</v>
      </c>
      <c r="W22" s="75">
        <v>7.6388888888888618E-3</v>
      </c>
      <c r="X22" s="74">
        <v>1.0263888888888888</v>
      </c>
      <c r="Y22" s="75">
        <v>2.2222222222222143E-2</v>
      </c>
      <c r="Z22" s="76">
        <v>41738</v>
      </c>
      <c r="AA22" s="36" t="str">
        <f t="shared" si="8"/>
        <v>Nacional</v>
      </c>
      <c r="AB22" s="36">
        <f t="shared" si="8"/>
        <v>7.3611111111110926E-3</v>
      </c>
      <c r="AC22" s="36">
        <f t="shared" si="8"/>
        <v>6.4351851851851697E-3</v>
      </c>
      <c r="AD22" s="36">
        <f t="shared" si="8"/>
        <v>1.3796296296296261E-2</v>
      </c>
      <c r="AE22" s="36" t="str">
        <f t="shared" si="8"/>
        <v>ER4</v>
      </c>
      <c r="AF22" s="36">
        <f t="shared" si="8"/>
        <v>50</v>
      </c>
      <c r="AG22" s="36" t="str">
        <f t="shared" si="8"/>
        <v>TLC</v>
      </c>
      <c r="AI22">
        <v>8</v>
      </c>
      <c r="AJ22" s="77" t="str">
        <f t="shared" si="7"/>
        <v>MEXICO AEREO</v>
      </c>
      <c r="AK22" s="77">
        <f t="shared" si="2"/>
        <v>3228</v>
      </c>
      <c r="AL22" s="78">
        <v>0.27638888888888885</v>
      </c>
      <c r="AM22" s="79">
        <v>0.29097222222222224</v>
      </c>
      <c r="AN22" s="80">
        <v>1.4583333333333393E-2</v>
      </c>
      <c r="AO22" s="79">
        <v>0.30624999999999997</v>
      </c>
      <c r="AP22" s="80">
        <v>1.5277777777777724E-2</v>
      </c>
      <c r="AQ22" s="81">
        <v>41807</v>
      </c>
      <c r="AR22" s="77" t="str">
        <f t="shared" si="3"/>
        <v>Nacional</v>
      </c>
      <c r="AS22" s="77">
        <f t="shared" si="3"/>
        <v>7.6388888888888618E-3</v>
      </c>
      <c r="AT22" s="77">
        <f t="shared" si="3"/>
        <v>6.29960317460318E-3</v>
      </c>
      <c r="AU22" s="77">
        <f t="shared" si="3"/>
        <v>1.3938492063492042E-2</v>
      </c>
      <c r="AV22" s="77" t="str">
        <f t="shared" si="3"/>
        <v>ER4</v>
      </c>
      <c r="AW22" s="77">
        <f t="shared" si="3"/>
        <v>50</v>
      </c>
      <c r="AX22" s="77" t="str">
        <f t="shared" si="3"/>
        <v>MEX</v>
      </c>
    </row>
    <row r="23" spans="1:50" x14ac:dyDescent="0.25">
      <c r="A23">
        <v>9</v>
      </c>
      <c r="B23" s="36" t="str">
        <f t="shared" si="4"/>
        <v>MEXICO AEREO</v>
      </c>
      <c r="C23" s="36">
        <f t="shared" si="4"/>
        <v>2625</v>
      </c>
      <c r="D23" s="74">
        <v>0.85277777777777775</v>
      </c>
      <c r="E23" s="74">
        <v>0.86111111111111116</v>
      </c>
      <c r="F23" s="75">
        <v>8.3333333333334147E-3</v>
      </c>
      <c r="G23" s="74">
        <v>0.8666666666666667</v>
      </c>
      <c r="H23" s="75">
        <v>5.5555555555555358E-3</v>
      </c>
      <c r="I23" s="76">
        <v>41724</v>
      </c>
      <c r="J23" s="36" t="str">
        <f t="shared" si="9"/>
        <v>Nacional</v>
      </c>
      <c r="K23" s="36">
        <f t="shared" si="9"/>
        <v>7.1428571428571331E-3</v>
      </c>
      <c r="L23" s="36">
        <f t="shared" si="9"/>
        <v>3.3730158730158771E-3</v>
      </c>
      <c r="M23" s="36">
        <f t="shared" si="9"/>
        <v>1.051587301587301E-2</v>
      </c>
      <c r="N23" s="36" t="str">
        <f t="shared" si="9"/>
        <v>ER4</v>
      </c>
      <c r="O23" s="36">
        <f t="shared" si="9"/>
        <v>50</v>
      </c>
      <c r="P23" s="36" t="str">
        <f t="shared" si="9"/>
        <v>TLC</v>
      </c>
      <c r="R23">
        <v>9</v>
      </c>
      <c r="S23" s="36" t="str">
        <f t="shared" si="6"/>
        <v>MEXICO AEREO</v>
      </c>
      <c r="T23" s="36">
        <f t="shared" si="6"/>
        <v>2625</v>
      </c>
      <c r="U23" s="73">
        <v>0.96944444444444444</v>
      </c>
      <c r="V23" s="74">
        <v>0.97222222222222221</v>
      </c>
      <c r="W23" s="75">
        <v>2.7777777777777679E-3</v>
      </c>
      <c r="X23" s="74">
        <v>0.98472222222222217</v>
      </c>
      <c r="Y23" s="75">
        <v>1.2499999999999956E-2</v>
      </c>
      <c r="Z23" s="76">
        <v>41739</v>
      </c>
      <c r="AA23" s="36" t="str">
        <f t="shared" si="8"/>
        <v>Nacional</v>
      </c>
      <c r="AB23" s="36">
        <f t="shared" si="8"/>
        <v>7.3611111111110926E-3</v>
      </c>
      <c r="AC23" s="36">
        <f t="shared" si="8"/>
        <v>6.4351851851851697E-3</v>
      </c>
      <c r="AD23" s="36">
        <f t="shared" si="8"/>
        <v>1.3796296296296261E-2</v>
      </c>
      <c r="AE23" s="36" t="str">
        <f t="shared" si="8"/>
        <v>ER4</v>
      </c>
      <c r="AF23" s="36">
        <f t="shared" si="8"/>
        <v>50</v>
      </c>
      <c r="AG23" s="36" t="str">
        <f t="shared" si="8"/>
        <v>TLC</v>
      </c>
      <c r="AI23">
        <v>9</v>
      </c>
      <c r="AJ23" s="77" t="str">
        <f t="shared" si="7"/>
        <v>MEXICO AEREO</v>
      </c>
      <c r="AK23" s="77">
        <f t="shared" si="2"/>
        <v>3228</v>
      </c>
      <c r="AL23" s="78">
        <v>0.68819444444444444</v>
      </c>
      <c r="AM23" s="79">
        <v>0.69097222222222221</v>
      </c>
      <c r="AN23" s="80">
        <v>2.7777777777777679E-3</v>
      </c>
      <c r="AO23" s="79">
        <v>0.69791666666666663</v>
      </c>
      <c r="AP23" s="80">
        <v>6.9444444444444198E-3</v>
      </c>
      <c r="AQ23" s="81">
        <v>41808</v>
      </c>
      <c r="AR23" s="77" t="str">
        <f t="shared" si="3"/>
        <v>Nacional</v>
      </c>
      <c r="AS23" s="77">
        <f t="shared" si="3"/>
        <v>7.6388888888888618E-3</v>
      </c>
      <c r="AT23" s="77">
        <f t="shared" si="3"/>
        <v>6.29960317460318E-3</v>
      </c>
      <c r="AU23" s="77">
        <f t="shared" si="3"/>
        <v>1.3938492063492042E-2</v>
      </c>
      <c r="AV23" s="77" t="str">
        <f t="shared" si="3"/>
        <v>ER4</v>
      </c>
      <c r="AW23" s="77">
        <f t="shared" si="3"/>
        <v>50</v>
      </c>
      <c r="AX23" s="77" t="str">
        <f t="shared" si="3"/>
        <v>MEX</v>
      </c>
    </row>
    <row r="24" spans="1:50" x14ac:dyDescent="0.25">
      <c r="A24">
        <v>10</v>
      </c>
      <c r="B24" s="36" t="str">
        <f t="shared" si="4"/>
        <v>MEXICO AEREO</v>
      </c>
      <c r="C24" s="36">
        <f t="shared" si="4"/>
        <v>2625</v>
      </c>
      <c r="D24" s="74">
        <v>0.85902777777777783</v>
      </c>
      <c r="E24" s="74">
        <v>0.86805555555555547</v>
      </c>
      <c r="F24" s="75">
        <v>9.0277777777776347E-3</v>
      </c>
      <c r="G24" s="74">
        <v>0.87152777777777779</v>
      </c>
      <c r="H24" s="75">
        <v>3.4722222222223209E-3</v>
      </c>
      <c r="I24" s="76">
        <v>41725</v>
      </c>
      <c r="J24" s="36" t="str">
        <f t="shared" si="9"/>
        <v>Nacional</v>
      </c>
      <c r="K24" s="36">
        <f t="shared" si="9"/>
        <v>7.1428571428571331E-3</v>
      </c>
      <c r="L24" s="36">
        <f t="shared" si="9"/>
        <v>3.3730158730158771E-3</v>
      </c>
      <c r="M24" s="36">
        <f t="shared" si="9"/>
        <v>1.051587301587301E-2</v>
      </c>
      <c r="N24" s="36" t="str">
        <f t="shared" si="9"/>
        <v>ER4</v>
      </c>
      <c r="O24" s="36">
        <f t="shared" si="9"/>
        <v>50</v>
      </c>
      <c r="P24" s="36" t="str">
        <f t="shared" si="9"/>
        <v>TLC</v>
      </c>
      <c r="R24">
        <v>10</v>
      </c>
      <c r="S24" s="36" t="str">
        <f t="shared" si="6"/>
        <v>MEXICO AEREO</v>
      </c>
      <c r="T24" s="36">
        <f t="shared" si="6"/>
        <v>2625</v>
      </c>
      <c r="U24" s="73">
        <v>0.95833333333333337</v>
      </c>
      <c r="V24" s="74">
        <v>0.96944444444444444</v>
      </c>
      <c r="W24" s="75">
        <v>1.1111111111111072E-2</v>
      </c>
      <c r="X24" s="74">
        <v>0.97222222222222221</v>
      </c>
      <c r="Y24" s="75">
        <v>2.7777777777777679E-3</v>
      </c>
      <c r="Z24" s="76">
        <v>41740</v>
      </c>
      <c r="AA24" s="36" t="str">
        <f t="shared" si="8"/>
        <v>Nacional</v>
      </c>
      <c r="AB24" s="36">
        <f t="shared" si="8"/>
        <v>7.3611111111110926E-3</v>
      </c>
      <c r="AC24" s="36">
        <f t="shared" si="8"/>
        <v>6.4351851851851697E-3</v>
      </c>
      <c r="AD24" s="36">
        <f t="shared" si="8"/>
        <v>1.3796296296296261E-2</v>
      </c>
      <c r="AE24" s="36" t="str">
        <f t="shared" si="8"/>
        <v>ER4</v>
      </c>
      <c r="AF24" s="36">
        <f t="shared" si="8"/>
        <v>50</v>
      </c>
      <c r="AG24" s="36" t="str">
        <f t="shared" si="8"/>
        <v>TLC</v>
      </c>
      <c r="AI24">
        <v>10</v>
      </c>
      <c r="AJ24" s="77" t="str">
        <f t="shared" si="7"/>
        <v>MEXICO AEREO</v>
      </c>
      <c r="AK24" s="77">
        <f t="shared" si="2"/>
        <v>3228</v>
      </c>
      <c r="AL24" s="78">
        <v>0.6972222222222223</v>
      </c>
      <c r="AM24" s="79">
        <v>0.70694444444444438</v>
      </c>
      <c r="AN24" s="80">
        <v>9.7222222222220767E-3</v>
      </c>
      <c r="AO24" s="79">
        <v>0.71111111111111114</v>
      </c>
      <c r="AP24" s="80">
        <v>4.1666666666667629E-3</v>
      </c>
      <c r="AQ24" s="81">
        <v>41809</v>
      </c>
      <c r="AR24" s="77" t="str">
        <f t="shared" si="3"/>
        <v>Nacional</v>
      </c>
      <c r="AS24" s="77">
        <f t="shared" si="3"/>
        <v>7.6388888888888618E-3</v>
      </c>
      <c r="AT24" s="77">
        <f t="shared" si="3"/>
        <v>6.29960317460318E-3</v>
      </c>
      <c r="AU24" s="77">
        <f t="shared" si="3"/>
        <v>1.3938492063492042E-2</v>
      </c>
      <c r="AV24" s="77" t="str">
        <f t="shared" si="3"/>
        <v>ER4</v>
      </c>
      <c r="AW24" s="77">
        <f t="shared" si="3"/>
        <v>50</v>
      </c>
      <c r="AX24" s="77" t="str">
        <f t="shared" si="3"/>
        <v>MEX</v>
      </c>
    </row>
    <row r="25" spans="1:50" ht="15.75" thickBot="1" x14ac:dyDescent="0.3">
      <c r="A25">
        <v>11</v>
      </c>
      <c r="B25" s="36" t="str">
        <f t="shared" si="4"/>
        <v>MEXICO AEREO</v>
      </c>
      <c r="C25" s="36">
        <f t="shared" si="4"/>
        <v>2625</v>
      </c>
      <c r="D25" s="84">
        <v>0.91388888888888886</v>
      </c>
      <c r="E25" s="84">
        <v>0.92083333333333339</v>
      </c>
      <c r="F25" s="85">
        <v>6.9444444444445308E-3</v>
      </c>
      <c r="G25" s="84">
        <v>0.92291666666666661</v>
      </c>
      <c r="H25" s="85">
        <v>2.0833333333332149E-3</v>
      </c>
      <c r="I25" s="86">
        <v>41726</v>
      </c>
      <c r="J25" s="36" t="str">
        <f t="shared" si="9"/>
        <v>Nacional</v>
      </c>
      <c r="K25" s="36">
        <f t="shared" si="9"/>
        <v>7.1428571428571331E-3</v>
      </c>
      <c r="L25" s="36">
        <f t="shared" si="9"/>
        <v>3.3730158730158771E-3</v>
      </c>
      <c r="M25" s="36">
        <f t="shared" si="9"/>
        <v>1.051587301587301E-2</v>
      </c>
      <c r="N25" s="36" t="str">
        <f t="shared" si="9"/>
        <v>ER4</v>
      </c>
      <c r="O25" s="36">
        <f t="shared" si="9"/>
        <v>50</v>
      </c>
      <c r="P25" s="36" t="str">
        <f t="shared" si="9"/>
        <v>TLC</v>
      </c>
      <c r="R25">
        <v>11</v>
      </c>
      <c r="S25" s="36" t="str">
        <f t="shared" si="6"/>
        <v>MEXICO AEREO</v>
      </c>
      <c r="T25" s="36">
        <f t="shared" si="6"/>
        <v>2625</v>
      </c>
      <c r="U25" s="73">
        <v>0.96388888888888891</v>
      </c>
      <c r="V25" s="74">
        <v>0.97152777777777777</v>
      </c>
      <c r="W25" s="75">
        <v>7.6388888888888618E-3</v>
      </c>
      <c r="X25" s="74">
        <v>0.97638888888888886</v>
      </c>
      <c r="Y25" s="75">
        <v>4.8611111111110938E-3</v>
      </c>
      <c r="Z25" s="76">
        <v>41743</v>
      </c>
      <c r="AA25" s="36" t="str">
        <f t="shared" si="8"/>
        <v>Nacional</v>
      </c>
      <c r="AB25" s="36">
        <f t="shared" si="8"/>
        <v>7.3611111111110926E-3</v>
      </c>
      <c r="AC25" s="36">
        <f t="shared" si="8"/>
        <v>6.4351851851851697E-3</v>
      </c>
      <c r="AD25" s="36">
        <f t="shared" si="8"/>
        <v>1.3796296296296261E-2</v>
      </c>
      <c r="AE25" s="36" t="str">
        <f t="shared" si="8"/>
        <v>ER4</v>
      </c>
      <c r="AF25" s="36">
        <f t="shared" si="8"/>
        <v>50</v>
      </c>
      <c r="AG25" s="36" t="str">
        <f t="shared" si="8"/>
        <v>TLC</v>
      </c>
      <c r="AI25">
        <v>11</v>
      </c>
      <c r="AJ25" s="77" t="str">
        <f t="shared" si="7"/>
        <v>MEXICO AEREO</v>
      </c>
      <c r="AK25" s="77">
        <f t="shared" si="2"/>
        <v>3228</v>
      </c>
      <c r="AL25" s="78">
        <v>0.71388888888888891</v>
      </c>
      <c r="AM25" s="79">
        <v>0.72013888888888899</v>
      </c>
      <c r="AN25" s="80">
        <v>6.2500000000000888E-3</v>
      </c>
      <c r="AO25" s="79">
        <v>0.72499999999999998</v>
      </c>
      <c r="AP25" s="80">
        <v>4.8611111111109828E-3</v>
      </c>
      <c r="AQ25" s="81">
        <v>41810</v>
      </c>
      <c r="AR25" s="77" t="str">
        <f t="shared" si="3"/>
        <v>Nacional</v>
      </c>
      <c r="AS25" s="77">
        <f t="shared" si="3"/>
        <v>7.6388888888888618E-3</v>
      </c>
      <c r="AT25" s="77">
        <f t="shared" si="3"/>
        <v>6.29960317460318E-3</v>
      </c>
      <c r="AU25" s="77">
        <f t="shared" si="3"/>
        <v>1.3938492063492042E-2</v>
      </c>
      <c r="AV25" s="77" t="str">
        <f t="shared" si="3"/>
        <v>ER4</v>
      </c>
      <c r="AW25" s="77">
        <f t="shared" si="3"/>
        <v>50</v>
      </c>
      <c r="AX25" s="77" t="str">
        <f t="shared" si="3"/>
        <v>MEX</v>
      </c>
    </row>
    <row r="26" spans="1:50" x14ac:dyDescent="0.25">
      <c r="A26">
        <v>12</v>
      </c>
      <c r="B26" s="36" t="str">
        <f t="shared" si="4"/>
        <v>MEXICO AEREO</v>
      </c>
      <c r="C26" s="88">
        <v>2622</v>
      </c>
      <c r="D26" s="57">
        <v>0.4548611111111111</v>
      </c>
      <c r="E26" s="57">
        <v>0.45902777777777781</v>
      </c>
      <c r="F26" s="58">
        <v>4.1666666666667074E-3</v>
      </c>
      <c r="G26" s="57">
        <v>0.46111111111111108</v>
      </c>
      <c r="H26" s="58">
        <v>2.0833333333332704E-3</v>
      </c>
      <c r="I26" s="59">
        <v>41714</v>
      </c>
      <c r="J26" s="59" t="s">
        <v>19</v>
      </c>
      <c r="K26" s="57">
        <v>5.8080808080808125E-3</v>
      </c>
      <c r="L26" s="57">
        <v>3.9772727272727286E-3</v>
      </c>
      <c r="M26" s="93">
        <v>9.7853535353535411E-3</v>
      </c>
      <c r="N26" s="90" t="s">
        <v>20</v>
      </c>
      <c r="O26" s="91">
        <v>50</v>
      </c>
      <c r="P26" s="92" t="s">
        <v>27</v>
      </c>
      <c r="R26">
        <v>12</v>
      </c>
      <c r="S26" s="36" t="str">
        <f t="shared" si="6"/>
        <v>MEXICO AEREO</v>
      </c>
      <c r="T26" s="36">
        <f t="shared" si="6"/>
        <v>2625</v>
      </c>
      <c r="U26" s="73">
        <v>1.0055555555555555</v>
      </c>
      <c r="V26" s="74">
        <v>1.0118055555555556</v>
      </c>
      <c r="W26" s="75">
        <v>6.2500000000000888E-3</v>
      </c>
      <c r="X26" s="74">
        <v>1.0125</v>
      </c>
      <c r="Y26" s="75">
        <v>6.9444444444433095E-4</v>
      </c>
      <c r="Z26" s="76">
        <v>41745</v>
      </c>
      <c r="AA26" s="36" t="str">
        <f t="shared" si="8"/>
        <v>Nacional</v>
      </c>
      <c r="AB26" s="36">
        <f t="shared" si="8"/>
        <v>7.3611111111110926E-3</v>
      </c>
      <c r="AC26" s="36">
        <f t="shared" si="8"/>
        <v>6.4351851851851697E-3</v>
      </c>
      <c r="AD26" s="36">
        <f t="shared" si="8"/>
        <v>1.3796296296296261E-2</v>
      </c>
      <c r="AE26" s="36" t="str">
        <f t="shared" si="8"/>
        <v>ER4</v>
      </c>
      <c r="AF26" s="36">
        <f t="shared" si="8"/>
        <v>50</v>
      </c>
      <c r="AG26" s="36" t="str">
        <f t="shared" si="8"/>
        <v>TLC</v>
      </c>
      <c r="AI26">
        <v>12</v>
      </c>
      <c r="AJ26" s="77" t="str">
        <f t="shared" si="7"/>
        <v>MEXICO AEREO</v>
      </c>
      <c r="AK26" s="77">
        <f t="shared" si="2"/>
        <v>3228</v>
      </c>
      <c r="AL26" s="78">
        <v>0.70208333333333339</v>
      </c>
      <c r="AM26" s="79">
        <v>0.70277777777777783</v>
      </c>
      <c r="AN26" s="80">
        <v>6.9444444444444198E-4</v>
      </c>
      <c r="AO26" s="79">
        <v>0.70486111111111116</v>
      </c>
      <c r="AP26" s="80">
        <v>2.0833333333333259E-3</v>
      </c>
      <c r="AQ26" s="81">
        <v>41811</v>
      </c>
      <c r="AR26" s="77" t="str">
        <f t="shared" si="3"/>
        <v>Nacional</v>
      </c>
      <c r="AS26" s="77">
        <f t="shared" si="3"/>
        <v>7.6388888888888618E-3</v>
      </c>
      <c r="AT26" s="77">
        <f t="shared" si="3"/>
        <v>6.29960317460318E-3</v>
      </c>
      <c r="AU26" s="77">
        <f t="shared" si="3"/>
        <v>1.3938492063492042E-2</v>
      </c>
      <c r="AV26" s="77" t="str">
        <f t="shared" si="3"/>
        <v>ER4</v>
      </c>
      <c r="AW26" s="77">
        <f t="shared" si="3"/>
        <v>50</v>
      </c>
      <c r="AX26" s="77" t="str">
        <f t="shared" si="3"/>
        <v>MEX</v>
      </c>
    </row>
    <row r="27" spans="1:50" x14ac:dyDescent="0.25">
      <c r="A27">
        <v>13</v>
      </c>
      <c r="B27" s="36" t="str">
        <f t="shared" si="4"/>
        <v>MEXICO AEREO</v>
      </c>
      <c r="C27" s="36">
        <f t="shared" si="4"/>
        <v>2622</v>
      </c>
      <c r="D27" s="74">
        <v>0.44791666666666669</v>
      </c>
      <c r="E27" s="74">
        <v>0.45277777777777778</v>
      </c>
      <c r="F27" s="75">
        <v>4.8611111111110938E-3</v>
      </c>
      <c r="G27" s="74">
        <v>0.45833333333333331</v>
      </c>
      <c r="H27" s="75">
        <v>5.5555555555555358E-3</v>
      </c>
      <c r="I27" s="76">
        <v>41715</v>
      </c>
      <c r="J27" s="36" t="str">
        <f t="shared" ref="J27:P36" si="10">J26</f>
        <v>Nacional</v>
      </c>
      <c r="K27" s="36">
        <f t="shared" si="10"/>
        <v>5.8080808080808125E-3</v>
      </c>
      <c r="L27" s="36">
        <f t="shared" si="10"/>
        <v>3.9772727272727286E-3</v>
      </c>
      <c r="M27" s="36">
        <f t="shared" si="10"/>
        <v>9.7853535353535411E-3</v>
      </c>
      <c r="N27" s="36" t="str">
        <f t="shared" si="10"/>
        <v>ER4</v>
      </c>
      <c r="O27" s="36">
        <f t="shared" si="10"/>
        <v>50</v>
      </c>
      <c r="P27" s="36" t="str">
        <f t="shared" si="10"/>
        <v>HMO</v>
      </c>
      <c r="R27">
        <v>13</v>
      </c>
      <c r="S27" s="36" t="str">
        <f t="shared" si="6"/>
        <v>MEXICO AEREO</v>
      </c>
      <c r="T27" s="36">
        <f t="shared" si="6"/>
        <v>2625</v>
      </c>
      <c r="U27" s="73">
        <v>0.96666666666666667</v>
      </c>
      <c r="V27" s="74">
        <v>0.97777777777777775</v>
      </c>
      <c r="W27" s="75">
        <v>1.1111111111111072E-2</v>
      </c>
      <c r="X27" s="74">
        <v>0.98333333333333339</v>
      </c>
      <c r="Y27" s="75">
        <v>5.5555555555556468E-3</v>
      </c>
      <c r="Z27" s="76">
        <v>41746</v>
      </c>
      <c r="AA27" s="36" t="str">
        <f t="shared" si="8"/>
        <v>Nacional</v>
      </c>
      <c r="AB27" s="36">
        <f t="shared" si="8"/>
        <v>7.3611111111110926E-3</v>
      </c>
      <c r="AC27" s="36">
        <f t="shared" si="8"/>
        <v>6.4351851851851697E-3</v>
      </c>
      <c r="AD27" s="36">
        <f t="shared" si="8"/>
        <v>1.3796296296296261E-2</v>
      </c>
      <c r="AE27" s="36" t="str">
        <f t="shared" si="8"/>
        <v>ER4</v>
      </c>
      <c r="AF27" s="36">
        <f t="shared" si="8"/>
        <v>50</v>
      </c>
      <c r="AG27" s="36" t="str">
        <f t="shared" si="8"/>
        <v>TLC</v>
      </c>
      <c r="AI27">
        <v>13</v>
      </c>
      <c r="AJ27" s="77" t="str">
        <f t="shared" si="7"/>
        <v>MEXICO AEREO</v>
      </c>
      <c r="AK27" s="77">
        <f t="shared" si="2"/>
        <v>3228</v>
      </c>
      <c r="AL27" s="78">
        <v>0.74097222222222225</v>
      </c>
      <c r="AM27" s="79">
        <v>0.74305555555555547</v>
      </c>
      <c r="AN27" s="80">
        <v>2.0833333333332149E-3</v>
      </c>
      <c r="AO27" s="79">
        <v>0.75277777777777777</v>
      </c>
      <c r="AP27" s="80">
        <v>9.7222222222222987E-3</v>
      </c>
      <c r="AQ27" s="81">
        <v>41813</v>
      </c>
      <c r="AR27" s="77" t="str">
        <f t="shared" si="3"/>
        <v>Nacional</v>
      </c>
      <c r="AS27" s="77">
        <f t="shared" si="3"/>
        <v>7.6388888888888618E-3</v>
      </c>
      <c r="AT27" s="77">
        <f t="shared" si="3"/>
        <v>6.29960317460318E-3</v>
      </c>
      <c r="AU27" s="77">
        <f t="shared" si="3"/>
        <v>1.3938492063492042E-2</v>
      </c>
      <c r="AV27" s="77" t="str">
        <f t="shared" si="3"/>
        <v>ER4</v>
      </c>
      <c r="AW27" s="77">
        <f t="shared" si="3"/>
        <v>50</v>
      </c>
      <c r="AX27" s="77" t="str">
        <f t="shared" si="3"/>
        <v>MEX</v>
      </c>
    </row>
    <row r="28" spans="1:50" ht="15.75" thickBot="1" x14ac:dyDescent="0.3">
      <c r="A28">
        <v>14</v>
      </c>
      <c r="B28" s="36" t="str">
        <f t="shared" si="4"/>
        <v>MEXICO AEREO</v>
      </c>
      <c r="C28" s="36">
        <f t="shared" si="4"/>
        <v>2622</v>
      </c>
      <c r="D28" s="74">
        <v>0.44513888888888892</v>
      </c>
      <c r="E28" s="74">
        <v>0.44722222222222219</v>
      </c>
      <c r="F28" s="75">
        <v>2.0833333333332704E-3</v>
      </c>
      <c r="G28" s="74">
        <v>0.45069444444444445</v>
      </c>
      <c r="H28" s="75">
        <v>3.4722222222222654E-3</v>
      </c>
      <c r="I28" s="76">
        <v>41721</v>
      </c>
      <c r="J28" s="36" t="str">
        <f t="shared" si="10"/>
        <v>Nacional</v>
      </c>
      <c r="K28" s="36">
        <f t="shared" si="10"/>
        <v>5.8080808080808125E-3</v>
      </c>
      <c r="L28" s="36">
        <f t="shared" si="10"/>
        <v>3.9772727272727286E-3</v>
      </c>
      <c r="M28" s="36">
        <f t="shared" si="10"/>
        <v>9.7853535353535411E-3</v>
      </c>
      <c r="N28" s="36" t="str">
        <f t="shared" si="10"/>
        <v>ER4</v>
      </c>
      <c r="O28" s="36">
        <f t="shared" si="10"/>
        <v>50</v>
      </c>
      <c r="P28" s="36" t="str">
        <f t="shared" si="10"/>
        <v>HMO</v>
      </c>
      <c r="R28">
        <v>14</v>
      </c>
      <c r="S28" s="36" t="str">
        <f t="shared" si="6"/>
        <v>MEXICO AEREO</v>
      </c>
      <c r="T28" s="36">
        <f t="shared" si="6"/>
        <v>2625</v>
      </c>
      <c r="U28" s="73">
        <v>0.95486111111111116</v>
      </c>
      <c r="V28" s="74">
        <v>0.97083333333333333</v>
      </c>
      <c r="W28" s="75">
        <v>1.5972222222222165E-2</v>
      </c>
      <c r="X28" s="74">
        <v>0.97222222222222221</v>
      </c>
      <c r="Y28" s="75">
        <v>1.388888888888884E-3</v>
      </c>
      <c r="Z28" s="76">
        <v>41749</v>
      </c>
      <c r="AA28" s="36" t="str">
        <f t="shared" si="8"/>
        <v>Nacional</v>
      </c>
      <c r="AB28" s="36">
        <f t="shared" si="8"/>
        <v>7.3611111111110926E-3</v>
      </c>
      <c r="AC28" s="36">
        <f t="shared" si="8"/>
        <v>6.4351851851851697E-3</v>
      </c>
      <c r="AD28" s="36">
        <f t="shared" si="8"/>
        <v>1.3796296296296261E-2</v>
      </c>
      <c r="AE28" s="36" t="str">
        <f t="shared" si="8"/>
        <v>ER4</v>
      </c>
      <c r="AF28" s="36">
        <f t="shared" si="8"/>
        <v>50</v>
      </c>
      <c r="AG28" s="36" t="str">
        <f t="shared" si="8"/>
        <v>TLC</v>
      </c>
      <c r="AI28">
        <v>14</v>
      </c>
      <c r="AJ28" s="77" t="str">
        <f t="shared" si="7"/>
        <v>MEXICO AEREO</v>
      </c>
      <c r="AK28" s="77">
        <f t="shared" si="2"/>
        <v>3228</v>
      </c>
      <c r="AL28" s="94">
        <v>0.70694444444444438</v>
      </c>
      <c r="AM28" s="95">
        <v>0.71666666666666667</v>
      </c>
      <c r="AN28" s="96">
        <v>9.7222222222222987E-3</v>
      </c>
      <c r="AO28" s="95">
        <v>0.72083333333333333</v>
      </c>
      <c r="AP28" s="96">
        <v>4.1666666666666519E-3</v>
      </c>
      <c r="AQ28" s="97">
        <v>41812</v>
      </c>
      <c r="AR28" s="77" t="str">
        <f t="shared" si="3"/>
        <v>Nacional</v>
      </c>
      <c r="AS28" s="77">
        <f t="shared" si="3"/>
        <v>7.6388888888888618E-3</v>
      </c>
      <c r="AT28" s="77">
        <f t="shared" si="3"/>
        <v>6.29960317460318E-3</v>
      </c>
      <c r="AU28" s="77">
        <f t="shared" si="3"/>
        <v>1.3938492063492042E-2</v>
      </c>
      <c r="AV28" s="77" t="str">
        <f t="shared" si="3"/>
        <v>ER4</v>
      </c>
      <c r="AW28" s="77">
        <f t="shared" si="3"/>
        <v>50</v>
      </c>
      <c r="AX28" s="77" t="str">
        <f t="shared" si="3"/>
        <v>MEX</v>
      </c>
    </row>
    <row r="29" spans="1:50" x14ac:dyDescent="0.25">
      <c r="A29">
        <v>15</v>
      </c>
      <c r="B29" s="36" t="str">
        <f t="shared" si="4"/>
        <v>MEXICO AEREO</v>
      </c>
      <c r="C29" s="36">
        <f t="shared" si="4"/>
        <v>2622</v>
      </c>
      <c r="D29" s="74">
        <v>0.43402777777777773</v>
      </c>
      <c r="E29" s="74">
        <v>0.4375</v>
      </c>
      <c r="F29" s="75">
        <v>3.4722222222222654E-3</v>
      </c>
      <c r="G29" s="74">
        <v>0.44375000000000003</v>
      </c>
      <c r="H29" s="75">
        <v>6.2500000000000333E-3</v>
      </c>
      <c r="I29" s="76">
        <v>41722</v>
      </c>
      <c r="J29" s="36" t="str">
        <f t="shared" si="10"/>
        <v>Nacional</v>
      </c>
      <c r="K29" s="36">
        <f t="shared" si="10"/>
        <v>5.8080808080808125E-3</v>
      </c>
      <c r="L29" s="36">
        <f t="shared" si="10"/>
        <v>3.9772727272727286E-3</v>
      </c>
      <c r="M29" s="36">
        <f t="shared" si="10"/>
        <v>9.7853535353535411E-3</v>
      </c>
      <c r="N29" s="36" t="str">
        <f t="shared" si="10"/>
        <v>ER4</v>
      </c>
      <c r="O29" s="36">
        <f t="shared" si="10"/>
        <v>50</v>
      </c>
      <c r="P29" s="36" t="str">
        <f t="shared" si="10"/>
        <v>HMO</v>
      </c>
      <c r="R29">
        <v>15</v>
      </c>
      <c r="S29" s="36" t="str">
        <f t="shared" si="6"/>
        <v>MEXICO AEREO</v>
      </c>
      <c r="T29" s="36">
        <f t="shared" si="6"/>
        <v>2625</v>
      </c>
      <c r="U29" s="73">
        <v>0.95486111111111116</v>
      </c>
      <c r="V29" s="74">
        <v>0.96250000000000002</v>
      </c>
      <c r="W29" s="75">
        <v>7.6388888888888618E-3</v>
      </c>
      <c r="X29" s="74">
        <v>0.96388888888888891</v>
      </c>
      <c r="Y29" s="75">
        <v>1.388888888888884E-3</v>
      </c>
      <c r="Z29" s="76">
        <v>41749</v>
      </c>
      <c r="AA29" s="36" t="str">
        <f t="shared" si="8"/>
        <v>Nacional</v>
      </c>
      <c r="AB29" s="36">
        <f t="shared" si="8"/>
        <v>7.3611111111110926E-3</v>
      </c>
      <c r="AC29" s="36">
        <f t="shared" si="8"/>
        <v>6.4351851851851697E-3</v>
      </c>
      <c r="AD29" s="36">
        <f t="shared" si="8"/>
        <v>1.3796296296296261E-2</v>
      </c>
      <c r="AE29" s="36" t="str">
        <f t="shared" si="8"/>
        <v>ER4</v>
      </c>
      <c r="AF29" s="36">
        <f t="shared" si="8"/>
        <v>50</v>
      </c>
      <c r="AG29" s="36" t="str">
        <f t="shared" si="8"/>
        <v>TLC</v>
      </c>
      <c r="AI29">
        <v>15</v>
      </c>
      <c r="AJ29" s="77" t="str">
        <f t="shared" si="7"/>
        <v>MEXICO AEREO</v>
      </c>
      <c r="AK29" s="98">
        <v>3102</v>
      </c>
      <c r="AL29" s="64">
        <v>0.71111111111111114</v>
      </c>
      <c r="AM29" s="65">
        <v>0.71944444444444444</v>
      </c>
      <c r="AN29" s="66">
        <v>8.3333333333333037E-3</v>
      </c>
      <c r="AO29" s="65">
        <v>0.72777777777777775</v>
      </c>
      <c r="AP29" s="66">
        <v>8.3333333333333037E-3</v>
      </c>
      <c r="AQ29" s="67">
        <v>41801</v>
      </c>
      <c r="AR29" s="68" t="s">
        <v>19</v>
      </c>
      <c r="AS29" s="69">
        <v>7.4074074074074181E-3</v>
      </c>
      <c r="AT29" s="70">
        <v>7.638888888888899E-3</v>
      </c>
      <c r="AU29" s="70">
        <v>1.5046296296296318E-2</v>
      </c>
      <c r="AV29" s="71" t="s">
        <v>20</v>
      </c>
      <c r="AW29" s="71">
        <v>50</v>
      </c>
      <c r="AX29" s="72" t="s">
        <v>21</v>
      </c>
    </row>
    <row r="30" spans="1:50" x14ac:dyDescent="0.25">
      <c r="A30">
        <v>16</v>
      </c>
      <c r="B30" s="36" t="str">
        <f t="shared" si="4"/>
        <v>MEXICO AEREO</v>
      </c>
      <c r="C30" s="36">
        <f t="shared" si="4"/>
        <v>2622</v>
      </c>
      <c r="D30" s="74">
        <v>0.45277777777777778</v>
      </c>
      <c r="E30" s="74">
        <v>0.45763888888888887</v>
      </c>
      <c r="F30" s="75">
        <v>4.8611111111110938E-3</v>
      </c>
      <c r="G30" s="74">
        <v>0.46319444444444446</v>
      </c>
      <c r="H30" s="75">
        <v>5.5555555555555913E-3</v>
      </c>
      <c r="I30" s="76">
        <v>41725</v>
      </c>
      <c r="J30" s="36" t="str">
        <f t="shared" si="10"/>
        <v>Nacional</v>
      </c>
      <c r="K30" s="36">
        <f t="shared" si="10"/>
        <v>5.8080808080808125E-3</v>
      </c>
      <c r="L30" s="36">
        <f t="shared" si="10"/>
        <v>3.9772727272727286E-3</v>
      </c>
      <c r="M30" s="36">
        <f t="shared" si="10"/>
        <v>9.7853535353535411E-3</v>
      </c>
      <c r="N30" s="36" t="str">
        <f t="shared" si="10"/>
        <v>ER4</v>
      </c>
      <c r="O30" s="36">
        <f t="shared" si="10"/>
        <v>50</v>
      </c>
      <c r="P30" s="36" t="str">
        <f t="shared" si="10"/>
        <v>HMO</v>
      </c>
      <c r="R30">
        <v>16</v>
      </c>
      <c r="S30" s="36" t="str">
        <f t="shared" si="6"/>
        <v>MEXICO AEREO</v>
      </c>
      <c r="T30" s="36">
        <f t="shared" si="6"/>
        <v>2625</v>
      </c>
      <c r="U30" s="73">
        <v>0.9604166666666667</v>
      </c>
      <c r="V30" s="74">
        <v>0.96944444444444444</v>
      </c>
      <c r="W30" s="75">
        <v>9.0277777777777457E-3</v>
      </c>
      <c r="X30" s="74">
        <v>0.97083333333333333</v>
      </c>
      <c r="Y30" s="75">
        <v>1.388888888888884E-3</v>
      </c>
      <c r="Z30" s="76">
        <v>41757</v>
      </c>
      <c r="AA30" s="36" t="str">
        <f t="shared" si="8"/>
        <v>Nacional</v>
      </c>
      <c r="AB30" s="36">
        <f t="shared" si="8"/>
        <v>7.3611111111110926E-3</v>
      </c>
      <c r="AC30" s="36">
        <f t="shared" si="8"/>
        <v>6.4351851851851697E-3</v>
      </c>
      <c r="AD30" s="36">
        <f t="shared" si="8"/>
        <v>1.3796296296296261E-2</v>
      </c>
      <c r="AE30" s="36" t="str">
        <f t="shared" si="8"/>
        <v>ER4</v>
      </c>
      <c r="AF30" s="36">
        <f t="shared" si="8"/>
        <v>50</v>
      </c>
      <c r="AG30" s="36" t="str">
        <f t="shared" si="8"/>
        <v>TLC</v>
      </c>
      <c r="AI30">
        <v>16</v>
      </c>
      <c r="AJ30" s="77" t="str">
        <f t="shared" si="7"/>
        <v>MEXICO AEREO</v>
      </c>
      <c r="AK30" s="77">
        <f t="shared" si="7"/>
        <v>3102</v>
      </c>
      <c r="AL30" s="78">
        <v>0.83194444444444438</v>
      </c>
      <c r="AM30" s="79">
        <v>0.84305555555555556</v>
      </c>
      <c r="AN30" s="80">
        <v>1.1111111111111183E-2</v>
      </c>
      <c r="AO30" s="79">
        <v>0.85625000000000007</v>
      </c>
      <c r="AP30" s="80">
        <v>1.3194444444444509E-2</v>
      </c>
      <c r="AQ30" s="81">
        <v>41802</v>
      </c>
      <c r="AR30" s="77" t="str">
        <f t="shared" ref="AR30:AX31" si="11">AR29</f>
        <v>Nacional</v>
      </c>
      <c r="AS30" s="77">
        <f t="shared" si="11"/>
        <v>7.4074074074074181E-3</v>
      </c>
      <c r="AT30" s="77">
        <f t="shared" si="11"/>
        <v>7.638888888888899E-3</v>
      </c>
      <c r="AU30" s="77">
        <f t="shared" si="11"/>
        <v>1.5046296296296318E-2</v>
      </c>
      <c r="AV30" s="77" t="str">
        <f t="shared" si="11"/>
        <v>ER4</v>
      </c>
      <c r="AW30" s="77">
        <f t="shared" si="11"/>
        <v>50</v>
      </c>
      <c r="AX30" s="77" t="str">
        <f t="shared" si="11"/>
        <v>MEX</v>
      </c>
    </row>
    <row r="31" spans="1:50" ht="15.75" thickBot="1" x14ac:dyDescent="0.3">
      <c r="A31">
        <v>17</v>
      </c>
      <c r="B31" s="36" t="str">
        <f t="shared" si="4"/>
        <v>MEXICO AEREO</v>
      </c>
      <c r="C31" s="36">
        <f t="shared" si="4"/>
        <v>2622</v>
      </c>
      <c r="D31" s="74">
        <v>0.44513888888888892</v>
      </c>
      <c r="E31" s="74">
        <v>0.45694444444444443</v>
      </c>
      <c r="F31" s="75">
        <v>1.1805555555555514E-2</v>
      </c>
      <c r="G31" s="74">
        <v>0.45902777777777781</v>
      </c>
      <c r="H31" s="75">
        <v>2.0833333333333814E-3</v>
      </c>
      <c r="I31" s="76">
        <v>41725</v>
      </c>
      <c r="J31" s="36" t="str">
        <f t="shared" si="10"/>
        <v>Nacional</v>
      </c>
      <c r="K31" s="36">
        <f t="shared" si="10"/>
        <v>5.8080808080808125E-3</v>
      </c>
      <c r="L31" s="36">
        <f t="shared" si="10"/>
        <v>3.9772727272727286E-3</v>
      </c>
      <c r="M31" s="36">
        <f t="shared" si="10"/>
        <v>9.7853535353535411E-3</v>
      </c>
      <c r="N31" s="36" t="str">
        <f t="shared" si="10"/>
        <v>ER4</v>
      </c>
      <c r="O31" s="36">
        <f t="shared" si="10"/>
        <v>50</v>
      </c>
      <c r="P31" s="36" t="str">
        <f t="shared" si="10"/>
        <v>HMO</v>
      </c>
      <c r="R31">
        <v>17</v>
      </c>
      <c r="S31" s="36" t="str">
        <f t="shared" si="6"/>
        <v>MEXICO AEREO</v>
      </c>
      <c r="T31" s="36">
        <f t="shared" si="6"/>
        <v>2625</v>
      </c>
      <c r="U31" s="73">
        <v>0.96250000000000002</v>
      </c>
      <c r="V31" s="74">
        <v>0.96666666666666667</v>
      </c>
      <c r="W31" s="75">
        <v>4.1666666666666519E-3</v>
      </c>
      <c r="X31" s="74">
        <v>0.96875</v>
      </c>
      <c r="Y31" s="75">
        <v>2.0833333333333259E-3</v>
      </c>
      <c r="Z31" s="76">
        <v>41759</v>
      </c>
      <c r="AA31" s="36" t="str">
        <f t="shared" si="8"/>
        <v>Nacional</v>
      </c>
      <c r="AB31" s="36">
        <f t="shared" si="8"/>
        <v>7.3611111111110926E-3</v>
      </c>
      <c r="AC31" s="36">
        <f t="shared" si="8"/>
        <v>6.4351851851851697E-3</v>
      </c>
      <c r="AD31" s="36">
        <f t="shared" si="8"/>
        <v>1.3796296296296261E-2</v>
      </c>
      <c r="AE31" s="36" t="str">
        <f t="shared" si="8"/>
        <v>ER4</v>
      </c>
      <c r="AF31" s="36">
        <f t="shared" si="8"/>
        <v>50</v>
      </c>
      <c r="AG31" s="36" t="str">
        <f t="shared" si="8"/>
        <v>TLC</v>
      </c>
      <c r="AI31">
        <v>17</v>
      </c>
      <c r="AJ31" s="77" t="str">
        <f t="shared" si="7"/>
        <v>MEXICO AEREO</v>
      </c>
      <c r="AK31" s="77">
        <f t="shared" si="7"/>
        <v>3102</v>
      </c>
      <c r="AL31" s="94">
        <v>0.375</v>
      </c>
      <c r="AM31" s="95">
        <v>0.37777777777777777</v>
      </c>
      <c r="AN31" s="96">
        <v>2.7777777777777679E-3</v>
      </c>
      <c r="AO31" s="95">
        <v>0.37916666666666665</v>
      </c>
      <c r="AP31" s="96">
        <v>1.388888888888884E-3</v>
      </c>
      <c r="AQ31" s="97">
        <v>41799</v>
      </c>
      <c r="AR31" s="77" t="str">
        <f t="shared" si="11"/>
        <v>Nacional</v>
      </c>
      <c r="AS31" s="77">
        <f t="shared" si="11"/>
        <v>7.4074074074074181E-3</v>
      </c>
      <c r="AT31" s="77">
        <f t="shared" si="11"/>
        <v>7.638888888888899E-3</v>
      </c>
      <c r="AU31" s="77">
        <f t="shared" si="11"/>
        <v>1.5046296296296318E-2</v>
      </c>
      <c r="AV31" s="77" t="str">
        <f t="shared" si="11"/>
        <v>ER4</v>
      </c>
      <c r="AW31" s="77">
        <f t="shared" si="11"/>
        <v>50</v>
      </c>
      <c r="AX31" s="77" t="str">
        <f t="shared" si="11"/>
        <v>MEX</v>
      </c>
    </row>
    <row r="32" spans="1:50" ht="15.75" thickBot="1" x14ac:dyDescent="0.3">
      <c r="A32">
        <v>18</v>
      </c>
      <c r="B32" s="36" t="str">
        <f t="shared" si="4"/>
        <v>MEXICO AEREO</v>
      </c>
      <c r="C32" s="36">
        <f t="shared" si="4"/>
        <v>2622</v>
      </c>
      <c r="D32" s="74">
        <v>0.44444444444444442</v>
      </c>
      <c r="E32" s="74">
        <v>0.45</v>
      </c>
      <c r="F32" s="75">
        <v>5.5555555555555913E-3</v>
      </c>
      <c r="G32" s="74">
        <v>0.45208333333333334</v>
      </c>
      <c r="H32" s="75">
        <v>2.0833333333333259E-3</v>
      </c>
      <c r="I32" s="76">
        <v>41725</v>
      </c>
      <c r="J32" s="36" t="str">
        <f t="shared" si="10"/>
        <v>Nacional</v>
      </c>
      <c r="K32" s="36">
        <f t="shared" si="10"/>
        <v>5.8080808080808125E-3</v>
      </c>
      <c r="L32" s="36">
        <f t="shared" si="10"/>
        <v>3.9772727272727286E-3</v>
      </c>
      <c r="M32" s="36">
        <f t="shared" si="10"/>
        <v>9.7853535353535411E-3</v>
      </c>
      <c r="N32" s="36" t="str">
        <f t="shared" si="10"/>
        <v>ER4</v>
      </c>
      <c r="O32" s="36">
        <f t="shared" si="10"/>
        <v>50</v>
      </c>
      <c r="P32" s="36" t="str">
        <f t="shared" si="10"/>
        <v>HMO</v>
      </c>
      <c r="R32">
        <v>18</v>
      </c>
      <c r="S32" s="36" t="str">
        <f t="shared" si="6"/>
        <v>MEXICO AEREO</v>
      </c>
      <c r="T32" s="36">
        <f t="shared" si="6"/>
        <v>2625</v>
      </c>
      <c r="U32" s="83">
        <v>0.9819444444444444</v>
      </c>
      <c r="V32" s="84">
        <v>0.98819444444444438</v>
      </c>
      <c r="W32" s="85">
        <v>6.2499999999999778E-3</v>
      </c>
      <c r="X32" s="84">
        <v>0.99305555555555547</v>
      </c>
      <c r="Y32" s="85">
        <v>4.8611111111110938E-3</v>
      </c>
      <c r="Z32" s="86">
        <v>41759</v>
      </c>
      <c r="AA32" s="36" t="str">
        <f t="shared" si="8"/>
        <v>Nacional</v>
      </c>
      <c r="AB32" s="36">
        <f t="shared" si="8"/>
        <v>7.3611111111110926E-3</v>
      </c>
      <c r="AC32" s="36">
        <f t="shared" si="8"/>
        <v>6.4351851851851697E-3</v>
      </c>
      <c r="AD32" s="36">
        <f t="shared" si="8"/>
        <v>1.3796296296296261E-2</v>
      </c>
      <c r="AE32" s="36" t="str">
        <f t="shared" si="8"/>
        <v>ER4</v>
      </c>
      <c r="AF32" s="36">
        <f t="shared" si="8"/>
        <v>50</v>
      </c>
      <c r="AG32" s="36" t="str">
        <f t="shared" si="8"/>
        <v>TLC</v>
      </c>
      <c r="AI32">
        <v>18</v>
      </c>
      <c r="AJ32" s="77" t="str">
        <f t="shared" si="7"/>
        <v>MEXICO AEREO</v>
      </c>
      <c r="AK32" s="99">
        <v>3100</v>
      </c>
      <c r="AL32" s="100">
        <v>0.99305555555555547</v>
      </c>
      <c r="AM32" s="101">
        <v>0.99861111111111101</v>
      </c>
      <c r="AN32" s="102">
        <v>5.5555555555555358E-3</v>
      </c>
      <c r="AO32" s="101">
        <v>1</v>
      </c>
      <c r="AP32" s="102">
        <v>1.388888888888995E-3</v>
      </c>
      <c r="AQ32" s="103">
        <v>41796</v>
      </c>
      <c r="AR32" s="104" t="s">
        <v>19</v>
      </c>
      <c r="AS32" s="105">
        <v>5.5555555555555358E-3</v>
      </c>
      <c r="AT32" s="105">
        <v>1.388888888888995E-3</v>
      </c>
      <c r="AU32" s="105">
        <v>6.9444444444445308E-3</v>
      </c>
      <c r="AV32" s="106" t="s">
        <v>20</v>
      </c>
      <c r="AW32" s="106">
        <v>50</v>
      </c>
      <c r="AX32" s="107" t="s">
        <v>21</v>
      </c>
    </row>
    <row r="33" spans="1:50" x14ac:dyDescent="0.25">
      <c r="A33">
        <v>19</v>
      </c>
      <c r="B33" s="36" t="str">
        <f t="shared" si="4"/>
        <v>MEXICO AEREO</v>
      </c>
      <c r="C33" s="36">
        <f t="shared" si="4"/>
        <v>2622</v>
      </c>
      <c r="D33" s="74">
        <v>0.45208333333333334</v>
      </c>
      <c r="E33" s="74">
        <v>0.4548611111111111</v>
      </c>
      <c r="F33" s="75">
        <v>2.7777777777777679E-3</v>
      </c>
      <c r="G33" s="74">
        <v>0.46180555555555558</v>
      </c>
      <c r="H33" s="75">
        <v>6.9444444444444753E-3</v>
      </c>
      <c r="I33" s="76">
        <v>41726</v>
      </c>
      <c r="J33" s="36" t="str">
        <f t="shared" si="10"/>
        <v>Nacional</v>
      </c>
      <c r="K33" s="36">
        <f t="shared" si="10"/>
        <v>5.8080808080808125E-3</v>
      </c>
      <c r="L33" s="36">
        <f t="shared" si="10"/>
        <v>3.9772727272727286E-3</v>
      </c>
      <c r="M33" s="36">
        <f t="shared" si="10"/>
        <v>9.7853535353535411E-3</v>
      </c>
      <c r="N33" s="36" t="str">
        <f t="shared" si="10"/>
        <v>ER4</v>
      </c>
      <c r="O33" s="36">
        <f t="shared" si="10"/>
        <v>50</v>
      </c>
      <c r="P33" s="36" t="str">
        <f t="shared" si="10"/>
        <v>HMO</v>
      </c>
      <c r="R33">
        <v>19</v>
      </c>
      <c r="S33" s="36" t="str">
        <f t="shared" si="6"/>
        <v>MEXICO AEREO</v>
      </c>
      <c r="T33" s="55">
        <v>2622</v>
      </c>
      <c r="U33" s="56">
        <v>0.44097222222222227</v>
      </c>
      <c r="V33" s="57">
        <v>0.44444444444444442</v>
      </c>
      <c r="W33" s="58">
        <v>3.4722222222221544E-3</v>
      </c>
      <c r="X33" s="57">
        <v>0.4513888888888889</v>
      </c>
      <c r="Y33" s="58">
        <v>6.9444444444444753E-3</v>
      </c>
      <c r="Z33" s="59">
        <v>41730</v>
      </c>
      <c r="AA33" s="60" t="s">
        <v>19</v>
      </c>
      <c r="AB33" s="61">
        <v>6.3657407407407395E-3</v>
      </c>
      <c r="AC33" s="61">
        <v>6.8672839506172994E-3</v>
      </c>
      <c r="AD33" s="62">
        <v>1.323302469135804E-2</v>
      </c>
      <c r="AE33" s="87" t="s">
        <v>20</v>
      </c>
      <c r="AF33" s="87">
        <v>50</v>
      </c>
      <c r="AG33" s="87" t="s">
        <v>27</v>
      </c>
      <c r="AI33">
        <v>19</v>
      </c>
      <c r="AJ33" s="77" t="str">
        <f t="shared" si="7"/>
        <v>MEXICO AEREO</v>
      </c>
      <c r="AK33" s="63">
        <v>2825</v>
      </c>
      <c r="AL33" s="64">
        <v>0.74583333333333324</v>
      </c>
      <c r="AM33" s="65">
        <v>0.7583333333333333</v>
      </c>
      <c r="AN33" s="66">
        <v>1.2500000000000067E-2</v>
      </c>
      <c r="AO33" s="65">
        <v>0.76041666666666663</v>
      </c>
      <c r="AP33" s="66">
        <v>2.0833333333333259E-3</v>
      </c>
      <c r="AQ33" s="67">
        <v>41808</v>
      </c>
      <c r="AR33" s="68" t="s">
        <v>19</v>
      </c>
      <c r="AS33" s="69">
        <v>7.1180555555555277E-3</v>
      </c>
      <c r="AT33" s="70">
        <v>7.5810185185185425E-3</v>
      </c>
      <c r="AU33" s="70">
        <v>1.4699074074074069E-2</v>
      </c>
      <c r="AV33" s="71" t="s">
        <v>20</v>
      </c>
      <c r="AW33" s="71">
        <v>50</v>
      </c>
      <c r="AX33" s="72" t="s">
        <v>28</v>
      </c>
    </row>
    <row r="34" spans="1:50" x14ac:dyDescent="0.25">
      <c r="A34">
        <v>20</v>
      </c>
      <c r="B34" s="36" t="str">
        <f t="shared" si="4"/>
        <v>MEXICO AEREO</v>
      </c>
      <c r="C34" s="36">
        <f t="shared" si="4"/>
        <v>2622</v>
      </c>
      <c r="D34" s="74">
        <v>0.44444444444444442</v>
      </c>
      <c r="E34" s="74">
        <v>0.45624999999999999</v>
      </c>
      <c r="F34" s="75">
        <v>1.1805555555555569E-2</v>
      </c>
      <c r="G34" s="74">
        <v>0.45833333333333331</v>
      </c>
      <c r="H34" s="75">
        <v>2.0833333333333259E-3</v>
      </c>
      <c r="I34" s="76">
        <v>41727</v>
      </c>
      <c r="J34" s="36" t="str">
        <f t="shared" si="10"/>
        <v>Nacional</v>
      </c>
      <c r="K34" s="36">
        <f t="shared" si="10"/>
        <v>5.8080808080808125E-3</v>
      </c>
      <c r="L34" s="36">
        <f t="shared" si="10"/>
        <v>3.9772727272727286E-3</v>
      </c>
      <c r="M34" s="36">
        <f t="shared" si="10"/>
        <v>9.7853535353535411E-3</v>
      </c>
      <c r="N34" s="36" t="str">
        <f t="shared" si="10"/>
        <v>ER4</v>
      </c>
      <c r="O34" s="36">
        <f t="shared" si="10"/>
        <v>50</v>
      </c>
      <c r="P34" s="36" t="str">
        <f t="shared" si="10"/>
        <v>HMO</v>
      </c>
      <c r="R34">
        <v>20</v>
      </c>
      <c r="S34" s="36" t="str">
        <f t="shared" si="6"/>
        <v>MEXICO AEREO</v>
      </c>
      <c r="T34" s="36">
        <f t="shared" si="6"/>
        <v>2622</v>
      </c>
      <c r="U34" s="73">
        <v>0.44236111111111115</v>
      </c>
      <c r="V34" s="74">
        <v>0.44722222222222219</v>
      </c>
      <c r="W34" s="75">
        <v>4.8611111111110383E-3</v>
      </c>
      <c r="X34" s="74">
        <v>0.4548611111111111</v>
      </c>
      <c r="Y34" s="75">
        <v>7.6388888888889173E-3</v>
      </c>
      <c r="Z34" s="76">
        <v>41731</v>
      </c>
      <c r="AA34" s="36" t="str">
        <f t="shared" ref="AA34:AG50" si="12">AA33</f>
        <v>Nacional</v>
      </c>
      <c r="AB34" s="36">
        <f t="shared" si="12"/>
        <v>6.3657407407407395E-3</v>
      </c>
      <c r="AC34" s="36">
        <f t="shared" si="12"/>
        <v>6.8672839506172994E-3</v>
      </c>
      <c r="AD34" s="36">
        <f t="shared" si="12"/>
        <v>1.323302469135804E-2</v>
      </c>
      <c r="AE34" s="36" t="str">
        <f t="shared" si="12"/>
        <v>ER4</v>
      </c>
      <c r="AF34" s="36">
        <f t="shared" si="12"/>
        <v>50</v>
      </c>
      <c r="AG34" s="36" t="str">
        <f t="shared" si="12"/>
        <v>HMO</v>
      </c>
      <c r="AI34">
        <v>20</v>
      </c>
      <c r="AJ34" s="77" t="str">
        <f t="shared" si="7"/>
        <v>MEXICO AEREO</v>
      </c>
      <c r="AK34" s="77">
        <f t="shared" si="7"/>
        <v>2825</v>
      </c>
      <c r="AL34" s="78">
        <v>0.76250000000000007</v>
      </c>
      <c r="AM34" s="79">
        <v>0.76527777777777783</v>
      </c>
      <c r="AN34" s="80">
        <v>2.7777777777777679E-3</v>
      </c>
      <c r="AO34" s="79">
        <v>0.77083333333333337</v>
      </c>
      <c r="AP34" s="80">
        <v>5.5555555555555358E-3</v>
      </c>
      <c r="AQ34" s="81">
        <v>41799</v>
      </c>
      <c r="AR34" s="77" t="str">
        <f t="shared" ref="AR34:AX44" si="13">AR33</f>
        <v>Nacional</v>
      </c>
      <c r="AS34" s="77">
        <f t="shared" si="13"/>
        <v>7.1180555555555277E-3</v>
      </c>
      <c r="AT34" s="77">
        <f t="shared" si="13"/>
        <v>7.5810185185185425E-3</v>
      </c>
      <c r="AU34" s="77">
        <f t="shared" si="13"/>
        <v>1.4699074074074069E-2</v>
      </c>
      <c r="AV34" s="77" t="str">
        <f t="shared" si="13"/>
        <v>ER4</v>
      </c>
      <c r="AW34" s="77">
        <f t="shared" si="13"/>
        <v>50</v>
      </c>
      <c r="AX34" s="77" t="str">
        <f t="shared" si="13"/>
        <v>MTY</v>
      </c>
    </row>
    <row r="35" spans="1:50" x14ac:dyDescent="0.25">
      <c r="A35">
        <v>21</v>
      </c>
      <c r="B35" s="36" t="str">
        <f t="shared" si="4"/>
        <v>MEXICO AEREO</v>
      </c>
      <c r="C35" s="36">
        <f t="shared" si="4"/>
        <v>2622</v>
      </c>
      <c r="D35" s="74">
        <v>0.4375</v>
      </c>
      <c r="E35" s="74">
        <v>0.44375000000000003</v>
      </c>
      <c r="F35" s="75">
        <v>6.2500000000000333E-3</v>
      </c>
      <c r="G35" s="74">
        <v>0.44722222222222219</v>
      </c>
      <c r="H35" s="75">
        <v>3.4722222222221544E-3</v>
      </c>
      <c r="I35" s="76">
        <v>41729</v>
      </c>
      <c r="J35" s="36" t="str">
        <f t="shared" si="10"/>
        <v>Nacional</v>
      </c>
      <c r="K35" s="36">
        <f t="shared" si="10"/>
        <v>5.8080808080808125E-3</v>
      </c>
      <c r="L35" s="36">
        <f t="shared" si="10"/>
        <v>3.9772727272727286E-3</v>
      </c>
      <c r="M35" s="36">
        <f t="shared" si="10"/>
        <v>9.7853535353535411E-3</v>
      </c>
      <c r="N35" s="36" t="str">
        <f t="shared" si="10"/>
        <v>ER4</v>
      </c>
      <c r="O35" s="36">
        <f t="shared" si="10"/>
        <v>50</v>
      </c>
      <c r="P35" s="36" t="str">
        <f t="shared" si="10"/>
        <v>HMO</v>
      </c>
      <c r="R35">
        <v>21</v>
      </c>
      <c r="S35" s="36" t="str">
        <f t="shared" si="6"/>
        <v>MEXICO AEREO</v>
      </c>
      <c r="T35" s="36">
        <f t="shared" si="6"/>
        <v>2622</v>
      </c>
      <c r="U35" s="73">
        <v>0.44444444444444442</v>
      </c>
      <c r="V35" s="74">
        <v>0.44722222222222219</v>
      </c>
      <c r="W35" s="75">
        <v>2.7777777777777679E-3</v>
      </c>
      <c r="X35" s="74">
        <v>0.4548611111111111</v>
      </c>
      <c r="Y35" s="75">
        <v>7.6388888888889173E-3</v>
      </c>
      <c r="Z35" s="76">
        <v>41732</v>
      </c>
      <c r="AA35" s="36" t="str">
        <f t="shared" si="12"/>
        <v>Nacional</v>
      </c>
      <c r="AB35" s="36">
        <f t="shared" si="12"/>
        <v>6.3657407407407395E-3</v>
      </c>
      <c r="AC35" s="36">
        <f t="shared" si="12"/>
        <v>6.8672839506172994E-3</v>
      </c>
      <c r="AD35" s="36">
        <f t="shared" si="12"/>
        <v>1.323302469135804E-2</v>
      </c>
      <c r="AE35" s="36" t="str">
        <f t="shared" si="12"/>
        <v>ER4</v>
      </c>
      <c r="AF35" s="36">
        <f t="shared" si="12"/>
        <v>50</v>
      </c>
      <c r="AG35" s="36" t="str">
        <f t="shared" si="12"/>
        <v>HMO</v>
      </c>
      <c r="AI35">
        <v>21</v>
      </c>
      <c r="AJ35" s="77" t="str">
        <f t="shared" si="7"/>
        <v>MEXICO AEREO</v>
      </c>
      <c r="AK35" s="77">
        <f t="shared" si="7"/>
        <v>2825</v>
      </c>
      <c r="AL35" s="78">
        <v>0.73125000000000007</v>
      </c>
      <c r="AM35" s="79">
        <v>0.73541666666666661</v>
      </c>
      <c r="AN35" s="80">
        <v>4.1666666666665408E-3</v>
      </c>
      <c r="AO35" s="79">
        <v>0.7402777777777777</v>
      </c>
      <c r="AP35" s="80">
        <v>4.8611111111110938E-3</v>
      </c>
      <c r="AQ35" s="81">
        <v>41801</v>
      </c>
      <c r="AR35" s="77" t="str">
        <f t="shared" si="13"/>
        <v>Nacional</v>
      </c>
      <c r="AS35" s="77">
        <f t="shared" si="13"/>
        <v>7.1180555555555277E-3</v>
      </c>
      <c r="AT35" s="77">
        <f t="shared" si="13"/>
        <v>7.5810185185185425E-3</v>
      </c>
      <c r="AU35" s="77">
        <f t="shared" si="13"/>
        <v>1.4699074074074069E-2</v>
      </c>
      <c r="AV35" s="77" t="str">
        <f t="shared" si="13"/>
        <v>ER4</v>
      </c>
      <c r="AW35" s="77">
        <f t="shared" si="13"/>
        <v>50</v>
      </c>
      <c r="AX35" s="77" t="str">
        <f t="shared" si="13"/>
        <v>MTY</v>
      </c>
    </row>
    <row r="36" spans="1:50" ht="15.75" thickBot="1" x14ac:dyDescent="0.3">
      <c r="A36">
        <v>22</v>
      </c>
      <c r="B36" s="36" t="str">
        <f t="shared" si="4"/>
        <v>MEXICO AEREO</v>
      </c>
      <c r="C36" s="36">
        <f t="shared" si="4"/>
        <v>2622</v>
      </c>
      <c r="D36" s="84">
        <v>0.44444444444444442</v>
      </c>
      <c r="E36" s="84">
        <v>0.45069444444444445</v>
      </c>
      <c r="F36" s="85">
        <v>6.2500000000000333E-3</v>
      </c>
      <c r="G36" s="84">
        <v>0.4548611111111111</v>
      </c>
      <c r="H36" s="85">
        <v>4.1666666666666519E-3</v>
      </c>
      <c r="I36" s="86">
        <v>41717</v>
      </c>
      <c r="J36" s="36" t="str">
        <f t="shared" si="10"/>
        <v>Nacional</v>
      </c>
      <c r="K36" s="36">
        <f t="shared" si="10"/>
        <v>5.8080808080808125E-3</v>
      </c>
      <c r="L36" s="36">
        <f t="shared" si="10"/>
        <v>3.9772727272727286E-3</v>
      </c>
      <c r="M36" s="36">
        <f t="shared" si="10"/>
        <v>9.7853535353535411E-3</v>
      </c>
      <c r="N36" s="36" t="str">
        <f t="shared" si="10"/>
        <v>ER4</v>
      </c>
      <c r="O36" s="36">
        <f t="shared" si="10"/>
        <v>50</v>
      </c>
      <c r="P36" s="36" t="str">
        <f t="shared" si="10"/>
        <v>HMO</v>
      </c>
      <c r="R36">
        <v>22</v>
      </c>
      <c r="S36" s="36" t="str">
        <f t="shared" si="6"/>
        <v>MEXICO AEREO</v>
      </c>
      <c r="T36" s="36">
        <f t="shared" si="6"/>
        <v>2622</v>
      </c>
      <c r="U36" s="73">
        <v>0.44513888888888892</v>
      </c>
      <c r="V36" s="74">
        <v>0.4458333333333333</v>
      </c>
      <c r="W36" s="75">
        <v>6.9444444444438647E-4</v>
      </c>
      <c r="X36" s="74">
        <v>0.45069444444444445</v>
      </c>
      <c r="Y36" s="75">
        <v>4.8611111111111494E-3</v>
      </c>
      <c r="Z36" s="76">
        <v>41733</v>
      </c>
      <c r="AA36" s="36" t="str">
        <f t="shared" si="12"/>
        <v>Nacional</v>
      </c>
      <c r="AB36" s="36">
        <f t="shared" si="12"/>
        <v>6.3657407407407395E-3</v>
      </c>
      <c r="AC36" s="36">
        <f t="shared" si="12"/>
        <v>6.8672839506172994E-3</v>
      </c>
      <c r="AD36" s="36">
        <f t="shared" si="12"/>
        <v>1.323302469135804E-2</v>
      </c>
      <c r="AE36" s="36" t="str">
        <f t="shared" si="12"/>
        <v>ER4</v>
      </c>
      <c r="AF36" s="36">
        <f t="shared" si="12"/>
        <v>50</v>
      </c>
      <c r="AG36" s="36" t="str">
        <f t="shared" si="12"/>
        <v>HMO</v>
      </c>
      <c r="AI36">
        <v>22</v>
      </c>
      <c r="AJ36" s="77" t="str">
        <f t="shared" si="7"/>
        <v>MEXICO AEREO</v>
      </c>
      <c r="AK36" s="77">
        <f t="shared" si="7"/>
        <v>2825</v>
      </c>
      <c r="AL36" s="78">
        <v>0.43055555555555558</v>
      </c>
      <c r="AM36" s="79">
        <v>0.4375</v>
      </c>
      <c r="AN36" s="80">
        <v>6.9444444444444198E-3</v>
      </c>
      <c r="AO36" s="79">
        <v>0.44097222222222227</v>
      </c>
      <c r="AP36" s="80">
        <v>3.4722222222222654E-3</v>
      </c>
      <c r="AQ36" s="81">
        <v>41801</v>
      </c>
      <c r="AR36" s="77" t="str">
        <f t="shared" si="13"/>
        <v>Nacional</v>
      </c>
      <c r="AS36" s="77">
        <f t="shared" si="13"/>
        <v>7.1180555555555277E-3</v>
      </c>
      <c r="AT36" s="77">
        <f t="shared" si="13"/>
        <v>7.5810185185185425E-3</v>
      </c>
      <c r="AU36" s="77">
        <f t="shared" si="13"/>
        <v>1.4699074074074069E-2</v>
      </c>
      <c r="AV36" s="77" t="str">
        <f t="shared" si="13"/>
        <v>ER4</v>
      </c>
      <c r="AW36" s="77">
        <f t="shared" si="13"/>
        <v>50</v>
      </c>
      <c r="AX36" s="77" t="str">
        <f t="shared" si="13"/>
        <v>MTY</v>
      </c>
    </row>
    <row r="37" spans="1:50" x14ac:dyDescent="0.25">
      <c r="A37">
        <v>23</v>
      </c>
      <c r="B37" s="36" t="str">
        <f t="shared" si="4"/>
        <v>MEXICO AEREO</v>
      </c>
      <c r="C37" s="88">
        <v>2621</v>
      </c>
      <c r="D37" s="57">
        <v>0.44444444444444442</v>
      </c>
      <c r="E37" s="57">
        <v>0.45555555555555555</v>
      </c>
      <c r="F37" s="58">
        <v>1.1111111111111127E-2</v>
      </c>
      <c r="G37" s="57">
        <v>0.46180555555555558</v>
      </c>
      <c r="H37" s="58">
        <v>6.2500000000000333E-3</v>
      </c>
      <c r="I37" s="59">
        <v>41715</v>
      </c>
      <c r="J37" s="108" t="s">
        <v>19</v>
      </c>
      <c r="K37" s="61">
        <v>5.6249999999999963E-3</v>
      </c>
      <c r="L37" s="61">
        <v>4.7916666666666776E-3</v>
      </c>
      <c r="M37" s="89">
        <v>1.0416666666666675E-2</v>
      </c>
      <c r="N37" s="90" t="s">
        <v>20</v>
      </c>
      <c r="O37" s="91">
        <v>50</v>
      </c>
      <c r="P37" s="92" t="s">
        <v>26</v>
      </c>
      <c r="R37">
        <v>23</v>
      </c>
      <c r="S37" s="36" t="str">
        <f t="shared" si="6"/>
        <v>MEXICO AEREO</v>
      </c>
      <c r="T37" s="36">
        <f t="shared" si="6"/>
        <v>2622</v>
      </c>
      <c r="U37" s="73">
        <v>0.76250000000000007</v>
      </c>
      <c r="V37" s="74">
        <v>0.76458333333333339</v>
      </c>
      <c r="W37" s="75">
        <v>2.0833333333333259E-3</v>
      </c>
      <c r="X37" s="74">
        <v>0.76736111111111116</v>
      </c>
      <c r="Y37" s="75">
        <v>2.7777777777777679E-3</v>
      </c>
      <c r="Z37" s="76">
        <v>41736</v>
      </c>
      <c r="AA37" s="36" t="str">
        <f t="shared" si="12"/>
        <v>Nacional</v>
      </c>
      <c r="AB37" s="36">
        <f t="shared" si="12"/>
        <v>6.3657407407407395E-3</v>
      </c>
      <c r="AC37" s="36">
        <f t="shared" si="12"/>
        <v>6.8672839506172994E-3</v>
      </c>
      <c r="AD37" s="36">
        <f t="shared" si="12"/>
        <v>1.323302469135804E-2</v>
      </c>
      <c r="AE37" s="36" t="str">
        <f t="shared" si="12"/>
        <v>ER4</v>
      </c>
      <c r="AF37" s="36">
        <f t="shared" si="12"/>
        <v>50</v>
      </c>
      <c r="AG37" s="36" t="str">
        <f t="shared" si="12"/>
        <v>HMO</v>
      </c>
      <c r="AI37">
        <v>23</v>
      </c>
      <c r="AJ37" s="77" t="str">
        <f t="shared" si="7"/>
        <v>MEXICO AEREO</v>
      </c>
      <c r="AK37" s="77">
        <f t="shared" si="7"/>
        <v>2825</v>
      </c>
      <c r="AL37" s="78">
        <v>0.24652777777777779</v>
      </c>
      <c r="AM37" s="79">
        <v>0.25694444444444448</v>
      </c>
      <c r="AN37" s="80">
        <v>1.0416666666666685E-2</v>
      </c>
      <c r="AO37" s="79">
        <v>0.28125</v>
      </c>
      <c r="AP37" s="80">
        <v>2.4305555555555525E-2</v>
      </c>
      <c r="AQ37" s="81">
        <v>41802</v>
      </c>
      <c r="AR37" s="77" t="str">
        <f t="shared" si="13"/>
        <v>Nacional</v>
      </c>
      <c r="AS37" s="77">
        <f t="shared" si="13"/>
        <v>7.1180555555555277E-3</v>
      </c>
      <c r="AT37" s="77">
        <f t="shared" si="13"/>
        <v>7.5810185185185425E-3</v>
      </c>
      <c r="AU37" s="77">
        <f t="shared" si="13"/>
        <v>1.4699074074074069E-2</v>
      </c>
      <c r="AV37" s="77" t="str">
        <f t="shared" si="13"/>
        <v>ER4</v>
      </c>
      <c r="AW37" s="77">
        <f t="shared" si="13"/>
        <v>50</v>
      </c>
      <c r="AX37" s="77" t="str">
        <f t="shared" si="13"/>
        <v>MTY</v>
      </c>
    </row>
    <row r="38" spans="1:50" x14ac:dyDescent="0.25">
      <c r="A38">
        <v>24</v>
      </c>
      <c r="B38" s="36" t="str">
        <f t="shared" si="4"/>
        <v>MEXICO AEREO</v>
      </c>
      <c r="C38" s="36">
        <f t="shared" si="4"/>
        <v>2621</v>
      </c>
      <c r="D38" s="74">
        <v>0.44305555555555554</v>
      </c>
      <c r="E38" s="74">
        <v>0.4465277777777778</v>
      </c>
      <c r="F38" s="75">
        <v>3.4722222222222654E-3</v>
      </c>
      <c r="G38" s="74">
        <v>0.4513888888888889</v>
      </c>
      <c r="H38" s="75">
        <v>4.8611111111110938E-3</v>
      </c>
      <c r="I38" s="76">
        <v>41716</v>
      </c>
      <c r="J38" s="36" t="str">
        <f t="shared" ref="J38:P47" si="14">J37</f>
        <v>Nacional</v>
      </c>
      <c r="K38" s="36">
        <f t="shared" si="14"/>
        <v>5.6249999999999963E-3</v>
      </c>
      <c r="L38" s="36">
        <f t="shared" si="14"/>
        <v>4.7916666666666776E-3</v>
      </c>
      <c r="M38" s="36">
        <f t="shared" si="14"/>
        <v>1.0416666666666675E-2</v>
      </c>
      <c r="N38" s="36" t="str">
        <f t="shared" si="14"/>
        <v>ER4</v>
      </c>
      <c r="O38" s="36">
        <f t="shared" si="14"/>
        <v>50</v>
      </c>
      <c r="P38" s="36" t="str">
        <f t="shared" si="14"/>
        <v>TLC</v>
      </c>
      <c r="R38">
        <v>24</v>
      </c>
      <c r="S38" s="36" t="str">
        <f t="shared" si="6"/>
        <v>MEXICO AEREO</v>
      </c>
      <c r="T38" s="36">
        <f t="shared" si="6"/>
        <v>2622</v>
      </c>
      <c r="U38" s="73">
        <v>0.75</v>
      </c>
      <c r="V38" s="74">
        <v>0.76250000000000007</v>
      </c>
      <c r="W38" s="75">
        <v>1.2500000000000067E-2</v>
      </c>
      <c r="X38" s="74">
        <v>0.77083333333333337</v>
      </c>
      <c r="Y38" s="75">
        <v>8.3333333333333037E-3</v>
      </c>
      <c r="Z38" s="76">
        <v>41737</v>
      </c>
      <c r="AA38" s="36" t="str">
        <f t="shared" si="12"/>
        <v>Nacional</v>
      </c>
      <c r="AB38" s="36">
        <f t="shared" si="12"/>
        <v>6.3657407407407395E-3</v>
      </c>
      <c r="AC38" s="36">
        <f t="shared" si="12"/>
        <v>6.8672839506172994E-3</v>
      </c>
      <c r="AD38" s="36">
        <f t="shared" si="12"/>
        <v>1.323302469135804E-2</v>
      </c>
      <c r="AE38" s="36" t="str">
        <f t="shared" si="12"/>
        <v>ER4</v>
      </c>
      <c r="AF38" s="36">
        <f t="shared" si="12"/>
        <v>50</v>
      </c>
      <c r="AG38" s="36" t="str">
        <f t="shared" si="12"/>
        <v>HMO</v>
      </c>
      <c r="AI38">
        <v>24</v>
      </c>
      <c r="AJ38" s="77" t="str">
        <f t="shared" si="7"/>
        <v>MEXICO AEREO</v>
      </c>
      <c r="AK38" s="77">
        <f t="shared" si="7"/>
        <v>2825</v>
      </c>
      <c r="AL38" s="78">
        <v>0.54305555555555551</v>
      </c>
      <c r="AM38" s="79">
        <v>0.54722222222222217</v>
      </c>
      <c r="AN38" s="80">
        <v>4.1666666666666519E-3</v>
      </c>
      <c r="AO38" s="79">
        <v>0.55208333333333337</v>
      </c>
      <c r="AP38" s="80">
        <v>4.8611111111112049E-3</v>
      </c>
      <c r="AQ38" s="81">
        <v>41803</v>
      </c>
      <c r="AR38" s="77" t="str">
        <f t="shared" si="13"/>
        <v>Nacional</v>
      </c>
      <c r="AS38" s="77">
        <f t="shared" si="13"/>
        <v>7.1180555555555277E-3</v>
      </c>
      <c r="AT38" s="77">
        <f t="shared" si="13"/>
        <v>7.5810185185185425E-3</v>
      </c>
      <c r="AU38" s="77">
        <f t="shared" si="13"/>
        <v>1.4699074074074069E-2</v>
      </c>
      <c r="AV38" s="77" t="str">
        <f t="shared" si="13"/>
        <v>ER4</v>
      </c>
      <c r="AW38" s="77">
        <f t="shared" si="13"/>
        <v>50</v>
      </c>
      <c r="AX38" s="77" t="str">
        <f t="shared" si="13"/>
        <v>MTY</v>
      </c>
    </row>
    <row r="39" spans="1:50" x14ac:dyDescent="0.25">
      <c r="A39">
        <v>25</v>
      </c>
      <c r="B39" s="36" t="str">
        <f t="shared" si="4"/>
        <v>MEXICO AEREO</v>
      </c>
      <c r="C39" s="36">
        <f t="shared" si="4"/>
        <v>2621</v>
      </c>
      <c r="D39" s="74">
        <v>0.44444444444444442</v>
      </c>
      <c r="E39" s="74">
        <v>0.44791666666666669</v>
      </c>
      <c r="F39" s="75">
        <v>3.4722222222222654E-3</v>
      </c>
      <c r="G39" s="74">
        <v>0.45347222222222222</v>
      </c>
      <c r="H39" s="75">
        <v>5.5555555555555358E-3</v>
      </c>
      <c r="I39" s="76">
        <v>41720</v>
      </c>
      <c r="J39" s="36" t="str">
        <f t="shared" si="14"/>
        <v>Nacional</v>
      </c>
      <c r="K39" s="36">
        <f t="shared" si="14"/>
        <v>5.6249999999999963E-3</v>
      </c>
      <c r="L39" s="36">
        <f t="shared" si="14"/>
        <v>4.7916666666666776E-3</v>
      </c>
      <c r="M39" s="36">
        <f t="shared" si="14"/>
        <v>1.0416666666666675E-2</v>
      </c>
      <c r="N39" s="36" t="str">
        <f t="shared" si="14"/>
        <v>ER4</v>
      </c>
      <c r="O39" s="36">
        <f t="shared" si="14"/>
        <v>50</v>
      </c>
      <c r="P39" s="36" t="str">
        <f t="shared" si="14"/>
        <v>TLC</v>
      </c>
      <c r="R39">
        <v>25</v>
      </c>
      <c r="S39" s="36" t="str">
        <f t="shared" si="6"/>
        <v>MEXICO AEREO</v>
      </c>
      <c r="T39" s="36">
        <f t="shared" si="6"/>
        <v>2622</v>
      </c>
      <c r="U39" s="73">
        <v>0.67499999999999993</v>
      </c>
      <c r="V39" s="74">
        <v>0.68194444444444446</v>
      </c>
      <c r="W39" s="75">
        <v>6.9444444444445308E-3</v>
      </c>
      <c r="X39" s="74">
        <v>0.68472222222222223</v>
      </c>
      <c r="Y39" s="75">
        <v>2.7777777777777679E-3</v>
      </c>
      <c r="Z39" s="76">
        <v>41738</v>
      </c>
      <c r="AA39" s="36" t="str">
        <f t="shared" si="12"/>
        <v>Nacional</v>
      </c>
      <c r="AB39" s="36">
        <f t="shared" si="12"/>
        <v>6.3657407407407395E-3</v>
      </c>
      <c r="AC39" s="36">
        <f t="shared" si="12"/>
        <v>6.8672839506172994E-3</v>
      </c>
      <c r="AD39" s="36">
        <f t="shared" si="12"/>
        <v>1.323302469135804E-2</v>
      </c>
      <c r="AE39" s="36" t="str">
        <f t="shared" si="12"/>
        <v>ER4</v>
      </c>
      <c r="AF39" s="36">
        <f t="shared" si="12"/>
        <v>50</v>
      </c>
      <c r="AG39" s="36" t="str">
        <f t="shared" si="12"/>
        <v>HMO</v>
      </c>
      <c r="AI39">
        <v>25</v>
      </c>
      <c r="AJ39" s="77" t="str">
        <f t="shared" si="7"/>
        <v>MEXICO AEREO</v>
      </c>
      <c r="AK39" s="77">
        <f t="shared" si="7"/>
        <v>2825</v>
      </c>
      <c r="AL39" s="78">
        <v>0.54791666666666672</v>
      </c>
      <c r="AM39" s="79">
        <v>0.55486111111111114</v>
      </c>
      <c r="AN39" s="80">
        <v>6.9444444444444198E-3</v>
      </c>
      <c r="AO39" s="79">
        <v>0.5625</v>
      </c>
      <c r="AP39" s="80">
        <v>7.6388888888888618E-3</v>
      </c>
      <c r="AQ39" s="81">
        <v>41805</v>
      </c>
      <c r="AR39" s="77" t="str">
        <f t="shared" si="13"/>
        <v>Nacional</v>
      </c>
      <c r="AS39" s="77">
        <f t="shared" si="13"/>
        <v>7.1180555555555277E-3</v>
      </c>
      <c r="AT39" s="77">
        <f t="shared" si="13"/>
        <v>7.5810185185185425E-3</v>
      </c>
      <c r="AU39" s="77">
        <f t="shared" si="13"/>
        <v>1.4699074074074069E-2</v>
      </c>
      <c r="AV39" s="77" t="str">
        <f t="shared" si="13"/>
        <v>ER4</v>
      </c>
      <c r="AW39" s="77">
        <f t="shared" si="13"/>
        <v>50</v>
      </c>
      <c r="AX39" s="77" t="str">
        <f t="shared" si="13"/>
        <v>MTY</v>
      </c>
    </row>
    <row r="40" spans="1:50" x14ac:dyDescent="0.25">
      <c r="A40">
        <v>26</v>
      </c>
      <c r="B40" s="36" t="str">
        <f t="shared" si="4"/>
        <v>MEXICO AEREO</v>
      </c>
      <c r="C40" s="36">
        <f t="shared" si="4"/>
        <v>2621</v>
      </c>
      <c r="D40" s="74">
        <v>0.45833333333333331</v>
      </c>
      <c r="E40" s="74">
        <v>0.46111111111111108</v>
      </c>
      <c r="F40" s="75">
        <v>2.7777777777777679E-3</v>
      </c>
      <c r="G40" s="74">
        <v>0.46319444444444446</v>
      </c>
      <c r="H40" s="75">
        <v>2.0833333333333814E-3</v>
      </c>
      <c r="I40" s="76">
        <v>41722</v>
      </c>
      <c r="J40" s="36" t="str">
        <f t="shared" si="14"/>
        <v>Nacional</v>
      </c>
      <c r="K40" s="36">
        <f t="shared" si="14"/>
        <v>5.6249999999999963E-3</v>
      </c>
      <c r="L40" s="36">
        <f t="shared" si="14"/>
        <v>4.7916666666666776E-3</v>
      </c>
      <c r="M40" s="36">
        <f t="shared" si="14"/>
        <v>1.0416666666666675E-2</v>
      </c>
      <c r="N40" s="36" t="str">
        <f t="shared" si="14"/>
        <v>ER4</v>
      </c>
      <c r="O40" s="36">
        <f t="shared" si="14"/>
        <v>50</v>
      </c>
      <c r="P40" s="36" t="str">
        <f t="shared" si="14"/>
        <v>TLC</v>
      </c>
      <c r="R40">
        <v>26</v>
      </c>
      <c r="S40" s="36" t="str">
        <f t="shared" si="6"/>
        <v>MEXICO AEREO</v>
      </c>
      <c r="T40" s="36">
        <f t="shared" si="6"/>
        <v>2622</v>
      </c>
      <c r="U40" s="73">
        <v>0.44097222222222227</v>
      </c>
      <c r="V40" s="74">
        <v>0.44444444444444442</v>
      </c>
      <c r="W40" s="75">
        <v>3.4722222222221544E-3</v>
      </c>
      <c r="X40" s="74">
        <v>0.4513888888888889</v>
      </c>
      <c r="Y40" s="75">
        <v>6.9444444444444753E-3</v>
      </c>
      <c r="Z40" s="76">
        <v>41742</v>
      </c>
      <c r="AA40" s="36" t="str">
        <f t="shared" si="12"/>
        <v>Nacional</v>
      </c>
      <c r="AB40" s="36">
        <f t="shared" si="12"/>
        <v>6.3657407407407395E-3</v>
      </c>
      <c r="AC40" s="36">
        <f t="shared" si="12"/>
        <v>6.8672839506172994E-3</v>
      </c>
      <c r="AD40" s="36">
        <f t="shared" si="12"/>
        <v>1.323302469135804E-2</v>
      </c>
      <c r="AE40" s="36" t="str">
        <f t="shared" si="12"/>
        <v>ER4</v>
      </c>
      <c r="AF40" s="36">
        <f t="shared" si="12"/>
        <v>50</v>
      </c>
      <c r="AG40" s="36" t="str">
        <f t="shared" si="12"/>
        <v>HMO</v>
      </c>
      <c r="AI40">
        <v>26</v>
      </c>
      <c r="AJ40" s="77" t="str">
        <f t="shared" si="7"/>
        <v>MEXICO AEREO</v>
      </c>
      <c r="AK40" s="77">
        <f t="shared" si="7"/>
        <v>2825</v>
      </c>
      <c r="AL40" s="78">
        <v>0.24166666666666667</v>
      </c>
      <c r="AM40" s="79">
        <v>0.24861111111111112</v>
      </c>
      <c r="AN40" s="80">
        <v>6.9444444444444475E-3</v>
      </c>
      <c r="AO40" s="79">
        <v>0.26319444444444445</v>
      </c>
      <c r="AP40" s="80">
        <v>1.4583333333333337E-2</v>
      </c>
      <c r="AQ40" s="81">
        <v>41806</v>
      </c>
      <c r="AR40" s="77" t="str">
        <f t="shared" si="13"/>
        <v>Nacional</v>
      </c>
      <c r="AS40" s="77">
        <f t="shared" si="13"/>
        <v>7.1180555555555277E-3</v>
      </c>
      <c r="AT40" s="77">
        <f t="shared" si="13"/>
        <v>7.5810185185185425E-3</v>
      </c>
      <c r="AU40" s="77">
        <f t="shared" si="13"/>
        <v>1.4699074074074069E-2</v>
      </c>
      <c r="AV40" s="77" t="str">
        <f t="shared" si="13"/>
        <v>ER4</v>
      </c>
      <c r="AW40" s="77">
        <f t="shared" si="13"/>
        <v>50</v>
      </c>
      <c r="AX40" s="77" t="str">
        <f t="shared" si="13"/>
        <v>MTY</v>
      </c>
    </row>
    <row r="41" spans="1:50" x14ac:dyDescent="0.25">
      <c r="A41">
        <v>27</v>
      </c>
      <c r="B41" s="36" t="str">
        <f t="shared" si="4"/>
        <v>MEXICO AEREO</v>
      </c>
      <c r="C41" s="36">
        <f t="shared" si="4"/>
        <v>2621</v>
      </c>
      <c r="D41" s="74">
        <v>0.4604166666666667</v>
      </c>
      <c r="E41" s="74">
        <v>0.46111111111111108</v>
      </c>
      <c r="F41" s="75">
        <v>6.9444444444438647E-4</v>
      </c>
      <c r="G41" s="74">
        <v>0.46458333333333335</v>
      </c>
      <c r="H41" s="75">
        <v>3.4722222222222654E-3</v>
      </c>
      <c r="I41" s="76">
        <v>41725</v>
      </c>
      <c r="J41" s="36" t="str">
        <f t="shared" si="14"/>
        <v>Nacional</v>
      </c>
      <c r="K41" s="36">
        <f t="shared" si="14"/>
        <v>5.6249999999999963E-3</v>
      </c>
      <c r="L41" s="36">
        <f t="shared" si="14"/>
        <v>4.7916666666666776E-3</v>
      </c>
      <c r="M41" s="36">
        <f t="shared" si="14"/>
        <v>1.0416666666666675E-2</v>
      </c>
      <c r="N41" s="36" t="str">
        <f t="shared" si="14"/>
        <v>ER4</v>
      </c>
      <c r="O41" s="36">
        <f t="shared" si="14"/>
        <v>50</v>
      </c>
      <c r="P41" s="36" t="str">
        <f t="shared" si="14"/>
        <v>TLC</v>
      </c>
      <c r="R41">
        <v>27</v>
      </c>
      <c r="S41" s="36" t="str">
        <f t="shared" si="6"/>
        <v>MEXICO AEREO</v>
      </c>
      <c r="T41" s="36">
        <f t="shared" si="6"/>
        <v>2622</v>
      </c>
      <c r="U41" s="73">
        <v>0.78472222222222221</v>
      </c>
      <c r="V41" s="74">
        <v>0.7944444444444444</v>
      </c>
      <c r="W41" s="75">
        <v>9.7222222222221877E-3</v>
      </c>
      <c r="X41" s="74">
        <v>0.79652777777777783</v>
      </c>
      <c r="Y41" s="75">
        <v>2.083333333333437E-3</v>
      </c>
      <c r="Z41" s="76">
        <v>41745</v>
      </c>
      <c r="AA41" s="36" t="str">
        <f t="shared" si="12"/>
        <v>Nacional</v>
      </c>
      <c r="AB41" s="36">
        <f t="shared" si="12"/>
        <v>6.3657407407407395E-3</v>
      </c>
      <c r="AC41" s="36">
        <f t="shared" si="12"/>
        <v>6.8672839506172994E-3</v>
      </c>
      <c r="AD41" s="36">
        <f t="shared" si="12"/>
        <v>1.323302469135804E-2</v>
      </c>
      <c r="AE41" s="36" t="str">
        <f t="shared" si="12"/>
        <v>ER4</v>
      </c>
      <c r="AF41" s="36">
        <f t="shared" si="12"/>
        <v>50</v>
      </c>
      <c r="AG41" s="36" t="str">
        <f t="shared" si="12"/>
        <v>HMO</v>
      </c>
      <c r="AI41">
        <v>27</v>
      </c>
      <c r="AJ41" s="77" t="str">
        <f t="shared" si="7"/>
        <v>MEXICO AEREO</v>
      </c>
      <c r="AK41" s="77">
        <f t="shared" si="7"/>
        <v>2825</v>
      </c>
      <c r="AL41" s="78">
        <v>0.75277777777777777</v>
      </c>
      <c r="AM41" s="79">
        <v>0.76388888888888884</v>
      </c>
      <c r="AN41" s="80">
        <v>1.1111111111111072E-2</v>
      </c>
      <c r="AO41" s="79">
        <v>0.7729166666666667</v>
      </c>
      <c r="AP41" s="80">
        <v>9.0277777777778567E-3</v>
      </c>
      <c r="AQ41" s="81">
        <v>41807</v>
      </c>
      <c r="AR41" s="77" t="str">
        <f t="shared" si="13"/>
        <v>Nacional</v>
      </c>
      <c r="AS41" s="77">
        <f t="shared" si="13"/>
        <v>7.1180555555555277E-3</v>
      </c>
      <c r="AT41" s="77">
        <f t="shared" si="13"/>
        <v>7.5810185185185425E-3</v>
      </c>
      <c r="AU41" s="77">
        <f t="shared" si="13"/>
        <v>1.4699074074074069E-2</v>
      </c>
      <c r="AV41" s="77" t="str">
        <f t="shared" si="13"/>
        <v>ER4</v>
      </c>
      <c r="AW41" s="77">
        <f t="shared" si="13"/>
        <v>50</v>
      </c>
      <c r="AX41" s="77" t="str">
        <f t="shared" si="13"/>
        <v>MTY</v>
      </c>
    </row>
    <row r="42" spans="1:50" x14ac:dyDescent="0.25">
      <c r="A42">
        <v>28</v>
      </c>
      <c r="B42" s="36" t="str">
        <f t="shared" si="4"/>
        <v>MEXICO AEREO</v>
      </c>
      <c r="C42" s="36">
        <f t="shared" si="4"/>
        <v>2621</v>
      </c>
      <c r="D42" s="74">
        <v>0.4597222222222222</v>
      </c>
      <c r="E42" s="74">
        <v>0.46527777777777773</v>
      </c>
      <c r="F42" s="75">
        <v>5.5555555555555358E-3</v>
      </c>
      <c r="G42" s="74">
        <v>0.47291666666666665</v>
      </c>
      <c r="H42" s="75">
        <v>7.6388888888889173E-3</v>
      </c>
      <c r="I42" s="76">
        <v>41726</v>
      </c>
      <c r="J42" s="36" t="str">
        <f t="shared" si="14"/>
        <v>Nacional</v>
      </c>
      <c r="K42" s="36">
        <f t="shared" si="14"/>
        <v>5.6249999999999963E-3</v>
      </c>
      <c r="L42" s="36">
        <f t="shared" si="14"/>
        <v>4.7916666666666776E-3</v>
      </c>
      <c r="M42" s="36">
        <f t="shared" si="14"/>
        <v>1.0416666666666675E-2</v>
      </c>
      <c r="N42" s="36" t="str">
        <f t="shared" si="14"/>
        <v>ER4</v>
      </c>
      <c r="O42" s="36">
        <f t="shared" si="14"/>
        <v>50</v>
      </c>
      <c r="P42" s="36" t="str">
        <f t="shared" si="14"/>
        <v>TLC</v>
      </c>
      <c r="R42">
        <v>28</v>
      </c>
      <c r="S42" s="36" t="str">
        <f t="shared" si="6"/>
        <v>MEXICO AEREO</v>
      </c>
      <c r="T42" s="36">
        <f t="shared" si="6"/>
        <v>2622</v>
      </c>
      <c r="U42" s="73">
        <v>0.26666666666666666</v>
      </c>
      <c r="V42" s="74">
        <v>0.27847222222222223</v>
      </c>
      <c r="W42" s="75">
        <v>1.1805555555555569E-2</v>
      </c>
      <c r="X42" s="74">
        <v>0.30972222222222223</v>
      </c>
      <c r="Y42" s="75">
        <v>3.125E-2</v>
      </c>
      <c r="Z42" s="76">
        <v>41747</v>
      </c>
      <c r="AA42" s="36" t="str">
        <f t="shared" si="12"/>
        <v>Nacional</v>
      </c>
      <c r="AB42" s="36">
        <f t="shared" si="12"/>
        <v>6.3657407407407395E-3</v>
      </c>
      <c r="AC42" s="36">
        <f t="shared" si="12"/>
        <v>6.8672839506172994E-3</v>
      </c>
      <c r="AD42" s="36">
        <f t="shared" si="12"/>
        <v>1.323302469135804E-2</v>
      </c>
      <c r="AE42" s="36" t="str">
        <f t="shared" si="12"/>
        <v>ER4</v>
      </c>
      <c r="AF42" s="36">
        <f t="shared" si="12"/>
        <v>50</v>
      </c>
      <c r="AG42" s="36" t="str">
        <f t="shared" si="12"/>
        <v>HMO</v>
      </c>
      <c r="AI42">
        <v>28</v>
      </c>
      <c r="AJ42" s="77" t="str">
        <f t="shared" si="7"/>
        <v>MEXICO AEREO</v>
      </c>
      <c r="AK42" s="77">
        <f t="shared" si="7"/>
        <v>2825</v>
      </c>
      <c r="AL42" s="78">
        <v>0.77083333333333337</v>
      </c>
      <c r="AM42" s="79">
        <v>0.77500000000000002</v>
      </c>
      <c r="AN42" s="80">
        <v>4.1666666666666519E-3</v>
      </c>
      <c r="AO42" s="79">
        <v>0.78125</v>
      </c>
      <c r="AP42" s="80">
        <v>6.2499999999999778E-3</v>
      </c>
      <c r="AQ42" s="81">
        <v>41809</v>
      </c>
      <c r="AR42" s="77" t="str">
        <f t="shared" si="13"/>
        <v>Nacional</v>
      </c>
      <c r="AS42" s="77">
        <f t="shared" si="13"/>
        <v>7.1180555555555277E-3</v>
      </c>
      <c r="AT42" s="77">
        <f t="shared" si="13"/>
        <v>7.5810185185185425E-3</v>
      </c>
      <c r="AU42" s="77">
        <f t="shared" si="13"/>
        <v>1.4699074074074069E-2</v>
      </c>
      <c r="AV42" s="77" t="str">
        <f t="shared" si="13"/>
        <v>ER4</v>
      </c>
      <c r="AW42" s="77">
        <f t="shared" si="13"/>
        <v>50</v>
      </c>
      <c r="AX42" s="77" t="str">
        <f t="shared" si="13"/>
        <v>MTY</v>
      </c>
    </row>
    <row r="43" spans="1:50" x14ac:dyDescent="0.25">
      <c r="A43">
        <v>29</v>
      </c>
      <c r="B43" s="36" t="str">
        <f t="shared" si="4"/>
        <v>MEXICO AEREO</v>
      </c>
      <c r="C43" s="36">
        <f t="shared" si="4"/>
        <v>2621</v>
      </c>
      <c r="D43" s="74">
        <v>0.44444444444444442</v>
      </c>
      <c r="E43" s="74">
        <v>0.44791666666666669</v>
      </c>
      <c r="F43" s="75">
        <v>3.4722222222222654E-3</v>
      </c>
      <c r="G43" s="74">
        <v>0.4513888888888889</v>
      </c>
      <c r="H43" s="75">
        <v>3.4722222222222099E-3</v>
      </c>
      <c r="I43" s="76">
        <v>41727</v>
      </c>
      <c r="J43" s="36" t="str">
        <f t="shared" si="14"/>
        <v>Nacional</v>
      </c>
      <c r="K43" s="36">
        <f t="shared" si="14"/>
        <v>5.6249999999999963E-3</v>
      </c>
      <c r="L43" s="36">
        <f t="shared" si="14"/>
        <v>4.7916666666666776E-3</v>
      </c>
      <c r="M43" s="36">
        <f t="shared" si="14"/>
        <v>1.0416666666666675E-2</v>
      </c>
      <c r="N43" s="36" t="str">
        <f t="shared" si="14"/>
        <v>ER4</v>
      </c>
      <c r="O43" s="36">
        <f t="shared" si="14"/>
        <v>50</v>
      </c>
      <c r="P43" s="36" t="str">
        <f t="shared" si="14"/>
        <v>TLC</v>
      </c>
      <c r="R43">
        <v>29</v>
      </c>
      <c r="S43" s="36" t="str">
        <f t="shared" si="6"/>
        <v>MEXICO AEREO</v>
      </c>
      <c r="T43" s="36">
        <f t="shared" si="6"/>
        <v>2622</v>
      </c>
      <c r="U43" s="73">
        <v>0.77361111111111114</v>
      </c>
      <c r="V43" s="74">
        <v>0.77916666666666667</v>
      </c>
      <c r="W43" s="75">
        <v>5.5555555555555358E-3</v>
      </c>
      <c r="X43" s="74">
        <v>0.78333333333333333</v>
      </c>
      <c r="Y43" s="75">
        <v>4.1666666666666519E-3</v>
      </c>
      <c r="Z43" s="76">
        <v>41748</v>
      </c>
      <c r="AA43" s="36" t="str">
        <f t="shared" si="12"/>
        <v>Nacional</v>
      </c>
      <c r="AB43" s="36">
        <f t="shared" si="12"/>
        <v>6.3657407407407395E-3</v>
      </c>
      <c r="AC43" s="36">
        <f t="shared" si="12"/>
        <v>6.8672839506172994E-3</v>
      </c>
      <c r="AD43" s="36">
        <f t="shared" si="12"/>
        <v>1.323302469135804E-2</v>
      </c>
      <c r="AE43" s="36" t="str">
        <f t="shared" si="12"/>
        <v>ER4</v>
      </c>
      <c r="AF43" s="36">
        <f t="shared" si="12"/>
        <v>50</v>
      </c>
      <c r="AG43" s="36" t="str">
        <f t="shared" si="12"/>
        <v>HMO</v>
      </c>
      <c r="AI43">
        <v>29</v>
      </c>
      <c r="AJ43" s="77" t="str">
        <f t="shared" si="7"/>
        <v>MEXICO AEREO</v>
      </c>
      <c r="AK43" s="77">
        <f t="shared" si="7"/>
        <v>2825</v>
      </c>
      <c r="AL43" s="78">
        <v>0.78819444444444453</v>
      </c>
      <c r="AM43" s="79">
        <v>0.79513888888888884</v>
      </c>
      <c r="AN43" s="80">
        <v>6.9444444444443088E-3</v>
      </c>
      <c r="AO43" s="79">
        <v>0.79861111111111116</v>
      </c>
      <c r="AP43" s="80">
        <v>3.4722222222223209E-3</v>
      </c>
      <c r="AQ43" s="81">
        <v>41810</v>
      </c>
      <c r="AR43" s="77" t="str">
        <f t="shared" si="13"/>
        <v>Nacional</v>
      </c>
      <c r="AS43" s="77">
        <f t="shared" si="13"/>
        <v>7.1180555555555277E-3</v>
      </c>
      <c r="AT43" s="77">
        <f t="shared" si="13"/>
        <v>7.5810185185185425E-3</v>
      </c>
      <c r="AU43" s="77">
        <f t="shared" si="13"/>
        <v>1.4699074074074069E-2</v>
      </c>
      <c r="AV43" s="77" t="str">
        <f t="shared" si="13"/>
        <v>ER4</v>
      </c>
      <c r="AW43" s="77">
        <f t="shared" si="13"/>
        <v>50</v>
      </c>
      <c r="AX43" s="77" t="str">
        <f t="shared" si="13"/>
        <v>MTY</v>
      </c>
    </row>
    <row r="44" spans="1:50" ht="15.75" thickBot="1" x14ac:dyDescent="0.3">
      <c r="A44">
        <v>30</v>
      </c>
      <c r="B44" s="36" t="str">
        <f t="shared" si="4"/>
        <v>MEXICO AEREO</v>
      </c>
      <c r="C44" s="36">
        <f t="shared" si="4"/>
        <v>2621</v>
      </c>
      <c r="D44" s="74">
        <v>0.4375</v>
      </c>
      <c r="E44" s="74">
        <v>0.44444444444444442</v>
      </c>
      <c r="F44" s="75">
        <v>6.9444444444444198E-3</v>
      </c>
      <c r="G44" s="74">
        <v>0.44722222222222219</v>
      </c>
      <c r="H44" s="75">
        <v>2.7777777777777679E-3</v>
      </c>
      <c r="I44" s="76">
        <v>41729</v>
      </c>
      <c r="J44" s="36" t="str">
        <f t="shared" si="14"/>
        <v>Nacional</v>
      </c>
      <c r="K44" s="36">
        <f t="shared" si="14"/>
        <v>5.6249999999999963E-3</v>
      </c>
      <c r="L44" s="36">
        <f t="shared" si="14"/>
        <v>4.7916666666666776E-3</v>
      </c>
      <c r="M44" s="36">
        <f t="shared" si="14"/>
        <v>1.0416666666666675E-2</v>
      </c>
      <c r="N44" s="36" t="str">
        <f t="shared" si="14"/>
        <v>ER4</v>
      </c>
      <c r="O44" s="36">
        <f t="shared" si="14"/>
        <v>50</v>
      </c>
      <c r="P44" s="36" t="str">
        <f t="shared" si="14"/>
        <v>TLC</v>
      </c>
      <c r="R44">
        <v>30</v>
      </c>
      <c r="S44" s="36" t="str">
        <f t="shared" si="6"/>
        <v>MEXICO AEREO</v>
      </c>
      <c r="T44" s="36">
        <f t="shared" si="6"/>
        <v>2622</v>
      </c>
      <c r="U44" s="73">
        <v>0.77083333333333337</v>
      </c>
      <c r="V44" s="74">
        <v>0.7729166666666667</v>
      </c>
      <c r="W44" s="75">
        <v>2.0833333333333259E-3</v>
      </c>
      <c r="X44" s="74">
        <v>0.78125</v>
      </c>
      <c r="Y44" s="75">
        <v>8.3333333333333037E-3</v>
      </c>
      <c r="Z44" s="76">
        <v>41749</v>
      </c>
      <c r="AA44" s="36" t="str">
        <f t="shared" si="12"/>
        <v>Nacional</v>
      </c>
      <c r="AB44" s="36">
        <f t="shared" si="12"/>
        <v>6.3657407407407395E-3</v>
      </c>
      <c r="AC44" s="36">
        <f t="shared" si="12"/>
        <v>6.8672839506172994E-3</v>
      </c>
      <c r="AD44" s="36">
        <f t="shared" si="12"/>
        <v>1.323302469135804E-2</v>
      </c>
      <c r="AE44" s="36" t="str">
        <f t="shared" si="12"/>
        <v>ER4</v>
      </c>
      <c r="AF44" s="36">
        <f t="shared" si="12"/>
        <v>50</v>
      </c>
      <c r="AG44" s="36" t="str">
        <f t="shared" si="12"/>
        <v>HMO</v>
      </c>
      <c r="AI44">
        <v>30</v>
      </c>
      <c r="AJ44" s="77" t="str">
        <f t="shared" si="7"/>
        <v>MEXICO AEREO</v>
      </c>
      <c r="AK44" s="77">
        <f t="shared" si="7"/>
        <v>2825</v>
      </c>
      <c r="AL44" s="94">
        <v>0.74652777777777779</v>
      </c>
      <c r="AM44" s="95">
        <v>0.75486111111111109</v>
      </c>
      <c r="AN44" s="96">
        <v>8.3333333333333037E-3</v>
      </c>
      <c r="AO44" s="95">
        <v>0.7597222222222223</v>
      </c>
      <c r="AP44" s="96">
        <v>4.8611111111112049E-3</v>
      </c>
      <c r="AQ44" s="97">
        <v>41813</v>
      </c>
      <c r="AR44" s="77" t="str">
        <f t="shared" si="13"/>
        <v>Nacional</v>
      </c>
      <c r="AS44" s="77">
        <f t="shared" si="13"/>
        <v>7.1180555555555277E-3</v>
      </c>
      <c r="AT44" s="77">
        <f t="shared" si="13"/>
        <v>7.5810185185185425E-3</v>
      </c>
      <c r="AU44" s="77">
        <f t="shared" si="13"/>
        <v>1.4699074074074069E-2</v>
      </c>
      <c r="AV44" s="77" t="str">
        <f t="shared" si="13"/>
        <v>ER4</v>
      </c>
      <c r="AW44" s="77">
        <f t="shared" si="13"/>
        <v>50</v>
      </c>
      <c r="AX44" s="77" t="str">
        <f t="shared" si="13"/>
        <v>MTY</v>
      </c>
    </row>
    <row r="45" spans="1:50" x14ac:dyDescent="0.25">
      <c r="A45">
        <v>31</v>
      </c>
      <c r="B45" s="36" t="str">
        <f t="shared" si="4"/>
        <v>MEXICO AEREO</v>
      </c>
      <c r="C45" s="36">
        <f t="shared" si="4"/>
        <v>2621</v>
      </c>
      <c r="D45" s="74">
        <v>0.4465277777777778</v>
      </c>
      <c r="E45" s="74">
        <v>0.4513888888888889</v>
      </c>
      <c r="F45" s="75">
        <v>4.8611111111110938E-3</v>
      </c>
      <c r="G45" s="74">
        <v>0.45555555555555555</v>
      </c>
      <c r="H45" s="75">
        <v>4.1666666666666519E-3</v>
      </c>
      <c r="I45" s="76">
        <v>41717</v>
      </c>
      <c r="J45" s="36" t="str">
        <f t="shared" si="14"/>
        <v>Nacional</v>
      </c>
      <c r="K45" s="36">
        <f t="shared" si="14"/>
        <v>5.6249999999999963E-3</v>
      </c>
      <c r="L45" s="36">
        <f t="shared" si="14"/>
        <v>4.7916666666666776E-3</v>
      </c>
      <c r="M45" s="36">
        <f t="shared" si="14"/>
        <v>1.0416666666666675E-2</v>
      </c>
      <c r="N45" s="36" t="str">
        <f t="shared" si="14"/>
        <v>ER4</v>
      </c>
      <c r="O45" s="36">
        <f t="shared" si="14"/>
        <v>50</v>
      </c>
      <c r="P45" s="36" t="str">
        <f t="shared" si="14"/>
        <v>TLC</v>
      </c>
      <c r="R45">
        <v>31</v>
      </c>
      <c r="S45" s="36" t="str">
        <f t="shared" si="6"/>
        <v>MEXICO AEREO</v>
      </c>
      <c r="T45" s="36">
        <f t="shared" si="6"/>
        <v>2622</v>
      </c>
      <c r="U45" s="73">
        <v>0.76388888888888884</v>
      </c>
      <c r="V45" s="74">
        <v>0.77430555555555547</v>
      </c>
      <c r="W45" s="75">
        <v>1.041666666666663E-2</v>
      </c>
      <c r="X45" s="74">
        <v>0.78125</v>
      </c>
      <c r="Y45" s="75">
        <v>6.9444444444445308E-3</v>
      </c>
      <c r="Z45" s="76">
        <v>41750</v>
      </c>
      <c r="AA45" s="36" t="str">
        <f t="shared" si="12"/>
        <v>Nacional</v>
      </c>
      <c r="AB45" s="36">
        <f t="shared" si="12"/>
        <v>6.3657407407407395E-3</v>
      </c>
      <c r="AC45" s="36">
        <f t="shared" si="12"/>
        <v>6.8672839506172994E-3</v>
      </c>
      <c r="AD45" s="36">
        <f t="shared" si="12"/>
        <v>1.323302469135804E-2</v>
      </c>
      <c r="AE45" s="36" t="str">
        <f t="shared" si="12"/>
        <v>ER4</v>
      </c>
      <c r="AF45" s="36">
        <f t="shared" si="12"/>
        <v>50</v>
      </c>
      <c r="AG45" s="36" t="str">
        <f t="shared" si="12"/>
        <v>HMO</v>
      </c>
      <c r="AI45">
        <v>31</v>
      </c>
      <c r="AJ45" s="77" t="str">
        <f t="shared" si="7"/>
        <v>MEXICO AEREO</v>
      </c>
      <c r="AK45" s="63">
        <v>2820</v>
      </c>
      <c r="AL45" s="64">
        <v>0.98958333333333337</v>
      </c>
      <c r="AM45" s="65">
        <v>1.0069444444444444</v>
      </c>
      <c r="AN45" s="66">
        <v>1.7361111111111049E-2</v>
      </c>
      <c r="AO45" s="65">
        <v>1.0104166666666667</v>
      </c>
      <c r="AP45" s="66">
        <v>3.4722222222223209E-3</v>
      </c>
      <c r="AQ45" s="67">
        <v>41799</v>
      </c>
      <c r="AR45" s="68" t="s">
        <v>19</v>
      </c>
      <c r="AS45" s="69">
        <v>1.124999999999996E-2</v>
      </c>
      <c r="AT45" s="70">
        <v>7.3611111111111516E-3</v>
      </c>
      <c r="AU45" s="70">
        <v>1.8611111111111113E-2</v>
      </c>
      <c r="AV45" s="71" t="s">
        <v>20</v>
      </c>
      <c r="AW45" s="71">
        <v>50</v>
      </c>
      <c r="AX45" s="72" t="s">
        <v>29</v>
      </c>
    </row>
    <row r="46" spans="1:50" ht="15.75" thickBot="1" x14ac:dyDescent="0.3">
      <c r="A46">
        <v>32</v>
      </c>
      <c r="B46" s="36" t="str">
        <f t="shared" si="4"/>
        <v>MEXICO AEREO</v>
      </c>
      <c r="C46" s="36">
        <f t="shared" si="4"/>
        <v>2621</v>
      </c>
      <c r="D46" s="84">
        <v>0.45277777777777778</v>
      </c>
      <c r="E46" s="84">
        <v>0.46666666666666662</v>
      </c>
      <c r="F46" s="85">
        <v>1.388888888888884E-2</v>
      </c>
      <c r="G46" s="84">
        <v>0.47430555555555554</v>
      </c>
      <c r="H46" s="85">
        <v>7.6388888888889173E-3</v>
      </c>
      <c r="I46" s="86">
        <v>41718</v>
      </c>
      <c r="J46" s="36" t="str">
        <f t="shared" si="14"/>
        <v>Nacional</v>
      </c>
      <c r="K46" s="36">
        <f t="shared" si="14"/>
        <v>5.6249999999999963E-3</v>
      </c>
      <c r="L46" s="36">
        <f t="shared" si="14"/>
        <v>4.7916666666666776E-3</v>
      </c>
      <c r="M46" s="36">
        <f t="shared" si="14"/>
        <v>1.0416666666666675E-2</v>
      </c>
      <c r="N46" s="36" t="str">
        <f t="shared" si="14"/>
        <v>ER4</v>
      </c>
      <c r="O46" s="36">
        <f t="shared" si="14"/>
        <v>50</v>
      </c>
      <c r="P46" s="36" t="str">
        <f t="shared" si="14"/>
        <v>TLC</v>
      </c>
      <c r="R46">
        <v>32</v>
      </c>
      <c r="S46" s="36" t="str">
        <f t="shared" si="6"/>
        <v>MEXICO AEREO</v>
      </c>
      <c r="T46" s="36">
        <f t="shared" si="6"/>
        <v>2622</v>
      </c>
      <c r="U46" s="73">
        <v>0.75</v>
      </c>
      <c r="V46" s="74">
        <v>0.77083333333333337</v>
      </c>
      <c r="W46" s="75">
        <v>2.083333333333337E-2</v>
      </c>
      <c r="X46" s="74">
        <v>0.77500000000000002</v>
      </c>
      <c r="Y46" s="75">
        <v>4.1666666666666519E-3</v>
      </c>
      <c r="Z46" s="76">
        <v>41751</v>
      </c>
      <c r="AA46" s="36" t="str">
        <f t="shared" si="12"/>
        <v>Nacional</v>
      </c>
      <c r="AB46" s="36">
        <f t="shared" si="12"/>
        <v>6.3657407407407395E-3</v>
      </c>
      <c r="AC46" s="36">
        <f t="shared" si="12"/>
        <v>6.8672839506172994E-3</v>
      </c>
      <c r="AD46" s="36">
        <f t="shared" si="12"/>
        <v>1.323302469135804E-2</v>
      </c>
      <c r="AE46" s="36" t="str">
        <f t="shared" si="12"/>
        <v>ER4</v>
      </c>
      <c r="AF46" s="36">
        <f t="shared" si="12"/>
        <v>50</v>
      </c>
      <c r="AG46" s="36" t="str">
        <f t="shared" si="12"/>
        <v>HMO</v>
      </c>
      <c r="AI46">
        <v>32</v>
      </c>
      <c r="AJ46" s="77" t="str">
        <f t="shared" si="7"/>
        <v>MEXICO AEREO</v>
      </c>
      <c r="AK46" s="77">
        <f t="shared" si="7"/>
        <v>2820</v>
      </c>
      <c r="AL46" s="78">
        <v>0.77569444444444446</v>
      </c>
      <c r="AM46" s="79">
        <v>0.78402777777777777</v>
      </c>
      <c r="AN46" s="80">
        <v>8.3333333333333037E-3</v>
      </c>
      <c r="AO46" s="79">
        <v>0.79305555555555562</v>
      </c>
      <c r="AP46" s="80">
        <v>9.0277777777778567E-3</v>
      </c>
      <c r="AQ46" s="81">
        <v>41805</v>
      </c>
      <c r="AR46" s="77" t="str">
        <f t="shared" ref="AR46:AX49" si="15">AR45</f>
        <v>Nacional</v>
      </c>
      <c r="AS46" s="77">
        <f t="shared" si="15"/>
        <v>1.124999999999996E-2</v>
      </c>
      <c r="AT46" s="77">
        <f t="shared" si="15"/>
        <v>7.3611111111111516E-3</v>
      </c>
      <c r="AU46" s="77">
        <f t="shared" si="15"/>
        <v>1.8611111111111113E-2</v>
      </c>
      <c r="AV46" s="77" t="str">
        <f t="shared" si="15"/>
        <v>ER4</v>
      </c>
      <c r="AW46" s="77">
        <f t="shared" si="15"/>
        <v>50</v>
      </c>
      <c r="AX46" s="77" t="str">
        <f t="shared" si="15"/>
        <v>PVR</v>
      </c>
    </row>
    <row r="47" spans="1:50" ht="15.75" thickBot="1" x14ac:dyDescent="0.3">
      <c r="A47">
        <v>33</v>
      </c>
      <c r="B47" s="36" t="str">
        <f t="shared" si="4"/>
        <v>MEXICO AEREO</v>
      </c>
      <c r="C47" s="46">
        <v>2501</v>
      </c>
      <c r="D47" s="47">
        <v>0.68472222222222223</v>
      </c>
      <c r="E47" s="47">
        <v>0.70347222222222217</v>
      </c>
      <c r="F47" s="48">
        <v>1.8749999999999933E-2</v>
      </c>
      <c r="G47" s="47">
        <v>0.70833333333333337</v>
      </c>
      <c r="H47" s="48">
        <v>4.8611111111112049E-3</v>
      </c>
      <c r="I47" s="49">
        <v>41727</v>
      </c>
      <c r="J47" s="50" t="s">
        <v>19</v>
      </c>
      <c r="K47" s="47">
        <v>1.8749999999999933E-2</v>
      </c>
      <c r="L47" s="47">
        <v>4.8611111111112049E-3</v>
      </c>
      <c r="M47" s="51">
        <v>2.3611111111111138E-2</v>
      </c>
      <c r="N47" s="82" t="s">
        <v>25</v>
      </c>
      <c r="O47" s="36">
        <f t="shared" si="14"/>
        <v>50</v>
      </c>
      <c r="P47" s="36" t="str">
        <f t="shared" si="14"/>
        <v>TLC</v>
      </c>
      <c r="R47">
        <v>33</v>
      </c>
      <c r="S47" s="36" t="str">
        <f t="shared" si="6"/>
        <v>MEXICO AEREO</v>
      </c>
      <c r="T47" s="36">
        <f t="shared" si="6"/>
        <v>2622</v>
      </c>
      <c r="U47" s="73">
        <v>0.68055555555555547</v>
      </c>
      <c r="V47" s="74">
        <v>0.68125000000000002</v>
      </c>
      <c r="W47" s="75">
        <v>6.94444444444553E-4</v>
      </c>
      <c r="X47" s="74">
        <v>0.69097222222222221</v>
      </c>
      <c r="Y47" s="75">
        <v>9.7222222222221877E-3</v>
      </c>
      <c r="Z47" s="76">
        <v>41753</v>
      </c>
      <c r="AA47" s="36" t="str">
        <f t="shared" si="12"/>
        <v>Nacional</v>
      </c>
      <c r="AB47" s="36">
        <f t="shared" si="12"/>
        <v>6.3657407407407395E-3</v>
      </c>
      <c r="AC47" s="36">
        <f t="shared" si="12"/>
        <v>6.8672839506172994E-3</v>
      </c>
      <c r="AD47" s="36">
        <f t="shared" si="12"/>
        <v>1.323302469135804E-2</v>
      </c>
      <c r="AE47" s="36" t="str">
        <f t="shared" si="12"/>
        <v>ER4</v>
      </c>
      <c r="AF47" s="36">
        <f t="shared" si="12"/>
        <v>50</v>
      </c>
      <c r="AG47" s="36" t="str">
        <f t="shared" si="12"/>
        <v>HMO</v>
      </c>
      <c r="AI47">
        <v>33</v>
      </c>
      <c r="AJ47" s="77" t="str">
        <f t="shared" si="7"/>
        <v>MEXICO AEREO</v>
      </c>
      <c r="AK47" s="77">
        <f t="shared" si="7"/>
        <v>2820</v>
      </c>
      <c r="AL47" s="78">
        <v>0.94791666666666663</v>
      </c>
      <c r="AM47" s="79">
        <v>0.9590277777777777</v>
      </c>
      <c r="AN47" s="80">
        <v>1.1111111111111072E-2</v>
      </c>
      <c r="AO47" s="79">
        <v>0.97152777777777777</v>
      </c>
      <c r="AP47" s="80">
        <v>1.2500000000000067E-2</v>
      </c>
      <c r="AQ47" s="81">
        <v>41806</v>
      </c>
      <c r="AR47" s="77" t="str">
        <f t="shared" si="15"/>
        <v>Nacional</v>
      </c>
      <c r="AS47" s="77">
        <f t="shared" si="15"/>
        <v>1.124999999999996E-2</v>
      </c>
      <c r="AT47" s="77">
        <f t="shared" si="15"/>
        <v>7.3611111111111516E-3</v>
      </c>
      <c r="AU47" s="77">
        <f t="shared" si="15"/>
        <v>1.8611111111111113E-2</v>
      </c>
      <c r="AV47" s="77" t="str">
        <f t="shared" si="15"/>
        <v>ER4</v>
      </c>
      <c r="AW47" s="77">
        <f t="shared" si="15"/>
        <v>50</v>
      </c>
      <c r="AX47" s="77" t="str">
        <f t="shared" si="15"/>
        <v>PVR</v>
      </c>
    </row>
    <row r="48" spans="1:50" x14ac:dyDescent="0.25">
      <c r="A48">
        <v>34</v>
      </c>
      <c r="B48" s="36" t="str">
        <f t="shared" si="4"/>
        <v>MEXICO AEREO</v>
      </c>
      <c r="C48" s="88">
        <v>2469</v>
      </c>
      <c r="D48" s="57">
        <v>0.88680555555555562</v>
      </c>
      <c r="E48" s="57">
        <v>0.90833333333333333</v>
      </c>
      <c r="F48" s="58">
        <v>2.1527777777777701E-2</v>
      </c>
      <c r="G48" s="57">
        <v>0.91319444444444453</v>
      </c>
      <c r="H48" s="58">
        <v>4.8611111111112049E-3</v>
      </c>
      <c r="I48" s="59">
        <v>41719</v>
      </c>
      <c r="J48" s="60" t="s">
        <v>19</v>
      </c>
      <c r="K48" s="61">
        <v>7.8914141414141332E-3</v>
      </c>
      <c r="L48" s="61">
        <v>4.292929292929318E-3</v>
      </c>
      <c r="M48" s="89">
        <v>1.218434343434345E-2</v>
      </c>
      <c r="N48" s="90" t="s">
        <v>20</v>
      </c>
      <c r="O48" s="91">
        <v>50</v>
      </c>
      <c r="P48" s="92" t="s">
        <v>30</v>
      </c>
      <c r="R48">
        <v>34</v>
      </c>
      <c r="S48" s="36" t="str">
        <f t="shared" si="6"/>
        <v>MEXICO AEREO</v>
      </c>
      <c r="T48" s="36">
        <f t="shared" si="6"/>
        <v>2622</v>
      </c>
      <c r="U48" s="73">
        <v>0.7715277777777777</v>
      </c>
      <c r="V48" s="74">
        <v>0.77500000000000002</v>
      </c>
      <c r="W48" s="75">
        <v>3.4722222222223209E-3</v>
      </c>
      <c r="X48" s="74">
        <v>0.77916666666666667</v>
      </c>
      <c r="Y48" s="75">
        <v>4.1666666666666519E-3</v>
      </c>
      <c r="Z48" s="76">
        <v>41756</v>
      </c>
      <c r="AA48" s="36" t="str">
        <f t="shared" si="12"/>
        <v>Nacional</v>
      </c>
      <c r="AB48" s="36">
        <f t="shared" si="12"/>
        <v>6.3657407407407395E-3</v>
      </c>
      <c r="AC48" s="36">
        <f t="shared" si="12"/>
        <v>6.8672839506172994E-3</v>
      </c>
      <c r="AD48" s="36">
        <f t="shared" si="12"/>
        <v>1.323302469135804E-2</v>
      </c>
      <c r="AE48" s="36" t="str">
        <f t="shared" si="12"/>
        <v>ER4</v>
      </c>
      <c r="AF48" s="36">
        <f t="shared" si="12"/>
        <v>50</v>
      </c>
      <c r="AG48" s="36" t="str">
        <f t="shared" si="12"/>
        <v>HMO</v>
      </c>
      <c r="AI48">
        <v>34</v>
      </c>
      <c r="AJ48" s="77" t="str">
        <f t="shared" si="7"/>
        <v>MEXICO AEREO</v>
      </c>
      <c r="AK48" s="77">
        <f t="shared" si="7"/>
        <v>2820</v>
      </c>
      <c r="AL48" s="78">
        <v>0.80208333333333337</v>
      </c>
      <c r="AM48" s="79">
        <v>0.81458333333333333</v>
      </c>
      <c r="AN48" s="80">
        <v>1.2499999999999956E-2</v>
      </c>
      <c r="AO48" s="79">
        <v>0.81805555555555554</v>
      </c>
      <c r="AP48" s="80">
        <v>3.4722222222222099E-3</v>
      </c>
      <c r="AQ48" s="81">
        <v>41811</v>
      </c>
      <c r="AR48" s="77" t="str">
        <f t="shared" si="15"/>
        <v>Nacional</v>
      </c>
      <c r="AS48" s="77">
        <f t="shared" si="15"/>
        <v>1.124999999999996E-2</v>
      </c>
      <c r="AT48" s="77">
        <f t="shared" si="15"/>
        <v>7.3611111111111516E-3</v>
      </c>
      <c r="AU48" s="77">
        <f t="shared" si="15"/>
        <v>1.8611111111111113E-2</v>
      </c>
      <c r="AV48" s="77" t="str">
        <f t="shared" si="15"/>
        <v>ER4</v>
      </c>
      <c r="AW48" s="77">
        <f t="shared" si="15"/>
        <v>50</v>
      </c>
      <c r="AX48" s="77" t="str">
        <f t="shared" si="15"/>
        <v>PVR</v>
      </c>
    </row>
    <row r="49" spans="1:50" ht="15.75" thickBot="1" x14ac:dyDescent="0.3">
      <c r="A49">
        <v>35</v>
      </c>
      <c r="B49" s="36" t="str">
        <f t="shared" si="4"/>
        <v>MEXICO AEREO</v>
      </c>
      <c r="C49" s="36">
        <f t="shared" si="4"/>
        <v>2469</v>
      </c>
      <c r="D49" s="74">
        <v>0.8979166666666667</v>
      </c>
      <c r="E49" s="74">
        <v>0.90138888888888891</v>
      </c>
      <c r="F49" s="75">
        <v>3.4722222222222099E-3</v>
      </c>
      <c r="G49" s="74">
        <v>0.90625</v>
      </c>
      <c r="H49" s="75">
        <v>4.8611111111110938E-3</v>
      </c>
      <c r="I49" s="76">
        <v>41713</v>
      </c>
      <c r="J49" s="36" t="str">
        <f t="shared" ref="J49:P58" si="16">J48</f>
        <v>Nacional</v>
      </c>
      <c r="K49" s="36">
        <f t="shared" si="16"/>
        <v>7.8914141414141332E-3</v>
      </c>
      <c r="L49" s="36">
        <f t="shared" si="16"/>
        <v>4.292929292929318E-3</v>
      </c>
      <c r="M49" s="36">
        <f t="shared" si="16"/>
        <v>1.218434343434345E-2</v>
      </c>
      <c r="N49" s="36" t="str">
        <f t="shared" si="16"/>
        <v>ER4</v>
      </c>
      <c r="O49" s="36">
        <f t="shared" si="16"/>
        <v>50</v>
      </c>
      <c r="P49" s="36" t="str">
        <f t="shared" si="16"/>
        <v>MID</v>
      </c>
      <c r="R49">
        <v>35</v>
      </c>
      <c r="S49" s="36" t="str">
        <f t="shared" si="6"/>
        <v>MEXICO AEREO</v>
      </c>
      <c r="T49" s="36">
        <f t="shared" si="6"/>
        <v>2622</v>
      </c>
      <c r="U49" s="73">
        <v>0.77430555555555547</v>
      </c>
      <c r="V49" s="74">
        <v>0.78055555555555556</v>
      </c>
      <c r="W49" s="75">
        <v>6.2500000000000888E-3</v>
      </c>
      <c r="X49" s="74">
        <v>0.78472222222222221</v>
      </c>
      <c r="Y49" s="75">
        <v>4.1666666666666519E-3</v>
      </c>
      <c r="Z49" s="76">
        <v>41758</v>
      </c>
      <c r="AA49" s="36" t="str">
        <f t="shared" si="12"/>
        <v>Nacional</v>
      </c>
      <c r="AB49" s="36">
        <f t="shared" si="12"/>
        <v>6.3657407407407395E-3</v>
      </c>
      <c r="AC49" s="36">
        <f t="shared" si="12"/>
        <v>6.8672839506172994E-3</v>
      </c>
      <c r="AD49" s="36">
        <f t="shared" si="12"/>
        <v>1.323302469135804E-2</v>
      </c>
      <c r="AE49" s="36" t="str">
        <f t="shared" si="12"/>
        <v>ER4</v>
      </c>
      <c r="AF49" s="36">
        <f t="shared" si="12"/>
        <v>50</v>
      </c>
      <c r="AG49" s="36" t="str">
        <f t="shared" si="12"/>
        <v>HMO</v>
      </c>
      <c r="AI49">
        <v>35</v>
      </c>
      <c r="AJ49" s="77" t="str">
        <f t="shared" si="7"/>
        <v>MEXICO AEREO</v>
      </c>
      <c r="AK49" s="77">
        <f t="shared" si="7"/>
        <v>2820</v>
      </c>
      <c r="AL49" s="94">
        <v>0.83333333333333337</v>
      </c>
      <c r="AM49" s="95">
        <v>0.84027777777777779</v>
      </c>
      <c r="AN49" s="96">
        <v>6.9444444444444198E-3</v>
      </c>
      <c r="AO49" s="95">
        <v>0.84861111111111109</v>
      </c>
      <c r="AP49" s="96">
        <v>8.3333333333333037E-3</v>
      </c>
      <c r="AQ49" s="97">
        <v>41813</v>
      </c>
      <c r="AR49" s="77" t="str">
        <f t="shared" si="15"/>
        <v>Nacional</v>
      </c>
      <c r="AS49" s="77">
        <f t="shared" si="15"/>
        <v>1.124999999999996E-2</v>
      </c>
      <c r="AT49" s="77">
        <f t="shared" si="15"/>
        <v>7.3611111111111516E-3</v>
      </c>
      <c r="AU49" s="77">
        <f t="shared" si="15"/>
        <v>1.8611111111111113E-2</v>
      </c>
      <c r="AV49" s="77" t="str">
        <f t="shared" si="15"/>
        <v>ER4</v>
      </c>
      <c r="AW49" s="77">
        <f t="shared" si="15"/>
        <v>50</v>
      </c>
      <c r="AX49" s="77" t="str">
        <f t="shared" si="15"/>
        <v>PVR</v>
      </c>
    </row>
    <row r="50" spans="1:50" ht="15.75" thickBot="1" x14ac:dyDescent="0.3">
      <c r="A50">
        <v>36</v>
      </c>
      <c r="B50" s="36" t="str">
        <f t="shared" si="4"/>
        <v>MEXICO AEREO</v>
      </c>
      <c r="C50" s="36">
        <f t="shared" si="4"/>
        <v>2469</v>
      </c>
      <c r="D50" s="74">
        <v>0.90902777777777777</v>
      </c>
      <c r="E50" s="74">
        <v>0.91249999999999998</v>
      </c>
      <c r="F50" s="75">
        <v>3.4722222222222099E-3</v>
      </c>
      <c r="G50" s="74">
        <v>0.91805555555555562</v>
      </c>
      <c r="H50" s="75">
        <v>5.5555555555556468E-3</v>
      </c>
      <c r="I50" s="76">
        <v>41715</v>
      </c>
      <c r="J50" s="36" t="str">
        <f t="shared" si="16"/>
        <v>Nacional</v>
      </c>
      <c r="K50" s="36">
        <f t="shared" si="16"/>
        <v>7.8914141414141332E-3</v>
      </c>
      <c r="L50" s="36">
        <f t="shared" si="16"/>
        <v>4.292929292929318E-3</v>
      </c>
      <c r="M50" s="36">
        <f t="shared" si="16"/>
        <v>1.218434343434345E-2</v>
      </c>
      <c r="N50" s="36" t="str">
        <f t="shared" si="16"/>
        <v>ER4</v>
      </c>
      <c r="O50" s="36">
        <f t="shared" si="16"/>
        <v>50</v>
      </c>
      <c r="P50" s="36" t="str">
        <f t="shared" si="16"/>
        <v>MID</v>
      </c>
      <c r="R50">
        <v>36</v>
      </c>
      <c r="S50" s="36" t="str">
        <f t="shared" si="6"/>
        <v>MEXICO AEREO</v>
      </c>
      <c r="T50" s="36">
        <f t="shared" si="6"/>
        <v>2622</v>
      </c>
      <c r="U50" s="83">
        <v>0.79375000000000007</v>
      </c>
      <c r="V50" s="84">
        <v>0.80069444444444438</v>
      </c>
      <c r="W50" s="85">
        <v>6.9444444444443088E-3</v>
      </c>
      <c r="X50" s="84">
        <v>0.80138888888888893</v>
      </c>
      <c r="Y50" s="85">
        <v>6.94444444444553E-4</v>
      </c>
      <c r="Z50" s="86">
        <v>41759</v>
      </c>
      <c r="AA50" s="36" t="str">
        <f t="shared" si="12"/>
        <v>Nacional</v>
      </c>
      <c r="AB50" s="36">
        <f t="shared" si="12"/>
        <v>6.3657407407407395E-3</v>
      </c>
      <c r="AC50" s="36">
        <f t="shared" si="12"/>
        <v>6.8672839506172994E-3</v>
      </c>
      <c r="AD50" s="36">
        <f t="shared" si="12"/>
        <v>1.323302469135804E-2</v>
      </c>
      <c r="AE50" s="36" t="str">
        <f t="shared" si="12"/>
        <v>ER4</v>
      </c>
      <c r="AF50" s="36">
        <f t="shared" si="12"/>
        <v>50</v>
      </c>
      <c r="AG50" s="36" t="str">
        <f t="shared" si="12"/>
        <v>HMO</v>
      </c>
      <c r="AI50">
        <v>36</v>
      </c>
      <c r="AJ50" s="77" t="str">
        <f t="shared" si="7"/>
        <v>MEXICO AEREO</v>
      </c>
      <c r="AK50" s="63" t="s">
        <v>31</v>
      </c>
      <c r="AL50" s="64">
        <v>0.96388888888888891</v>
      </c>
      <c r="AM50" s="65">
        <v>0.97013888888888899</v>
      </c>
      <c r="AN50" s="66">
        <v>6.2500000000000888E-3</v>
      </c>
      <c r="AO50" s="65">
        <v>0.97152777777777777</v>
      </c>
      <c r="AP50" s="66">
        <v>1.3888888888887729E-3</v>
      </c>
      <c r="AQ50" s="67">
        <v>41791</v>
      </c>
      <c r="AR50" s="68" t="s">
        <v>19</v>
      </c>
      <c r="AS50" s="69">
        <v>1.1458333333333348E-2</v>
      </c>
      <c r="AT50" s="70">
        <v>2.6620370370370274E-3</v>
      </c>
      <c r="AU50" s="70">
        <v>1.4120370370370375E-2</v>
      </c>
      <c r="AV50" s="71" t="s">
        <v>20</v>
      </c>
      <c r="AW50" s="71">
        <v>50</v>
      </c>
      <c r="AX50" s="72" t="s">
        <v>26</v>
      </c>
    </row>
    <row r="51" spans="1:50" x14ac:dyDescent="0.25">
      <c r="A51">
        <v>37</v>
      </c>
      <c r="B51" s="36" t="str">
        <f t="shared" si="4"/>
        <v>MEXICO AEREO</v>
      </c>
      <c r="C51" s="36">
        <f t="shared" si="4"/>
        <v>2469</v>
      </c>
      <c r="D51" s="74">
        <v>0.90972222222222221</v>
      </c>
      <c r="E51" s="74">
        <v>0.91666666666666663</v>
      </c>
      <c r="F51" s="75">
        <v>6.9444444444444198E-3</v>
      </c>
      <c r="G51" s="74">
        <v>0.91875000000000007</v>
      </c>
      <c r="H51" s="75">
        <v>2.083333333333437E-3</v>
      </c>
      <c r="I51" s="76">
        <v>41716</v>
      </c>
      <c r="J51" s="36" t="str">
        <f t="shared" si="16"/>
        <v>Nacional</v>
      </c>
      <c r="K51" s="36">
        <f t="shared" si="16"/>
        <v>7.8914141414141332E-3</v>
      </c>
      <c r="L51" s="36">
        <f t="shared" si="16"/>
        <v>4.292929292929318E-3</v>
      </c>
      <c r="M51" s="36">
        <f t="shared" si="16"/>
        <v>1.218434343434345E-2</v>
      </c>
      <c r="N51" s="36" t="str">
        <f t="shared" si="16"/>
        <v>ER4</v>
      </c>
      <c r="O51" s="36">
        <f t="shared" si="16"/>
        <v>50</v>
      </c>
      <c r="P51" s="36" t="str">
        <f t="shared" si="16"/>
        <v>MID</v>
      </c>
      <c r="R51">
        <v>37</v>
      </c>
      <c r="S51" s="36" t="str">
        <f t="shared" si="6"/>
        <v>MEXICO AEREO</v>
      </c>
      <c r="T51" s="55">
        <v>2621</v>
      </c>
      <c r="U51" s="56">
        <v>0.39097222222222222</v>
      </c>
      <c r="V51" s="57">
        <v>0.39513888888888887</v>
      </c>
      <c r="W51" s="58">
        <v>4.1666666666666519E-3</v>
      </c>
      <c r="X51" s="57">
        <v>0.39861111111111108</v>
      </c>
      <c r="Y51" s="58">
        <v>3.4722222222222099E-3</v>
      </c>
      <c r="Z51" s="59">
        <v>41730</v>
      </c>
      <c r="AA51" s="60" t="s">
        <v>19</v>
      </c>
      <c r="AB51" s="61">
        <v>2.0243055555555556E-2</v>
      </c>
      <c r="AC51" s="61">
        <v>5.277777777777784E-3</v>
      </c>
      <c r="AD51" s="62">
        <v>2.552083333333334E-2</v>
      </c>
      <c r="AE51" s="109" t="s">
        <v>20</v>
      </c>
      <c r="AF51" s="110">
        <v>50</v>
      </c>
      <c r="AG51" s="110" t="s">
        <v>26</v>
      </c>
      <c r="AI51">
        <v>37</v>
      </c>
      <c r="AJ51" s="77" t="str">
        <f t="shared" si="7"/>
        <v>MEXICO AEREO</v>
      </c>
      <c r="AK51" s="77" t="str">
        <f t="shared" si="7"/>
        <v>L</v>
      </c>
      <c r="AL51" s="78">
        <v>0.95624999999999993</v>
      </c>
      <c r="AM51" s="79">
        <v>0.96250000000000002</v>
      </c>
      <c r="AN51" s="80">
        <v>6.2500000000000888E-3</v>
      </c>
      <c r="AO51" s="79">
        <v>0.96388888888888891</v>
      </c>
      <c r="AP51" s="80">
        <v>1.388888888888884E-3</v>
      </c>
      <c r="AQ51" s="81">
        <v>41792</v>
      </c>
      <c r="AR51" s="77" t="str">
        <f t="shared" ref="AR51:AX55" si="17">AR50</f>
        <v>Nacional</v>
      </c>
      <c r="AS51" s="77">
        <f t="shared" si="17"/>
        <v>1.1458333333333348E-2</v>
      </c>
      <c r="AT51" s="77">
        <f t="shared" si="17"/>
        <v>2.6620370370370274E-3</v>
      </c>
      <c r="AU51" s="77">
        <f t="shared" si="17"/>
        <v>1.4120370370370375E-2</v>
      </c>
      <c r="AV51" s="77" t="str">
        <f t="shared" si="17"/>
        <v>ER4</v>
      </c>
      <c r="AW51" s="77">
        <f t="shared" si="17"/>
        <v>50</v>
      </c>
      <c r="AX51" s="77" t="str">
        <f t="shared" si="17"/>
        <v>TLC</v>
      </c>
    </row>
    <row r="52" spans="1:50" x14ac:dyDescent="0.25">
      <c r="A52">
        <v>38</v>
      </c>
      <c r="B52" s="36" t="str">
        <f t="shared" si="4"/>
        <v>MEXICO AEREO</v>
      </c>
      <c r="C52" s="36">
        <f t="shared" si="4"/>
        <v>2469</v>
      </c>
      <c r="D52" s="74">
        <v>0.89930555555555547</v>
      </c>
      <c r="E52" s="74">
        <v>0.90486111111111101</v>
      </c>
      <c r="F52" s="75">
        <v>5.5555555555555358E-3</v>
      </c>
      <c r="G52" s="74">
        <v>0.90833333333333333</v>
      </c>
      <c r="H52" s="75">
        <v>3.4722222222223209E-3</v>
      </c>
      <c r="I52" s="76">
        <v>41721</v>
      </c>
      <c r="J52" s="36" t="str">
        <f t="shared" si="16"/>
        <v>Nacional</v>
      </c>
      <c r="K52" s="36">
        <f t="shared" si="16"/>
        <v>7.8914141414141332E-3</v>
      </c>
      <c r="L52" s="36">
        <f t="shared" si="16"/>
        <v>4.292929292929318E-3</v>
      </c>
      <c r="M52" s="36">
        <f t="shared" si="16"/>
        <v>1.218434343434345E-2</v>
      </c>
      <c r="N52" s="36" t="str">
        <f t="shared" si="16"/>
        <v>ER4</v>
      </c>
      <c r="O52" s="36">
        <f t="shared" si="16"/>
        <v>50</v>
      </c>
      <c r="P52" s="36" t="str">
        <f t="shared" si="16"/>
        <v>MID</v>
      </c>
      <c r="R52">
        <v>38</v>
      </c>
      <c r="S52" s="36" t="str">
        <f t="shared" si="6"/>
        <v>MEXICO AEREO</v>
      </c>
      <c r="T52" s="36">
        <f t="shared" si="6"/>
        <v>2621</v>
      </c>
      <c r="U52" s="73">
        <v>0.3833333333333333</v>
      </c>
      <c r="V52" s="74">
        <v>0.39027777777777778</v>
      </c>
      <c r="W52" s="75">
        <v>6.9444444444444753E-3</v>
      </c>
      <c r="X52" s="74">
        <v>0.39930555555555558</v>
      </c>
      <c r="Y52" s="75">
        <v>9.0277777777778012E-3</v>
      </c>
      <c r="Z52" s="76">
        <v>41731</v>
      </c>
      <c r="AA52" s="36" t="str">
        <f t="shared" ref="AA52:AG70" si="18">AA51</f>
        <v>Nacional</v>
      </c>
      <c r="AB52" s="36">
        <f t="shared" si="18"/>
        <v>2.0243055555555556E-2</v>
      </c>
      <c r="AC52" s="36">
        <f t="shared" si="18"/>
        <v>5.277777777777784E-3</v>
      </c>
      <c r="AD52" s="36">
        <f t="shared" si="18"/>
        <v>2.552083333333334E-2</v>
      </c>
      <c r="AE52" s="36" t="str">
        <f t="shared" si="18"/>
        <v>ER4</v>
      </c>
      <c r="AF52" s="36">
        <f t="shared" si="18"/>
        <v>50</v>
      </c>
      <c r="AG52" s="36" t="str">
        <f t="shared" si="18"/>
        <v>TLC</v>
      </c>
      <c r="AI52">
        <v>38</v>
      </c>
      <c r="AJ52" s="77" t="str">
        <f t="shared" si="7"/>
        <v>MEXICO AEREO</v>
      </c>
      <c r="AK52" s="77" t="str">
        <f t="shared" si="7"/>
        <v>L</v>
      </c>
      <c r="AL52" s="78">
        <v>0.95763888888888893</v>
      </c>
      <c r="AM52" s="79">
        <v>0.96875</v>
      </c>
      <c r="AN52" s="80">
        <v>1.1111111111111072E-2</v>
      </c>
      <c r="AO52" s="79">
        <v>0.97152777777777777</v>
      </c>
      <c r="AP52" s="80">
        <v>2.7777777777777679E-3</v>
      </c>
      <c r="AQ52" s="81">
        <v>41793</v>
      </c>
      <c r="AR52" s="77" t="str">
        <f t="shared" si="17"/>
        <v>Nacional</v>
      </c>
      <c r="AS52" s="77">
        <f t="shared" si="17"/>
        <v>1.1458333333333348E-2</v>
      </c>
      <c r="AT52" s="77">
        <f t="shared" si="17"/>
        <v>2.6620370370370274E-3</v>
      </c>
      <c r="AU52" s="77">
        <f t="shared" si="17"/>
        <v>1.4120370370370375E-2</v>
      </c>
      <c r="AV52" s="77" t="str">
        <f t="shared" si="17"/>
        <v>ER4</v>
      </c>
      <c r="AW52" s="77">
        <f t="shared" si="17"/>
        <v>50</v>
      </c>
      <c r="AX52" s="77" t="str">
        <f t="shared" si="17"/>
        <v>TLC</v>
      </c>
    </row>
    <row r="53" spans="1:50" x14ac:dyDescent="0.25">
      <c r="A53">
        <v>39</v>
      </c>
      <c r="B53" s="36" t="str">
        <f t="shared" si="4"/>
        <v>MEXICO AEREO</v>
      </c>
      <c r="C53" s="36">
        <f t="shared" si="4"/>
        <v>2469</v>
      </c>
      <c r="D53" s="74">
        <v>0.90416666666666667</v>
      </c>
      <c r="E53" s="74">
        <v>0.91805555555555562</v>
      </c>
      <c r="F53" s="75">
        <v>1.3888888888888951E-2</v>
      </c>
      <c r="G53" s="74">
        <v>0.92291666666666661</v>
      </c>
      <c r="H53" s="75">
        <v>4.8611111111109828E-3</v>
      </c>
      <c r="I53" s="76">
        <v>41722</v>
      </c>
      <c r="J53" s="36" t="str">
        <f t="shared" si="16"/>
        <v>Nacional</v>
      </c>
      <c r="K53" s="36">
        <f t="shared" si="16"/>
        <v>7.8914141414141332E-3</v>
      </c>
      <c r="L53" s="36">
        <f t="shared" si="16"/>
        <v>4.292929292929318E-3</v>
      </c>
      <c r="M53" s="36">
        <f t="shared" si="16"/>
        <v>1.218434343434345E-2</v>
      </c>
      <c r="N53" s="36" t="str">
        <f t="shared" si="16"/>
        <v>ER4</v>
      </c>
      <c r="O53" s="36">
        <f t="shared" si="16"/>
        <v>50</v>
      </c>
      <c r="P53" s="36" t="str">
        <f t="shared" si="16"/>
        <v>MID</v>
      </c>
      <c r="R53">
        <v>39</v>
      </c>
      <c r="S53" s="36" t="str">
        <f t="shared" si="6"/>
        <v>MEXICO AEREO</v>
      </c>
      <c r="T53" s="36">
        <f t="shared" si="6"/>
        <v>2621</v>
      </c>
      <c r="U53" s="73">
        <v>0.37986111111111115</v>
      </c>
      <c r="V53" s="74">
        <v>0.38541666666666669</v>
      </c>
      <c r="W53" s="75">
        <v>5.5555555555555358E-3</v>
      </c>
      <c r="X53" s="74">
        <v>0.3923611111111111</v>
      </c>
      <c r="Y53" s="75">
        <v>6.9444444444444198E-3</v>
      </c>
      <c r="Z53" s="76">
        <v>41732</v>
      </c>
      <c r="AA53" s="36" t="str">
        <f t="shared" si="18"/>
        <v>Nacional</v>
      </c>
      <c r="AB53" s="36">
        <f t="shared" si="18"/>
        <v>2.0243055555555556E-2</v>
      </c>
      <c r="AC53" s="36">
        <f t="shared" si="18"/>
        <v>5.277777777777784E-3</v>
      </c>
      <c r="AD53" s="36">
        <f t="shared" si="18"/>
        <v>2.552083333333334E-2</v>
      </c>
      <c r="AE53" s="36" t="str">
        <f t="shared" si="18"/>
        <v>ER4</v>
      </c>
      <c r="AF53" s="36">
        <f t="shared" si="18"/>
        <v>50</v>
      </c>
      <c r="AG53" s="36" t="str">
        <f t="shared" si="18"/>
        <v>TLC</v>
      </c>
      <c r="AI53">
        <v>39</v>
      </c>
      <c r="AJ53" s="77" t="str">
        <f t="shared" si="7"/>
        <v>MEXICO AEREO</v>
      </c>
      <c r="AK53" s="77" t="str">
        <f t="shared" si="7"/>
        <v>L</v>
      </c>
      <c r="AL53" s="78">
        <v>0.95138888888888884</v>
      </c>
      <c r="AM53" s="79">
        <v>0.96666666666666667</v>
      </c>
      <c r="AN53" s="80">
        <v>1.5277777777777835E-2</v>
      </c>
      <c r="AO53" s="79">
        <v>0.96875</v>
      </c>
      <c r="AP53" s="80">
        <v>2.0833333333333259E-3</v>
      </c>
      <c r="AQ53" s="81">
        <v>41794</v>
      </c>
      <c r="AR53" s="77" t="str">
        <f t="shared" si="17"/>
        <v>Nacional</v>
      </c>
      <c r="AS53" s="77">
        <f t="shared" si="17"/>
        <v>1.1458333333333348E-2</v>
      </c>
      <c r="AT53" s="77">
        <f t="shared" si="17"/>
        <v>2.6620370370370274E-3</v>
      </c>
      <c r="AU53" s="77">
        <f t="shared" si="17"/>
        <v>1.4120370370370375E-2</v>
      </c>
      <c r="AV53" s="77" t="str">
        <f t="shared" si="17"/>
        <v>ER4</v>
      </c>
      <c r="AW53" s="77">
        <f t="shared" si="17"/>
        <v>50</v>
      </c>
      <c r="AX53" s="77" t="str">
        <f t="shared" si="17"/>
        <v>TLC</v>
      </c>
    </row>
    <row r="54" spans="1:50" x14ac:dyDescent="0.25">
      <c r="A54">
        <v>40</v>
      </c>
      <c r="B54" s="36" t="str">
        <f t="shared" si="4"/>
        <v>MEXICO AEREO</v>
      </c>
      <c r="C54" s="36">
        <f t="shared" si="4"/>
        <v>2469</v>
      </c>
      <c r="D54" s="74">
        <v>0.90208333333333324</v>
      </c>
      <c r="E54" s="74">
        <v>0.90694444444444444</v>
      </c>
      <c r="F54" s="75">
        <v>4.8611111111112049E-3</v>
      </c>
      <c r="G54" s="74">
        <v>0.91527777777777775</v>
      </c>
      <c r="H54" s="75">
        <v>8.3333333333333037E-3</v>
      </c>
      <c r="I54" s="76">
        <v>41723</v>
      </c>
      <c r="J54" s="36" t="str">
        <f t="shared" si="16"/>
        <v>Nacional</v>
      </c>
      <c r="K54" s="36">
        <f t="shared" si="16"/>
        <v>7.8914141414141332E-3</v>
      </c>
      <c r="L54" s="36">
        <f t="shared" si="16"/>
        <v>4.292929292929318E-3</v>
      </c>
      <c r="M54" s="36">
        <f t="shared" si="16"/>
        <v>1.218434343434345E-2</v>
      </c>
      <c r="N54" s="36" t="str">
        <f t="shared" si="16"/>
        <v>ER4</v>
      </c>
      <c r="O54" s="36">
        <f t="shared" si="16"/>
        <v>50</v>
      </c>
      <c r="P54" s="36" t="str">
        <f t="shared" si="16"/>
        <v>MID</v>
      </c>
      <c r="R54">
        <v>40</v>
      </c>
      <c r="S54" s="36" t="str">
        <f t="shared" si="6"/>
        <v>MEXICO AEREO</v>
      </c>
      <c r="T54" s="36">
        <f t="shared" si="6"/>
        <v>2621</v>
      </c>
      <c r="U54" s="73">
        <v>0.37013888888888885</v>
      </c>
      <c r="V54" s="74">
        <v>0.375</v>
      </c>
      <c r="W54" s="75">
        <v>4.8611111111111494E-3</v>
      </c>
      <c r="X54" s="74">
        <v>0.38055555555555554</v>
      </c>
      <c r="Y54" s="75">
        <v>5.5555555555555358E-3</v>
      </c>
      <c r="Z54" s="76">
        <v>41733</v>
      </c>
      <c r="AA54" s="36" t="str">
        <f t="shared" si="18"/>
        <v>Nacional</v>
      </c>
      <c r="AB54" s="36">
        <f t="shared" si="18"/>
        <v>2.0243055555555556E-2</v>
      </c>
      <c r="AC54" s="36">
        <f t="shared" si="18"/>
        <v>5.277777777777784E-3</v>
      </c>
      <c r="AD54" s="36">
        <f t="shared" si="18"/>
        <v>2.552083333333334E-2</v>
      </c>
      <c r="AE54" s="36" t="str">
        <f t="shared" si="18"/>
        <v>ER4</v>
      </c>
      <c r="AF54" s="36">
        <f t="shared" si="18"/>
        <v>50</v>
      </c>
      <c r="AG54" s="36" t="str">
        <f t="shared" si="18"/>
        <v>TLC</v>
      </c>
      <c r="AI54">
        <v>40</v>
      </c>
      <c r="AJ54" s="77" t="str">
        <f t="shared" si="7"/>
        <v>MEXICO AEREO</v>
      </c>
      <c r="AK54" s="77" t="str">
        <f t="shared" si="7"/>
        <v>L</v>
      </c>
      <c r="AL54" s="78">
        <v>0.96875</v>
      </c>
      <c r="AM54" s="79">
        <v>0.98541666666666661</v>
      </c>
      <c r="AN54" s="80">
        <v>1.6666666666666607E-2</v>
      </c>
      <c r="AO54" s="79">
        <v>0.9916666666666667</v>
      </c>
      <c r="AP54" s="80">
        <v>6.2500000000000888E-3</v>
      </c>
      <c r="AQ54" s="81">
        <v>41795</v>
      </c>
      <c r="AR54" s="77" t="str">
        <f t="shared" si="17"/>
        <v>Nacional</v>
      </c>
      <c r="AS54" s="77">
        <f t="shared" si="17"/>
        <v>1.1458333333333348E-2</v>
      </c>
      <c r="AT54" s="77">
        <f t="shared" si="17"/>
        <v>2.6620370370370274E-3</v>
      </c>
      <c r="AU54" s="77">
        <f t="shared" si="17"/>
        <v>1.4120370370370375E-2</v>
      </c>
      <c r="AV54" s="77" t="str">
        <f t="shared" si="17"/>
        <v>ER4</v>
      </c>
      <c r="AW54" s="77">
        <f t="shared" si="17"/>
        <v>50</v>
      </c>
      <c r="AX54" s="77" t="str">
        <f t="shared" si="17"/>
        <v>TLC</v>
      </c>
    </row>
    <row r="55" spans="1:50" ht="15.75" thickBot="1" x14ac:dyDescent="0.3">
      <c r="A55">
        <v>41</v>
      </c>
      <c r="B55" s="36" t="str">
        <f t="shared" si="4"/>
        <v>MEXICO AEREO</v>
      </c>
      <c r="C55" s="36">
        <f t="shared" si="4"/>
        <v>2469</v>
      </c>
      <c r="D55" s="74">
        <v>0.92708333333333337</v>
      </c>
      <c r="E55" s="74">
        <v>0.93263888888888891</v>
      </c>
      <c r="F55" s="75">
        <v>5.5555555555555358E-3</v>
      </c>
      <c r="G55" s="74">
        <v>0.93611111111111101</v>
      </c>
      <c r="H55" s="75">
        <v>3.4722222222220989E-3</v>
      </c>
      <c r="I55" s="76">
        <v>41724</v>
      </c>
      <c r="J55" s="36" t="str">
        <f t="shared" si="16"/>
        <v>Nacional</v>
      </c>
      <c r="K55" s="36">
        <f t="shared" si="16"/>
        <v>7.8914141414141332E-3</v>
      </c>
      <c r="L55" s="36">
        <f t="shared" si="16"/>
        <v>4.292929292929318E-3</v>
      </c>
      <c r="M55" s="36">
        <f t="shared" si="16"/>
        <v>1.218434343434345E-2</v>
      </c>
      <c r="N55" s="36" t="str">
        <f t="shared" si="16"/>
        <v>ER4</v>
      </c>
      <c r="O55" s="36">
        <f t="shared" si="16"/>
        <v>50</v>
      </c>
      <c r="P55" s="36" t="str">
        <f t="shared" si="16"/>
        <v>MID</v>
      </c>
      <c r="R55">
        <v>41</v>
      </c>
      <c r="S55" s="36" t="str">
        <f t="shared" si="6"/>
        <v>MEXICO AEREO</v>
      </c>
      <c r="T55" s="36">
        <f t="shared" si="6"/>
        <v>2621</v>
      </c>
      <c r="U55" s="73">
        <v>0.39930555555555558</v>
      </c>
      <c r="V55" s="74">
        <v>0.40972222222222227</v>
      </c>
      <c r="W55" s="75">
        <v>1.0416666666666685E-2</v>
      </c>
      <c r="X55" s="74">
        <v>0.41666666666666669</v>
      </c>
      <c r="Y55" s="75">
        <v>6.9444444444444198E-3</v>
      </c>
      <c r="Z55" s="76">
        <v>41737</v>
      </c>
      <c r="AA55" s="36" t="str">
        <f t="shared" si="18"/>
        <v>Nacional</v>
      </c>
      <c r="AB55" s="36">
        <f t="shared" si="18"/>
        <v>2.0243055555555556E-2</v>
      </c>
      <c r="AC55" s="36">
        <f t="shared" si="18"/>
        <v>5.277777777777784E-3</v>
      </c>
      <c r="AD55" s="36">
        <f t="shared" si="18"/>
        <v>2.552083333333334E-2</v>
      </c>
      <c r="AE55" s="36" t="str">
        <f t="shared" si="18"/>
        <v>ER4</v>
      </c>
      <c r="AF55" s="36">
        <f t="shared" si="18"/>
        <v>50</v>
      </c>
      <c r="AG55" s="36" t="str">
        <f t="shared" si="18"/>
        <v>TLC</v>
      </c>
      <c r="AI55">
        <v>41</v>
      </c>
      <c r="AJ55" s="77" t="str">
        <f t="shared" si="7"/>
        <v>MEXICO AEREO</v>
      </c>
      <c r="AK55" s="77" t="str">
        <f t="shared" si="7"/>
        <v>L</v>
      </c>
      <c r="AL55" s="94">
        <v>0.96388888888888891</v>
      </c>
      <c r="AM55" s="95">
        <v>0.9770833333333333</v>
      </c>
      <c r="AN55" s="96">
        <v>1.3194444444444398E-2</v>
      </c>
      <c r="AO55" s="95">
        <v>0.97916666666666663</v>
      </c>
      <c r="AP55" s="96">
        <v>2.0833333333333259E-3</v>
      </c>
      <c r="AQ55" s="97">
        <v>41798</v>
      </c>
      <c r="AR55" s="77" t="str">
        <f t="shared" si="17"/>
        <v>Nacional</v>
      </c>
      <c r="AS55" s="77">
        <f t="shared" si="17"/>
        <v>1.1458333333333348E-2</v>
      </c>
      <c r="AT55" s="77">
        <f t="shared" si="17"/>
        <v>2.6620370370370274E-3</v>
      </c>
      <c r="AU55" s="77">
        <f t="shared" si="17"/>
        <v>1.4120370370370375E-2</v>
      </c>
      <c r="AV55" s="77" t="str">
        <f t="shared" si="17"/>
        <v>ER4</v>
      </c>
      <c r="AW55" s="77">
        <f t="shared" si="17"/>
        <v>50</v>
      </c>
      <c r="AX55" s="77" t="str">
        <f t="shared" si="17"/>
        <v>TLC</v>
      </c>
    </row>
    <row r="56" spans="1:50" x14ac:dyDescent="0.25">
      <c r="A56">
        <v>42</v>
      </c>
      <c r="B56" s="36" t="str">
        <f t="shared" si="4"/>
        <v>MEXICO AEREO</v>
      </c>
      <c r="C56" s="36">
        <f t="shared" si="4"/>
        <v>2469</v>
      </c>
      <c r="D56" s="74">
        <v>0.90972222222222221</v>
      </c>
      <c r="E56" s="74">
        <v>0.91736111111111107</v>
      </c>
      <c r="F56" s="75">
        <v>7.6388888888888618E-3</v>
      </c>
      <c r="G56" s="74">
        <v>0.92083333333333339</v>
      </c>
      <c r="H56" s="75">
        <v>3.4722222222223209E-3</v>
      </c>
      <c r="I56" s="76">
        <v>41725</v>
      </c>
      <c r="J56" s="36" t="str">
        <f t="shared" si="16"/>
        <v>Nacional</v>
      </c>
      <c r="K56" s="36">
        <f t="shared" si="16"/>
        <v>7.8914141414141332E-3</v>
      </c>
      <c r="L56" s="36">
        <f t="shared" si="16"/>
        <v>4.292929292929318E-3</v>
      </c>
      <c r="M56" s="36">
        <f t="shared" si="16"/>
        <v>1.218434343434345E-2</v>
      </c>
      <c r="N56" s="36" t="str">
        <f t="shared" si="16"/>
        <v>ER4</v>
      </c>
      <c r="O56" s="36">
        <f t="shared" si="16"/>
        <v>50</v>
      </c>
      <c r="P56" s="36" t="str">
        <f t="shared" si="16"/>
        <v>MID</v>
      </c>
      <c r="R56">
        <v>42</v>
      </c>
      <c r="S56" s="36" t="str">
        <f t="shared" si="6"/>
        <v>MEXICO AEREO</v>
      </c>
      <c r="T56" s="36">
        <f t="shared" si="6"/>
        <v>2621</v>
      </c>
      <c r="U56" s="73">
        <v>0.38750000000000001</v>
      </c>
      <c r="V56" s="74">
        <v>0.39444444444444443</v>
      </c>
      <c r="W56" s="75">
        <v>6.9444444444444198E-3</v>
      </c>
      <c r="X56" s="74">
        <v>0.3972222222222222</v>
      </c>
      <c r="Y56" s="75">
        <v>2.7777777777777679E-3</v>
      </c>
      <c r="Z56" s="76">
        <v>41738</v>
      </c>
      <c r="AA56" s="36" t="str">
        <f t="shared" si="18"/>
        <v>Nacional</v>
      </c>
      <c r="AB56" s="36">
        <f t="shared" si="18"/>
        <v>2.0243055555555556E-2</v>
      </c>
      <c r="AC56" s="36">
        <f t="shared" si="18"/>
        <v>5.277777777777784E-3</v>
      </c>
      <c r="AD56" s="36">
        <f t="shared" si="18"/>
        <v>2.552083333333334E-2</v>
      </c>
      <c r="AE56" s="36" t="str">
        <f t="shared" si="18"/>
        <v>ER4</v>
      </c>
      <c r="AF56" s="36">
        <f t="shared" si="18"/>
        <v>50</v>
      </c>
      <c r="AG56" s="36" t="str">
        <f t="shared" si="18"/>
        <v>TLC</v>
      </c>
      <c r="AI56">
        <v>42</v>
      </c>
      <c r="AJ56" s="63" t="s">
        <v>18</v>
      </c>
      <c r="AK56" s="63">
        <v>2622</v>
      </c>
      <c r="AL56" s="64">
        <v>0.76180555555555562</v>
      </c>
      <c r="AM56" s="65">
        <v>0.7680555555555556</v>
      </c>
      <c r="AN56" s="66">
        <v>6.2499999999999778E-3</v>
      </c>
      <c r="AO56" s="65">
        <v>0.77083333333333337</v>
      </c>
      <c r="AP56" s="66">
        <v>2.7777777777777679E-3</v>
      </c>
      <c r="AQ56" s="67">
        <v>41792</v>
      </c>
      <c r="AR56" s="68" t="s">
        <v>22</v>
      </c>
      <c r="AS56" s="69">
        <v>6.6154970760233887E-3</v>
      </c>
      <c r="AT56" s="70">
        <v>5.8845029239766164E-3</v>
      </c>
      <c r="AU56" s="70">
        <v>1.2500000000000004E-2</v>
      </c>
      <c r="AV56" s="71" t="s">
        <v>20</v>
      </c>
      <c r="AW56" s="71">
        <v>50</v>
      </c>
      <c r="AX56" s="72" t="s">
        <v>26</v>
      </c>
    </row>
    <row r="57" spans="1:50" x14ac:dyDescent="0.25">
      <c r="A57">
        <v>43</v>
      </c>
      <c r="B57" s="36" t="str">
        <f t="shared" si="4"/>
        <v>MEXICO AEREO</v>
      </c>
      <c r="C57" s="36">
        <f t="shared" si="4"/>
        <v>2469</v>
      </c>
      <c r="D57" s="74">
        <v>0.91736111111111107</v>
      </c>
      <c r="E57" s="74">
        <v>0.92708333333333337</v>
      </c>
      <c r="F57" s="75">
        <v>9.7222222222222987E-3</v>
      </c>
      <c r="G57" s="74">
        <v>0.92986111111111114</v>
      </c>
      <c r="H57" s="75">
        <v>2.7777777777777679E-3</v>
      </c>
      <c r="I57" s="76">
        <v>41726</v>
      </c>
      <c r="J57" s="36" t="str">
        <f t="shared" si="16"/>
        <v>Nacional</v>
      </c>
      <c r="K57" s="36">
        <f t="shared" si="16"/>
        <v>7.8914141414141332E-3</v>
      </c>
      <c r="L57" s="36">
        <f t="shared" si="16"/>
        <v>4.292929292929318E-3</v>
      </c>
      <c r="M57" s="36">
        <f t="shared" si="16"/>
        <v>1.218434343434345E-2</v>
      </c>
      <c r="N57" s="36" t="str">
        <f t="shared" si="16"/>
        <v>ER4</v>
      </c>
      <c r="O57" s="36">
        <f t="shared" si="16"/>
        <v>50</v>
      </c>
      <c r="P57" s="36" t="str">
        <f t="shared" si="16"/>
        <v>MID</v>
      </c>
      <c r="R57">
        <v>43</v>
      </c>
      <c r="S57" s="36" t="str">
        <f t="shared" si="6"/>
        <v>MEXICO AEREO</v>
      </c>
      <c r="T57" s="36">
        <f t="shared" si="6"/>
        <v>2621</v>
      </c>
      <c r="U57" s="73">
        <v>0.39166666666666666</v>
      </c>
      <c r="V57" s="74">
        <v>0.3979166666666667</v>
      </c>
      <c r="W57" s="75">
        <v>6.2500000000000333E-3</v>
      </c>
      <c r="X57" s="74">
        <v>0.40069444444444446</v>
      </c>
      <c r="Y57" s="75">
        <v>2.7777777777777679E-3</v>
      </c>
      <c r="Z57" s="76">
        <v>41739</v>
      </c>
      <c r="AA57" s="36" t="str">
        <f t="shared" si="18"/>
        <v>Nacional</v>
      </c>
      <c r="AB57" s="36">
        <f t="shared" si="18"/>
        <v>2.0243055555555556E-2</v>
      </c>
      <c r="AC57" s="36">
        <f t="shared" si="18"/>
        <v>5.277777777777784E-3</v>
      </c>
      <c r="AD57" s="36">
        <f t="shared" si="18"/>
        <v>2.552083333333334E-2</v>
      </c>
      <c r="AE57" s="36" t="str">
        <f t="shared" si="18"/>
        <v>ER4</v>
      </c>
      <c r="AF57" s="36">
        <f t="shared" si="18"/>
        <v>50</v>
      </c>
      <c r="AG57" s="36" t="str">
        <f t="shared" si="18"/>
        <v>TLC</v>
      </c>
      <c r="AI57">
        <v>43</v>
      </c>
      <c r="AJ57" s="77" t="str">
        <f t="shared" ref="AJ57:AK103" si="19">AJ56</f>
        <v>MEXICO AEREO</v>
      </c>
      <c r="AK57" s="77">
        <f t="shared" si="19"/>
        <v>2622</v>
      </c>
      <c r="AL57" s="78">
        <v>0.75416666666666676</v>
      </c>
      <c r="AM57" s="79">
        <v>0.76111111111111107</v>
      </c>
      <c r="AN57" s="80">
        <v>6.9444444444443088E-3</v>
      </c>
      <c r="AO57" s="79">
        <v>0.76458333333333339</v>
      </c>
      <c r="AP57" s="80">
        <v>3.4722222222223209E-3</v>
      </c>
      <c r="AQ57" s="81">
        <v>41794</v>
      </c>
      <c r="AR57" s="77" t="str">
        <f t="shared" ref="AR57:AX74" si="20">AR56</f>
        <v>Internacional</v>
      </c>
      <c r="AS57" s="77">
        <f t="shared" si="20"/>
        <v>6.6154970760233887E-3</v>
      </c>
      <c r="AT57" s="77">
        <f t="shared" si="20"/>
        <v>5.8845029239766164E-3</v>
      </c>
      <c r="AU57" s="77">
        <f t="shared" si="20"/>
        <v>1.2500000000000004E-2</v>
      </c>
      <c r="AV57" s="77" t="str">
        <f t="shared" si="20"/>
        <v>ER4</v>
      </c>
      <c r="AW57" s="77">
        <f t="shared" si="20"/>
        <v>50</v>
      </c>
      <c r="AX57" s="77" t="str">
        <f t="shared" si="20"/>
        <v>TLC</v>
      </c>
    </row>
    <row r="58" spans="1:50" ht="15.75" thickBot="1" x14ac:dyDescent="0.3">
      <c r="A58">
        <v>44</v>
      </c>
      <c r="B58" s="36" t="str">
        <f t="shared" si="4"/>
        <v>MEXICO AEREO</v>
      </c>
      <c r="C58" s="36">
        <f t="shared" si="4"/>
        <v>2469</v>
      </c>
      <c r="D58" s="84">
        <v>0.92361111111111116</v>
      </c>
      <c r="E58" s="84">
        <v>0.9277777777777777</v>
      </c>
      <c r="F58" s="85">
        <v>4.1666666666665408E-3</v>
      </c>
      <c r="G58" s="84">
        <v>0.93125000000000002</v>
      </c>
      <c r="H58" s="85">
        <v>3.4722222222223209E-3</v>
      </c>
      <c r="I58" s="86">
        <v>41727</v>
      </c>
      <c r="J58" s="36" t="str">
        <f t="shared" si="16"/>
        <v>Nacional</v>
      </c>
      <c r="K58" s="36">
        <f t="shared" si="16"/>
        <v>7.8914141414141332E-3</v>
      </c>
      <c r="L58" s="36">
        <f t="shared" si="16"/>
        <v>4.292929292929318E-3</v>
      </c>
      <c r="M58" s="36">
        <f t="shared" si="16"/>
        <v>1.218434343434345E-2</v>
      </c>
      <c r="N58" s="36" t="str">
        <f t="shared" si="16"/>
        <v>ER4</v>
      </c>
      <c r="O58" s="36">
        <f t="shared" si="16"/>
        <v>50</v>
      </c>
      <c r="P58" s="36" t="str">
        <f t="shared" si="16"/>
        <v>MID</v>
      </c>
      <c r="R58">
        <v>44</v>
      </c>
      <c r="S58" s="36" t="str">
        <f t="shared" si="6"/>
        <v>MEXICO AEREO</v>
      </c>
      <c r="T58" s="36">
        <f t="shared" si="6"/>
        <v>2621</v>
      </c>
      <c r="U58" s="73">
        <v>0.30416666666666664</v>
      </c>
      <c r="V58" s="74">
        <v>0.38958333333333334</v>
      </c>
      <c r="W58" s="75">
        <v>8.5416666666666696E-2</v>
      </c>
      <c r="X58" s="74">
        <v>0.40625</v>
      </c>
      <c r="Y58" s="75">
        <v>1.6666666666666663E-2</v>
      </c>
      <c r="Z58" s="76">
        <v>41741</v>
      </c>
      <c r="AA58" s="36" t="str">
        <f t="shared" si="18"/>
        <v>Nacional</v>
      </c>
      <c r="AB58" s="36">
        <f t="shared" si="18"/>
        <v>2.0243055555555556E-2</v>
      </c>
      <c r="AC58" s="36">
        <f t="shared" si="18"/>
        <v>5.277777777777784E-3</v>
      </c>
      <c r="AD58" s="36">
        <f t="shared" si="18"/>
        <v>2.552083333333334E-2</v>
      </c>
      <c r="AE58" s="36" t="str">
        <f t="shared" si="18"/>
        <v>ER4</v>
      </c>
      <c r="AF58" s="36">
        <f t="shared" si="18"/>
        <v>50</v>
      </c>
      <c r="AG58" s="36" t="str">
        <f t="shared" si="18"/>
        <v>TLC</v>
      </c>
      <c r="AI58">
        <v>44</v>
      </c>
      <c r="AJ58" s="77" t="str">
        <f t="shared" si="19"/>
        <v>MEXICO AEREO</v>
      </c>
      <c r="AK58" s="77">
        <f t="shared" si="19"/>
        <v>2622</v>
      </c>
      <c r="AL58" s="78">
        <v>0.75902777777777775</v>
      </c>
      <c r="AM58" s="79">
        <v>0.76527777777777783</v>
      </c>
      <c r="AN58" s="80">
        <v>6.2500000000000888E-3</v>
      </c>
      <c r="AO58" s="79">
        <v>0.7680555555555556</v>
      </c>
      <c r="AP58" s="80">
        <v>2.7777777777777679E-3</v>
      </c>
      <c r="AQ58" s="81">
        <v>41795</v>
      </c>
      <c r="AR58" s="77" t="str">
        <f t="shared" si="20"/>
        <v>Internacional</v>
      </c>
      <c r="AS58" s="77">
        <f t="shared" si="20"/>
        <v>6.6154970760233887E-3</v>
      </c>
      <c r="AT58" s="77">
        <f t="shared" si="20"/>
        <v>5.8845029239766164E-3</v>
      </c>
      <c r="AU58" s="77">
        <f t="shared" si="20"/>
        <v>1.2500000000000004E-2</v>
      </c>
      <c r="AV58" s="77" t="str">
        <f t="shared" si="20"/>
        <v>ER4</v>
      </c>
      <c r="AW58" s="77">
        <f t="shared" si="20"/>
        <v>50</v>
      </c>
      <c r="AX58" s="77" t="str">
        <f t="shared" si="20"/>
        <v>TLC</v>
      </c>
    </row>
    <row r="59" spans="1:50" x14ac:dyDescent="0.25">
      <c r="A59">
        <v>45</v>
      </c>
      <c r="B59" s="36" t="str">
        <f t="shared" si="4"/>
        <v>MEXICO AEREO</v>
      </c>
      <c r="C59" s="55">
        <v>2335</v>
      </c>
      <c r="D59" s="57">
        <v>0.95416666666666661</v>
      </c>
      <c r="E59" s="57">
        <v>0.9604166666666667</v>
      </c>
      <c r="F59" s="58">
        <v>6.2500000000000888E-3</v>
      </c>
      <c r="G59" s="57">
        <v>0.96666666666666667</v>
      </c>
      <c r="H59" s="58">
        <v>6.2499999999999778E-3</v>
      </c>
      <c r="I59" s="59">
        <v>41715</v>
      </c>
      <c r="J59" s="60" t="s">
        <v>19</v>
      </c>
      <c r="K59" s="61">
        <v>1.1706349206349229E-2</v>
      </c>
      <c r="L59" s="61">
        <v>5.6547619047618847E-3</v>
      </c>
      <c r="M59" s="89">
        <v>1.7361111111111112E-2</v>
      </c>
      <c r="N59" s="90" t="s">
        <v>20</v>
      </c>
      <c r="O59" s="91">
        <v>50</v>
      </c>
      <c r="P59" s="92" t="s">
        <v>27</v>
      </c>
      <c r="R59">
        <v>45</v>
      </c>
      <c r="S59" s="36" t="str">
        <f t="shared" si="6"/>
        <v>MEXICO AEREO</v>
      </c>
      <c r="T59" s="36">
        <f t="shared" si="6"/>
        <v>2621</v>
      </c>
      <c r="U59" s="73">
        <v>0.39097222222222222</v>
      </c>
      <c r="V59" s="74">
        <v>0.39513888888888887</v>
      </c>
      <c r="W59" s="75">
        <v>4.1666666666666519E-3</v>
      </c>
      <c r="X59" s="74">
        <v>0.39861111111111108</v>
      </c>
      <c r="Y59" s="75">
        <v>3.4722222222222099E-3</v>
      </c>
      <c r="Z59" s="76">
        <v>41742</v>
      </c>
      <c r="AA59" s="36" t="str">
        <f t="shared" si="18"/>
        <v>Nacional</v>
      </c>
      <c r="AB59" s="36">
        <f t="shared" si="18"/>
        <v>2.0243055555555556E-2</v>
      </c>
      <c r="AC59" s="36">
        <f t="shared" si="18"/>
        <v>5.277777777777784E-3</v>
      </c>
      <c r="AD59" s="36">
        <f t="shared" si="18"/>
        <v>2.552083333333334E-2</v>
      </c>
      <c r="AE59" s="36" t="str">
        <f t="shared" si="18"/>
        <v>ER4</v>
      </c>
      <c r="AF59" s="36">
        <f t="shared" si="18"/>
        <v>50</v>
      </c>
      <c r="AG59" s="36" t="str">
        <f t="shared" si="18"/>
        <v>TLC</v>
      </c>
      <c r="AI59">
        <v>45</v>
      </c>
      <c r="AJ59" s="77" t="str">
        <f t="shared" si="19"/>
        <v>MEXICO AEREO</v>
      </c>
      <c r="AK59" s="77">
        <f t="shared" si="19"/>
        <v>2622</v>
      </c>
      <c r="AL59" s="78">
        <v>0.76666666666666661</v>
      </c>
      <c r="AM59" s="79">
        <v>0.77222222222222225</v>
      </c>
      <c r="AN59" s="80">
        <v>5.5555555555556468E-3</v>
      </c>
      <c r="AO59" s="79">
        <v>0.77430555555555547</v>
      </c>
      <c r="AP59" s="80">
        <v>2.0833333333332149E-3</v>
      </c>
      <c r="AQ59" s="81">
        <v>41796</v>
      </c>
      <c r="AR59" s="77" t="str">
        <f t="shared" si="20"/>
        <v>Internacional</v>
      </c>
      <c r="AS59" s="77">
        <f t="shared" si="20"/>
        <v>6.6154970760233887E-3</v>
      </c>
      <c r="AT59" s="77">
        <f t="shared" si="20"/>
        <v>5.8845029239766164E-3</v>
      </c>
      <c r="AU59" s="77">
        <f t="shared" si="20"/>
        <v>1.2500000000000004E-2</v>
      </c>
      <c r="AV59" s="77" t="str">
        <f t="shared" si="20"/>
        <v>ER4</v>
      </c>
      <c r="AW59" s="77">
        <f t="shared" si="20"/>
        <v>50</v>
      </c>
      <c r="AX59" s="77" t="str">
        <f t="shared" si="20"/>
        <v>TLC</v>
      </c>
    </row>
    <row r="60" spans="1:50" x14ac:dyDescent="0.25">
      <c r="A60">
        <v>46</v>
      </c>
      <c r="B60" s="36" t="str">
        <f t="shared" si="4"/>
        <v>MEXICO AEREO</v>
      </c>
      <c r="C60" s="36">
        <f t="shared" si="4"/>
        <v>2335</v>
      </c>
      <c r="D60" s="74">
        <v>0.94444444444444453</v>
      </c>
      <c r="E60" s="74">
        <v>0.94791666666666663</v>
      </c>
      <c r="F60" s="75">
        <v>3.4722222222220989E-3</v>
      </c>
      <c r="G60" s="74">
        <v>0.95347222222222217</v>
      </c>
      <c r="H60" s="75">
        <v>5.5555555555555358E-3</v>
      </c>
      <c r="I60" s="76">
        <v>41719</v>
      </c>
      <c r="J60" s="36" t="str">
        <f t="shared" ref="J60:P65" si="21">J59</f>
        <v>Nacional</v>
      </c>
      <c r="K60" s="36">
        <f t="shared" si="21"/>
        <v>1.1706349206349229E-2</v>
      </c>
      <c r="L60" s="36">
        <f t="shared" si="21"/>
        <v>5.6547619047618847E-3</v>
      </c>
      <c r="M60" s="36">
        <f t="shared" si="21"/>
        <v>1.7361111111111112E-2</v>
      </c>
      <c r="N60" s="36" t="str">
        <f t="shared" si="21"/>
        <v>ER4</v>
      </c>
      <c r="O60" s="36">
        <f t="shared" si="21"/>
        <v>50</v>
      </c>
      <c r="P60" s="36" t="str">
        <f t="shared" si="21"/>
        <v>HMO</v>
      </c>
      <c r="R60">
        <v>46</v>
      </c>
      <c r="S60" s="36" t="str">
        <f t="shared" si="6"/>
        <v>MEXICO AEREO</v>
      </c>
      <c r="T60" s="36">
        <f t="shared" si="6"/>
        <v>2621</v>
      </c>
      <c r="U60" s="73">
        <v>0.18055555555555555</v>
      </c>
      <c r="V60" s="74">
        <v>0.39444444444444443</v>
      </c>
      <c r="W60" s="75">
        <v>0.21388888888888888</v>
      </c>
      <c r="X60" s="74">
        <v>0.3979166666666667</v>
      </c>
      <c r="Y60" s="75">
        <v>3.4722222222222654E-3</v>
      </c>
      <c r="Z60" s="76">
        <v>41743</v>
      </c>
      <c r="AA60" s="36" t="str">
        <f t="shared" si="18"/>
        <v>Nacional</v>
      </c>
      <c r="AB60" s="36">
        <f t="shared" si="18"/>
        <v>2.0243055555555556E-2</v>
      </c>
      <c r="AC60" s="36">
        <f t="shared" si="18"/>
        <v>5.277777777777784E-3</v>
      </c>
      <c r="AD60" s="36">
        <f t="shared" si="18"/>
        <v>2.552083333333334E-2</v>
      </c>
      <c r="AE60" s="36" t="str">
        <f t="shared" si="18"/>
        <v>ER4</v>
      </c>
      <c r="AF60" s="36">
        <f t="shared" si="18"/>
        <v>50</v>
      </c>
      <c r="AG60" s="36" t="str">
        <f t="shared" si="18"/>
        <v>TLC</v>
      </c>
      <c r="AI60">
        <v>46</v>
      </c>
      <c r="AJ60" s="77" t="str">
        <f t="shared" si="19"/>
        <v>MEXICO AEREO</v>
      </c>
      <c r="AK60" s="77">
        <f t="shared" si="19"/>
        <v>2622</v>
      </c>
      <c r="AL60" s="78">
        <v>0.7680555555555556</v>
      </c>
      <c r="AM60" s="79">
        <v>0.77361111111111114</v>
      </c>
      <c r="AN60" s="80">
        <v>5.5555555555555358E-3</v>
      </c>
      <c r="AO60" s="79">
        <v>0.77777777777777779</v>
      </c>
      <c r="AP60" s="80">
        <v>4.1666666666666519E-3</v>
      </c>
      <c r="AQ60" s="81">
        <v>41798</v>
      </c>
      <c r="AR60" s="77" t="str">
        <f t="shared" si="20"/>
        <v>Internacional</v>
      </c>
      <c r="AS60" s="77">
        <f t="shared" si="20"/>
        <v>6.6154970760233887E-3</v>
      </c>
      <c r="AT60" s="77">
        <f t="shared" si="20"/>
        <v>5.8845029239766164E-3</v>
      </c>
      <c r="AU60" s="77">
        <f t="shared" si="20"/>
        <v>1.2500000000000004E-2</v>
      </c>
      <c r="AV60" s="77" t="str">
        <f t="shared" si="20"/>
        <v>ER4</v>
      </c>
      <c r="AW60" s="77">
        <f t="shared" si="20"/>
        <v>50</v>
      </c>
      <c r="AX60" s="77" t="str">
        <f t="shared" si="20"/>
        <v>TLC</v>
      </c>
    </row>
    <row r="61" spans="1:50" x14ac:dyDescent="0.25">
      <c r="A61">
        <v>47</v>
      </c>
      <c r="B61" s="36" t="str">
        <f t="shared" si="4"/>
        <v>MEXICO AEREO</v>
      </c>
      <c r="C61" s="36">
        <f t="shared" si="4"/>
        <v>2335</v>
      </c>
      <c r="D61" s="74">
        <v>0.95624999999999993</v>
      </c>
      <c r="E61" s="74">
        <v>0.9604166666666667</v>
      </c>
      <c r="F61" s="75">
        <v>4.1666666666667629E-3</v>
      </c>
      <c r="G61" s="74">
        <v>0.96388888888888891</v>
      </c>
      <c r="H61" s="75">
        <v>3.4722222222222099E-3</v>
      </c>
      <c r="I61" s="76">
        <v>41724</v>
      </c>
      <c r="J61" s="36" t="str">
        <f t="shared" si="21"/>
        <v>Nacional</v>
      </c>
      <c r="K61" s="36">
        <f t="shared" si="21"/>
        <v>1.1706349206349229E-2</v>
      </c>
      <c r="L61" s="36">
        <f t="shared" si="21"/>
        <v>5.6547619047618847E-3</v>
      </c>
      <c r="M61" s="36">
        <f t="shared" si="21"/>
        <v>1.7361111111111112E-2</v>
      </c>
      <c r="N61" s="36" t="str">
        <f t="shared" si="21"/>
        <v>ER4</v>
      </c>
      <c r="O61" s="36">
        <f t="shared" si="21"/>
        <v>50</v>
      </c>
      <c r="P61" s="36" t="str">
        <f t="shared" si="21"/>
        <v>HMO</v>
      </c>
      <c r="R61">
        <v>47</v>
      </c>
      <c r="S61" s="36" t="str">
        <f t="shared" si="6"/>
        <v>MEXICO AEREO</v>
      </c>
      <c r="T61" s="36">
        <f t="shared" si="6"/>
        <v>2621</v>
      </c>
      <c r="U61" s="73">
        <v>0.3972222222222222</v>
      </c>
      <c r="V61" s="74">
        <v>0.40277777777777773</v>
      </c>
      <c r="W61" s="75">
        <v>5.5555555555555358E-3</v>
      </c>
      <c r="X61" s="74">
        <v>0.40763888888888888</v>
      </c>
      <c r="Y61" s="75">
        <v>4.8611111111111494E-3</v>
      </c>
      <c r="Z61" s="76">
        <v>41744</v>
      </c>
      <c r="AA61" s="36" t="str">
        <f t="shared" si="18"/>
        <v>Nacional</v>
      </c>
      <c r="AB61" s="36">
        <f t="shared" si="18"/>
        <v>2.0243055555555556E-2</v>
      </c>
      <c r="AC61" s="36">
        <f t="shared" si="18"/>
        <v>5.277777777777784E-3</v>
      </c>
      <c r="AD61" s="36">
        <f t="shared" si="18"/>
        <v>2.552083333333334E-2</v>
      </c>
      <c r="AE61" s="36" t="str">
        <f t="shared" si="18"/>
        <v>ER4</v>
      </c>
      <c r="AF61" s="36">
        <f t="shared" si="18"/>
        <v>50</v>
      </c>
      <c r="AG61" s="36" t="str">
        <f t="shared" si="18"/>
        <v>TLC</v>
      </c>
      <c r="AI61">
        <v>47</v>
      </c>
      <c r="AJ61" s="77" t="str">
        <f t="shared" si="19"/>
        <v>MEXICO AEREO</v>
      </c>
      <c r="AK61" s="77">
        <f t="shared" si="19"/>
        <v>2622</v>
      </c>
      <c r="AL61" s="78">
        <v>0.48055555555555557</v>
      </c>
      <c r="AM61" s="79">
        <v>0.48749999999999999</v>
      </c>
      <c r="AN61" s="80">
        <v>6.9444444444444198E-3</v>
      </c>
      <c r="AO61" s="79">
        <v>0.49722222222222223</v>
      </c>
      <c r="AP61" s="80">
        <v>9.7222222222222432E-3</v>
      </c>
      <c r="AQ61" s="81">
        <v>41801</v>
      </c>
      <c r="AR61" s="77" t="str">
        <f t="shared" si="20"/>
        <v>Internacional</v>
      </c>
      <c r="AS61" s="77">
        <f t="shared" si="20"/>
        <v>6.6154970760233887E-3</v>
      </c>
      <c r="AT61" s="77">
        <f t="shared" si="20"/>
        <v>5.8845029239766164E-3</v>
      </c>
      <c r="AU61" s="77">
        <f t="shared" si="20"/>
        <v>1.2500000000000004E-2</v>
      </c>
      <c r="AV61" s="77" t="str">
        <f t="shared" si="20"/>
        <v>ER4</v>
      </c>
      <c r="AW61" s="77">
        <f t="shared" si="20"/>
        <v>50</v>
      </c>
      <c r="AX61" s="77" t="str">
        <f t="shared" si="20"/>
        <v>TLC</v>
      </c>
    </row>
    <row r="62" spans="1:50" x14ac:dyDescent="0.25">
      <c r="A62">
        <v>48</v>
      </c>
      <c r="B62" s="36" t="str">
        <f t="shared" si="4"/>
        <v>MEXICO AEREO</v>
      </c>
      <c r="C62" s="36">
        <f t="shared" si="4"/>
        <v>2335</v>
      </c>
      <c r="D62" s="74">
        <v>0.95694444444444438</v>
      </c>
      <c r="E62" s="74">
        <v>0.96875</v>
      </c>
      <c r="F62" s="75">
        <v>1.1805555555555625E-2</v>
      </c>
      <c r="G62" s="74">
        <v>0.97222222222222221</v>
      </c>
      <c r="H62" s="75">
        <v>3.4722222222222099E-3</v>
      </c>
      <c r="I62" s="76">
        <v>41725</v>
      </c>
      <c r="J62" s="36" t="str">
        <f t="shared" si="21"/>
        <v>Nacional</v>
      </c>
      <c r="K62" s="36">
        <f t="shared" si="21"/>
        <v>1.1706349206349229E-2</v>
      </c>
      <c r="L62" s="36">
        <f t="shared" si="21"/>
        <v>5.6547619047618847E-3</v>
      </c>
      <c r="M62" s="36">
        <f t="shared" si="21"/>
        <v>1.7361111111111112E-2</v>
      </c>
      <c r="N62" s="36" t="str">
        <f t="shared" si="21"/>
        <v>ER4</v>
      </c>
      <c r="O62" s="36">
        <f t="shared" si="21"/>
        <v>50</v>
      </c>
      <c r="P62" s="36" t="str">
        <f t="shared" si="21"/>
        <v>HMO</v>
      </c>
      <c r="R62">
        <v>48</v>
      </c>
      <c r="S62" s="36" t="str">
        <f t="shared" si="6"/>
        <v>MEXICO AEREO</v>
      </c>
      <c r="T62" s="36">
        <f t="shared" si="6"/>
        <v>2621</v>
      </c>
      <c r="U62" s="73">
        <v>0.38958333333333334</v>
      </c>
      <c r="V62" s="74">
        <v>0.3972222222222222</v>
      </c>
      <c r="W62" s="75">
        <v>7.6388888888888618E-3</v>
      </c>
      <c r="X62" s="74">
        <v>0.39999999999999997</v>
      </c>
      <c r="Y62" s="75">
        <v>2.7777777777777679E-3</v>
      </c>
      <c r="Z62" s="76">
        <v>41745</v>
      </c>
      <c r="AA62" s="36" t="str">
        <f t="shared" si="18"/>
        <v>Nacional</v>
      </c>
      <c r="AB62" s="36">
        <f t="shared" si="18"/>
        <v>2.0243055555555556E-2</v>
      </c>
      <c r="AC62" s="36">
        <f t="shared" si="18"/>
        <v>5.277777777777784E-3</v>
      </c>
      <c r="AD62" s="36">
        <f t="shared" si="18"/>
        <v>2.552083333333334E-2</v>
      </c>
      <c r="AE62" s="36" t="str">
        <f t="shared" si="18"/>
        <v>ER4</v>
      </c>
      <c r="AF62" s="36">
        <f t="shared" si="18"/>
        <v>50</v>
      </c>
      <c r="AG62" s="36" t="str">
        <f t="shared" si="18"/>
        <v>TLC</v>
      </c>
      <c r="AI62">
        <v>48</v>
      </c>
      <c r="AJ62" s="77" t="str">
        <f t="shared" si="19"/>
        <v>MEXICO AEREO</v>
      </c>
      <c r="AK62" s="77">
        <f t="shared" si="19"/>
        <v>2622</v>
      </c>
      <c r="AL62" s="78">
        <v>0.54513888888888895</v>
      </c>
      <c r="AM62" s="79">
        <v>0.5493055555555556</v>
      </c>
      <c r="AN62" s="80">
        <v>4.1666666666666519E-3</v>
      </c>
      <c r="AO62" s="79">
        <v>0.55555555555555558</v>
      </c>
      <c r="AP62" s="80">
        <v>6.2499999999999778E-3</v>
      </c>
      <c r="AQ62" s="81">
        <v>41801</v>
      </c>
      <c r="AR62" s="77" t="str">
        <f t="shared" si="20"/>
        <v>Internacional</v>
      </c>
      <c r="AS62" s="77">
        <f t="shared" si="20"/>
        <v>6.6154970760233887E-3</v>
      </c>
      <c r="AT62" s="77">
        <f t="shared" si="20"/>
        <v>5.8845029239766164E-3</v>
      </c>
      <c r="AU62" s="77">
        <f t="shared" si="20"/>
        <v>1.2500000000000004E-2</v>
      </c>
      <c r="AV62" s="77" t="str">
        <f t="shared" si="20"/>
        <v>ER4</v>
      </c>
      <c r="AW62" s="77">
        <f t="shared" si="20"/>
        <v>50</v>
      </c>
      <c r="AX62" s="77" t="str">
        <f t="shared" si="20"/>
        <v>TLC</v>
      </c>
    </row>
    <row r="63" spans="1:50" x14ac:dyDescent="0.25">
      <c r="A63">
        <v>49</v>
      </c>
      <c r="B63" s="36" t="str">
        <f t="shared" si="4"/>
        <v>MEXICO AEREO</v>
      </c>
      <c r="C63" s="36">
        <f t="shared" si="4"/>
        <v>2335</v>
      </c>
      <c r="D63" s="74">
        <v>0.94305555555555554</v>
      </c>
      <c r="E63" s="74">
        <v>0.95416666666666661</v>
      </c>
      <c r="F63" s="75">
        <v>1.1111111111111072E-2</v>
      </c>
      <c r="G63" s="74">
        <v>0.95624999999999993</v>
      </c>
      <c r="H63" s="75">
        <v>2.0833333333333259E-3</v>
      </c>
      <c r="I63" s="76">
        <v>41726</v>
      </c>
      <c r="J63" s="36" t="str">
        <f t="shared" si="21"/>
        <v>Nacional</v>
      </c>
      <c r="K63" s="36">
        <f t="shared" si="21"/>
        <v>1.1706349206349229E-2</v>
      </c>
      <c r="L63" s="36">
        <f t="shared" si="21"/>
        <v>5.6547619047618847E-3</v>
      </c>
      <c r="M63" s="36">
        <f t="shared" si="21"/>
        <v>1.7361111111111112E-2</v>
      </c>
      <c r="N63" s="36" t="str">
        <f t="shared" si="21"/>
        <v>ER4</v>
      </c>
      <c r="O63" s="36">
        <f t="shared" si="21"/>
        <v>50</v>
      </c>
      <c r="P63" s="36" t="str">
        <f t="shared" si="21"/>
        <v>HMO</v>
      </c>
      <c r="R63">
        <v>49</v>
      </c>
      <c r="S63" s="36" t="str">
        <f t="shared" si="6"/>
        <v>MEXICO AEREO</v>
      </c>
      <c r="T63" s="36">
        <f t="shared" si="6"/>
        <v>2621</v>
      </c>
      <c r="U63" s="73">
        <v>0.3888888888888889</v>
      </c>
      <c r="V63" s="74">
        <v>0.39374999999999999</v>
      </c>
      <c r="W63" s="75">
        <v>4.8611111111110938E-3</v>
      </c>
      <c r="X63" s="74">
        <v>0.40138888888888885</v>
      </c>
      <c r="Y63" s="75">
        <v>7.6388888888888618E-3</v>
      </c>
      <c r="Z63" s="76">
        <v>41747</v>
      </c>
      <c r="AA63" s="36" t="str">
        <f t="shared" si="18"/>
        <v>Nacional</v>
      </c>
      <c r="AB63" s="36">
        <f t="shared" si="18"/>
        <v>2.0243055555555556E-2</v>
      </c>
      <c r="AC63" s="36">
        <f t="shared" si="18"/>
        <v>5.277777777777784E-3</v>
      </c>
      <c r="AD63" s="36">
        <f t="shared" si="18"/>
        <v>2.552083333333334E-2</v>
      </c>
      <c r="AE63" s="36" t="str">
        <f t="shared" si="18"/>
        <v>ER4</v>
      </c>
      <c r="AF63" s="36">
        <f t="shared" si="18"/>
        <v>50</v>
      </c>
      <c r="AG63" s="36" t="str">
        <f t="shared" si="18"/>
        <v>TLC</v>
      </c>
      <c r="AI63">
        <v>49</v>
      </c>
      <c r="AJ63" s="77" t="str">
        <f t="shared" si="19"/>
        <v>MEXICO AEREO</v>
      </c>
      <c r="AK63" s="77">
        <f t="shared" si="19"/>
        <v>2622</v>
      </c>
      <c r="AL63" s="78">
        <v>0.66388888888888886</v>
      </c>
      <c r="AM63" s="79">
        <v>0.6694444444444444</v>
      </c>
      <c r="AN63" s="80">
        <v>5.5555555555555358E-3</v>
      </c>
      <c r="AO63" s="79">
        <v>0.68680555555555556</v>
      </c>
      <c r="AP63" s="80">
        <v>1.736111111111116E-2</v>
      </c>
      <c r="AQ63" s="81">
        <v>41802</v>
      </c>
      <c r="AR63" s="77" t="str">
        <f t="shared" si="20"/>
        <v>Internacional</v>
      </c>
      <c r="AS63" s="77">
        <f t="shared" si="20"/>
        <v>6.6154970760233887E-3</v>
      </c>
      <c r="AT63" s="77">
        <f t="shared" si="20"/>
        <v>5.8845029239766164E-3</v>
      </c>
      <c r="AU63" s="77">
        <f t="shared" si="20"/>
        <v>1.2500000000000004E-2</v>
      </c>
      <c r="AV63" s="77" t="str">
        <f t="shared" si="20"/>
        <v>ER4</v>
      </c>
      <c r="AW63" s="77">
        <f t="shared" si="20"/>
        <v>50</v>
      </c>
      <c r="AX63" s="77" t="str">
        <f t="shared" si="20"/>
        <v>TLC</v>
      </c>
    </row>
    <row r="64" spans="1:50" ht="15.75" thickBot="1" x14ac:dyDescent="0.3">
      <c r="A64">
        <v>50</v>
      </c>
      <c r="B64" s="36" t="str">
        <f t="shared" si="4"/>
        <v>MEXICO AEREO</v>
      </c>
      <c r="C64" s="36">
        <f t="shared" si="4"/>
        <v>2335</v>
      </c>
      <c r="D64" s="74">
        <v>0.95972222222222225</v>
      </c>
      <c r="E64" s="74">
        <v>0.99444444444444446</v>
      </c>
      <c r="F64" s="75">
        <v>3.472222222222221E-2</v>
      </c>
      <c r="G64" s="74">
        <v>1.0111111111111111</v>
      </c>
      <c r="H64" s="75">
        <v>1.6666666666666607E-2</v>
      </c>
      <c r="I64" s="76">
        <v>41722</v>
      </c>
      <c r="J64" s="36" t="str">
        <f t="shared" si="21"/>
        <v>Nacional</v>
      </c>
      <c r="K64" s="36">
        <f t="shared" si="21"/>
        <v>1.1706349206349229E-2</v>
      </c>
      <c r="L64" s="36">
        <f t="shared" si="21"/>
        <v>5.6547619047618847E-3</v>
      </c>
      <c r="M64" s="36">
        <f t="shared" si="21"/>
        <v>1.7361111111111112E-2</v>
      </c>
      <c r="N64" s="36" t="str">
        <f t="shared" si="21"/>
        <v>ER4</v>
      </c>
      <c r="O64" s="36">
        <f t="shared" si="21"/>
        <v>50</v>
      </c>
      <c r="P64" s="36" t="str">
        <f t="shared" si="21"/>
        <v>HMO</v>
      </c>
      <c r="R64">
        <v>50</v>
      </c>
      <c r="S64" s="36" t="str">
        <f t="shared" si="6"/>
        <v>MEXICO AEREO</v>
      </c>
      <c r="T64" s="36">
        <f t="shared" si="6"/>
        <v>2621</v>
      </c>
      <c r="U64" s="73">
        <v>0.48472222222222222</v>
      </c>
      <c r="V64" s="74">
        <v>0.49027777777777781</v>
      </c>
      <c r="W64" s="75">
        <v>5.5555555555555913E-3</v>
      </c>
      <c r="X64" s="74">
        <v>0.49305555555555558</v>
      </c>
      <c r="Y64" s="75">
        <v>2.7777777777777679E-3</v>
      </c>
      <c r="Z64" s="76">
        <v>41748</v>
      </c>
      <c r="AA64" s="36" t="str">
        <f t="shared" si="18"/>
        <v>Nacional</v>
      </c>
      <c r="AB64" s="36">
        <f t="shared" si="18"/>
        <v>2.0243055555555556E-2</v>
      </c>
      <c r="AC64" s="36">
        <f t="shared" si="18"/>
        <v>5.277777777777784E-3</v>
      </c>
      <c r="AD64" s="36">
        <f t="shared" si="18"/>
        <v>2.552083333333334E-2</v>
      </c>
      <c r="AE64" s="36" t="str">
        <f t="shared" si="18"/>
        <v>ER4</v>
      </c>
      <c r="AF64" s="36">
        <f t="shared" si="18"/>
        <v>50</v>
      </c>
      <c r="AG64" s="36" t="str">
        <f t="shared" si="18"/>
        <v>TLC</v>
      </c>
      <c r="AI64">
        <v>50</v>
      </c>
      <c r="AJ64" s="77" t="str">
        <f t="shared" si="19"/>
        <v>MEXICO AEREO</v>
      </c>
      <c r="AK64" s="77">
        <f t="shared" si="19"/>
        <v>2622</v>
      </c>
      <c r="AL64" s="78">
        <v>0.90972222222222221</v>
      </c>
      <c r="AM64" s="79">
        <v>0.91666666666666663</v>
      </c>
      <c r="AN64" s="80">
        <v>6.9444444444444198E-3</v>
      </c>
      <c r="AO64" s="79">
        <v>0.91875000000000007</v>
      </c>
      <c r="AP64" s="80">
        <v>2.083333333333437E-3</v>
      </c>
      <c r="AQ64" s="81">
        <v>41803</v>
      </c>
      <c r="AR64" s="77" t="str">
        <f t="shared" si="20"/>
        <v>Internacional</v>
      </c>
      <c r="AS64" s="77">
        <f t="shared" si="20"/>
        <v>6.6154970760233887E-3</v>
      </c>
      <c r="AT64" s="77">
        <f t="shared" si="20"/>
        <v>5.8845029239766164E-3</v>
      </c>
      <c r="AU64" s="77">
        <f t="shared" si="20"/>
        <v>1.2500000000000004E-2</v>
      </c>
      <c r="AV64" s="77" t="str">
        <f t="shared" si="20"/>
        <v>ER4</v>
      </c>
      <c r="AW64" s="77">
        <f t="shared" si="20"/>
        <v>50</v>
      </c>
      <c r="AX64" s="77" t="str">
        <f t="shared" si="20"/>
        <v>TLC</v>
      </c>
    </row>
    <row r="65" spans="1:50" ht="15.75" thickBot="1" x14ac:dyDescent="0.3">
      <c r="A65">
        <v>51</v>
      </c>
      <c r="B65" s="45" t="s">
        <v>18</v>
      </c>
      <c r="C65" s="36">
        <f t="shared" ref="C65:C70" si="22">C64</f>
        <v>2335</v>
      </c>
      <c r="D65" s="84">
        <v>0.94791666666666663</v>
      </c>
      <c r="E65" s="84">
        <v>0.95833333333333337</v>
      </c>
      <c r="F65" s="85">
        <v>1.0416666666666741E-2</v>
      </c>
      <c r="G65" s="84">
        <v>0.9604166666666667</v>
      </c>
      <c r="H65" s="85">
        <v>2.0833333333333259E-3</v>
      </c>
      <c r="I65" s="86">
        <v>41724</v>
      </c>
      <c r="J65" s="36" t="str">
        <f t="shared" si="21"/>
        <v>Nacional</v>
      </c>
      <c r="K65" s="36">
        <f t="shared" si="21"/>
        <v>1.1706349206349229E-2</v>
      </c>
      <c r="L65" s="36">
        <f t="shared" si="21"/>
        <v>5.6547619047618847E-3</v>
      </c>
      <c r="M65" s="36">
        <f t="shared" si="21"/>
        <v>1.7361111111111112E-2</v>
      </c>
      <c r="N65" s="36" t="str">
        <f t="shared" si="21"/>
        <v>ER4</v>
      </c>
      <c r="O65" s="36">
        <f t="shared" si="21"/>
        <v>50</v>
      </c>
      <c r="P65" s="36" t="str">
        <f t="shared" si="21"/>
        <v>HMO</v>
      </c>
      <c r="R65">
        <v>51</v>
      </c>
      <c r="S65" s="36" t="str">
        <f t="shared" si="6"/>
        <v>MEXICO AEREO</v>
      </c>
      <c r="T65" s="36">
        <f t="shared" si="6"/>
        <v>2621</v>
      </c>
      <c r="U65" s="73">
        <v>0.38194444444444442</v>
      </c>
      <c r="V65" s="74">
        <v>0.3923611111111111</v>
      </c>
      <c r="W65" s="75">
        <v>1.0416666666666685E-2</v>
      </c>
      <c r="X65" s="74">
        <v>0.39513888888888887</v>
      </c>
      <c r="Y65" s="75">
        <v>2.7777777777777679E-3</v>
      </c>
      <c r="Z65" s="76">
        <v>41750</v>
      </c>
      <c r="AA65" s="36" t="str">
        <f t="shared" si="18"/>
        <v>Nacional</v>
      </c>
      <c r="AB65" s="36">
        <f t="shared" si="18"/>
        <v>2.0243055555555556E-2</v>
      </c>
      <c r="AC65" s="36">
        <f t="shared" si="18"/>
        <v>5.277777777777784E-3</v>
      </c>
      <c r="AD65" s="36">
        <f t="shared" si="18"/>
        <v>2.552083333333334E-2</v>
      </c>
      <c r="AE65" s="36" t="str">
        <f t="shared" si="18"/>
        <v>ER4</v>
      </c>
      <c r="AF65" s="36">
        <f t="shared" si="18"/>
        <v>50</v>
      </c>
      <c r="AG65" s="36" t="str">
        <f t="shared" si="18"/>
        <v>TLC</v>
      </c>
      <c r="AI65">
        <v>51</v>
      </c>
      <c r="AJ65" s="77" t="str">
        <f t="shared" si="19"/>
        <v>MEXICO AEREO</v>
      </c>
      <c r="AK65" s="77">
        <f t="shared" si="19"/>
        <v>2622</v>
      </c>
      <c r="AL65" s="78">
        <v>0.83750000000000002</v>
      </c>
      <c r="AM65" s="79">
        <v>0.84375</v>
      </c>
      <c r="AN65" s="80">
        <v>6.2499999999999778E-3</v>
      </c>
      <c r="AO65" s="79">
        <v>0.85069444444444453</v>
      </c>
      <c r="AP65" s="80">
        <v>6.9444444444445308E-3</v>
      </c>
      <c r="AQ65" s="81">
        <v>41804</v>
      </c>
      <c r="AR65" s="77" t="str">
        <f t="shared" si="20"/>
        <v>Internacional</v>
      </c>
      <c r="AS65" s="77">
        <f t="shared" si="20"/>
        <v>6.6154970760233887E-3</v>
      </c>
      <c r="AT65" s="77">
        <f t="shared" si="20"/>
        <v>5.8845029239766164E-3</v>
      </c>
      <c r="AU65" s="77">
        <f t="shared" si="20"/>
        <v>1.2500000000000004E-2</v>
      </c>
      <c r="AV65" s="77" t="str">
        <f t="shared" si="20"/>
        <v>ER4</v>
      </c>
      <c r="AW65" s="77">
        <f t="shared" si="20"/>
        <v>50</v>
      </c>
      <c r="AX65" s="77" t="str">
        <f t="shared" si="20"/>
        <v>TLC</v>
      </c>
    </row>
    <row r="66" spans="1:50" x14ac:dyDescent="0.25">
      <c r="A66">
        <v>52</v>
      </c>
      <c r="B66" s="36" t="str">
        <f t="shared" ref="B66:C121" si="23">B65</f>
        <v>MEXICO AEREO</v>
      </c>
      <c r="C66" s="111">
        <v>2320</v>
      </c>
      <c r="D66" s="112">
        <v>0.53402777777777777</v>
      </c>
      <c r="E66" s="112">
        <v>0.53680555555555554</v>
      </c>
      <c r="F66" s="113">
        <v>2.7777777777777679E-3</v>
      </c>
      <c r="G66" s="112">
        <v>0.54027777777777775</v>
      </c>
      <c r="H66" s="113">
        <v>3.4722222222222099E-3</v>
      </c>
      <c r="I66" s="114">
        <v>41714</v>
      </c>
      <c r="J66" s="115" t="s">
        <v>19</v>
      </c>
      <c r="K66" s="116">
        <v>4.7542735042735212E-3</v>
      </c>
      <c r="L66" s="116">
        <v>4.3803418803418821E-3</v>
      </c>
      <c r="M66" s="117">
        <v>9.1346153846154042E-3</v>
      </c>
      <c r="N66" s="90" t="s">
        <v>20</v>
      </c>
      <c r="O66" s="91">
        <v>50</v>
      </c>
      <c r="P66" s="92" t="s">
        <v>29</v>
      </c>
      <c r="R66">
        <v>52</v>
      </c>
      <c r="S66" s="36" t="str">
        <f t="shared" si="6"/>
        <v>MEXICO AEREO</v>
      </c>
      <c r="T66" s="36">
        <f t="shared" si="6"/>
        <v>2621</v>
      </c>
      <c r="U66" s="73">
        <v>0.38819444444444445</v>
      </c>
      <c r="V66" s="74">
        <v>0.39374999999999999</v>
      </c>
      <c r="W66" s="75">
        <v>5.5555555555555358E-3</v>
      </c>
      <c r="X66" s="74">
        <v>0.39652777777777781</v>
      </c>
      <c r="Y66" s="75">
        <v>2.7777777777778234E-3</v>
      </c>
      <c r="Z66" s="76">
        <v>41751</v>
      </c>
      <c r="AA66" s="36" t="str">
        <f t="shared" si="18"/>
        <v>Nacional</v>
      </c>
      <c r="AB66" s="36">
        <f t="shared" si="18"/>
        <v>2.0243055555555556E-2</v>
      </c>
      <c r="AC66" s="36">
        <f t="shared" si="18"/>
        <v>5.277777777777784E-3</v>
      </c>
      <c r="AD66" s="36">
        <f t="shared" si="18"/>
        <v>2.552083333333334E-2</v>
      </c>
      <c r="AE66" s="36" t="str">
        <f t="shared" si="18"/>
        <v>ER4</v>
      </c>
      <c r="AF66" s="36">
        <f t="shared" si="18"/>
        <v>50</v>
      </c>
      <c r="AG66" s="36" t="str">
        <f t="shared" si="18"/>
        <v>TLC</v>
      </c>
      <c r="AI66">
        <v>52</v>
      </c>
      <c r="AJ66" s="77" t="str">
        <f t="shared" si="19"/>
        <v>MEXICO AEREO</v>
      </c>
      <c r="AK66" s="77">
        <f t="shared" si="19"/>
        <v>2622</v>
      </c>
      <c r="AL66" s="78">
        <v>0.42638888888888887</v>
      </c>
      <c r="AM66" s="79">
        <v>0.43333333333333335</v>
      </c>
      <c r="AN66" s="80">
        <v>6.9444444444444753E-3</v>
      </c>
      <c r="AO66" s="79">
        <v>0.43888888888888888</v>
      </c>
      <c r="AP66" s="80">
        <v>5.5555555555555358E-3</v>
      </c>
      <c r="AQ66" s="81">
        <v>41805</v>
      </c>
      <c r="AR66" s="77" t="str">
        <f t="shared" si="20"/>
        <v>Internacional</v>
      </c>
      <c r="AS66" s="77">
        <f t="shared" si="20"/>
        <v>6.6154970760233887E-3</v>
      </c>
      <c r="AT66" s="77">
        <f t="shared" si="20"/>
        <v>5.8845029239766164E-3</v>
      </c>
      <c r="AU66" s="77">
        <f t="shared" si="20"/>
        <v>1.2500000000000004E-2</v>
      </c>
      <c r="AV66" s="77" t="str">
        <f t="shared" si="20"/>
        <v>ER4</v>
      </c>
      <c r="AW66" s="77">
        <f t="shared" si="20"/>
        <v>50</v>
      </c>
      <c r="AX66" s="77" t="str">
        <f t="shared" si="20"/>
        <v>TLC</v>
      </c>
    </row>
    <row r="67" spans="1:50" x14ac:dyDescent="0.25">
      <c r="A67">
        <v>53</v>
      </c>
      <c r="B67" s="36" t="str">
        <f t="shared" si="23"/>
        <v>MEXICO AEREO</v>
      </c>
      <c r="C67" s="36">
        <f t="shared" si="23"/>
        <v>2320</v>
      </c>
      <c r="D67" s="74">
        <v>0.54027777777777775</v>
      </c>
      <c r="E67" s="74">
        <v>0.54999999999999993</v>
      </c>
      <c r="F67" s="75">
        <v>9.7222222222221877E-3</v>
      </c>
      <c r="G67" s="74">
        <v>0.55555555555555558</v>
      </c>
      <c r="H67" s="75">
        <v>5.5555555555556468E-3</v>
      </c>
      <c r="I67" s="76">
        <v>41715</v>
      </c>
      <c r="J67" s="36" t="str">
        <f t="shared" ref="J67:P78" si="24">J66</f>
        <v>Nacional</v>
      </c>
      <c r="K67" s="36">
        <f t="shared" si="24"/>
        <v>4.7542735042735212E-3</v>
      </c>
      <c r="L67" s="36">
        <f t="shared" si="24"/>
        <v>4.3803418803418821E-3</v>
      </c>
      <c r="M67" s="36">
        <f t="shared" si="24"/>
        <v>9.1346153846154042E-3</v>
      </c>
      <c r="N67" s="36" t="str">
        <f t="shared" si="24"/>
        <v>ER4</v>
      </c>
      <c r="O67" s="36">
        <f t="shared" si="24"/>
        <v>50</v>
      </c>
      <c r="P67" s="36" t="str">
        <f t="shared" si="24"/>
        <v>PVR</v>
      </c>
      <c r="R67">
        <v>53</v>
      </c>
      <c r="S67" s="36" t="str">
        <f t="shared" si="6"/>
        <v>MEXICO AEREO</v>
      </c>
      <c r="T67" s="36">
        <f t="shared" si="6"/>
        <v>2621</v>
      </c>
      <c r="U67" s="73">
        <v>0.3888888888888889</v>
      </c>
      <c r="V67" s="74">
        <v>0.3923611111111111</v>
      </c>
      <c r="W67" s="75">
        <v>3.4722222222222099E-3</v>
      </c>
      <c r="X67" s="74">
        <v>0.40069444444444446</v>
      </c>
      <c r="Y67" s="75">
        <v>8.3333333333333592E-3</v>
      </c>
      <c r="Z67" s="76">
        <v>41753</v>
      </c>
      <c r="AA67" s="36" t="str">
        <f t="shared" si="18"/>
        <v>Nacional</v>
      </c>
      <c r="AB67" s="36">
        <f t="shared" si="18"/>
        <v>2.0243055555555556E-2</v>
      </c>
      <c r="AC67" s="36">
        <f t="shared" si="18"/>
        <v>5.277777777777784E-3</v>
      </c>
      <c r="AD67" s="36">
        <f t="shared" si="18"/>
        <v>2.552083333333334E-2</v>
      </c>
      <c r="AE67" s="36" t="str">
        <f t="shared" si="18"/>
        <v>ER4</v>
      </c>
      <c r="AF67" s="36">
        <f t="shared" si="18"/>
        <v>50</v>
      </c>
      <c r="AG67" s="36" t="str">
        <f t="shared" si="18"/>
        <v>TLC</v>
      </c>
      <c r="AI67">
        <v>53</v>
      </c>
      <c r="AJ67" s="77" t="str">
        <f t="shared" si="19"/>
        <v>MEXICO AEREO</v>
      </c>
      <c r="AK67" s="77">
        <f t="shared" si="19"/>
        <v>2622</v>
      </c>
      <c r="AL67" s="78">
        <v>0.78194444444444444</v>
      </c>
      <c r="AM67" s="79">
        <v>0.79305555555555562</v>
      </c>
      <c r="AN67" s="80">
        <v>1.1111111111111183E-2</v>
      </c>
      <c r="AO67" s="79">
        <v>0.80486111111111114</v>
      </c>
      <c r="AP67" s="80">
        <v>1.1805555555555514E-2</v>
      </c>
      <c r="AQ67" s="81">
        <v>41806</v>
      </c>
      <c r="AR67" s="77" t="str">
        <f t="shared" si="20"/>
        <v>Internacional</v>
      </c>
      <c r="AS67" s="77">
        <f t="shared" si="20"/>
        <v>6.6154970760233887E-3</v>
      </c>
      <c r="AT67" s="77">
        <f t="shared" si="20"/>
        <v>5.8845029239766164E-3</v>
      </c>
      <c r="AU67" s="77">
        <f t="shared" si="20"/>
        <v>1.2500000000000004E-2</v>
      </c>
      <c r="AV67" s="77" t="str">
        <f t="shared" si="20"/>
        <v>ER4</v>
      </c>
      <c r="AW67" s="77">
        <f t="shared" si="20"/>
        <v>50</v>
      </c>
      <c r="AX67" s="77" t="str">
        <f t="shared" si="20"/>
        <v>TLC</v>
      </c>
    </row>
    <row r="68" spans="1:50" x14ac:dyDescent="0.25">
      <c r="A68">
        <v>54</v>
      </c>
      <c r="B68" s="36" t="str">
        <f t="shared" si="23"/>
        <v>MEXICO AEREO</v>
      </c>
      <c r="C68" s="36">
        <f t="shared" si="23"/>
        <v>2320</v>
      </c>
      <c r="D68" s="74">
        <v>0.52500000000000002</v>
      </c>
      <c r="E68" s="74">
        <v>0.53125</v>
      </c>
      <c r="F68" s="75">
        <v>6.2499999999999778E-3</v>
      </c>
      <c r="G68" s="74">
        <v>0.53402777777777777</v>
      </c>
      <c r="H68" s="75">
        <v>2.7777777777777679E-3</v>
      </c>
      <c r="I68" s="76">
        <v>41716</v>
      </c>
      <c r="J68" s="36" t="str">
        <f t="shared" si="24"/>
        <v>Nacional</v>
      </c>
      <c r="K68" s="36">
        <f t="shared" si="24"/>
        <v>4.7542735042735212E-3</v>
      </c>
      <c r="L68" s="36">
        <f t="shared" si="24"/>
        <v>4.3803418803418821E-3</v>
      </c>
      <c r="M68" s="36">
        <f t="shared" si="24"/>
        <v>9.1346153846154042E-3</v>
      </c>
      <c r="N68" s="36" t="str">
        <f t="shared" si="24"/>
        <v>ER4</v>
      </c>
      <c r="O68" s="36">
        <f t="shared" si="24"/>
        <v>50</v>
      </c>
      <c r="P68" s="36" t="str">
        <f t="shared" si="24"/>
        <v>PVR</v>
      </c>
      <c r="R68">
        <v>54</v>
      </c>
      <c r="S68" s="36" t="str">
        <f t="shared" si="6"/>
        <v>MEXICO AEREO</v>
      </c>
      <c r="T68" s="36">
        <f t="shared" si="6"/>
        <v>2621</v>
      </c>
      <c r="U68" s="73">
        <v>0.38958333333333334</v>
      </c>
      <c r="V68" s="74">
        <v>0.39374999999999999</v>
      </c>
      <c r="W68" s="75">
        <v>4.1666666666666519E-3</v>
      </c>
      <c r="X68" s="74">
        <v>0.3979166666666667</v>
      </c>
      <c r="Y68" s="75">
        <v>4.1666666666667074E-3</v>
      </c>
      <c r="Z68" s="76">
        <v>41754</v>
      </c>
      <c r="AA68" s="36" t="str">
        <f t="shared" si="18"/>
        <v>Nacional</v>
      </c>
      <c r="AB68" s="36">
        <f t="shared" si="18"/>
        <v>2.0243055555555556E-2</v>
      </c>
      <c r="AC68" s="36">
        <f t="shared" si="18"/>
        <v>5.277777777777784E-3</v>
      </c>
      <c r="AD68" s="36">
        <f t="shared" si="18"/>
        <v>2.552083333333334E-2</v>
      </c>
      <c r="AE68" s="36" t="str">
        <f t="shared" si="18"/>
        <v>ER4</v>
      </c>
      <c r="AF68" s="36">
        <f t="shared" si="18"/>
        <v>50</v>
      </c>
      <c r="AG68" s="36" t="str">
        <f t="shared" si="18"/>
        <v>TLC</v>
      </c>
      <c r="AI68">
        <v>54</v>
      </c>
      <c r="AJ68" s="77" t="str">
        <f t="shared" si="19"/>
        <v>MEXICO AEREO</v>
      </c>
      <c r="AK68" s="77">
        <f t="shared" si="19"/>
        <v>2622</v>
      </c>
      <c r="AL68" s="78">
        <v>0.26458333333333334</v>
      </c>
      <c r="AM68" s="79">
        <v>0.27430555555555552</v>
      </c>
      <c r="AN68" s="80">
        <v>9.7222222222221877E-3</v>
      </c>
      <c r="AO68" s="79">
        <v>0.27916666666666667</v>
      </c>
      <c r="AP68" s="80">
        <v>4.8611111111111494E-3</v>
      </c>
      <c r="AQ68" s="81">
        <v>41807</v>
      </c>
      <c r="AR68" s="77" t="str">
        <f t="shared" si="20"/>
        <v>Internacional</v>
      </c>
      <c r="AS68" s="77">
        <f t="shared" si="20"/>
        <v>6.6154970760233887E-3</v>
      </c>
      <c r="AT68" s="77">
        <f t="shared" si="20"/>
        <v>5.8845029239766164E-3</v>
      </c>
      <c r="AU68" s="77">
        <f t="shared" si="20"/>
        <v>1.2500000000000004E-2</v>
      </c>
      <c r="AV68" s="77" t="str">
        <f t="shared" si="20"/>
        <v>ER4</v>
      </c>
      <c r="AW68" s="77">
        <f t="shared" si="20"/>
        <v>50</v>
      </c>
      <c r="AX68" s="77" t="str">
        <f t="shared" si="20"/>
        <v>TLC</v>
      </c>
    </row>
    <row r="69" spans="1:50" x14ac:dyDescent="0.25">
      <c r="A69">
        <v>55</v>
      </c>
      <c r="B69" s="36" t="str">
        <f t="shared" si="23"/>
        <v>MEXICO AEREO</v>
      </c>
      <c r="C69" s="36">
        <f t="shared" si="23"/>
        <v>2320</v>
      </c>
      <c r="D69" s="74">
        <v>0.53194444444444444</v>
      </c>
      <c r="E69" s="74">
        <v>0.53611111111111109</v>
      </c>
      <c r="F69" s="75">
        <v>4.1666666666666519E-3</v>
      </c>
      <c r="G69" s="74">
        <v>0.54097222222222219</v>
      </c>
      <c r="H69" s="75">
        <v>4.8611111111110938E-3</v>
      </c>
      <c r="I69" s="76">
        <v>41718</v>
      </c>
      <c r="J69" s="36" t="str">
        <f t="shared" si="24"/>
        <v>Nacional</v>
      </c>
      <c r="K69" s="36">
        <f t="shared" si="24"/>
        <v>4.7542735042735212E-3</v>
      </c>
      <c r="L69" s="36">
        <f t="shared" si="24"/>
        <v>4.3803418803418821E-3</v>
      </c>
      <c r="M69" s="36">
        <f t="shared" si="24"/>
        <v>9.1346153846154042E-3</v>
      </c>
      <c r="N69" s="36" t="str">
        <f t="shared" si="24"/>
        <v>ER4</v>
      </c>
      <c r="O69" s="36">
        <f t="shared" si="24"/>
        <v>50</v>
      </c>
      <c r="P69" s="36" t="str">
        <f t="shared" si="24"/>
        <v>PVR</v>
      </c>
      <c r="R69">
        <v>55</v>
      </c>
      <c r="S69" s="36" t="str">
        <f t="shared" si="6"/>
        <v>MEXICO AEREO</v>
      </c>
      <c r="T69" s="36">
        <f t="shared" si="6"/>
        <v>2621</v>
      </c>
      <c r="U69" s="73">
        <v>0.38958333333333334</v>
      </c>
      <c r="V69" s="74">
        <v>0.39374999999999999</v>
      </c>
      <c r="W69" s="75">
        <v>4.1666666666666519E-3</v>
      </c>
      <c r="X69" s="74">
        <v>0.3979166666666667</v>
      </c>
      <c r="Y69" s="75">
        <v>4.1666666666667074E-3</v>
      </c>
      <c r="Z69" s="76">
        <v>41757</v>
      </c>
      <c r="AA69" s="36" t="str">
        <f t="shared" si="18"/>
        <v>Nacional</v>
      </c>
      <c r="AB69" s="36">
        <f t="shared" si="18"/>
        <v>2.0243055555555556E-2</v>
      </c>
      <c r="AC69" s="36">
        <f t="shared" si="18"/>
        <v>5.277777777777784E-3</v>
      </c>
      <c r="AD69" s="36">
        <f t="shared" si="18"/>
        <v>2.552083333333334E-2</v>
      </c>
      <c r="AE69" s="36" t="str">
        <f t="shared" si="18"/>
        <v>ER4</v>
      </c>
      <c r="AF69" s="36">
        <f t="shared" si="18"/>
        <v>50</v>
      </c>
      <c r="AG69" s="36" t="str">
        <f t="shared" si="18"/>
        <v>TLC</v>
      </c>
      <c r="AI69">
        <v>55</v>
      </c>
      <c r="AJ69" s="77" t="str">
        <f t="shared" si="19"/>
        <v>MEXICO AEREO</v>
      </c>
      <c r="AK69" s="77">
        <f t="shared" si="19"/>
        <v>2622</v>
      </c>
      <c r="AL69" s="78">
        <v>0.42152777777777778</v>
      </c>
      <c r="AM69" s="79">
        <v>0.43333333333333335</v>
      </c>
      <c r="AN69" s="80">
        <v>1.1805555555555569E-2</v>
      </c>
      <c r="AO69" s="79">
        <v>0.4375</v>
      </c>
      <c r="AP69" s="80">
        <v>4.1666666666666519E-3</v>
      </c>
      <c r="AQ69" s="81">
        <v>41808</v>
      </c>
      <c r="AR69" s="77" t="str">
        <f t="shared" si="20"/>
        <v>Internacional</v>
      </c>
      <c r="AS69" s="77">
        <f t="shared" si="20"/>
        <v>6.6154970760233887E-3</v>
      </c>
      <c r="AT69" s="77">
        <f t="shared" si="20"/>
        <v>5.8845029239766164E-3</v>
      </c>
      <c r="AU69" s="77">
        <f t="shared" si="20"/>
        <v>1.2500000000000004E-2</v>
      </c>
      <c r="AV69" s="77" t="str">
        <f t="shared" si="20"/>
        <v>ER4</v>
      </c>
      <c r="AW69" s="77">
        <f t="shared" si="20"/>
        <v>50</v>
      </c>
      <c r="AX69" s="77" t="str">
        <f t="shared" si="20"/>
        <v>TLC</v>
      </c>
    </row>
    <row r="70" spans="1:50" ht="15.75" thickBot="1" x14ac:dyDescent="0.3">
      <c r="A70">
        <v>56</v>
      </c>
      <c r="B70" s="36" t="str">
        <f t="shared" si="23"/>
        <v>MEXICO AEREO</v>
      </c>
      <c r="C70" s="36">
        <f t="shared" si="23"/>
        <v>2320</v>
      </c>
      <c r="D70" s="74">
        <v>0.54305555555555551</v>
      </c>
      <c r="E70" s="74">
        <v>0.54722222222222217</v>
      </c>
      <c r="F70" s="75">
        <v>4.1666666666666519E-3</v>
      </c>
      <c r="G70" s="74">
        <v>0.55208333333333337</v>
      </c>
      <c r="H70" s="75">
        <v>4.8611111111112049E-3</v>
      </c>
      <c r="I70" s="76">
        <v>41720</v>
      </c>
      <c r="J70" s="36" t="str">
        <f t="shared" si="24"/>
        <v>Nacional</v>
      </c>
      <c r="K70" s="36">
        <f t="shared" si="24"/>
        <v>4.7542735042735212E-3</v>
      </c>
      <c r="L70" s="36">
        <f t="shared" si="24"/>
        <v>4.3803418803418821E-3</v>
      </c>
      <c r="M70" s="36">
        <f t="shared" si="24"/>
        <v>9.1346153846154042E-3</v>
      </c>
      <c r="N70" s="36" t="str">
        <f t="shared" si="24"/>
        <v>ER4</v>
      </c>
      <c r="O70" s="36">
        <f t="shared" si="24"/>
        <v>50</v>
      </c>
      <c r="P70" s="36" t="str">
        <f t="shared" si="24"/>
        <v>PVR</v>
      </c>
      <c r="R70">
        <v>56</v>
      </c>
      <c r="S70" s="36" t="str">
        <f t="shared" si="6"/>
        <v>MEXICO AEREO</v>
      </c>
      <c r="T70" s="36">
        <f t="shared" si="6"/>
        <v>2621</v>
      </c>
      <c r="U70" s="83">
        <v>0.39027777777777778</v>
      </c>
      <c r="V70" s="84">
        <v>0.39513888888888887</v>
      </c>
      <c r="W70" s="85">
        <v>4.8611111111110938E-3</v>
      </c>
      <c r="X70" s="84">
        <v>0.39930555555555558</v>
      </c>
      <c r="Y70" s="85">
        <v>4.1666666666667074E-3</v>
      </c>
      <c r="Z70" s="86">
        <v>41758</v>
      </c>
      <c r="AA70" s="36" t="str">
        <f t="shared" si="18"/>
        <v>Nacional</v>
      </c>
      <c r="AB70" s="36">
        <f t="shared" si="18"/>
        <v>2.0243055555555556E-2</v>
      </c>
      <c r="AC70" s="36">
        <f t="shared" si="18"/>
        <v>5.277777777777784E-3</v>
      </c>
      <c r="AD70" s="36">
        <f t="shared" si="18"/>
        <v>2.552083333333334E-2</v>
      </c>
      <c r="AE70" s="36" t="str">
        <f t="shared" si="18"/>
        <v>ER4</v>
      </c>
      <c r="AF70" s="36">
        <f t="shared" si="18"/>
        <v>50</v>
      </c>
      <c r="AG70" s="36" t="str">
        <f t="shared" si="18"/>
        <v>TLC</v>
      </c>
      <c r="AI70">
        <v>56</v>
      </c>
      <c r="AJ70" s="77" t="str">
        <f t="shared" si="19"/>
        <v>MEXICO AEREO</v>
      </c>
      <c r="AK70" s="77">
        <f t="shared" si="19"/>
        <v>2622</v>
      </c>
      <c r="AL70" s="78">
        <v>0.42291666666666666</v>
      </c>
      <c r="AM70" s="79">
        <v>0.4291666666666667</v>
      </c>
      <c r="AN70" s="80">
        <v>6.2500000000000333E-3</v>
      </c>
      <c r="AO70" s="79">
        <v>0.43611111111111112</v>
      </c>
      <c r="AP70" s="80">
        <v>6.9444444444444198E-3</v>
      </c>
      <c r="AQ70" s="81">
        <v>41809</v>
      </c>
      <c r="AR70" s="77" t="str">
        <f t="shared" si="20"/>
        <v>Internacional</v>
      </c>
      <c r="AS70" s="77">
        <f t="shared" si="20"/>
        <v>6.6154970760233887E-3</v>
      </c>
      <c r="AT70" s="77">
        <f t="shared" si="20"/>
        <v>5.8845029239766164E-3</v>
      </c>
      <c r="AU70" s="77">
        <f t="shared" si="20"/>
        <v>1.2500000000000004E-2</v>
      </c>
      <c r="AV70" s="77" t="str">
        <f t="shared" si="20"/>
        <v>ER4</v>
      </c>
      <c r="AW70" s="77">
        <f t="shared" si="20"/>
        <v>50</v>
      </c>
      <c r="AX70" s="77" t="str">
        <f t="shared" si="20"/>
        <v>TLC</v>
      </c>
    </row>
    <row r="71" spans="1:50" x14ac:dyDescent="0.25">
      <c r="A71">
        <v>57</v>
      </c>
      <c r="B71" s="36" t="str">
        <f t="shared" si="23"/>
        <v>MEXICO AEREO</v>
      </c>
      <c r="C71" s="36">
        <f t="shared" si="23"/>
        <v>2320</v>
      </c>
      <c r="D71" s="74">
        <v>0.53819444444444442</v>
      </c>
      <c r="E71" s="74">
        <v>0.54166666666666663</v>
      </c>
      <c r="F71" s="75">
        <v>3.4722222222222099E-3</v>
      </c>
      <c r="G71" s="74">
        <v>0.54861111111111105</v>
      </c>
      <c r="H71" s="75">
        <v>6.9444444444444198E-3</v>
      </c>
      <c r="I71" s="76">
        <v>41721</v>
      </c>
      <c r="J71" s="36" t="str">
        <f t="shared" si="24"/>
        <v>Nacional</v>
      </c>
      <c r="K71" s="36">
        <f t="shared" si="24"/>
        <v>4.7542735042735212E-3</v>
      </c>
      <c r="L71" s="36">
        <f t="shared" si="24"/>
        <v>4.3803418803418821E-3</v>
      </c>
      <c r="M71" s="36">
        <f t="shared" si="24"/>
        <v>9.1346153846154042E-3</v>
      </c>
      <c r="N71" s="36" t="str">
        <f t="shared" si="24"/>
        <v>ER4</v>
      </c>
      <c r="O71" s="36">
        <f t="shared" si="24"/>
        <v>50</v>
      </c>
      <c r="P71" s="36" t="str">
        <f t="shared" si="24"/>
        <v>PVR</v>
      </c>
      <c r="R71">
        <v>57</v>
      </c>
      <c r="S71" s="36" t="str">
        <f t="shared" si="6"/>
        <v>MEXICO AEREO</v>
      </c>
      <c r="T71" s="55">
        <v>2469</v>
      </c>
      <c r="U71" s="56">
        <v>1.0208333333333333</v>
      </c>
      <c r="V71" s="57">
        <v>1.0256944444444445</v>
      </c>
      <c r="W71" s="58">
        <v>4.8611111111112049E-3</v>
      </c>
      <c r="X71" s="57">
        <v>1.0284722222222222</v>
      </c>
      <c r="Y71" s="58">
        <v>2.7777777777777679E-3</v>
      </c>
      <c r="Z71" s="59">
        <v>41730</v>
      </c>
      <c r="AA71" s="60" t="s">
        <v>19</v>
      </c>
      <c r="AB71" s="61">
        <v>6.9035947712418133E-3</v>
      </c>
      <c r="AC71" s="61">
        <v>2.6552287581699196E-3</v>
      </c>
      <c r="AD71" s="62">
        <v>9.5588235294117325E-3</v>
      </c>
      <c r="AE71" s="109" t="s">
        <v>20</v>
      </c>
      <c r="AF71" s="109">
        <v>50</v>
      </c>
      <c r="AG71" s="109" t="s">
        <v>30</v>
      </c>
      <c r="AI71">
        <v>57</v>
      </c>
      <c r="AJ71" s="77" t="str">
        <f t="shared" si="19"/>
        <v>MEXICO AEREO</v>
      </c>
      <c r="AK71" s="77">
        <f t="shared" si="19"/>
        <v>2622</v>
      </c>
      <c r="AL71" s="78">
        <v>0.4236111111111111</v>
      </c>
      <c r="AM71" s="79">
        <v>0.42708333333333331</v>
      </c>
      <c r="AN71" s="80">
        <v>3.4722222222222099E-3</v>
      </c>
      <c r="AO71" s="79">
        <v>0.43194444444444446</v>
      </c>
      <c r="AP71" s="80">
        <v>4.8611111111111494E-3</v>
      </c>
      <c r="AQ71" s="81">
        <v>41810</v>
      </c>
      <c r="AR71" s="77" t="str">
        <f t="shared" si="20"/>
        <v>Internacional</v>
      </c>
      <c r="AS71" s="77">
        <f t="shared" si="20"/>
        <v>6.6154970760233887E-3</v>
      </c>
      <c r="AT71" s="77">
        <f t="shared" si="20"/>
        <v>5.8845029239766164E-3</v>
      </c>
      <c r="AU71" s="77">
        <f t="shared" si="20"/>
        <v>1.2500000000000004E-2</v>
      </c>
      <c r="AV71" s="77" t="str">
        <f t="shared" si="20"/>
        <v>ER4</v>
      </c>
      <c r="AW71" s="77">
        <f t="shared" si="20"/>
        <v>50</v>
      </c>
      <c r="AX71" s="77" t="str">
        <f t="shared" si="20"/>
        <v>TLC</v>
      </c>
    </row>
    <row r="72" spans="1:50" x14ac:dyDescent="0.25">
      <c r="A72">
        <v>58</v>
      </c>
      <c r="B72" s="36" t="str">
        <f t="shared" si="23"/>
        <v>MEXICO AEREO</v>
      </c>
      <c r="C72" s="36">
        <f t="shared" si="23"/>
        <v>2320</v>
      </c>
      <c r="D72" s="74">
        <v>0.54722222222222217</v>
      </c>
      <c r="E72" s="74">
        <v>0.54791666666666672</v>
      </c>
      <c r="F72" s="75">
        <v>6.94444444444553E-4</v>
      </c>
      <c r="G72" s="74">
        <v>0.54999999999999993</v>
      </c>
      <c r="H72" s="75">
        <v>2.0833333333332149E-3</v>
      </c>
      <c r="I72" s="76">
        <v>41722</v>
      </c>
      <c r="J72" s="36" t="str">
        <f t="shared" si="24"/>
        <v>Nacional</v>
      </c>
      <c r="K72" s="36">
        <f t="shared" si="24"/>
        <v>4.7542735042735212E-3</v>
      </c>
      <c r="L72" s="36">
        <f t="shared" si="24"/>
        <v>4.3803418803418821E-3</v>
      </c>
      <c r="M72" s="36">
        <f t="shared" si="24"/>
        <v>9.1346153846154042E-3</v>
      </c>
      <c r="N72" s="36" t="str">
        <f t="shared" si="24"/>
        <v>ER4</v>
      </c>
      <c r="O72" s="36">
        <f t="shared" si="24"/>
        <v>50</v>
      </c>
      <c r="P72" s="36" t="str">
        <f t="shared" si="24"/>
        <v>PVR</v>
      </c>
      <c r="R72">
        <v>58</v>
      </c>
      <c r="S72" s="36" t="str">
        <f t="shared" si="6"/>
        <v>MEXICO AEREO</v>
      </c>
      <c r="T72" s="36">
        <f t="shared" si="6"/>
        <v>2469</v>
      </c>
      <c r="U72" s="73">
        <v>0.98055555555555562</v>
      </c>
      <c r="V72" s="74">
        <v>0.98611111111111116</v>
      </c>
      <c r="W72" s="75">
        <v>5.5555555555555358E-3</v>
      </c>
      <c r="X72" s="74">
        <v>0.99097222222222225</v>
      </c>
      <c r="Y72" s="75">
        <v>4.8611111111110938E-3</v>
      </c>
      <c r="Z72" s="76">
        <v>41731</v>
      </c>
      <c r="AA72" s="36" t="str">
        <f t="shared" ref="AA72:AG87" si="25">AA71</f>
        <v>Nacional</v>
      </c>
      <c r="AB72" s="36">
        <f t="shared" si="25"/>
        <v>6.9035947712418133E-3</v>
      </c>
      <c r="AC72" s="36">
        <f t="shared" si="25"/>
        <v>2.6552287581699196E-3</v>
      </c>
      <c r="AD72" s="36">
        <f t="shared" si="25"/>
        <v>9.5588235294117325E-3</v>
      </c>
      <c r="AE72" s="36" t="str">
        <f t="shared" si="25"/>
        <v>ER4</v>
      </c>
      <c r="AF72" s="36">
        <f t="shared" si="25"/>
        <v>50</v>
      </c>
      <c r="AG72" s="36" t="str">
        <f t="shared" si="25"/>
        <v>MID</v>
      </c>
      <c r="AI72">
        <v>58</v>
      </c>
      <c r="AJ72" s="77" t="str">
        <f t="shared" si="19"/>
        <v>MEXICO AEREO</v>
      </c>
      <c r="AK72" s="77">
        <f t="shared" si="19"/>
        <v>2622</v>
      </c>
      <c r="AL72" s="78">
        <v>0.42777777777777781</v>
      </c>
      <c r="AM72" s="79">
        <v>0.43472222222222223</v>
      </c>
      <c r="AN72" s="80">
        <v>6.9444444444444198E-3</v>
      </c>
      <c r="AO72" s="79">
        <v>0.44166666666666665</v>
      </c>
      <c r="AP72" s="80">
        <v>6.9444444444444198E-3</v>
      </c>
      <c r="AQ72" s="81">
        <v>41811</v>
      </c>
      <c r="AR72" s="77" t="str">
        <f t="shared" si="20"/>
        <v>Internacional</v>
      </c>
      <c r="AS72" s="77">
        <f t="shared" si="20"/>
        <v>6.6154970760233887E-3</v>
      </c>
      <c r="AT72" s="77">
        <f t="shared" si="20"/>
        <v>5.8845029239766164E-3</v>
      </c>
      <c r="AU72" s="77">
        <f t="shared" si="20"/>
        <v>1.2500000000000004E-2</v>
      </c>
      <c r="AV72" s="77" t="str">
        <f t="shared" si="20"/>
        <v>ER4</v>
      </c>
      <c r="AW72" s="77">
        <f t="shared" si="20"/>
        <v>50</v>
      </c>
      <c r="AX72" s="77" t="str">
        <f t="shared" si="20"/>
        <v>TLC</v>
      </c>
    </row>
    <row r="73" spans="1:50" x14ac:dyDescent="0.25">
      <c r="A73">
        <v>59</v>
      </c>
      <c r="B73" s="36" t="str">
        <f t="shared" si="23"/>
        <v>MEXICO AEREO</v>
      </c>
      <c r="C73" s="36">
        <f t="shared" si="23"/>
        <v>2320</v>
      </c>
      <c r="D73" s="74">
        <v>0.73541666666666661</v>
      </c>
      <c r="E73" s="74">
        <v>0.74097222222222225</v>
      </c>
      <c r="F73" s="75">
        <v>5.5555555555556468E-3</v>
      </c>
      <c r="G73" s="74">
        <v>0.74722222222222223</v>
      </c>
      <c r="H73" s="75">
        <v>6.2499999999999778E-3</v>
      </c>
      <c r="I73" s="76">
        <v>41725</v>
      </c>
      <c r="J73" s="36" t="str">
        <f t="shared" si="24"/>
        <v>Nacional</v>
      </c>
      <c r="K73" s="36">
        <f t="shared" si="24"/>
        <v>4.7542735042735212E-3</v>
      </c>
      <c r="L73" s="36">
        <f t="shared" si="24"/>
        <v>4.3803418803418821E-3</v>
      </c>
      <c r="M73" s="36">
        <f t="shared" si="24"/>
        <v>9.1346153846154042E-3</v>
      </c>
      <c r="N73" s="36" t="str">
        <f t="shared" si="24"/>
        <v>ER4</v>
      </c>
      <c r="O73" s="36">
        <f t="shared" si="24"/>
        <v>50</v>
      </c>
      <c r="P73" s="36" t="str">
        <f t="shared" si="24"/>
        <v>PVR</v>
      </c>
      <c r="R73">
        <v>59</v>
      </c>
      <c r="S73" s="36" t="str">
        <f t="shared" si="6"/>
        <v>MEXICO AEREO</v>
      </c>
      <c r="T73" s="36">
        <f t="shared" si="6"/>
        <v>2469</v>
      </c>
      <c r="U73" s="73">
        <v>0.96805555555555556</v>
      </c>
      <c r="V73" s="74">
        <v>0.97361111111111109</v>
      </c>
      <c r="W73" s="75">
        <v>5.5555555555555358E-3</v>
      </c>
      <c r="X73" s="74">
        <v>0.97638888888888886</v>
      </c>
      <c r="Y73" s="75">
        <v>2.7777777777777679E-3</v>
      </c>
      <c r="Z73" s="76">
        <v>41732</v>
      </c>
      <c r="AA73" s="36" t="str">
        <f t="shared" si="25"/>
        <v>Nacional</v>
      </c>
      <c r="AB73" s="36">
        <f t="shared" si="25"/>
        <v>6.9035947712418133E-3</v>
      </c>
      <c r="AC73" s="36">
        <f t="shared" si="25"/>
        <v>2.6552287581699196E-3</v>
      </c>
      <c r="AD73" s="36">
        <f t="shared" si="25"/>
        <v>9.5588235294117325E-3</v>
      </c>
      <c r="AE73" s="36" t="str">
        <f t="shared" si="25"/>
        <v>ER4</v>
      </c>
      <c r="AF73" s="36">
        <f t="shared" si="25"/>
        <v>50</v>
      </c>
      <c r="AG73" s="36" t="str">
        <f t="shared" si="25"/>
        <v>MID</v>
      </c>
      <c r="AI73">
        <v>59</v>
      </c>
      <c r="AJ73" s="77" t="str">
        <f t="shared" si="19"/>
        <v>MEXICO AEREO</v>
      </c>
      <c r="AK73" s="77">
        <f t="shared" si="19"/>
        <v>2622</v>
      </c>
      <c r="AL73" s="78">
        <v>0.43055555555555558</v>
      </c>
      <c r="AM73" s="79">
        <v>0.43611111111111112</v>
      </c>
      <c r="AN73" s="80">
        <v>5.5555555555555358E-3</v>
      </c>
      <c r="AO73" s="79">
        <v>0.44027777777777777</v>
      </c>
      <c r="AP73" s="80">
        <v>4.1666666666666519E-3</v>
      </c>
      <c r="AQ73" s="81">
        <v>41813</v>
      </c>
      <c r="AR73" s="77" t="str">
        <f t="shared" si="20"/>
        <v>Internacional</v>
      </c>
      <c r="AS73" s="77">
        <f t="shared" si="20"/>
        <v>6.6154970760233887E-3</v>
      </c>
      <c r="AT73" s="77">
        <f t="shared" si="20"/>
        <v>5.8845029239766164E-3</v>
      </c>
      <c r="AU73" s="77">
        <f t="shared" si="20"/>
        <v>1.2500000000000004E-2</v>
      </c>
      <c r="AV73" s="77" t="str">
        <f t="shared" si="20"/>
        <v>ER4</v>
      </c>
      <c r="AW73" s="77">
        <f t="shared" si="20"/>
        <v>50</v>
      </c>
      <c r="AX73" s="77" t="str">
        <f t="shared" si="20"/>
        <v>TLC</v>
      </c>
    </row>
    <row r="74" spans="1:50" ht="15.75" thickBot="1" x14ac:dyDescent="0.3">
      <c r="A74">
        <v>60</v>
      </c>
      <c r="B74" s="36" t="str">
        <f t="shared" si="23"/>
        <v>MEXICO AEREO</v>
      </c>
      <c r="C74" s="36">
        <f t="shared" si="23"/>
        <v>2320</v>
      </c>
      <c r="D74" s="74">
        <v>0.65138888888888891</v>
      </c>
      <c r="E74" s="74">
        <v>0.65763888888888888</v>
      </c>
      <c r="F74" s="75">
        <v>6.2499999999999778E-3</v>
      </c>
      <c r="G74" s="74">
        <v>0.66041666666666665</v>
      </c>
      <c r="H74" s="75">
        <v>2.7777777777777679E-3</v>
      </c>
      <c r="I74" s="76">
        <v>41725</v>
      </c>
      <c r="J74" s="36" t="str">
        <f t="shared" si="24"/>
        <v>Nacional</v>
      </c>
      <c r="K74" s="36">
        <f t="shared" si="24"/>
        <v>4.7542735042735212E-3</v>
      </c>
      <c r="L74" s="36">
        <f t="shared" si="24"/>
        <v>4.3803418803418821E-3</v>
      </c>
      <c r="M74" s="36">
        <f t="shared" si="24"/>
        <v>9.1346153846154042E-3</v>
      </c>
      <c r="N74" s="36" t="str">
        <f t="shared" si="24"/>
        <v>ER4</v>
      </c>
      <c r="O74" s="36">
        <f t="shared" si="24"/>
        <v>50</v>
      </c>
      <c r="P74" s="36" t="str">
        <f t="shared" si="24"/>
        <v>PVR</v>
      </c>
      <c r="R74">
        <v>60</v>
      </c>
      <c r="S74" s="36" t="str">
        <f t="shared" si="6"/>
        <v>MEXICO AEREO</v>
      </c>
      <c r="T74" s="36">
        <f t="shared" si="6"/>
        <v>2469</v>
      </c>
      <c r="U74" s="73">
        <v>0.91041666666666676</v>
      </c>
      <c r="V74" s="74">
        <v>0.91736111111111107</v>
      </c>
      <c r="W74" s="75">
        <v>6.9444444444443088E-3</v>
      </c>
      <c r="X74" s="74">
        <v>0.91875000000000007</v>
      </c>
      <c r="Y74" s="75">
        <v>1.388888888888995E-3</v>
      </c>
      <c r="Z74" s="76">
        <v>41734</v>
      </c>
      <c r="AA74" s="36" t="str">
        <f t="shared" si="25"/>
        <v>Nacional</v>
      </c>
      <c r="AB74" s="36">
        <f t="shared" si="25"/>
        <v>6.9035947712418133E-3</v>
      </c>
      <c r="AC74" s="36">
        <f t="shared" si="25"/>
        <v>2.6552287581699196E-3</v>
      </c>
      <c r="AD74" s="36">
        <f t="shared" si="25"/>
        <v>9.5588235294117325E-3</v>
      </c>
      <c r="AE74" s="36" t="str">
        <f t="shared" si="25"/>
        <v>ER4</v>
      </c>
      <c r="AF74" s="36">
        <f t="shared" si="25"/>
        <v>50</v>
      </c>
      <c r="AG74" s="36" t="str">
        <f t="shared" si="25"/>
        <v>MID</v>
      </c>
      <c r="AI74">
        <v>60</v>
      </c>
      <c r="AJ74" s="77" t="str">
        <f t="shared" si="19"/>
        <v>MEXICO AEREO</v>
      </c>
      <c r="AK74" s="77">
        <f t="shared" si="19"/>
        <v>2622</v>
      </c>
      <c r="AL74" s="94">
        <v>0.4236111111111111</v>
      </c>
      <c r="AM74" s="95">
        <v>0.42708333333333331</v>
      </c>
      <c r="AN74" s="96">
        <v>3.4722222222222099E-3</v>
      </c>
      <c r="AO74" s="95">
        <v>0.43194444444444446</v>
      </c>
      <c r="AP74" s="96">
        <v>4.8611111111111494E-3</v>
      </c>
      <c r="AQ74" s="97">
        <v>41812</v>
      </c>
      <c r="AR74" s="77" t="str">
        <f t="shared" si="20"/>
        <v>Internacional</v>
      </c>
      <c r="AS74" s="77">
        <f t="shared" si="20"/>
        <v>6.6154970760233887E-3</v>
      </c>
      <c r="AT74" s="77">
        <f t="shared" si="20"/>
        <v>5.8845029239766164E-3</v>
      </c>
      <c r="AU74" s="77">
        <f t="shared" si="20"/>
        <v>1.2500000000000004E-2</v>
      </c>
      <c r="AV74" s="77" t="str">
        <f t="shared" si="20"/>
        <v>ER4</v>
      </c>
      <c r="AW74" s="77">
        <f t="shared" si="20"/>
        <v>50</v>
      </c>
      <c r="AX74" s="77" t="str">
        <f t="shared" si="20"/>
        <v>TLC</v>
      </c>
    </row>
    <row r="75" spans="1:50" x14ac:dyDescent="0.25">
      <c r="A75">
        <v>61</v>
      </c>
      <c r="B75" s="36" t="str">
        <f t="shared" si="23"/>
        <v>MEXICO AEREO</v>
      </c>
      <c r="C75" s="36">
        <f t="shared" si="23"/>
        <v>2320</v>
      </c>
      <c r="D75" s="74">
        <v>0.53680555555555554</v>
      </c>
      <c r="E75" s="74">
        <v>0.54166666666666663</v>
      </c>
      <c r="F75" s="75">
        <v>4.8611111111110938E-3</v>
      </c>
      <c r="G75" s="74">
        <v>0.55069444444444449</v>
      </c>
      <c r="H75" s="75">
        <v>9.0277777777778567E-3</v>
      </c>
      <c r="I75" s="76">
        <v>41726</v>
      </c>
      <c r="J75" s="36" t="str">
        <f t="shared" si="24"/>
        <v>Nacional</v>
      </c>
      <c r="K75" s="36">
        <f t="shared" si="24"/>
        <v>4.7542735042735212E-3</v>
      </c>
      <c r="L75" s="36">
        <f t="shared" si="24"/>
        <v>4.3803418803418821E-3</v>
      </c>
      <c r="M75" s="36">
        <f t="shared" si="24"/>
        <v>9.1346153846154042E-3</v>
      </c>
      <c r="N75" s="36" t="str">
        <f t="shared" si="24"/>
        <v>ER4</v>
      </c>
      <c r="O75" s="36">
        <f t="shared" si="24"/>
        <v>50</v>
      </c>
      <c r="P75" s="36" t="str">
        <f t="shared" si="24"/>
        <v>PVR</v>
      </c>
      <c r="R75">
        <v>61</v>
      </c>
      <c r="S75" s="36" t="str">
        <f t="shared" si="6"/>
        <v>MEXICO AEREO</v>
      </c>
      <c r="T75" s="36">
        <f t="shared" si="6"/>
        <v>2469</v>
      </c>
      <c r="U75" s="73">
        <v>1.0138888888888888</v>
      </c>
      <c r="V75" s="74">
        <v>1.0152777777777777</v>
      </c>
      <c r="W75" s="75">
        <v>1.388888888888884E-3</v>
      </c>
      <c r="X75" s="74">
        <v>1.0166666666666666</v>
      </c>
      <c r="Y75" s="75">
        <v>1.388888888888884E-3</v>
      </c>
      <c r="Z75" s="76">
        <v>41734</v>
      </c>
      <c r="AA75" s="36" t="str">
        <f t="shared" si="25"/>
        <v>Nacional</v>
      </c>
      <c r="AB75" s="36">
        <f t="shared" si="25"/>
        <v>6.9035947712418133E-3</v>
      </c>
      <c r="AC75" s="36">
        <f t="shared" si="25"/>
        <v>2.6552287581699196E-3</v>
      </c>
      <c r="AD75" s="36">
        <f t="shared" si="25"/>
        <v>9.5588235294117325E-3</v>
      </c>
      <c r="AE75" s="36" t="str">
        <f t="shared" si="25"/>
        <v>ER4</v>
      </c>
      <c r="AF75" s="36">
        <f t="shared" si="25"/>
        <v>50</v>
      </c>
      <c r="AG75" s="36" t="str">
        <f t="shared" si="25"/>
        <v>MID</v>
      </c>
      <c r="AI75">
        <v>61</v>
      </c>
      <c r="AJ75" s="77" t="str">
        <f t="shared" si="19"/>
        <v>MEXICO AEREO</v>
      </c>
      <c r="AK75" s="63">
        <v>2621</v>
      </c>
      <c r="AL75" s="64">
        <v>0.39374999999999999</v>
      </c>
      <c r="AM75" s="65">
        <v>0.3979166666666667</v>
      </c>
      <c r="AN75" s="66">
        <v>4.1666666666667074E-3</v>
      </c>
      <c r="AO75" s="65">
        <v>0.40069444444444446</v>
      </c>
      <c r="AP75" s="66">
        <v>2.7777777777777679E-3</v>
      </c>
      <c r="AQ75" s="67">
        <v>41792</v>
      </c>
      <c r="AR75" s="68" t="s">
        <v>19</v>
      </c>
      <c r="AS75" s="69">
        <v>3.7037037037037182E-3</v>
      </c>
      <c r="AT75" s="70">
        <v>3.7037037037036999E-3</v>
      </c>
      <c r="AU75" s="70">
        <v>7.4074074074074181E-3</v>
      </c>
      <c r="AV75" s="71" t="s">
        <v>20</v>
      </c>
      <c r="AW75" s="71">
        <v>50</v>
      </c>
      <c r="AX75" s="72" t="s">
        <v>26</v>
      </c>
    </row>
    <row r="76" spans="1:50" x14ac:dyDescent="0.25">
      <c r="A76">
        <v>62</v>
      </c>
      <c r="B76" s="36" t="str">
        <f t="shared" si="23"/>
        <v>MEXICO AEREO</v>
      </c>
      <c r="C76" s="36">
        <f t="shared" si="23"/>
        <v>2320</v>
      </c>
      <c r="D76" s="118">
        <v>0.57222222222222219</v>
      </c>
      <c r="E76" s="118">
        <v>0.57638888888888895</v>
      </c>
      <c r="F76" s="119">
        <v>4.1666666666667629E-3</v>
      </c>
      <c r="G76" s="118">
        <v>0.58194444444444449</v>
      </c>
      <c r="H76" s="119">
        <v>5.5555555555555358E-3</v>
      </c>
      <c r="I76" s="81">
        <v>41727</v>
      </c>
      <c r="J76" s="36" t="str">
        <f t="shared" si="24"/>
        <v>Nacional</v>
      </c>
      <c r="K76" s="36">
        <f t="shared" si="24"/>
        <v>4.7542735042735212E-3</v>
      </c>
      <c r="L76" s="36">
        <f t="shared" si="24"/>
        <v>4.3803418803418821E-3</v>
      </c>
      <c r="M76" s="36">
        <f t="shared" si="24"/>
        <v>9.1346153846154042E-3</v>
      </c>
      <c r="N76" s="36" t="str">
        <f t="shared" si="24"/>
        <v>ER4</v>
      </c>
      <c r="O76" s="36">
        <f t="shared" si="24"/>
        <v>50</v>
      </c>
      <c r="P76" s="36" t="str">
        <f t="shared" si="24"/>
        <v>PVR</v>
      </c>
      <c r="R76">
        <v>62</v>
      </c>
      <c r="S76" s="36" t="str">
        <f t="shared" si="6"/>
        <v>MEXICO AEREO</v>
      </c>
      <c r="T76" s="36">
        <f t="shared" si="6"/>
        <v>2469</v>
      </c>
      <c r="U76" s="73">
        <v>0.97916666666666663</v>
      </c>
      <c r="V76" s="74">
        <v>0.98541666666666661</v>
      </c>
      <c r="W76" s="75">
        <v>6.2499999999999778E-3</v>
      </c>
      <c r="X76" s="74">
        <v>0.98819444444444438</v>
      </c>
      <c r="Y76" s="75">
        <v>2.7777777777777679E-3</v>
      </c>
      <c r="Z76" s="76">
        <v>41736</v>
      </c>
      <c r="AA76" s="36" t="str">
        <f t="shared" si="25"/>
        <v>Nacional</v>
      </c>
      <c r="AB76" s="36">
        <f t="shared" si="25"/>
        <v>6.9035947712418133E-3</v>
      </c>
      <c r="AC76" s="36">
        <f t="shared" si="25"/>
        <v>2.6552287581699196E-3</v>
      </c>
      <c r="AD76" s="36">
        <f t="shared" si="25"/>
        <v>9.5588235294117325E-3</v>
      </c>
      <c r="AE76" s="36" t="str">
        <f t="shared" si="25"/>
        <v>ER4</v>
      </c>
      <c r="AF76" s="36">
        <f t="shared" si="25"/>
        <v>50</v>
      </c>
      <c r="AG76" s="36" t="str">
        <f t="shared" si="25"/>
        <v>MID</v>
      </c>
      <c r="AI76">
        <v>62</v>
      </c>
      <c r="AJ76" s="77" t="str">
        <f t="shared" si="19"/>
        <v>MEXICO AEREO</v>
      </c>
      <c r="AK76" s="77">
        <f t="shared" si="19"/>
        <v>2621</v>
      </c>
      <c r="AL76" s="78">
        <v>0.41388888888888892</v>
      </c>
      <c r="AM76" s="79">
        <v>0.41666666666666669</v>
      </c>
      <c r="AN76" s="80">
        <v>2.7777777777777679E-3</v>
      </c>
      <c r="AO76" s="79">
        <v>0.42152777777777778</v>
      </c>
      <c r="AP76" s="80">
        <v>4.8611111111110938E-3</v>
      </c>
      <c r="AQ76" s="81">
        <v>41793</v>
      </c>
      <c r="AR76" s="77" t="str">
        <f t="shared" ref="AR76:AX80" si="26">AR75</f>
        <v>Nacional</v>
      </c>
      <c r="AS76" s="77">
        <f t="shared" si="26"/>
        <v>3.7037037037037182E-3</v>
      </c>
      <c r="AT76" s="77">
        <f t="shared" si="26"/>
        <v>3.7037037037036999E-3</v>
      </c>
      <c r="AU76" s="77">
        <f t="shared" si="26"/>
        <v>7.4074074074074181E-3</v>
      </c>
      <c r="AV76" s="77" t="str">
        <f t="shared" si="26"/>
        <v>ER4</v>
      </c>
      <c r="AW76" s="77">
        <f t="shared" si="26"/>
        <v>50</v>
      </c>
      <c r="AX76" s="77" t="str">
        <f t="shared" si="26"/>
        <v>TLC</v>
      </c>
    </row>
    <row r="77" spans="1:50" x14ac:dyDescent="0.25">
      <c r="A77">
        <v>63</v>
      </c>
      <c r="B77" s="36" t="str">
        <f t="shared" si="23"/>
        <v>MEXICO AEREO</v>
      </c>
      <c r="C77" s="36">
        <f t="shared" si="23"/>
        <v>2320</v>
      </c>
      <c r="D77" s="74">
        <v>0.52916666666666667</v>
      </c>
      <c r="E77" s="74">
        <v>0.53472222222222221</v>
      </c>
      <c r="F77" s="75">
        <v>5.5555555555555358E-3</v>
      </c>
      <c r="G77" s="74">
        <v>0.53611111111111109</v>
      </c>
      <c r="H77" s="75">
        <v>1.388888888888884E-3</v>
      </c>
      <c r="I77" s="76">
        <v>41729</v>
      </c>
      <c r="J77" s="36" t="str">
        <f t="shared" si="24"/>
        <v>Nacional</v>
      </c>
      <c r="K77" s="36">
        <f t="shared" si="24"/>
        <v>4.7542735042735212E-3</v>
      </c>
      <c r="L77" s="36">
        <f t="shared" si="24"/>
        <v>4.3803418803418821E-3</v>
      </c>
      <c r="M77" s="36">
        <f t="shared" si="24"/>
        <v>9.1346153846154042E-3</v>
      </c>
      <c r="N77" s="36" t="str">
        <f t="shared" si="24"/>
        <v>ER4</v>
      </c>
      <c r="O77" s="36">
        <f t="shared" si="24"/>
        <v>50</v>
      </c>
      <c r="P77" s="36" t="str">
        <f t="shared" si="24"/>
        <v>PVR</v>
      </c>
      <c r="R77">
        <v>63</v>
      </c>
      <c r="S77" s="36" t="str">
        <f t="shared" si="6"/>
        <v>MEXICO AEREO</v>
      </c>
      <c r="T77" s="36">
        <f t="shared" si="6"/>
        <v>2469</v>
      </c>
      <c r="U77" s="73">
        <v>0.97291666666666676</v>
      </c>
      <c r="V77" s="74">
        <v>0.98125000000000007</v>
      </c>
      <c r="W77" s="75">
        <v>8.3333333333333037E-3</v>
      </c>
      <c r="X77" s="74">
        <v>0.98263888888888884</v>
      </c>
      <c r="Y77" s="75">
        <v>1.3888888888887729E-3</v>
      </c>
      <c r="Z77" s="76">
        <v>41738</v>
      </c>
      <c r="AA77" s="36" t="str">
        <f t="shared" si="25"/>
        <v>Nacional</v>
      </c>
      <c r="AB77" s="36">
        <f t="shared" si="25"/>
        <v>6.9035947712418133E-3</v>
      </c>
      <c r="AC77" s="36">
        <f t="shared" si="25"/>
        <v>2.6552287581699196E-3</v>
      </c>
      <c r="AD77" s="36">
        <f t="shared" si="25"/>
        <v>9.5588235294117325E-3</v>
      </c>
      <c r="AE77" s="36" t="str">
        <f t="shared" si="25"/>
        <v>ER4</v>
      </c>
      <c r="AF77" s="36">
        <f t="shared" si="25"/>
        <v>50</v>
      </c>
      <c r="AG77" s="36" t="str">
        <f t="shared" si="25"/>
        <v>MID</v>
      </c>
      <c r="AI77">
        <v>63</v>
      </c>
      <c r="AJ77" s="77" t="str">
        <f t="shared" si="19"/>
        <v>MEXICO AEREO</v>
      </c>
      <c r="AK77" s="77">
        <f t="shared" si="19"/>
        <v>2621</v>
      </c>
      <c r="AL77" s="78">
        <v>0.3972222222222222</v>
      </c>
      <c r="AM77" s="79">
        <v>0.40069444444444446</v>
      </c>
      <c r="AN77" s="80">
        <v>3.4722222222222654E-3</v>
      </c>
      <c r="AO77" s="79">
        <v>0.40625</v>
      </c>
      <c r="AP77" s="80">
        <v>5.5555555555555358E-3</v>
      </c>
      <c r="AQ77" s="81">
        <v>41794</v>
      </c>
      <c r="AR77" s="77" t="str">
        <f t="shared" si="26"/>
        <v>Nacional</v>
      </c>
      <c r="AS77" s="77">
        <f t="shared" si="26"/>
        <v>3.7037037037037182E-3</v>
      </c>
      <c r="AT77" s="77">
        <f t="shared" si="26"/>
        <v>3.7037037037036999E-3</v>
      </c>
      <c r="AU77" s="77">
        <f t="shared" si="26"/>
        <v>7.4074074074074181E-3</v>
      </c>
      <c r="AV77" s="77" t="str">
        <f t="shared" si="26"/>
        <v>ER4</v>
      </c>
      <c r="AW77" s="77">
        <f t="shared" si="26"/>
        <v>50</v>
      </c>
      <c r="AX77" s="77" t="str">
        <f t="shared" si="26"/>
        <v>TLC</v>
      </c>
    </row>
    <row r="78" spans="1:50" ht="15.75" thickBot="1" x14ac:dyDescent="0.3">
      <c r="A78">
        <v>64</v>
      </c>
      <c r="B78" s="36" t="str">
        <f t="shared" si="23"/>
        <v>MEXICO AEREO</v>
      </c>
      <c r="C78" s="36">
        <f t="shared" si="23"/>
        <v>2320</v>
      </c>
      <c r="D78" s="84">
        <v>0.54861111111111105</v>
      </c>
      <c r="E78" s="84">
        <v>0.55277777777777781</v>
      </c>
      <c r="F78" s="85">
        <v>4.1666666666667629E-3</v>
      </c>
      <c r="G78" s="84">
        <v>0.5541666666666667</v>
      </c>
      <c r="H78" s="85">
        <v>1.388888888888884E-3</v>
      </c>
      <c r="I78" s="86">
        <v>41717</v>
      </c>
      <c r="J78" s="36" t="str">
        <f t="shared" si="24"/>
        <v>Nacional</v>
      </c>
      <c r="K78" s="36">
        <f t="shared" si="24"/>
        <v>4.7542735042735212E-3</v>
      </c>
      <c r="L78" s="36">
        <f t="shared" si="24"/>
        <v>4.3803418803418821E-3</v>
      </c>
      <c r="M78" s="36">
        <f t="shared" si="24"/>
        <v>9.1346153846154042E-3</v>
      </c>
      <c r="N78" s="36" t="str">
        <f t="shared" si="24"/>
        <v>ER4</v>
      </c>
      <c r="O78" s="36">
        <f t="shared" si="24"/>
        <v>50</v>
      </c>
      <c r="P78" s="36" t="str">
        <f t="shared" si="24"/>
        <v>PVR</v>
      </c>
      <c r="R78">
        <v>64</v>
      </c>
      <c r="S78" s="36" t="str">
        <f t="shared" si="6"/>
        <v>MEXICO AEREO</v>
      </c>
      <c r="T78" s="36">
        <f t="shared" si="6"/>
        <v>2469</v>
      </c>
      <c r="U78" s="73">
        <v>0.98819444444444438</v>
      </c>
      <c r="V78" s="74">
        <v>0.99375000000000002</v>
      </c>
      <c r="W78" s="75">
        <v>5.5555555555556468E-3</v>
      </c>
      <c r="X78" s="74">
        <v>0.99513888888888891</v>
      </c>
      <c r="Y78" s="75">
        <v>1.388888888888884E-3</v>
      </c>
      <c r="Z78" s="76">
        <v>41739</v>
      </c>
      <c r="AA78" s="36" t="str">
        <f t="shared" si="25"/>
        <v>Nacional</v>
      </c>
      <c r="AB78" s="36">
        <f t="shared" si="25"/>
        <v>6.9035947712418133E-3</v>
      </c>
      <c r="AC78" s="36">
        <f t="shared" si="25"/>
        <v>2.6552287581699196E-3</v>
      </c>
      <c r="AD78" s="36">
        <f t="shared" si="25"/>
        <v>9.5588235294117325E-3</v>
      </c>
      <c r="AE78" s="36" t="str">
        <f t="shared" si="25"/>
        <v>ER4</v>
      </c>
      <c r="AF78" s="36">
        <f t="shared" si="25"/>
        <v>50</v>
      </c>
      <c r="AG78" s="36" t="str">
        <f t="shared" si="25"/>
        <v>MID</v>
      </c>
      <c r="AI78">
        <v>64</v>
      </c>
      <c r="AJ78" s="77" t="str">
        <f t="shared" si="19"/>
        <v>MEXICO AEREO</v>
      </c>
      <c r="AK78" s="77">
        <f t="shared" si="19"/>
        <v>2621</v>
      </c>
      <c r="AL78" s="78">
        <v>0.39583333333333331</v>
      </c>
      <c r="AM78" s="79">
        <v>0.40069444444444446</v>
      </c>
      <c r="AN78" s="80">
        <v>4.8611111111111494E-3</v>
      </c>
      <c r="AO78" s="79">
        <v>0.40347222222222223</v>
      </c>
      <c r="AP78" s="80">
        <v>2.7777777777777679E-3</v>
      </c>
      <c r="AQ78" s="81">
        <v>41795</v>
      </c>
      <c r="AR78" s="77" t="str">
        <f t="shared" si="26"/>
        <v>Nacional</v>
      </c>
      <c r="AS78" s="77">
        <f t="shared" si="26"/>
        <v>3.7037037037037182E-3</v>
      </c>
      <c r="AT78" s="77">
        <f t="shared" si="26"/>
        <v>3.7037037037036999E-3</v>
      </c>
      <c r="AU78" s="77">
        <f t="shared" si="26"/>
        <v>7.4074074074074181E-3</v>
      </c>
      <c r="AV78" s="77" t="str">
        <f t="shared" si="26"/>
        <v>ER4</v>
      </c>
      <c r="AW78" s="77">
        <f t="shared" si="26"/>
        <v>50</v>
      </c>
      <c r="AX78" s="77" t="str">
        <f t="shared" si="26"/>
        <v>TLC</v>
      </c>
    </row>
    <row r="79" spans="1:50" x14ac:dyDescent="0.25">
      <c r="A79">
        <v>65</v>
      </c>
      <c r="B79" s="36" t="str">
        <f t="shared" si="23"/>
        <v>MEXICO AEREO</v>
      </c>
      <c r="C79" s="88">
        <v>2301</v>
      </c>
      <c r="D79" s="57">
        <v>0.70138888888888884</v>
      </c>
      <c r="E79" s="57">
        <v>0.70208333333333339</v>
      </c>
      <c r="F79" s="58">
        <v>6.94444444444553E-4</v>
      </c>
      <c r="G79" s="57">
        <v>0.7055555555555556</v>
      </c>
      <c r="H79" s="58">
        <v>3.4722222222222099E-3</v>
      </c>
      <c r="I79" s="59">
        <v>41714</v>
      </c>
      <c r="J79" s="108" t="s">
        <v>19</v>
      </c>
      <c r="K79" s="61">
        <v>5.833333333333357E-3</v>
      </c>
      <c r="L79" s="61">
        <v>4.3749999999999735E-3</v>
      </c>
      <c r="M79" s="89">
        <v>1.020833333333333E-2</v>
      </c>
      <c r="N79" s="90" t="s">
        <v>20</v>
      </c>
      <c r="O79" s="91">
        <v>50</v>
      </c>
      <c r="P79" s="92" t="s">
        <v>32</v>
      </c>
      <c r="R79">
        <v>65</v>
      </c>
      <c r="S79" s="36" t="str">
        <f t="shared" si="6"/>
        <v>MEXICO AEREO</v>
      </c>
      <c r="T79" s="36">
        <f t="shared" si="6"/>
        <v>2469</v>
      </c>
      <c r="U79" s="73">
        <v>0.97777777777777775</v>
      </c>
      <c r="V79" s="74">
        <v>0.98749999999999993</v>
      </c>
      <c r="W79" s="75">
        <v>9.7222222222221877E-3</v>
      </c>
      <c r="X79" s="74">
        <v>0.9902777777777777</v>
      </c>
      <c r="Y79" s="75">
        <v>2.7777777777777679E-3</v>
      </c>
      <c r="Z79" s="76">
        <v>41740</v>
      </c>
      <c r="AA79" s="36" t="str">
        <f t="shared" si="25"/>
        <v>Nacional</v>
      </c>
      <c r="AB79" s="36">
        <f t="shared" si="25"/>
        <v>6.9035947712418133E-3</v>
      </c>
      <c r="AC79" s="36">
        <f t="shared" si="25"/>
        <v>2.6552287581699196E-3</v>
      </c>
      <c r="AD79" s="36">
        <f t="shared" si="25"/>
        <v>9.5588235294117325E-3</v>
      </c>
      <c r="AE79" s="36" t="str">
        <f t="shared" si="25"/>
        <v>ER4</v>
      </c>
      <c r="AF79" s="36">
        <f t="shared" si="25"/>
        <v>50</v>
      </c>
      <c r="AG79" s="36" t="str">
        <f t="shared" si="25"/>
        <v>MID</v>
      </c>
      <c r="AI79">
        <v>65</v>
      </c>
      <c r="AJ79" s="77" t="str">
        <f t="shared" si="19"/>
        <v>MEXICO AEREO</v>
      </c>
      <c r="AK79" s="77">
        <f t="shared" si="19"/>
        <v>2621</v>
      </c>
      <c r="AL79" s="78">
        <v>0.40208333333333335</v>
      </c>
      <c r="AM79" s="79">
        <v>0.40486111111111112</v>
      </c>
      <c r="AN79" s="80">
        <v>2.7777777777777679E-3</v>
      </c>
      <c r="AO79" s="79">
        <v>0.40972222222222227</v>
      </c>
      <c r="AP79" s="80">
        <v>4.8611111111111494E-3</v>
      </c>
      <c r="AQ79" s="81">
        <v>41796</v>
      </c>
      <c r="AR79" s="77" t="str">
        <f t="shared" si="26"/>
        <v>Nacional</v>
      </c>
      <c r="AS79" s="77">
        <f t="shared" si="26"/>
        <v>3.7037037037037182E-3</v>
      </c>
      <c r="AT79" s="77">
        <f t="shared" si="26"/>
        <v>3.7037037037036999E-3</v>
      </c>
      <c r="AU79" s="77">
        <f t="shared" si="26"/>
        <v>7.4074074074074181E-3</v>
      </c>
      <c r="AV79" s="77" t="str">
        <f t="shared" si="26"/>
        <v>ER4</v>
      </c>
      <c r="AW79" s="77">
        <f t="shared" si="26"/>
        <v>50</v>
      </c>
      <c r="AX79" s="77" t="str">
        <f t="shared" si="26"/>
        <v>TLC</v>
      </c>
    </row>
    <row r="80" spans="1:50" ht="15.75" thickBot="1" x14ac:dyDescent="0.3">
      <c r="A80">
        <v>66</v>
      </c>
      <c r="B80" s="36" t="str">
        <f t="shared" si="23"/>
        <v>MEXICO AEREO</v>
      </c>
      <c r="C80" s="36">
        <f t="shared" si="23"/>
        <v>2301</v>
      </c>
      <c r="D80" s="74">
        <v>0.69791666666666663</v>
      </c>
      <c r="E80" s="74">
        <v>0.70624999999999993</v>
      </c>
      <c r="F80" s="75">
        <v>8.3333333333333037E-3</v>
      </c>
      <c r="G80" s="74">
        <v>0.71180555555555547</v>
      </c>
      <c r="H80" s="75">
        <v>5.5555555555555358E-3</v>
      </c>
      <c r="I80" s="76">
        <v>41715</v>
      </c>
      <c r="J80" s="36" t="str">
        <f t="shared" ref="J80:P88" si="27">J79</f>
        <v>Nacional</v>
      </c>
      <c r="K80" s="36">
        <f t="shared" si="27"/>
        <v>5.833333333333357E-3</v>
      </c>
      <c r="L80" s="36">
        <f t="shared" si="27"/>
        <v>4.3749999999999735E-3</v>
      </c>
      <c r="M80" s="36">
        <f t="shared" si="27"/>
        <v>1.020833333333333E-2</v>
      </c>
      <c r="N80" s="36" t="str">
        <f t="shared" si="27"/>
        <v>ER4</v>
      </c>
      <c r="O80" s="36">
        <f t="shared" si="27"/>
        <v>50</v>
      </c>
      <c r="P80" s="36" t="str">
        <f t="shared" si="27"/>
        <v>SAT</v>
      </c>
      <c r="R80">
        <v>66</v>
      </c>
      <c r="S80" s="36" t="str">
        <f t="shared" si="6"/>
        <v>MEXICO AEREO</v>
      </c>
      <c r="T80" s="36">
        <f t="shared" si="6"/>
        <v>2469</v>
      </c>
      <c r="U80" s="73">
        <v>0.97361111111111109</v>
      </c>
      <c r="V80" s="74">
        <v>0.97986111111111107</v>
      </c>
      <c r="W80" s="75">
        <v>6.2499999999999778E-3</v>
      </c>
      <c r="X80" s="74">
        <v>0.98263888888888884</v>
      </c>
      <c r="Y80" s="75">
        <v>2.7777777777777679E-3</v>
      </c>
      <c r="Z80" s="76">
        <v>41743</v>
      </c>
      <c r="AA80" s="36" t="str">
        <f t="shared" si="25"/>
        <v>Nacional</v>
      </c>
      <c r="AB80" s="36">
        <f t="shared" si="25"/>
        <v>6.9035947712418133E-3</v>
      </c>
      <c r="AC80" s="36">
        <f t="shared" si="25"/>
        <v>2.6552287581699196E-3</v>
      </c>
      <c r="AD80" s="36">
        <f t="shared" si="25"/>
        <v>9.5588235294117325E-3</v>
      </c>
      <c r="AE80" s="36" t="str">
        <f t="shared" si="25"/>
        <v>ER4</v>
      </c>
      <c r="AF80" s="36">
        <f t="shared" si="25"/>
        <v>50</v>
      </c>
      <c r="AG80" s="36" t="str">
        <f t="shared" si="25"/>
        <v>MID</v>
      </c>
      <c r="AI80">
        <v>66</v>
      </c>
      <c r="AJ80" s="77" t="str">
        <f t="shared" si="19"/>
        <v>MEXICO AEREO</v>
      </c>
      <c r="AK80" s="77">
        <f t="shared" si="19"/>
        <v>2621</v>
      </c>
      <c r="AL80" s="94">
        <v>0.3979166666666667</v>
      </c>
      <c r="AM80" s="95">
        <v>0.40208333333333335</v>
      </c>
      <c r="AN80" s="96">
        <v>4.1666666666666519E-3</v>
      </c>
      <c r="AO80" s="95">
        <v>0.40347222222222223</v>
      </c>
      <c r="AP80" s="96">
        <v>1.388888888888884E-3</v>
      </c>
      <c r="AQ80" s="97">
        <v>41797</v>
      </c>
      <c r="AR80" s="77" t="str">
        <f t="shared" si="26"/>
        <v>Nacional</v>
      </c>
      <c r="AS80" s="77">
        <f t="shared" si="26"/>
        <v>3.7037037037037182E-3</v>
      </c>
      <c r="AT80" s="77">
        <f t="shared" si="26"/>
        <v>3.7037037037036999E-3</v>
      </c>
      <c r="AU80" s="77">
        <f t="shared" si="26"/>
        <v>7.4074074074074181E-3</v>
      </c>
      <c r="AV80" s="77" t="str">
        <f t="shared" si="26"/>
        <v>ER4</v>
      </c>
      <c r="AW80" s="77">
        <f t="shared" si="26"/>
        <v>50</v>
      </c>
      <c r="AX80" s="77" t="str">
        <f t="shared" si="26"/>
        <v>TLC</v>
      </c>
    </row>
    <row r="81" spans="1:50" x14ac:dyDescent="0.25">
      <c r="A81">
        <v>67</v>
      </c>
      <c r="B81" s="36" t="str">
        <f t="shared" si="23"/>
        <v>MEXICO AEREO</v>
      </c>
      <c r="C81" s="36">
        <f t="shared" si="23"/>
        <v>2301</v>
      </c>
      <c r="D81" s="74">
        <v>0.7006944444444444</v>
      </c>
      <c r="E81" s="74">
        <v>0.70486111111111116</v>
      </c>
      <c r="F81" s="75">
        <v>4.1666666666667629E-3</v>
      </c>
      <c r="G81" s="74">
        <v>0.71180555555555547</v>
      </c>
      <c r="H81" s="75">
        <v>6.9444444444443088E-3</v>
      </c>
      <c r="I81" s="76">
        <v>41716</v>
      </c>
      <c r="J81" s="36" t="str">
        <f t="shared" si="27"/>
        <v>Nacional</v>
      </c>
      <c r="K81" s="36">
        <f t="shared" si="27"/>
        <v>5.833333333333357E-3</v>
      </c>
      <c r="L81" s="36">
        <f t="shared" si="27"/>
        <v>4.3749999999999735E-3</v>
      </c>
      <c r="M81" s="36">
        <f t="shared" si="27"/>
        <v>1.020833333333333E-2</v>
      </c>
      <c r="N81" s="36" t="str">
        <f t="shared" si="27"/>
        <v>ER4</v>
      </c>
      <c r="O81" s="36">
        <f t="shared" si="27"/>
        <v>50</v>
      </c>
      <c r="P81" s="36" t="str">
        <f t="shared" si="27"/>
        <v>SAT</v>
      </c>
      <c r="R81">
        <v>67</v>
      </c>
      <c r="S81" s="36" t="str">
        <f t="shared" ref="S81:T87" si="28">S80</f>
        <v>MEXICO AEREO</v>
      </c>
      <c r="T81" s="36">
        <f t="shared" si="28"/>
        <v>2469</v>
      </c>
      <c r="U81" s="73">
        <v>6.25E-2</v>
      </c>
      <c r="V81" s="74">
        <v>7.0833333333333331E-2</v>
      </c>
      <c r="W81" s="75">
        <v>8.3333333333333315E-3</v>
      </c>
      <c r="X81" s="74">
        <v>7.4999999999999997E-2</v>
      </c>
      <c r="Y81" s="75">
        <v>4.1666666666666657E-3</v>
      </c>
      <c r="Z81" s="76">
        <v>41745</v>
      </c>
      <c r="AA81" s="36" t="str">
        <f t="shared" si="25"/>
        <v>Nacional</v>
      </c>
      <c r="AB81" s="36">
        <f t="shared" si="25"/>
        <v>6.9035947712418133E-3</v>
      </c>
      <c r="AC81" s="36">
        <f t="shared" si="25"/>
        <v>2.6552287581699196E-3</v>
      </c>
      <c r="AD81" s="36">
        <f t="shared" si="25"/>
        <v>9.5588235294117325E-3</v>
      </c>
      <c r="AE81" s="36" t="str">
        <f t="shared" si="25"/>
        <v>ER4</v>
      </c>
      <c r="AF81" s="36">
        <f t="shared" si="25"/>
        <v>50</v>
      </c>
      <c r="AG81" s="36" t="str">
        <f t="shared" si="25"/>
        <v>MID</v>
      </c>
      <c r="AI81">
        <v>67</v>
      </c>
      <c r="AJ81" s="77" t="str">
        <f t="shared" si="19"/>
        <v>MEXICO AEREO</v>
      </c>
      <c r="AK81" s="63">
        <v>2469</v>
      </c>
      <c r="AL81" s="64">
        <v>0.97986111111111107</v>
      </c>
      <c r="AM81" s="65">
        <v>0.98888888888888893</v>
      </c>
      <c r="AN81" s="66">
        <v>9.0277777777778567E-3</v>
      </c>
      <c r="AO81" s="65">
        <v>0.9902777777777777</v>
      </c>
      <c r="AP81" s="66">
        <v>1.3888888888887729E-3</v>
      </c>
      <c r="AQ81" s="67">
        <v>41791</v>
      </c>
      <c r="AR81" s="68" t="s">
        <v>19</v>
      </c>
      <c r="AS81" s="69">
        <v>7.9656862745098277E-3</v>
      </c>
      <c r="AT81" s="70">
        <v>4.9428104575163058E-3</v>
      </c>
      <c r="AU81" s="70">
        <v>1.2908496732026133E-2</v>
      </c>
      <c r="AV81" s="71" t="s">
        <v>20</v>
      </c>
      <c r="AW81" s="71">
        <v>50</v>
      </c>
      <c r="AX81" s="72" t="s">
        <v>30</v>
      </c>
    </row>
    <row r="82" spans="1:50" x14ac:dyDescent="0.25">
      <c r="A82">
        <v>68</v>
      </c>
      <c r="B82" s="36" t="str">
        <f t="shared" si="23"/>
        <v>MEXICO AEREO</v>
      </c>
      <c r="C82" s="36">
        <f t="shared" si="23"/>
        <v>2301</v>
      </c>
      <c r="D82" s="74">
        <v>0.69861111111111107</v>
      </c>
      <c r="E82" s="74">
        <v>0.70347222222222217</v>
      </c>
      <c r="F82" s="75">
        <v>4.8611111111110938E-3</v>
      </c>
      <c r="G82" s="74">
        <v>0.7090277777777777</v>
      </c>
      <c r="H82" s="75">
        <v>5.5555555555555358E-3</v>
      </c>
      <c r="I82" s="76">
        <v>41718</v>
      </c>
      <c r="J82" s="36" t="str">
        <f t="shared" si="27"/>
        <v>Nacional</v>
      </c>
      <c r="K82" s="36">
        <f t="shared" si="27"/>
        <v>5.833333333333357E-3</v>
      </c>
      <c r="L82" s="36">
        <f t="shared" si="27"/>
        <v>4.3749999999999735E-3</v>
      </c>
      <c r="M82" s="36">
        <f t="shared" si="27"/>
        <v>1.020833333333333E-2</v>
      </c>
      <c r="N82" s="36" t="str">
        <f t="shared" si="27"/>
        <v>ER4</v>
      </c>
      <c r="O82" s="36">
        <f t="shared" si="27"/>
        <v>50</v>
      </c>
      <c r="P82" s="36" t="str">
        <f t="shared" si="27"/>
        <v>SAT</v>
      </c>
      <c r="R82">
        <v>68</v>
      </c>
      <c r="S82" s="36" t="str">
        <f t="shared" si="28"/>
        <v>MEXICO AEREO</v>
      </c>
      <c r="T82" s="36">
        <f t="shared" si="28"/>
        <v>2469</v>
      </c>
      <c r="U82" s="73">
        <v>0.98611111111111116</v>
      </c>
      <c r="V82" s="74">
        <v>0.99791666666666667</v>
      </c>
      <c r="W82" s="75">
        <v>1.1805555555555514E-2</v>
      </c>
      <c r="X82" s="74">
        <v>0.99930555555555556</v>
      </c>
      <c r="Y82" s="75">
        <v>1.388888888888884E-3</v>
      </c>
      <c r="Z82" s="76">
        <v>41749</v>
      </c>
      <c r="AA82" s="36" t="str">
        <f t="shared" si="25"/>
        <v>Nacional</v>
      </c>
      <c r="AB82" s="36">
        <f t="shared" si="25"/>
        <v>6.9035947712418133E-3</v>
      </c>
      <c r="AC82" s="36">
        <f t="shared" si="25"/>
        <v>2.6552287581699196E-3</v>
      </c>
      <c r="AD82" s="36">
        <f t="shared" si="25"/>
        <v>9.5588235294117325E-3</v>
      </c>
      <c r="AE82" s="36" t="str">
        <f t="shared" si="25"/>
        <v>ER4</v>
      </c>
      <c r="AF82" s="36">
        <f t="shared" si="25"/>
        <v>50</v>
      </c>
      <c r="AG82" s="36" t="str">
        <f t="shared" si="25"/>
        <v>MID</v>
      </c>
      <c r="AI82">
        <v>68</v>
      </c>
      <c r="AJ82" s="77" t="str">
        <f t="shared" si="19"/>
        <v>MEXICO AEREO</v>
      </c>
      <c r="AK82" s="77">
        <f t="shared" si="19"/>
        <v>2469</v>
      </c>
      <c r="AL82" s="78">
        <v>0.96736111111111101</v>
      </c>
      <c r="AM82" s="79">
        <v>0.97222222222222221</v>
      </c>
      <c r="AN82" s="80">
        <v>4.8611111111112049E-3</v>
      </c>
      <c r="AO82" s="79">
        <v>0.97916666666666663</v>
      </c>
      <c r="AP82" s="80">
        <v>6.9444444444444198E-3</v>
      </c>
      <c r="AQ82" s="81">
        <v>41792</v>
      </c>
      <c r="AR82" s="77" t="str">
        <f t="shared" ref="AR82:AX97" si="29">AR81</f>
        <v>Nacional</v>
      </c>
      <c r="AS82" s="77">
        <f t="shared" si="29"/>
        <v>7.9656862745098277E-3</v>
      </c>
      <c r="AT82" s="77">
        <f t="shared" si="29"/>
        <v>4.9428104575163058E-3</v>
      </c>
      <c r="AU82" s="77">
        <f t="shared" si="29"/>
        <v>1.2908496732026133E-2</v>
      </c>
      <c r="AV82" s="77" t="str">
        <f t="shared" si="29"/>
        <v>ER4</v>
      </c>
      <c r="AW82" s="77">
        <f t="shared" si="29"/>
        <v>50</v>
      </c>
      <c r="AX82" s="77" t="str">
        <f t="shared" si="29"/>
        <v>MID</v>
      </c>
    </row>
    <row r="83" spans="1:50" x14ac:dyDescent="0.25">
      <c r="A83">
        <v>69</v>
      </c>
      <c r="B83" s="36" t="str">
        <f t="shared" si="23"/>
        <v>MEXICO AEREO</v>
      </c>
      <c r="C83" s="36">
        <f t="shared" si="23"/>
        <v>2301</v>
      </c>
      <c r="D83" s="74">
        <v>0.70277777777777783</v>
      </c>
      <c r="E83" s="74">
        <v>0.71180555555555547</v>
      </c>
      <c r="F83" s="75">
        <v>9.0277777777776347E-3</v>
      </c>
      <c r="G83" s="74">
        <v>0.71527777777777779</v>
      </c>
      <c r="H83" s="75">
        <v>3.4722222222223209E-3</v>
      </c>
      <c r="I83" s="76">
        <v>41720</v>
      </c>
      <c r="J83" s="36" t="str">
        <f t="shared" si="27"/>
        <v>Nacional</v>
      </c>
      <c r="K83" s="36">
        <f t="shared" si="27"/>
        <v>5.833333333333357E-3</v>
      </c>
      <c r="L83" s="36">
        <f t="shared" si="27"/>
        <v>4.3749999999999735E-3</v>
      </c>
      <c r="M83" s="36">
        <f t="shared" si="27"/>
        <v>1.020833333333333E-2</v>
      </c>
      <c r="N83" s="36" t="str">
        <f t="shared" si="27"/>
        <v>ER4</v>
      </c>
      <c r="O83" s="36">
        <f t="shared" si="27"/>
        <v>50</v>
      </c>
      <c r="P83" s="36" t="str">
        <f t="shared" si="27"/>
        <v>SAT</v>
      </c>
      <c r="R83">
        <v>69</v>
      </c>
      <c r="S83" s="36" t="str">
        <f t="shared" si="28"/>
        <v>MEXICO AEREO</v>
      </c>
      <c r="T83" s="36">
        <f t="shared" si="28"/>
        <v>2469</v>
      </c>
      <c r="U83" s="73">
        <v>0.99375000000000002</v>
      </c>
      <c r="V83" s="74">
        <v>0.99930555555555556</v>
      </c>
      <c r="W83" s="75">
        <v>5.5555555555555358E-3</v>
      </c>
      <c r="X83" s="74">
        <v>1.0034722222222221</v>
      </c>
      <c r="Y83" s="75">
        <v>4.1666666666665408E-3</v>
      </c>
      <c r="Z83" s="76">
        <v>41751</v>
      </c>
      <c r="AA83" s="36" t="str">
        <f t="shared" si="25"/>
        <v>Nacional</v>
      </c>
      <c r="AB83" s="36">
        <f t="shared" si="25"/>
        <v>6.9035947712418133E-3</v>
      </c>
      <c r="AC83" s="36">
        <f t="shared" si="25"/>
        <v>2.6552287581699196E-3</v>
      </c>
      <c r="AD83" s="36">
        <f t="shared" si="25"/>
        <v>9.5588235294117325E-3</v>
      </c>
      <c r="AE83" s="36" t="str">
        <f t="shared" si="25"/>
        <v>ER4</v>
      </c>
      <c r="AF83" s="36">
        <f t="shared" si="25"/>
        <v>50</v>
      </c>
      <c r="AG83" s="36" t="str">
        <f t="shared" si="25"/>
        <v>MID</v>
      </c>
      <c r="AI83">
        <v>69</v>
      </c>
      <c r="AJ83" s="77" t="str">
        <f t="shared" si="19"/>
        <v>MEXICO AEREO</v>
      </c>
      <c r="AK83" s="77">
        <f t="shared" si="19"/>
        <v>2469</v>
      </c>
      <c r="AL83" s="78">
        <v>0.97152777777777777</v>
      </c>
      <c r="AM83" s="79">
        <v>0.98263888888888884</v>
      </c>
      <c r="AN83" s="80">
        <v>1.1111111111111072E-2</v>
      </c>
      <c r="AO83" s="79">
        <v>0.98819444444444438</v>
      </c>
      <c r="AP83" s="80">
        <v>5.5555555555555358E-3</v>
      </c>
      <c r="AQ83" s="81">
        <v>41793</v>
      </c>
      <c r="AR83" s="77" t="str">
        <f t="shared" si="29"/>
        <v>Nacional</v>
      </c>
      <c r="AS83" s="77">
        <f t="shared" si="29"/>
        <v>7.9656862745098277E-3</v>
      </c>
      <c r="AT83" s="77">
        <f t="shared" si="29"/>
        <v>4.9428104575163058E-3</v>
      </c>
      <c r="AU83" s="77">
        <f t="shared" si="29"/>
        <v>1.2908496732026133E-2</v>
      </c>
      <c r="AV83" s="77" t="str">
        <f t="shared" si="29"/>
        <v>ER4</v>
      </c>
      <c r="AW83" s="77">
        <f t="shared" si="29"/>
        <v>50</v>
      </c>
      <c r="AX83" s="77" t="str">
        <f t="shared" si="29"/>
        <v>MID</v>
      </c>
    </row>
    <row r="84" spans="1:50" x14ac:dyDescent="0.25">
      <c r="A84">
        <v>70</v>
      </c>
      <c r="B84" s="36" t="str">
        <f t="shared" si="23"/>
        <v>MEXICO AEREO</v>
      </c>
      <c r="C84" s="36">
        <f t="shared" si="23"/>
        <v>2301</v>
      </c>
      <c r="D84" s="74">
        <v>0.68888888888888899</v>
      </c>
      <c r="E84" s="74">
        <v>0.69166666666666676</v>
      </c>
      <c r="F84" s="75">
        <v>2.7777777777777679E-3</v>
      </c>
      <c r="G84" s="74">
        <v>0.69652777777777775</v>
      </c>
      <c r="H84" s="75">
        <v>4.8611111111109828E-3</v>
      </c>
      <c r="I84" s="76">
        <v>41721</v>
      </c>
      <c r="J84" s="36" t="str">
        <f t="shared" si="27"/>
        <v>Nacional</v>
      </c>
      <c r="K84" s="36">
        <f t="shared" si="27"/>
        <v>5.833333333333357E-3</v>
      </c>
      <c r="L84" s="36">
        <f t="shared" si="27"/>
        <v>4.3749999999999735E-3</v>
      </c>
      <c r="M84" s="36">
        <f t="shared" si="27"/>
        <v>1.020833333333333E-2</v>
      </c>
      <c r="N84" s="36" t="str">
        <f t="shared" si="27"/>
        <v>ER4</v>
      </c>
      <c r="O84" s="36">
        <f t="shared" si="27"/>
        <v>50</v>
      </c>
      <c r="P84" s="36" t="str">
        <f t="shared" si="27"/>
        <v>SAT</v>
      </c>
      <c r="R84">
        <v>70</v>
      </c>
      <c r="S84" s="36" t="str">
        <f t="shared" si="28"/>
        <v>MEXICO AEREO</v>
      </c>
      <c r="T84" s="36">
        <f t="shared" si="28"/>
        <v>2469</v>
      </c>
      <c r="U84" s="73">
        <v>0.96875</v>
      </c>
      <c r="V84" s="74">
        <v>0.9784722222222223</v>
      </c>
      <c r="W84" s="75">
        <v>9.7222222222222987E-3</v>
      </c>
      <c r="X84" s="74">
        <v>0.98055555555555562</v>
      </c>
      <c r="Y84" s="75">
        <v>2.0833333333333259E-3</v>
      </c>
      <c r="Z84" s="76">
        <v>41753</v>
      </c>
      <c r="AA84" s="36" t="str">
        <f t="shared" si="25"/>
        <v>Nacional</v>
      </c>
      <c r="AB84" s="36">
        <f t="shared" si="25"/>
        <v>6.9035947712418133E-3</v>
      </c>
      <c r="AC84" s="36">
        <f t="shared" si="25"/>
        <v>2.6552287581699196E-3</v>
      </c>
      <c r="AD84" s="36">
        <f t="shared" si="25"/>
        <v>9.5588235294117325E-3</v>
      </c>
      <c r="AE84" s="36" t="str">
        <f t="shared" si="25"/>
        <v>ER4</v>
      </c>
      <c r="AF84" s="36">
        <f t="shared" si="25"/>
        <v>50</v>
      </c>
      <c r="AG84" s="36" t="str">
        <f t="shared" si="25"/>
        <v>MID</v>
      </c>
      <c r="AI84">
        <v>70</v>
      </c>
      <c r="AJ84" s="77" t="str">
        <f t="shared" si="19"/>
        <v>MEXICO AEREO</v>
      </c>
      <c r="AK84" s="77">
        <f t="shared" si="19"/>
        <v>2469</v>
      </c>
      <c r="AL84" s="78">
        <v>0.97152777777777777</v>
      </c>
      <c r="AM84" s="79">
        <v>0.97569444444444453</v>
      </c>
      <c r="AN84" s="80">
        <v>4.1666666666667629E-3</v>
      </c>
      <c r="AO84" s="79">
        <v>0.97638888888888886</v>
      </c>
      <c r="AP84" s="80">
        <v>6.9444444444433095E-4</v>
      </c>
      <c r="AQ84" s="81">
        <v>41794</v>
      </c>
      <c r="AR84" s="77" t="str">
        <f t="shared" si="29"/>
        <v>Nacional</v>
      </c>
      <c r="AS84" s="77">
        <f t="shared" si="29"/>
        <v>7.9656862745098277E-3</v>
      </c>
      <c r="AT84" s="77">
        <f t="shared" si="29"/>
        <v>4.9428104575163058E-3</v>
      </c>
      <c r="AU84" s="77">
        <f t="shared" si="29"/>
        <v>1.2908496732026133E-2</v>
      </c>
      <c r="AV84" s="77" t="str">
        <f t="shared" si="29"/>
        <v>ER4</v>
      </c>
      <c r="AW84" s="77">
        <f t="shared" si="29"/>
        <v>50</v>
      </c>
      <c r="AX84" s="77" t="str">
        <f t="shared" si="29"/>
        <v>MID</v>
      </c>
    </row>
    <row r="85" spans="1:50" x14ac:dyDescent="0.25">
      <c r="A85">
        <v>71</v>
      </c>
      <c r="B85" s="36" t="str">
        <f t="shared" si="23"/>
        <v>MEXICO AEREO</v>
      </c>
      <c r="C85" s="36">
        <f t="shared" si="23"/>
        <v>2301</v>
      </c>
      <c r="D85" s="74">
        <v>0.69513888888888886</v>
      </c>
      <c r="E85" s="74">
        <v>0.70277777777777783</v>
      </c>
      <c r="F85" s="75">
        <v>7.6388888888889728E-3</v>
      </c>
      <c r="G85" s="74">
        <v>0.70486111111111116</v>
      </c>
      <c r="H85" s="75">
        <v>2.0833333333333259E-3</v>
      </c>
      <c r="I85" s="76">
        <v>41722</v>
      </c>
      <c r="J85" s="36" t="str">
        <f t="shared" si="27"/>
        <v>Nacional</v>
      </c>
      <c r="K85" s="36">
        <f t="shared" si="27"/>
        <v>5.833333333333357E-3</v>
      </c>
      <c r="L85" s="36">
        <f t="shared" si="27"/>
        <v>4.3749999999999735E-3</v>
      </c>
      <c r="M85" s="36">
        <f t="shared" si="27"/>
        <v>1.020833333333333E-2</v>
      </c>
      <c r="N85" s="36" t="str">
        <f t="shared" si="27"/>
        <v>ER4</v>
      </c>
      <c r="O85" s="36">
        <f t="shared" si="27"/>
        <v>50</v>
      </c>
      <c r="P85" s="36" t="str">
        <f t="shared" si="27"/>
        <v>SAT</v>
      </c>
      <c r="R85">
        <v>71</v>
      </c>
      <c r="S85" s="36" t="str">
        <f t="shared" si="28"/>
        <v>MEXICO AEREO</v>
      </c>
      <c r="T85" s="36">
        <f t="shared" si="28"/>
        <v>2469</v>
      </c>
      <c r="U85" s="73">
        <v>0.97013888888888899</v>
      </c>
      <c r="V85" s="74">
        <v>0.9770833333333333</v>
      </c>
      <c r="W85" s="75">
        <v>6.9444444444443088E-3</v>
      </c>
      <c r="X85" s="74">
        <v>0.97986111111111107</v>
      </c>
      <c r="Y85" s="75">
        <v>2.7777777777777679E-3</v>
      </c>
      <c r="Z85" s="76">
        <v>41757</v>
      </c>
      <c r="AA85" s="36" t="str">
        <f t="shared" si="25"/>
        <v>Nacional</v>
      </c>
      <c r="AB85" s="36">
        <f t="shared" si="25"/>
        <v>6.9035947712418133E-3</v>
      </c>
      <c r="AC85" s="36">
        <f t="shared" si="25"/>
        <v>2.6552287581699196E-3</v>
      </c>
      <c r="AD85" s="36">
        <f t="shared" si="25"/>
        <v>9.5588235294117325E-3</v>
      </c>
      <c r="AE85" s="36" t="str">
        <f t="shared" si="25"/>
        <v>ER4</v>
      </c>
      <c r="AF85" s="36">
        <f t="shared" si="25"/>
        <v>50</v>
      </c>
      <c r="AG85" s="36" t="str">
        <f t="shared" si="25"/>
        <v>MID</v>
      </c>
      <c r="AI85">
        <v>71</v>
      </c>
      <c r="AJ85" s="77" t="str">
        <f t="shared" si="19"/>
        <v>MEXICO AEREO</v>
      </c>
      <c r="AK85" s="77">
        <f t="shared" si="19"/>
        <v>2469</v>
      </c>
      <c r="AL85" s="78">
        <v>0.97083333333333333</v>
      </c>
      <c r="AM85" s="79">
        <v>0.98055555555555562</v>
      </c>
      <c r="AN85" s="80">
        <v>9.7222222222222987E-3</v>
      </c>
      <c r="AO85" s="79">
        <v>0.9902777777777777</v>
      </c>
      <c r="AP85" s="80">
        <v>9.7222222222220767E-3</v>
      </c>
      <c r="AQ85" s="81">
        <v>41795</v>
      </c>
      <c r="AR85" s="77" t="str">
        <f t="shared" si="29"/>
        <v>Nacional</v>
      </c>
      <c r="AS85" s="77">
        <f t="shared" si="29"/>
        <v>7.9656862745098277E-3</v>
      </c>
      <c r="AT85" s="77">
        <f t="shared" si="29"/>
        <v>4.9428104575163058E-3</v>
      </c>
      <c r="AU85" s="77">
        <f t="shared" si="29"/>
        <v>1.2908496732026133E-2</v>
      </c>
      <c r="AV85" s="77" t="str">
        <f t="shared" si="29"/>
        <v>ER4</v>
      </c>
      <c r="AW85" s="77">
        <f t="shared" si="29"/>
        <v>50</v>
      </c>
      <c r="AX85" s="77" t="str">
        <f t="shared" si="29"/>
        <v>MID</v>
      </c>
    </row>
    <row r="86" spans="1:50" x14ac:dyDescent="0.25">
      <c r="A86">
        <v>72</v>
      </c>
      <c r="B86" s="36" t="str">
        <f t="shared" si="23"/>
        <v>MEXICO AEREO</v>
      </c>
      <c r="C86" s="36">
        <f t="shared" si="23"/>
        <v>2301</v>
      </c>
      <c r="D86" s="74">
        <v>0.85</v>
      </c>
      <c r="E86" s="74">
        <v>0.86249999999999993</v>
      </c>
      <c r="F86" s="75">
        <v>1.2499999999999956E-2</v>
      </c>
      <c r="G86" s="74">
        <v>0.86458333333333337</v>
      </c>
      <c r="H86" s="75">
        <v>2.083333333333437E-3</v>
      </c>
      <c r="I86" s="76">
        <v>41724</v>
      </c>
      <c r="J86" s="36" t="str">
        <f t="shared" si="27"/>
        <v>Nacional</v>
      </c>
      <c r="K86" s="36">
        <f t="shared" si="27"/>
        <v>5.833333333333357E-3</v>
      </c>
      <c r="L86" s="36">
        <f t="shared" si="27"/>
        <v>4.3749999999999735E-3</v>
      </c>
      <c r="M86" s="36">
        <f t="shared" si="27"/>
        <v>1.020833333333333E-2</v>
      </c>
      <c r="N86" s="36" t="str">
        <f t="shared" si="27"/>
        <v>ER4</v>
      </c>
      <c r="O86" s="36">
        <f t="shared" si="27"/>
        <v>50</v>
      </c>
      <c r="P86" s="36" t="str">
        <f t="shared" si="27"/>
        <v>SAT</v>
      </c>
      <c r="R86">
        <v>72</v>
      </c>
      <c r="S86" s="36" t="str">
        <f t="shared" si="28"/>
        <v>MEXICO AEREO</v>
      </c>
      <c r="T86" s="36">
        <f t="shared" si="28"/>
        <v>2469</v>
      </c>
      <c r="U86" s="73">
        <v>0.97152777777777777</v>
      </c>
      <c r="V86" s="74">
        <v>0.97499999999999998</v>
      </c>
      <c r="W86" s="75">
        <v>3.4722222222222099E-3</v>
      </c>
      <c r="X86" s="74">
        <v>0.97777777777777775</v>
      </c>
      <c r="Y86" s="75">
        <v>2.7777777777777679E-3</v>
      </c>
      <c r="Z86" s="76">
        <v>41759</v>
      </c>
      <c r="AA86" s="36" t="str">
        <f t="shared" si="25"/>
        <v>Nacional</v>
      </c>
      <c r="AB86" s="36">
        <f t="shared" si="25"/>
        <v>6.9035947712418133E-3</v>
      </c>
      <c r="AC86" s="36">
        <f t="shared" si="25"/>
        <v>2.6552287581699196E-3</v>
      </c>
      <c r="AD86" s="36">
        <f t="shared" si="25"/>
        <v>9.5588235294117325E-3</v>
      </c>
      <c r="AE86" s="36" t="str">
        <f t="shared" si="25"/>
        <v>ER4</v>
      </c>
      <c r="AF86" s="36">
        <f t="shared" si="25"/>
        <v>50</v>
      </c>
      <c r="AG86" s="36" t="str">
        <f t="shared" si="25"/>
        <v>MID</v>
      </c>
      <c r="AI86">
        <v>72</v>
      </c>
      <c r="AJ86" s="77" t="str">
        <f t="shared" si="19"/>
        <v>MEXICO AEREO</v>
      </c>
      <c r="AK86" s="77">
        <f t="shared" si="19"/>
        <v>2469</v>
      </c>
      <c r="AL86" s="78">
        <v>0.9916666666666667</v>
      </c>
      <c r="AM86" s="79">
        <v>0.99305555555555547</v>
      </c>
      <c r="AN86" s="80">
        <v>1.3888888888887729E-3</v>
      </c>
      <c r="AO86" s="79">
        <v>0.99652777777777779</v>
      </c>
      <c r="AP86" s="80">
        <v>3.4722222222223209E-3</v>
      </c>
      <c r="AQ86" s="81">
        <v>41796</v>
      </c>
      <c r="AR86" s="77" t="str">
        <f t="shared" si="29"/>
        <v>Nacional</v>
      </c>
      <c r="AS86" s="77">
        <f t="shared" si="29"/>
        <v>7.9656862745098277E-3</v>
      </c>
      <c r="AT86" s="77">
        <f t="shared" si="29"/>
        <v>4.9428104575163058E-3</v>
      </c>
      <c r="AU86" s="77">
        <f t="shared" si="29"/>
        <v>1.2908496732026133E-2</v>
      </c>
      <c r="AV86" s="77" t="str">
        <f t="shared" si="29"/>
        <v>ER4</v>
      </c>
      <c r="AW86" s="77">
        <f t="shared" si="29"/>
        <v>50</v>
      </c>
      <c r="AX86" s="77" t="str">
        <f t="shared" si="29"/>
        <v>MID</v>
      </c>
    </row>
    <row r="87" spans="1:50" ht="15.75" thickBot="1" x14ac:dyDescent="0.3">
      <c r="A87">
        <v>73</v>
      </c>
      <c r="B87" s="36" t="str">
        <f t="shared" si="23"/>
        <v>MEXICO AEREO</v>
      </c>
      <c r="C87" s="36">
        <f t="shared" si="23"/>
        <v>2301</v>
      </c>
      <c r="D87" s="74">
        <v>0.69861111111111107</v>
      </c>
      <c r="E87" s="74">
        <v>0.70486111111111116</v>
      </c>
      <c r="F87" s="75">
        <v>6.2500000000000888E-3</v>
      </c>
      <c r="G87" s="74">
        <v>0.7090277777777777</v>
      </c>
      <c r="H87" s="75">
        <v>4.1666666666665408E-3</v>
      </c>
      <c r="I87" s="76">
        <v>41726</v>
      </c>
      <c r="J87" s="36" t="str">
        <f t="shared" si="27"/>
        <v>Nacional</v>
      </c>
      <c r="K87" s="36">
        <f t="shared" si="27"/>
        <v>5.833333333333357E-3</v>
      </c>
      <c r="L87" s="36">
        <f t="shared" si="27"/>
        <v>4.3749999999999735E-3</v>
      </c>
      <c r="M87" s="36">
        <f t="shared" si="27"/>
        <v>1.020833333333333E-2</v>
      </c>
      <c r="N87" s="36" t="str">
        <f t="shared" si="27"/>
        <v>ER4</v>
      </c>
      <c r="O87" s="36">
        <f t="shared" si="27"/>
        <v>50</v>
      </c>
      <c r="P87" s="36" t="str">
        <f t="shared" si="27"/>
        <v>SAT</v>
      </c>
      <c r="R87">
        <v>73</v>
      </c>
      <c r="S87" s="36" t="str">
        <f t="shared" si="28"/>
        <v>MEXICO AEREO</v>
      </c>
      <c r="T87" s="36">
        <f t="shared" si="28"/>
        <v>2469</v>
      </c>
      <c r="U87" s="83">
        <v>0.96805555555555556</v>
      </c>
      <c r="V87" s="84">
        <v>0.97916666666666663</v>
      </c>
      <c r="W87" s="85">
        <v>1.1111111111111072E-2</v>
      </c>
      <c r="X87" s="84">
        <v>0.98263888888888884</v>
      </c>
      <c r="Y87" s="85">
        <v>3.4722222222222099E-3</v>
      </c>
      <c r="Z87" s="86">
        <v>41759</v>
      </c>
      <c r="AA87" s="36" t="str">
        <f t="shared" si="25"/>
        <v>Nacional</v>
      </c>
      <c r="AB87" s="36">
        <f t="shared" si="25"/>
        <v>6.9035947712418133E-3</v>
      </c>
      <c r="AC87" s="36">
        <f t="shared" si="25"/>
        <v>2.6552287581699196E-3</v>
      </c>
      <c r="AD87" s="36">
        <f t="shared" si="25"/>
        <v>9.5588235294117325E-3</v>
      </c>
      <c r="AE87" s="36" t="str">
        <f t="shared" si="25"/>
        <v>ER4</v>
      </c>
      <c r="AF87" s="36">
        <f t="shared" si="25"/>
        <v>50</v>
      </c>
      <c r="AG87" s="36" t="str">
        <f t="shared" si="25"/>
        <v>MID</v>
      </c>
      <c r="AI87">
        <v>73</v>
      </c>
      <c r="AJ87" s="77" t="str">
        <f t="shared" si="19"/>
        <v>MEXICO AEREO</v>
      </c>
      <c r="AK87" s="77">
        <f t="shared" si="19"/>
        <v>2469</v>
      </c>
      <c r="AL87" s="78">
        <v>1.0291666666666666</v>
      </c>
      <c r="AM87" s="79">
        <v>1.0368055555555555</v>
      </c>
      <c r="AN87" s="80">
        <v>7.6388888888889728E-3</v>
      </c>
      <c r="AO87" s="79">
        <v>1.0409722222222222</v>
      </c>
      <c r="AP87" s="80">
        <v>4.1666666666666519E-3</v>
      </c>
      <c r="AQ87" s="81">
        <v>41798</v>
      </c>
      <c r="AR87" s="77" t="str">
        <f t="shared" si="29"/>
        <v>Nacional</v>
      </c>
      <c r="AS87" s="77">
        <f t="shared" si="29"/>
        <v>7.9656862745098277E-3</v>
      </c>
      <c r="AT87" s="77">
        <f t="shared" si="29"/>
        <v>4.9428104575163058E-3</v>
      </c>
      <c r="AU87" s="77">
        <f t="shared" si="29"/>
        <v>1.2908496732026133E-2</v>
      </c>
      <c r="AV87" s="77" t="str">
        <f t="shared" si="29"/>
        <v>ER4</v>
      </c>
      <c r="AW87" s="77">
        <f t="shared" si="29"/>
        <v>50</v>
      </c>
      <c r="AX87" s="77" t="str">
        <f t="shared" si="29"/>
        <v>MID</v>
      </c>
    </row>
    <row r="88" spans="1:50" ht="15.75" thickBot="1" x14ac:dyDescent="0.3">
      <c r="A88">
        <v>74</v>
      </c>
      <c r="B88" s="36" t="str">
        <f t="shared" si="23"/>
        <v>MEXICO AEREO</v>
      </c>
      <c r="C88" s="36">
        <f t="shared" si="23"/>
        <v>2301</v>
      </c>
      <c r="D88" s="84">
        <v>0.71180555555555547</v>
      </c>
      <c r="E88" s="84">
        <v>0.71388888888888891</v>
      </c>
      <c r="F88" s="85">
        <v>2.083333333333437E-3</v>
      </c>
      <c r="G88" s="84">
        <v>0.71944444444444444</v>
      </c>
      <c r="H88" s="85">
        <v>5.5555555555555358E-3</v>
      </c>
      <c r="I88" s="86">
        <v>41717</v>
      </c>
      <c r="J88" s="36" t="str">
        <f t="shared" si="27"/>
        <v>Nacional</v>
      </c>
      <c r="K88" s="36">
        <f t="shared" si="27"/>
        <v>5.833333333333357E-3</v>
      </c>
      <c r="L88" s="36">
        <f t="shared" si="27"/>
        <v>4.3749999999999735E-3</v>
      </c>
      <c r="M88" s="36">
        <f t="shared" si="27"/>
        <v>1.020833333333333E-2</v>
      </c>
      <c r="N88" s="36" t="str">
        <f t="shared" si="27"/>
        <v>ER4</v>
      </c>
      <c r="O88" s="36">
        <f t="shared" si="27"/>
        <v>50</v>
      </c>
      <c r="P88" s="36" t="str">
        <f t="shared" si="27"/>
        <v>SAT</v>
      </c>
      <c r="R88">
        <v>74</v>
      </c>
      <c r="S88" s="45" t="s">
        <v>18</v>
      </c>
      <c r="T88" s="55">
        <v>2335</v>
      </c>
      <c r="U88" s="56">
        <v>0.95486111111111116</v>
      </c>
      <c r="V88" s="57">
        <v>0.95972222222222225</v>
      </c>
      <c r="W88" s="58">
        <v>4.8611111111110938E-3</v>
      </c>
      <c r="X88" s="57">
        <v>0.96527777777777779</v>
      </c>
      <c r="Y88" s="58">
        <v>5.5555555555555358E-3</v>
      </c>
      <c r="Z88" s="59">
        <v>41730</v>
      </c>
      <c r="AA88" s="60" t="s">
        <v>19</v>
      </c>
      <c r="AB88" s="61">
        <v>9.1820987654320854E-3</v>
      </c>
      <c r="AC88" s="61">
        <v>4.1280864197530782E-3</v>
      </c>
      <c r="AD88" s="62">
        <v>1.3310185185185164E-2</v>
      </c>
      <c r="AE88" s="109" t="s">
        <v>20</v>
      </c>
      <c r="AF88" s="109">
        <v>50</v>
      </c>
      <c r="AG88" s="109" t="s">
        <v>27</v>
      </c>
      <c r="AI88">
        <v>74</v>
      </c>
      <c r="AJ88" s="77" t="str">
        <f t="shared" si="19"/>
        <v>MEXICO AEREO</v>
      </c>
      <c r="AK88" s="77">
        <f t="shared" si="19"/>
        <v>2469</v>
      </c>
      <c r="AL88" s="78">
        <v>0.96180555555555547</v>
      </c>
      <c r="AM88" s="79">
        <v>0.97222222222222221</v>
      </c>
      <c r="AN88" s="80">
        <v>1.0416666666666741E-2</v>
      </c>
      <c r="AO88" s="79">
        <v>0.97499999999999998</v>
      </c>
      <c r="AP88" s="80">
        <v>2.7777777777777679E-3</v>
      </c>
      <c r="AQ88" s="81">
        <v>41799</v>
      </c>
      <c r="AR88" s="77" t="str">
        <f t="shared" si="29"/>
        <v>Nacional</v>
      </c>
      <c r="AS88" s="77">
        <f t="shared" si="29"/>
        <v>7.9656862745098277E-3</v>
      </c>
      <c r="AT88" s="77">
        <f t="shared" si="29"/>
        <v>4.9428104575163058E-3</v>
      </c>
      <c r="AU88" s="77">
        <f t="shared" si="29"/>
        <v>1.2908496732026133E-2</v>
      </c>
      <c r="AV88" s="77" t="str">
        <f t="shared" si="29"/>
        <v>ER4</v>
      </c>
      <c r="AW88" s="77">
        <f t="shared" si="29"/>
        <v>50</v>
      </c>
      <c r="AX88" s="77" t="str">
        <f t="shared" si="29"/>
        <v>MID</v>
      </c>
    </row>
    <row r="89" spans="1:50" x14ac:dyDescent="0.25">
      <c r="A89">
        <v>75</v>
      </c>
      <c r="B89" s="36" t="str">
        <f t="shared" si="23"/>
        <v>MEXICO AEREO</v>
      </c>
      <c r="C89" s="88">
        <v>2277</v>
      </c>
      <c r="D89" s="57">
        <v>0.91527777777777775</v>
      </c>
      <c r="E89" s="57">
        <v>0.9243055555555556</v>
      </c>
      <c r="F89" s="58">
        <v>9.0277777777778567E-3</v>
      </c>
      <c r="G89" s="57">
        <v>0.92847222222222225</v>
      </c>
      <c r="H89" s="58">
        <v>4.1666666666666519E-3</v>
      </c>
      <c r="I89" s="59">
        <v>41713</v>
      </c>
      <c r="J89" s="108" t="s">
        <v>19</v>
      </c>
      <c r="K89" s="61">
        <v>6.8376068376068558E-3</v>
      </c>
      <c r="L89" s="61">
        <v>3.6324786324786196E-3</v>
      </c>
      <c r="M89" s="89">
        <v>1.0470085470085475E-2</v>
      </c>
      <c r="N89" s="90" t="s">
        <v>20</v>
      </c>
      <c r="O89" s="91">
        <v>50</v>
      </c>
      <c r="P89" s="92" t="s">
        <v>27</v>
      </c>
      <c r="R89">
        <v>75</v>
      </c>
      <c r="S89" s="36" t="str">
        <f t="shared" ref="S89:T146" si="30">S88</f>
        <v>MEXICO AEREO</v>
      </c>
      <c r="T89" s="36">
        <f t="shared" si="30"/>
        <v>2335</v>
      </c>
      <c r="U89" s="73">
        <v>0.96597222222222223</v>
      </c>
      <c r="V89" s="74">
        <v>0.97013888888888899</v>
      </c>
      <c r="W89" s="75">
        <v>4.1666666666667629E-3</v>
      </c>
      <c r="X89" s="74">
        <v>0.97638888888888886</v>
      </c>
      <c r="Y89" s="75">
        <v>6.2499999999998668E-3</v>
      </c>
      <c r="Z89" s="76">
        <v>41731</v>
      </c>
      <c r="AA89" s="36" t="str">
        <f t="shared" ref="AA89:AG105" si="31">AA88</f>
        <v>Nacional</v>
      </c>
      <c r="AB89" s="36">
        <f t="shared" si="31"/>
        <v>9.1820987654320854E-3</v>
      </c>
      <c r="AC89" s="36">
        <f t="shared" si="31"/>
        <v>4.1280864197530782E-3</v>
      </c>
      <c r="AD89" s="36">
        <f t="shared" si="31"/>
        <v>1.3310185185185164E-2</v>
      </c>
      <c r="AE89" s="36" t="str">
        <f t="shared" si="31"/>
        <v>ER4</v>
      </c>
      <c r="AF89" s="36">
        <f t="shared" si="31"/>
        <v>50</v>
      </c>
      <c r="AG89" s="36" t="str">
        <f t="shared" si="31"/>
        <v>HMO</v>
      </c>
      <c r="AI89">
        <v>75</v>
      </c>
      <c r="AJ89" s="77" t="str">
        <f t="shared" si="19"/>
        <v>MEXICO AEREO</v>
      </c>
      <c r="AK89" s="77">
        <f t="shared" si="19"/>
        <v>2469</v>
      </c>
      <c r="AL89" s="78">
        <v>0.48819444444444443</v>
      </c>
      <c r="AM89" s="79">
        <v>0.49791666666666662</v>
      </c>
      <c r="AN89" s="80">
        <v>9.7222222222221877E-3</v>
      </c>
      <c r="AO89" s="79">
        <v>0.50555555555555554</v>
      </c>
      <c r="AP89" s="80">
        <v>7.6388888888889173E-3</v>
      </c>
      <c r="AQ89" s="81">
        <v>41800</v>
      </c>
      <c r="AR89" s="77" t="str">
        <f t="shared" si="29"/>
        <v>Nacional</v>
      </c>
      <c r="AS89" s="77">
        <f t="shared" si="29"/>
        <v>7.9656862745098277E-3</v>
      </c>
      <c r="AT89" s="77">
        <f t="shared" si="29"/>
        <v>4.9428104575163058E-3</v>
      </c>
      <c r="AU89" s="77">
        <f t="shared" si="29"/>
        <v>1.2908496732026133E-2</v>
      </c>
      <c r="AV89" s="77" t="str">
        <f t="shared" si="29"/>
        <v>ER4</v>
      </c>
      <c r="AW89" s="77">
        <f t="shared" si="29"/>
        <v>50</v>
      </c>
      <c r="AX89" s="77" t="str">
        <f t="shared" si="29"/>
        <v>MID</v>
      </c>
    </row>
    <row r="90" spans="1:50" x14ac:dyDescent="0.25">
      <c r="A90">
        <v>76</v>
      </c>
      <c r="B90" s="36" t="str">
        <f t="shared" si="23"/>
        <v>MEXICO AEREO</v>
      </c>
      <c r="C90" s="36">
        <f t="shared" si="23"/>
        <v>2277</v>
      </c>
      <c r="D90" s="74">
        <v>0.94444444444444453</v>
      </c>
      <c r="E90" s="74">
        <v>0.95000000000000007</v>
      </c>
      <c r="F90" s="75">
        <v>5.5555555555555358E-3</v>
      </c>
      <c r="G90" s="74">
        <v>0.95277777777777783</v>
      </c>
      <c r="H90" s="75">
        <v>2.7777777777777679E-3</v>
      </c>
      <c r="I90" s="76">
        <v>41715</v>
      </c>
      <c r="J90" s="36" t="str">
        <f t="shared" ref="J90:P101" si="32">J89</f>
        <v>Nacional</v>
      </c>
      <c r="K90" s="36">
        <f t="shared" si="32"/>
        <v>6.8376068376068558E-3</v>
      </c>
      <c r="L90" s="36">
        <f t="shared" si="32"/>
        <v>3.6324786324786196E-3</v>
      </c>
      <c r="M90" s="36">
        <f t="shared" si="32"/>
        <v>1.0470085470085475E-2</v>
      </c>
      <c r="N90" s="36" t="str">
        <f t="shared" si="32"/>
        <v>ER4</v>
      </c>
      <c r="O90" s="36">
        <f t="shared" si="32"/>
        <v>50</v>
      </c>
      <c r="P90" s="36" t="str">
        <f t="shared" si="32"/>
        <v>HMO</v>
      </c>
      <c r="R90">
        <v>76</v>
      </c>
      <c r="S90" s="36" t="str">
        <f t="shared" si="30"/>
        <v>MEXICO AEREO</v>
      </c>
      <c r="T90" s="36">
        <f t="shared" si="30"/>
        <v>2335</v>
      </c>
      <c r="U90" s="73">
        <v>0.95833333333333337</v>
      </c>
      <c r="V90" s="74">
        <v>0.97777777777777775</v>
      </c>
      <c r="W90" s="75">
        <v>1.9444444444444375E-2</v>
      </c>
      <c r="X90" s="74">
        <v>0.97986111111111107</v>
      </c>
      <c r="Y90" s="75">
        <v>2.0833333333333259E-3</v>
      </c>
      <c r="Z90" s="76">
        <v>41732</v>
      </c>
      <c r="AA90" s="36" t="str">
        <f t="shared" si="31"/>
        <v>Nacional</v>
      </c>
      <c r="AB90" s="36">
        <f t="shared" si="31"/>
        <v>9.1820987654320854E-3</v>
      </c>
      <c r="AC90" s="36">
        <f t="shared" si="31"/>
        <v>4.1280864197530782E-3</v>
      </c>
      <c r="AD90" s="36">
        <f t="shared" si="31"/>
        <v>1.3310185185185164E-2</v>
      </c>
      <c r="AE90" s="36" t="str">
        <f t="shared" si="31"/>
        <v>ER4</v>
      </c>
      <c r="AF90" s="36">
        <f t="shared" si="31"/>
        <v>50</v>
      </c>
      <c r="AG90" s="36" t="str">
        <f t="shared" si="31"/>
        <v>HMO</v>
      </c>
      <c r="AI90">
        <v>76</v>
      </c>
      <c r="AJ90" s="77" t="str">
        <f t="shared" si="19"/>
        <v>MEXICO AEREO</v>
      </c>
      <c r="AK90" s="77">
        <f t="shared" si="19"/>
        <v>2469</v>
      </c>
      <c r="AL90" s="78">
        <v>0.51527777777777783</v>
      </c>
      <c r="AM90" s="79">
        <v>0.52777777777777779</v>
      </c>
      <c r="AN90" s="80">
        <v>1.2499999999999956E-2</v>
      </c>
      <c r="AO90" s="79">
        <v>0.53333333333333333</v>
      </c>
      <c r="AP90" s="80">
        <v>5.5555555555555358E-3</v>
      </c>
      <c r="AQ90" s="81">
        <v>41801</v>
      </c>
      <c r="AR90" s="77" t="str">
        <f t="shared" si="29"/>
        <v>Nacional</v>
      </c>
      <c r="AS90" s="77">
        <f t="shared" si="29"/>
        <v>7.9656862745098277E-3</v>
      </c>
      <c r="AT90" s="77">
        <f t="shared" si="29"/>
        <v>4.9428104575163058E-3</v>
      </c>
      <c r="AU90" s="77">
        <f t="shared" si="29"/>
        <v>1.2908496732026133E-2</v>
      </c>
      <c r="AV90" s="77" t="str">
        <f t="shared" si="29"/>
        <v>ER4</v>
      </c>
      <c r="AW90" s="77">
        <f t="shared" si="29"/>
        <v>50</v>
      </c>
      <c r="AX90" s="77" t="str">
        <f t="shared" si="29"/>
        <v>MID</v>
      </c>
    </row>
    <row r="91" spans="1:50" x14ac:dyDescent="0.25">
      <c r="A91">
        <v>77</v>
      </c>
      <c r="B91" s="36" t="str">
        <f t="shared" si="23"/>
        <v>MEXICO AEREO</v>
      </c>
      <c r="C91" s="36">
        <f t="shared" si="23"/>
        <v>2277</v>
      </c>
      <c r="D91" s="74">
        <v>0.93611111111111101</v>
      </c>
      <c r="E91" s="74">
        <v>0.94444444444444453</v>
      </c>
      <c r="F91" s="75">
        <v>8.3333333333335258E-3</v>
      </c>
      <c r="G91" s="74">
        <v>0.94652777777777775</v>
      </c>
      <c r="H91" s="75">
        <v>2.0833333333332149E-3</v>
      </c>
      <c r="I91" s="76">
        <v>41716</v>
      </c>
      <c r="J91" s="36" t="str">
        <f t="shared" si="32"/>
        <v>Nacional</v>
      </c>
      <c r="K91" s="36">
        <f t="shared" si="32"/>
        <v>6.8376068376068558E-3</v>
      </c>
      <c r="L91" s="36">
        <f t="shared" si="32"/>
        <v>3.6324786324786196E-3</v>
      </c>
      <c r="M91" s="36">
        <f t="shared" si="32"/>
        <v>1.0470085470085475E-2</v>
      </c>
      <c r="N91" s="36" t="str">
        <f t="shared" si="32"/>
        <v>ER4</v>
      </c>
      <c r="O91" s="36">
        <f t="shared" si="32"/>
        <v>50</v>
      </c>
      <c r="P91" s="36" t="str">
        <f t="shared" si="32"/>
        <v>HMO</v>
      </c>
      <c r="R91">
        <v>77</v>
      </c>
      <c r="S91" s="36" t="str">
        <f t="shared" si="30"/>
        <v>MEXICO AEREO</v>
      </c>
      <c r="T91" s="36">
        <f t="shared" si="30"/>
        <v>2335</v>
      </c>
      <c r="U91" s="73">
        <v>0.95972222222222225</v>
      </c>
      <c r="V91" s="74">
        <v>0.96597222222222223</v>
      </c>
      <c r="W91" s="75">
        <v>6.2499999999999778E-3</v>
      </c>
      <c r="X91" s="74">
        <v>0.9770833333333333</v>
      </c>
      <c r="Y91" s="75">
        <v>1.1111111111111072E-2</v>
      </c>
      <c r="Z91" s="76">
        <v>41734</v>
      </c>
      <c r="AA91" s="36" t="str">
        <f t="shared" si="31"/>
        <v>Nacional</v>
      </c>
      <c r="AB91" s="36">
        <f t="shared" si="31"/>
        <v>9.1820987654320854E-3</v>
      </c>
      <c r="AC91" s="36">
        <f t="shared" si="31"/>
        <v>4.1280864197530782E-3</v>
      </c>
      <c r="AD91" s="36">
        <f t="shared" si="31"/>
        <v>1.3310185185185164E-2</v>
      </c>
      <c r="AE91" s="36" t="str">
        <f t="shared" si="31"/>
        <v>ER4</v>
      </c>
      <c r="AF91" s="36">
        <f t="shared" si="31"/>
        <v>50</v>
      </c>
      <c r="AG91" s="36" t="str">
        <f t="shared" si="31"/>
        <v>HMO</v>
      </c>
      <c r="AI91">
        <v>77</v>
      </c>
      <c r="AJ91" s="77" t="str">
        <f t="shared" si="19"/>
        <v>MEXICO AEREO</v>
      </c>
      <c r="AK91" s="77">
        <f t="shared" si="19"/>
        <v>2469</v>
      </c>
      <c r="AL91" s="78">
        <v>0.57222222222222219</v>
      </c>
      <c r="AM91" s="79">
        <v>0.5805555555555556</v>
      </c>
      <c r="AN91" s="80">
        <v>8.3333333333334147E-3</v>
      </c>
      <c r="AO91" s="79">
        <v>0.59722222222222221</v>
      </c>
      <c r="AP91" s="80">
        <v>1.6666666666666607E-2</v>
      </c>
      <c r="AQ91" s="81">
        <v>41802</v>
      </c>
      <c r="AR91" s="77" t="str">
        <f t="shared" si="29"/>
        <v>Nacional</v>
      </c>
      <c r="AS91" s="77">
        <f t="shared" si="29"/>
        <v>7.9656862745098277E-3</v>
      </c>
      <c r="AT91" s="77">
        <f t="shared" si="29"/>
        <v>4.9428104575163058E-3</v>
      </c>
      <c r="AU91" s="77">
        <f t="shared" si="29"/>
        <v>1.2908496732026133E-2</v>
      </c>
      <c r="AV91" s="77" t="str">
        <f t="shared" si="29"/>
        <v>ER4</v>
      </c>
      <c r="AW91" s="77">
        <f t="shared" si="29"/>
        <v>50</v>
      </c>
      <c r="AX91" s="77" t="str">
        <f t="shared" si="29"/>
        <v>MID</v>
      </c>
    </row>
    <row r="92" spans="1:50" x14ac:dyDescent="0.25">
      <c r="A92">
        <v>78</v>
      </c>
      <c r="B92" s="36" t="str">
        <f t="shared" si="23"/>
        <v>MEXICO AEREO</v>
      </c>
      <c r="C92" s="36">
        <f t="shared" si="23"/>
        <v>2277</v>
      </c>
      <c r="D92" s="74">
        <v>0.93888888888888899</v>
      </c>
      <c r="E92" s="74">
        <v>0.94652777777777775</v>
      </c>
      <c r="F92" s="75">
        <v>7.6388888888887507E-3</v>
      </c>
      <c r="G92" s="74">
        <v>0.95000000000000007</v>
      </c>
      <c r="H92" s="75">
        <v>3.4722222222223209E-3</v>
      </c>
      <c r="I92" s="76">
        <v>41719</v>
      </c>
      <c r="J92" s="36" t="str">
        <f t="shared" si="32"/>
        <v>Nacional</v>
      </c>
      <c r="K92" s="36">
        <f t="shared" si="32"/>
        <v>6.8376068376068558E-3</v>
      </c>
      <c r="L92" s="36">
        <f t="shared" si="32"/>
        <v>3.6324786324786196E-3</v>
      </c>
      <c r="M92" s="36">
        <f t="shared" si="32"/>
        <v>1.0470085470085475E-2</v>
      </c>
      <c r="N92" s="36" t="str">
        <f t="shared" si="32"/>
        <v>ER4</v>
      </c>
      <c r="O92" s="36">
        <f t="shared" si="32"/>
        <v>50</v>
      </c>
      <c r="P92" s="36" t="str">
        <f t="shared" si="32"/>
        <v>HMO</v>
      </c>
      <c r="R92">
        <v>78</v>
      </c>
      <c r="S92" s="36" t="str">
        <f t="shared" si="30"/>
        <v>MEXICO AEREO</v>
      </c>
      <c r="T92" s="36">
        <f t="shared" si="30"/>
        <v>2335</v>
      </c>
      <c r="U92" s="73">
        <v>0.95277777777777783</v>
      </c>
      <c r="V92" s="74">
        <v>0.95624999999999993</v>
      </c>
      <c r="W92" s="75">
        <v>3.4722222222220989E-3</v>
      </c>
      <c r="X92" s="74">
        <v>0.9590277777777777</v>
      </c>
      <c r="Y92" s="75">
        <v>2.7777777777777679E-3</v>
      </c>
      <c r="Z92" s="76">
        <v>41736</v>
      </c>
      <c r="AA92" s="36" t="str">
        <f t="shared" si="31"/>
        <v>Nacional</v>
      </c>
      <c r="AB92" s="36">
        <f t="shared" si="31"/>
        <v>9.1820987654320854E-3</v>
      </c>
      <c r="AC92" s="36">
        <f t="shared" si="31"/>
        <v>4.1280864197530782E-3</v>
      </c>
      <c r="AD92" s="36">
        <f t="shared" si="31"/>
        <v>1.3310185185185164E-2</v>
      </c>
      <c r="AE92" s="36" t="str">
        <f t="shared" si="31"/>
        <v>ER4</v>
      </c>
      <c r="AF92" s="36">
        <f t="shared" si="31"/>
        <v>50</v>
      </c>
      <c r="AG92" s="36" t="str">
        <f t="shared" si="31"/>
        <v>HMO</v>
      </c>
      <c r="AI92">
        <v>78</v>
      </c>
      <c r="AJ92" s="77" t="str">
        <f t="shared" si="19"/>
        <v>MEXICO AEREO</v>
      </c>
      <c r="AK92" s="77">
        <f t="shared" si="19"/>
        <v>2469</v>
      </c>
      <c r="AL92" s="78">
        <v>0.87847222222222221</v>
      </c>
      <c r="AM92" s="79">
        <v>0.8833333333333333</v>
      </c>
      <c r="AN92" s="80">
        <v>4.8611111111110938E-3</v>
      </c>
      <c r="AO92" s="79">
        <v>0.88611111111111107</v>
      </c>
      <c r="AP92" s="80">
        <v>2.7777777777777679E-3</v>
      </c>
      <c r="AQ92" s="81">
        <v>41803</v>
      </c>
      <c r="AR92" s="77" t="str">
        <f t="shared" si="29"/>
        <v>Nacional</v>
      </c>
      <c r="AS92" s="77">
        <f t="shared" si="29"/>
        <v>7.9656862745098277E-3</v>
      </c>
      <c r="AT92" s="77">
        <f t="shared" si="29"/>
        <v>4.9428104575163058E-3</v>
      </c>
      <c r="AU92" s="77">
        <f t="shared" si="29"/>
        <v>1.2908496732026133E-2</v>
      </c>
      <c r="AV92" s="77" t="str">
        <f t="shared" si="29"/>
        <v>ER4</v>
      </c>
      <c r="AW92" s="77">
        <f t="shared" si="29"/>
        <v>50</v>
      </c>
      <c r="AX92" s="77" t="str">
        <f t="shared" si="29"/>
        <v>MID</v>
      </c>
    </row>
    <row r="93" spans="1:50" x14ac:dyDescent="0.25">
      <c r="A93">
        <v>79</v>
      </c>
      <c r="B93" s="36" t="str">
        <f t="shared" si="23"/>
        <v>MEXICO AEREO</v>
      </c>
      <c r="C93" s="36">
        <f t="shared" si="23"/>
        <v>2277</v>
      </c>
      <c r="D93" s="74">
        <v>0.93194444444444446</v>
      </c>
      <c r="E93" s="74">
        <v>0.93819444444444444</v>
      </c>
      <c r="F93" s="75">
        <v>6.2499999999999778E-3</v>
      </c>
      <c r="G93" s="74">
        <v>0.94305555555555554</v>
      </c>
      <c r="H93" s="75">
        <v>4.8611111111110938E-3</v>
      </c>
      <c r="I93" s="76">
        <v>41721</v>
      </c>
      <c r="J93" s="36" t="str">
        <f t="shared" si="32"/>
        <v>Nacional</v>
      </c>
      <c r="K93" s="36">
        <f t="shared" si="32"/>
        <v>6.8376068376068558E-3</v>
      </c>
      <c r="L93" s="36">
        <f t="shared" si="32"/>
        <v>3.6324786324786196E-3</v>
      </c>
      <c r="M93" s="36">
        <f t="shared" si="32"/>
        <v>1.0470085470085475E-2</v>
      </c>
      <c r="N93" s="36" t="str">
        <f t="shared" si="32"/>
        <v>ER4</v>
      </c>
      <c r="O93" s="36">
        <f t="shared" si="32"/>
        <v>50</v>
      </c>
      <c r="P93" s="36" t="str">
        <f t="shared" si="32"/>
        <v>HMO</v>
      </c>
      <c r="R93">
        <v>79</v>
      </c>
      <c r="S93" s="36" t="str">
        <f t="shared" si="30"/>
        <v>MEXICO AEREO</v>
      </c>
      <c r="T93" s="36">
        <f t="shared" si="30"/>
        <v>2335</v>
      </c>
      <c r="U93" s="73">
        <v>0.95277777777777783</v>
      </c>
      <c r="V93" s="74">
        <v>0.95972222222222225</v>
      </c>
      <c r="W93" s="75">
        <v>6.9444444444444198E-3</v>
      </c>
      <c r="X93" s="74">
        <v>0.96319444444444446</v>
      </c>
      <c r="Y93" s="75">
        <v>3.4722222222222099E-3</v>
      </c>
      <c r="Z93" s="76">
        <v>41738</v>
      </c>
      <c r="AA93" s="36" t="str">
        <f t="shared" si="31"/>
        <v>Nacional</v>
      </c>
      <c r="AB93" s="36">
        <f t="shared" si="31"/>
        <v>9.1820987654320854E-3</v>
      </c>
      <c r="AC93" s="36">
        <f t="shared" si="31"/>
        <v>4.1280864197530782E-3</v>
      </c>
      <c r="AD93" s="36">
        <f t="shared" si="31"/>
        <v>1.3310185185185164E-2</v>
      </c>
      <c r="AE93" s="36" t="str">
        <f t="shared" si="31"/>
        <v>ER4</v>
      </c>
      <c r="AF93" s="36">
        <f t="shared" si="31"/>
        <v>50</v>
      </c>
      <c r="AG93" s="36" t="str">
        <f t="shared" si="31"/>
        <v>HMO</v>
      </c>
      <c r="AI93">
        <v>79</v>
      </c>
      <c r="AJ93" s="77" t="str">
        <f t="shared" si="19"/>
        <v>MEXICO AEREO</v>
      </c>
      <c r="AK93" s="77">
        <f t="shared" si="19"/>
        <v>2469</v>
      </c>
      <c r="AL93" s="78">
        <v>0.78472222222222221</v>
      </c>
      <c r="AM93" s="79">
        <v>0.78819444444444453</v>
      </c>
      <c r="AN93" s="80">
        <v>3.4722222222223209E-3</v>
      </c>
      <c r="AO93" s="79">
        <v>0.78888888888888886</v>
      </c>
      <c r="AP93" s="80">
        <v>6.9444444444433095E-4</v>
      </c>
      <c r="AQ93" s="81">
        <v>41805</v>
      </c>
      <c r="AR93" s="77" t="str">
        <f t="shared" si="29"/>
        <v>Nacional</v>
      </c>
      <c r="AS93" s="77">
        <f t="shared" si="29"/>
        <v>7.9656862745098277E-3</v>
      </c>
      <c r="AT93" s="77">
        <f t="shared" si="29"/>
        <v>4.9428104575163058E-3</v>
      </c>
      <c r="AU93" s="77">
        <f t="shared" si="29"/>
        <v>1.2908496732026133E-2</v>
      </c>
      <c r="AV93" s="77" t="str">
        <f t="shared" si="29"/>
        <v>ER4</v>
      </c>
      <c r="AW93" s="77">
        <f t="shared" si="29"/>
        <v>50</v>
      </c>
      <c r="AX93" s="77" t="str">
        <f t="shared" si="29"/>
        <v>MID</v>
      </c>
    </row>
    <row r="94" spans="1:50" x14ac:dyDescent="0.25">
      <c r="A94">
        <v>80</v>
      </c>
      <c r="B94" s="36" t="str">
        <f t="shared" si="23"/>
        <v>MEXICO AEREO</v>
      </c>
      <c r="C94" s="36">
        <f t="shared" si="23"/>
        <v>2277</v>
      </c>
      <c r="D94" s="74">
        <v>0.95138888888888884</v>
      </c>
      <c r="E94" s="74">
        <v>0.95833333333333337</v>
      </c>
      <c r="F94" s="75">
        <v>6.9444444444445308E-3</v>
      </c>
      <c r="G94" s="74">
        <v>0.96388888888888891</v>
      </c>
      <c r="H94" s="75">
        <v>5.5555555555555358E-3</v>
      </c>
      <c r="I94" s="76">
        <v>41722</v>
      </c>
      <c r="J94" s="36" t="str">
        <f t="shared" si="32"/>
        <v>Nacional</v>
      </c>
      <c r="K94" s="36">
        <f t="shared" si="32"/>
        <v>6.8376068376068558E-3</v>
      </c>
      <c r="L94" s="36">
        <f t="shared" si="32"/>
        <v>3.6324786324786196E-3</v>
      </c>
      <c r="M94" s="36">
        <f t="shared" si="32"/>
        <v>1.0470085470085475E-2</v>
      </c>
      <c r="N94" s="36" t="str">
        <f t="shared" si="32"/>
        <v>ER4</v>
      </c>
      <c r="O94" s="36">
        <f t="shared" si="32"/>
        <v>50</v>
      </c>
      <c r="P94" s="36" t="str">
        <f t="shared" si="32"/>
        <v>HMO</v>
      </c>
      <c r="R94">
        <v>80</v>
      </c>
      <c r="S94" s="36" t="str">
        <f t="shared" si="30"/>
        <v>MEXICO AEREO</v>
      </c>
      <c r="T94" s="36">
        <f t="shared" si="30"/>
        <v>2335</v>
      </c>
      <c r="U94" s="73">
        <v>0.9868055555555556</v>
      </c>
      <c r="V94" s="74">
        <v>0.99236111111111114</v>
      </c>
      <c r="W94" s="75">
        <v>5.5555555555555358E-3</v>
      </c>
      <c r="X94" s="74">
        <v>0.99375000000000002</v>
      </c>
      <c r="Y94" s="75">
        <v>1.388888888888884E-3</v>
      </c>
      <c r="Z94" s="76">
        <v>41739</v>
      </c>
      <c r="AA94" s="36" t="str">
        <f t="shared" si="31"/>
        <v>Nacional</v>
      </c>
      <c r="AB94" s="36">
        <f t="shared" si="31"/>
        <v>9.1820987654320854E-3</v>
      </c>
      <c r="AC94" s="36">
        <f t="shared" si="31"/>
        <v>4.1280864197530782E-3</v>
      </c>
      <c r="AD94" s="36">
        <f t="shared" si="31"/>
        <v>1.3310185185185164E-2</v>
      </c>
      <c r="AE94" s="36" t="str">
        <f t="shared" si="31"/>
        <v>ER4</v>
      </c>
      <c r="AF94" s="36">
        <f t="shared" si="31"/>
        <v>50</v>
      </c>
      <c r="AG94" s="36" t="str">
        <f t="shared" si="31"/>
        <v>HMO</v>
      </c>
      <c r="AI94">
        <v>80</v>
      </c>
      <c r="AJ94" s="77" t="str">
        <f t="shared" si="19"/>
        <v>MEXICO AEREO</v>
      </c>
      <c r="AK94" s="77">
        <f t="shared" si="19"/>
        <v>2469</v>
      </c>
      <c r="AL94" s="78">
        <v>0.97222222222222221</v>
      </c>
      <c r="AM94" s="79">
        <v>0.98402777777777783</v>
      </c>
      <c r="AN94" s="80">
        <v>1.1805555555555625E-2</v>
      </c>
      <c r="AO94" s="79">
        <v>0.98749999999999993</v>
      </c>
      <c r="AP94" s="80">
        <v>3.4722222222220989E-3</v>
      </c>
      <c r="AQ94" s="81">
        <v>41808</v>
      </c>
      <c r="AR94" s="77" t="str">
        <f t="shared" si="29"/>
        <v>Nacional</v>
      </c>
      <c r="AS94" s="77">
        <f t="shared" si="29"/>
        <v>7.9656862745098277E-3</v>
      </c>
      <c r="AT94" s="77">
        <f t="shared" si="29"/>
        <v>4.9428104575163058E-3</v>
      </c>
      <c r="AU94" s="77">
        <f t="shared" si="29"/>
        <v>1.2908496732026133E-2</v>
      </c>
      <c r="AV94" s="77" t="str">
        <f t="shared" si="29"/>
        <v>ER4</v>
      </c>
      <c r="AW94" s="77">
        <f t="shared" si="29"/>
        <v>50</v>
      </c>
      <c r="AX94" s="77" t="str">
        <f t="shared" si="29"/>
        <v>MID</v>
      </c>
    </row>
    <row r="95" spans="1:50" x14ac:dyDescent="0.25">
      <c r="A95">
        <v>81</v>
      </c>
      <c r="B95" s="36" t="str">
        <f t="shared" si="23"/>
        <v>MEXICO AEREO</v>
      </c>
      <c r="C95" s="36">
        <f t="shared" si="23"/>
        <v>2277</v>
      </c>
      <c r="D95" s="74">
        <v>0.92847222222222225</v>
      </c>
      <c r="E95" s="74">
        <v>0.93472222222222223</v>
      </c>
      <c r="F95" s="75">
        <v>6.2499999999999778E-3</v>
      </c>
      <c r="G95" s="74">
        <v>0.9375</v>
      </c>
      <c r="H95" s="75">
        <v>2.7777777777777679E-3</v>
      </c>
      <c r="I95" s="76">
        <v>41723</v>
      </c>
      <c r="J95" s="36" t="str">
        <f t="shared" si="32"/>
        <v>Nacional</v>
      </c>
      <c r="K95" s="36">
        <f t="shared" si="32"/>
        <v>6.8376068376068558E-3</v>
      </c>
      <c r="L95" s="36">
        <f t="shared" si="32"/>
        <v>3.6324786324786196E-3</v>
      </c>
      <c r="M95" s="36">
        <f t="shared" si="32"/>
        <v>1.0470085470085475E-2</v>
      </c>
      <c r="N95" s="36" t="str">
        <f t="shared" si="32"/>
        <v>ER4</v>
      </c>
      <c r="O95" s="36">
        <f t="shared" si="32"/>
        <v>50</v>
      </c>
      <c r="P95" s="36" t="str">
        <f t="shared" si="32"/>
        <v>HMO</v>
      </c>
      <c r="R95">
        <v>81</v>
      </c>
      <c r="S95" s="36" t="str">
        <f t="shared" si="30"/>
        <v>MEXICO AEREO</v>
      </c>
      <c r="T95" s="36">
        <f t="shared" si="30"/>
        <v>2335</v>
      </c>
      <c r="U95" s="73">
        <v>0.96111111111111114</v>
      </c>
      <c r="V95" s="74">
        <v>0.99652777777777779</v>
      </c>
      <c r="W95" s="75">
        <v>3.5416666666666652E-2</v>
      </c>
      <c r="X95" s="74">
        <v>0.99791666666666667</v>
      </c>
      <c r="Y95" s="75">
        <v>1.388888888888884E-3</v>
      </c>
      <c r="Z95" s="76">
        <v>41740</v>
      </c>
      <c r="AA95" s="36" t="str">
        <f t="shared" si="31"/>
        <v>Nacional</v>
      </c>
      <c r="AB95" s="36">
        <f t="shared" si="31"/>
        <v>9.1820987654320854E-3</v>
      </c>
      <c r="AC95" s="36">
        <f t="shared" si="31"/>
        <v>4.1280864197530782E-3</v>
      </c>
      <c r="AD95" s="36">
        <f t="shared" si="31"/>
        <v>1.3310185185185164E-2</v>
      </c>
      <c r="AE95" s="36" t="str">
        <f t="shared" si="31"/>
        <v>ER4</v>
      </c>
      <c r="AF95" s="36">
        <f t="shared" si="31"/>
        <v>50</v>
      </c>
      <c r="AG95" s="36" t="str">
        <f t="shared" si="31"/>
        <v>HMO</v>
      </c>
      <c r="AI95">
        <v>81</v>
      </c>
      <c r="AJ95" s="77" t="str">
        <f t="shared" si="19"/>
        <v>MEXICO AEREO</v>
      </c>
      <c r="AK95" s="77">
        <f t="shared" si="19"/>
        <v>2469</v>
      </c>
      <c r="AL95" s="78">
        <v>0.96597222222222223</v>
      </c>
      <c r="AM95" s="79">
        <v>0.9770833333333333</v>
      </c>
      <c r="AN95" s="80">
        <v>1.1111111111111072E-2</v>
      </c>
      <c r="AO95" s="79">
        <v>0.98263888888888884</v>
      </c>
      <c r="AP95" s="80">
        <v>5.5555555555555358E-3</v>
      </c>
      <c r="AQ95" s="81">
        <v>41810</v>
      </c>
      <c r="AR95" s="77" t="str">
        <f t="shared" si="29"/>
        <v>Nacional</v>
      </c>
      <c r="AS95" s="77">
        <f t="shared" si="29"/>
        <v>7.9656862745098277E-3</v>
      </c>
      <c r="AT95" s="77">
        <f t="shared" si="29"/>
        <v>4.9428104575163058E-3</v>
      </c>
      <c r="AU95" s="77">
        <f t="shared" si="29"/>
        <v>1.2908496732026133E-2</v>
      </c>
      <c r="AV95" s="77" t="str">
        <f t="shared" si="29"/>
        <v>ER4</v>
      </c>
      <c r="AW95" s="77">
        <f t="shared" si="29"/>
        <v>50</v>
      </c>
      <c r="AX95" s="77" t="str">
        <f t="shared" si="29"/>
        <v>MID</v>
      </c>
    </row>
    <row r="96" spans="1:50" x14ac:dyDescent="0.25">
      <c r="A96">
        <v>82</v>
      </c>
      <c r="B96" s="36" t="str">
        <f t="shared" si="23"/>
        <v>MEXICO AEREO</v>
      </c>
      <c r="C96" s="36">
        <f t="shared" si="23"/>
        <v>2277</v>
      </c>
      <c r="D96" s="74">
        <v>1.0069444444444444</v>
      </c>
      <c r="E96" s="74">
        <v>1.0138888888888888</v>
      </c>
      <c r="F96" s="75">
        <v>6.9444444444444198E-3</v>
      </c>
      <c r="G96" s="74">
        <v>1.0194444444444444</v>
      </c>
      <c r="H96" s="75">
        <v>5.5555555555555358E-3</v>
      </c>
      <c r="I96" s="76">
        <v>41724</v>
      </c>
      <c r="J96" s="36" t="str">
        <f t="shared" si="32"/>
        <v>Nacional</v>
      </c>
      <c r="K96" s="36">
        <f t="shared" si="32"/>
        <v>6.8376068376068558E-3</v>
      </c>
      <c r="L96" s="36">
        <f t="shared" si="32"/>
        <v>3.6324786324786196E-3</v>
      </c>
      <c r="M96" s="36">
        <f t="shared" si="32"/>
        <v>1.0470085470085475E-2</v>
      </c>
      <c r="N96" s="36" t="str">
        <f t="shared" si="32"/>
        <v>ER4</v>
      </c>
      <c r="O96" s="36">
        <f t="shared" si="32"/>
        <v>50</v>
      </c>
      <c r="P96" s="36" t="str">
        <f t="shared" si="32"/>
        <v>HMO</v>
      </c>
      <c r="R96">
        <v>82</v>
      </c>
      <c r="S96" s="36" t="str">
        <f t="shared" si="30"/>
        <v>MEXICO AEREO</v>
      </c>
      <c r="T96" s="36">
        <f t="shared" si="30"/>
        <v>2335</v>
      </c>
      <c r="U96" s="73">
        <v>0.94930555555555562</v>
      </c>
      <c r="V96" s="74">
        <v>0.9590277777777777</v>
      </c>
      <c r="W96" s="75">
        <v>9.7222222222220767E-3</v>
      </c>
      <c r="X96" s="74">
        <v>0.96597222222222223</v>
      </c>
      <c r="Y96" s="75">
        <v>6.9444444444445308E-3</v>
      </c>
      <c r="Z96" s="76">
        <v>41743</v>
      </c>
      <c r="AA96" s="36" t="str">
        <f t="shared" si="31"/>
        <v>Nacional</v>
      </c>
      <c r="AB96" s="36">
        <f t="shared" si="31"/>
        <v>9.1820987654320854E-3</v>
      </c>
      <c r="AC96" s="36">
        <f t="shared" si="31"/>
        <v>4.1280864197530782E-3</v>
      </c>
      <c r="AD96" s="36">
        <f t="shared" si="31"/>
        <v>1.3310185185185164E-2</v>
      </c>
      <c r="AE96" s="36" t="str">
        <f t="shared" si="31"/>
        <v>ER4</v>
      </c>
      <c r="AF96" s="36">
        <f t="shared" si="31"/>
        <v>50</v>
      </c>
      <c r="AG96" s="36" t="str">
        <f t="shared" si="31"/>
        <v>HMO</v>
      </c>
      <c r="AI96">
        <v>82</v>
      </c>
      <c r="AJ96" s="77" t="str">
        <f t="shared" si="19"/>
        <v>MEXICO AEREO</v>
      </c>
      <c r="AK96" s="77">
        <f t="shared" si="19"/>
        <v>2469</v>
      </c>
      <c r="AL96" s="78">
        <v>0.96319444444444446</v>
      </c>
      <c r="AM96" s="79">
        <v>0.97083333333333333</v>
      </c>
      <c r="AN96" s="80">
        <v>7.6388888888888618E-3</v>
      </c>
      <c r="AO96" s="79">
        <v>0.97361111111111109</v>
      </c>
      <c r="AP96" s="80">
        <v>2.7777777777777679E-3</v>
      </c>
      <c r="AQ96" s="81">
        <v>41812</v>
      </c>
      <c r="AR96" s="77" t="str">
        <f t="shared" si="29"/>
        <v>Nacional</v>
      </c>
      <c r="AS96" s="77">
        <f t="shared" si="29"/>
        <v>7.9656862745098277E-3</v>
      </c>
      <c r="AT96" s="77">
        <f t="shared" si="29"/>
        <v>4.9428104575163058E-3</v>
      </c>
      <c r="AU96" s="77">
        <f t="shared" si="29"/>
        <v>1.2908496732026133E-2</v>
      </c>
      <c r="AV96" s="77" t="str">
        <f t="shared" si="29"/>
        <v>ER4</v>
      </c>
      <c r="AW96" s="77">
        <f t="shared" si="29"/>
        <v>50</v>
      </c>
      <c r="AX96" s="77" t="str">
        <f t="shared" si="29"/>
        <v>MID</v>
      </c>
    </row>
    <row r="97" spans="1:50" ht="15.75" thickBot="1" x14ac:dyDescent="0.3">
      <c r="A97">
        <v>83</v>
      </c>
      <c r="B97" s="36" t="str">
        <f t="shared" si="23"/>
        <v>MEXICO AEREO</v>
      </c>
      <c r="C97" s="36">
        <f t="shared" si="23"/>
        <v>2277</v>
      </c>
      <c r="D97" s="74">
        <v>0.98263888888888884</v>
      </c>
      <c r="E97" s="74">
        <v>0.98611111111111116</v>
      </c>
      <c r="F97" s="75">
        <v>3.4722222222223209E-3</v>
      </c>
      <c r="G97" s="74">
        <v>0.9868055555555556</v>
      </c>
      <c r="H97" s="75">
        <v>6.9444444444444198E-4</v>
      </c>
      <c r="I97" s="76">
        <v>41724</v>
      </c>
      <c r="J97" s="36" t="str">
        <f t="shared" si="32"/>
        <v>Nacional</v>
      </c>
      <c r="K97" s="36">
        <f t="shared" si="32"/>
        <v>6.8376068376068558E-3</v>
      </c>
      <c r="L97" s="36">
        <f t="shared" si="32"/>
        <v>3.6324786324786196E-3</v>
      </c>
      <c r="M97" s="36">
        <f t="shared" si="32"/>
        <v>1.0470085470085475E-2</v>
      </c>
      <c r="N97" s="36" t="str">
        <f t="shared" si="32"/>
        <v>ER4</v>
      </c>
      <c r="O97" s="36">
        <f t="shared" si="32"/>
        <v>50</v>
      </c>
      <c r="P97" s="36" t="str">
        <f t="shared" si="32"/>
        <v>HMO</v>
      </c>
      <c r="R97">
        <v>83</v>
      </c>
      <c r="S97" s="36" t="str">
        <f t="shared" si="30"/>
        <v>MEXICO AEREO</v>
      </c>
      <c r="T97" s="36">
        <f t="shared" si="30"/>
        <v>2335</v>
      </c>
      <c r="U97" s="73">
        <v>0.97430555555555554</v>
      </c>
      <c r="V97" s="74">
        <v>0.98263888888888884</v>
      </c>
      <c r="W97" s="75">
        <v>8.3333333333333037E-3</v>
      </c>
      <c r="X97" s="74">
        <v>0.98541666666666661</v>
      </c>
      <c r="Y97" s="75">
        <v>2.7777777777777679E-3</v>
      </c>
      <c r="Z97" s="76">
        <v>41745</v>
      </c>
      <c r="AA97" s="36" t="str">
        <f t="shared" si="31"/>
        <v>Nacional</v>
      </c>
      <c r="AB97" s="36">
        <f t="shared" si="31"/>
        <v>9.1820987654320854E-3</v>
      </c>
      <c r="AC97" s="36">
        <f t="shared" si="31"/>
        <v>4.1280864197530782E-3</v>
      </c>
      <c r="AD97" s="36">
        <f t="shared" si="31"/>
        <v>1.3310185185185164E-2</v>
      </c>
      <c r="AE97" s="36" t="str">
        <f t="shared" si="31"/>
        <v>ER4</v>
      </c>
      <c r="AF97" s="36">
        <f t="shared" si="31"/>
        <v>50</v>
      </c>
      <c r="AG97" s="36" t="str">
        <f t="shared" si="31"/>
        <v>HMO</v>
      </c>
      <c r="AI97">
        <v>83</v>
      </c>
      <c r="AJ97" s="77" t="str">
        <f t="shared" si="19"/>
        <v>MEXICO AEREO</v>
      </c>
      <c r="AK97" s="77">
        <f t="shared" si="19"/>
        <v>2469</v>
      </c>
      <c r="AL97" s="94">
        <v>0.96875</v>
      </c>
      <c r="AM97" s="95">
        <v>0.97638888888888886</v>
      </c>
      <c r="AN97" s="96">
        <v>7.6388888888888618E-3</v>
      </c>
      <c r="AO97" s="95">
        <v>0.98055555555555562</v>
      </c>
      <c r="AP97" s="96">
        <v>4.1666666666667629E-3</v>
      </c>
      <c r="AQ97" s="97">
        <v>41813</v>
      </c>
      <c r="AR97" s="77" t="str">
        <f t="shared" si="29"/>
        <v>Nacional</v>
      </c>
      <c r="AS97" s="77">
        <f t="shared" si="29"/>
        <v>7.9656862745098277E-3</v>
      </c>
      <c r="AT97" s="77">
        <f t="shared" si="29"/>
        <v>4.9428104575163058E-3</v>
      </c>
      <c r="AU97" s="77">
        <f t="shared" si="29"/>
        <v>1.2908496732026133E-2</v>
      </c>
      <c r="AV97" s="77" t="str">
        <f t="shared" si="29"/>
        <v>ER4</v>
      </c>
      <c r="AW97" s="77">
        <f t="shared" si="29"/>
        <v>50</v>
      </c>
      <c r="AX97" s="77" t="str">
        <f t="shared" si="29"/>
        <v>MID</v>
      </c>
    </row>
    <row r="98" spans="1:50" x14ac:dyDescent="0.25">
      <c r="A98">
        <v>84</v>
      </c>
      <c r="B98" s="36" t="str">
        <f t="shared" si="23"/>
        <v>MEXICO AEREO</v>
      </c>
      <c r="C98" s="36">
        <f t="shared" si="23"/>
        <v>2277</v>
      </c>
      <c r="D98" s="74">
        <v>0.98402777777777783</v>
      </c>
      <c r="E98" s="74">
        <v>0.98611111111111116</v>
      </c>
      <c r="F98" s="75">
        <v>2.0833333333333259E-3</v>
      </c>
      <c r="G98" s="74">
        <v>0.9868055555555556</v>
      </c>
      <c r="H98" s="75">
        <v>6.9444444444444198E-4</v>
      </c>
      <c r="I98" s="76">
        <v>41724</v>
      </c>
      <c r="J98" s="36" t="str">
        <f t="shared" si="32"/>
        <v>Nacional</v>
      </c>
      <c r="K98" s="36">
        <f t="shared" si="32"/>
        <v>6.8376068376068558E-3</v>
      </c>
      <c r="L98" s="36">
        <f t="shared" si="32"/>
        <v>3.6324786324786196E-3</v>
      </c>
      <c r="M98" s="36">
        <f t="shared" si="32"/>
        <v>1.0470085470085475E-2</v>
      </c>
      <c r="N98" s="36" t="str">
        <f t="shared" si="32"/>
        <v>ER4</v>
      </c>
      <c r="O98" s="36">
        <f t="shared" si="32"/>
        <v>50</v>
      </c>
      <c r="P98" s="36" t="str">
        <f t="shared" si="32"/>
        <v>HMO</v>
      </c>
      <c r="R98">
        <v>84</v>
      </c>
      <c r="S98" s="36" t="str">
        <f t="shared" si="30"/>
        <v>MEXICO AEREO</v>
      </c>
      <c r="T98" s="36">
        <f t="shared" si="30"/>
        <v>2335</v>
      </c>
      <c r="U98" s="73">
        <v>0.96180555555555547</v>
      </c>
      <c r="V98" s="74">
        <v>0.9784722222222223</v>
      </c>
      <c r="W98" s="75">
        <v>1.6666666666666829E-2</v>
      </c>
      <c r="X98" s="74">
        <v>0.98472222222222217</v>
      </c>
      <c r="Y98" s="75">
        <v>6.2499999999998668E-3</v>
      </c>
      <c r="Z98" s="76">
        <v>41744</v>
      </c>
      <c r="AA98" s="36" t="str">
        <f t="shared" si="31"/>
        <v>Nacional</v>
      </c>
      <c r="AB98" s="36">
        <f t="shared" si="31"/>
        <v>9.1820987654320854E-3</v>
      </c>
      <c r="AC98" s="36">
        <f t="shared" si="31"/>
        <v>4.1280864197530782E-3</v>
      </c>
      <c r="AD98" s="36">
        <f t="shared" si="31"/>
        <v>1.3310185185185164E-2</v>
      </c>
      <c r="AE98" s="36" t="str">
        <f t="shared" si="31"/>
        <v>ER4</v>
      </c>
      <c r="AF98" s="36">
        <f t="shared" si="31"/>
        <v>50</v>
      </c>
      <c r="AG98" s="36" t="str">
        <f t="shared" si="31"/>
        <v>HMO</v>
      </c>
      <c r="AI98">
        <v>84</v>
      </c>
      <c r="AJ98" s="77" t="str">
        <f t="shared" si="19"/>
        <v>MEXICO AEREO</v>
      </c>
      <c r="AK98" s="63">
        <v>2335</v>
      </c>
      <c r="AL98" s="64">
        <v>0.96111111111111114</v>
      </c>
      <c r="AM98" s="65">
        <v>0.97222222222222221</v>
      </c>
      <c r="AN98" s="66">
        <v>1.1111111111111072E-2</v>
      </c>
      <c r="AO98" s="65">
        <v>0.97638888888888886</v>
      </c>
      <c r="AP98" s="66">
        <v>4.1666666666666519E-3</v>
      </c>
      <c r="AQ98" s="67">
        <v>41791</v>
      </c>
      <c r="AR98" s="68" t="s">
        <v>19</v>
      </c>
      <c r="AS98" s="69">
        <v>7.4926900584795526E-3</v>
      </c>
      <c r="AT98" s="70">
        <v>6.7982456140350429E-3</v>
      </c>
      <c r="AU98" s="70">
        <v>1.4290935672514595E-2</v>
      </c>
      <c r="AV98" s="71" t="s">
        <v>20</v>
      </c>
      <c r="AW98" s="71">
        <v>50</v>
      </c>
      <c r="AX98" s="72" t="s">
        <v>27</v>
      </c>
    </row>
    <row r="99" spans="1:50" x14ac:dyDescent="0.25">
      <c r="A99">
        <v>85</v>
      </c>
      <c r="B99" s="36" t="str">
        <f t="shared" si="23"/>
        <v>MEXICO AEREO</v>
      </c>
      <c r="C99" s="36">
        <f t="shared" si="23"/>
        <v>2277</v>
      </c>
      <c r="D99" s="74">
        <v>0.9375</v>
      </c>
      <c r="E99" s="74">
        <v>0.94861111111111107</v>
      </c>
      <c r="F99" s="75">
        <v>1.1111111111111072E-2</v>
      </c>
      <c r="G99" s="74">
        <v>0.95277777777777783</v>
      </c>
      <c r="H99" s="75">
        <v>4.1666666666667629E-3</v>
      </c>
      <c r="I99" s="76">
        <v>41725</v>
      </c>
      <c r="J99" s="36" t="str">
        <f t="shared" si="32"/>
        <v>Nacional</v>
      </c>
      <c r="K99" s="36">
        <f t="shared" si="32"/>
        <v>6.8376068376068558E-3</v>
      </c>
      <c r="L99" s="36">
        <f t="shared" si="32"/>
        <v>3.6324786324786196E-3</v>
      </c>
      <c r="M99" s="36">
        <f t="shared" si="32"/>
        <v>1.0470085470085475E-2</v>
      </c>
      <c r="N99" s="36" t="str">
        <f t="shared" si="32"/>
        <v>ER4</v>
      </c>
      <c r="O99" s="36">
        <f t="shared" si="32"/>
        <v>50</v>
      </c>
      <c r="P99" s="36" t="str">
        <f t="shared" si="32"/>
        <v>HMO</v>
      </c>
      <c r="R99">
        <v>85</v>
      </c>
      <c r="S99" s="36" t="str">
        <f t="shared" si="30"/>
        <v>MEXICO AEREO</v>
      </c>
      <c r="T99" s="36">
        <f t="shared" si="30"/>
        <v>2335</v>
      </c>
      <c r="U99" s="73">
        <v>0.95000000000000007</v>
      </c>
      <c r="V99" s="74">
        <v>0.95624999999999993</v>
      </c>
      <c r="W99" s="75">
        <v>6.2499999999998668E-3</v>
      </c>
      <c r="X99" s="74">
        <v>0.9604166666666667</v>
      </c>
      <c r="Y99" s="75">
        <v>4.1666666666667629E-3</v>
      </c>
      <c r="Z99" s="76">
        <v>41746</v>
      </c>
      <c r="AA99" s="36" t="str">
        <f t="shared" si="31"/>
        <v>Nacional</v>
      </c>
      <c r="AB99" s="36">
        <f t="shared" si="31"/>
        <v>9.1820987654320854E-3</v>
      </c>
      <c r="AC99" s="36">
        <f t="shared" si="31"/>
        <v>4.1280864197530782E-3</v>
      </c>
      <c r="AD99" s="36">
        <f t="shared" si="31"/>
        <v>1.3310185185185164E-2</v>
      </c>
      <c r="AE99" s="36" t="str">
        <f t="shared" si="31"/>
        <v>ER4</v>
      </c>
      <c r="AF99" s="36">
        <f t="shared" si="31"/>
        <v>50</v>
      </c>
      <c r="AG99" s="36" t="str">
        <f t="shared" si="31"/>
        <v>HMO</v>
      </c>
      <c r="AI99">
        <v>85</v>
      </c>
      <c r="AJ99" s="77" t="str">
        <f t="shared" si="19"/>
        <v>MEXICO AEREO</v>
      </c>
      <c r="AK99" s="77">
        <f t="shared" si="19"/>
        <v>2335</v>
      </c>
      <c r="AL99" s="78">
        <v>0.9604166666666667</v>
      </c>
      <c r="AM99" s="79">
        <v>0.97291666666666676</v>
      </c>
      <c r="AN99" s="80">
        <v>1.2500000000000067E-2</v>
      </c>
      <c r="AO99" s="79">
        <v>0.97430555555555554</v>
      </c>
      <c r="AP99" s="80">
        <v>1.3888888888887729E-3</v>
      </c>
      <c r="AQ99" s="81">
        <v>41792</v>
      </c>
      <c r="AR99" s="77" t="str">
        <f t="shared" ref="AR99:AX116" si="33">AR98</f>
        <v>Nacional</v>
      </c>
      <c r="AS99" s="77">
        <f t="shared" si="33"/>
        <v>7.4926900584795526E-3</v>
      </c>
      <c r="AT99" s="77">
        <f t="shared" si="33"/>
        <v>6.7982456140350429E-3</v>
      </c>
      <c r="AU99" s="77">
        <f t="shared" si="33"/>
        <v>1.4290935672514595E-2</v>
      </c>
      <c r="AV99" s="77" t="str">
        <f t="shared" si="33"/>
        <v>ER4</v>
      </c>
      <c r="AW99" s="77">
        <f t="shared" si="33"/>
        <v>50</v>
      </c>
      <c r="AX99" s="77" t="str">
        <f t="shared" si="33"/>
        <v>HMO</v>
      </c>
    </row>
    <row r="100" spans="1:50" x14ac:dyDescent="0.25">
      <c r="A100">
        <v>86</v>
      </c>
      <c r="B100" s="36" t="str">
        <f t="shared" si="23"/>
        <v>MEXICO AEREO</v>
      </c>
      <c r="C100" s="36">
        <f t="shared" si="23"/>
        <v>2277</v>
      </c>
      <c r="D100" s="74">
        <v>0.92083333333333339</v>
      </c>
      <c r="E100" s="74">
        <v>0.9291666666666667</v>
      </c>
      <c r="F100" s="75">
        <v>8.3333333333333037E-3</v>
      </c>
      <c r="G100" s="74">
        <v>0.93263888888888891</v>
      </c>
      <c r="H100" s="75">
        <v>3.4722222222222099E-3</v>
      </c>
      <c r="I100" s="76">
        <v>41726</v>
      </c>
      <c r="J100" s="36" t="str">
        <f t="shared" si="32"/>
        <v>Nacional</v>
      </c>
      <c r="K100" s="36">
        <f t="shared" si="32"/>
        <v>6.8376068376068558E-3</v>
      </c>
      <c r="L100" s="36">
        <f t="shared" si="32"/>
        <v>3.6324786324786196E-3</v>
      </c>
      <c r="M100" s="36">
        <f t="shared" si="32"/>
        <v>1.0470085470085475E-2</v>
      </c>
      <c r="N100" s="36" t="str">
        <f t="shared" si="32"/>
        <v>ER4</v>
      </c>
      <c r="O100" s="36">
        <f t="shared" si="32"/>
        <v>50</v>
      </c>
      <c r="P100" s="36" t="str">
        <f t="shared" si="32"/>
        <v>HMO</v>
      </c>
      <c r="R100">
        <v>86</v>
      </c>
      <c r="S100" s="36" t="str">
        <f t="shared" si="30"/>
        <v>MEXICO AEREO</v>
      </c>
      <c r="T100" s="36">
        <f t="shared" si="30"/>
        <v>2335</v>
      </c>
      <c r="U100" s="73">
        <v>0.96527777777777779</v>
      </c>
      <c r="V100" s="74">
        <v>0.97499999999999998</v>
      </c>
      <c r="W100" s="75">
        <v>9.7222222222221877E-3</v>
      </c>
      <c r="X100" s="74">
        <v>0.97638888888888886</v>
      </c>
      <c r="Y100" s="75">
        <v>1.388888888888884E-3</v>
      </c>
      <c r="Z100" s="76">
        <v>41749</v>
      </c>
      <c r="AA100" s="36" t="str">
        <f t="shared" si="31"/>
        <v>Nacional</v>
      </c>
      <c r="AB100" s="36">
        <f t="shared" si="31"/>
        <v>9.1820987654320854E-3</v>
      </c>
      <c r="AC100" s="36">
        <f t="shared" si="31"/>
        <v>4.1280864197530782E-3</v>
      </c>
      <c r="AD100" s="36">
        <f t="shared" si="31"/>
        <v>1.3310185185185164E-2</v>
      </c>
      <c r="AE100" s="36" t="str">
        <f t="shared" si="31"/>
        <v>ER4</v>
      </c>
      <c r="AF100" s="36">
        <f t="shared" si="31"/>
        <v>50</v>
      </c>
      <c r="AG100" s="36" t="str">
        <f t="shared" si="31"/>
        <v>HMO</v>
      </c>
      <c r="AI100">
        <v>86</v>
      </c>
      <c r="AJ100" s="77" t="str">
        <f t="shared" si="19"/>
        <v>MEXICO AEREO</v>
      </c>
      <c r="AK100" s="77">
        <f t="shared" si="19"/>
        <v>2335</v>
      </c>
      <c r="AL100" s="78">
        <v>0.97499999999999998</v>
      </c>
      <c r="AM100" s="79">
        <v>0.9784722222222223</v>
      </c>
      <c r="AN100" s="80">
        <v>3.4722222222223209E-3</v>
      </c>
      <c r="AO100" s="79">
        <v>0.98263888888888884</v>
      </c>
      <c r="AP100" s="80">
        <v>4.1666666666665408E-3</v>
      </c>
      <c r="AQ100" s="81">
        <v>41793</v>
      </c>
      <c r="AR100" s="77" t="str">
        <f t="shared" si="33"/>
        <v>Nacional</v>
      </c>
      <c r="AS100" s="77">
        <f t="shared" si="33"/>
        <v>7.4926900584795526E-3</v>
      </c>
      <c r="AT100" s="77">
        <f t="shared" si="33"/>
        <v>6.7982456140350429E-3</v>
      </c>
      <c r="AU100" s="77">
        <f t="shared" si="33"/>
        <v>1.4290935672514595E-2</v>
      </c>
      <c r="AV100" s="77" t="str">
        <f t="shared" si="33"/>
        <v>ER4</v>
      </c>
      <c r="AW100" s="77">
        <f t="shared" si="33"/>
        <v>50</v>
      </c>
      <c r="AX100" s="77" t="str">
        <f t="shared" si="33"/>
        <v>HMO</v>
      </c>
    </row>
    <row r="101" spans="1:50" ht="15.75" thickBot="1" x14ac:dyDescent="0.3">
      <c r="A101">
        <v>87</v>
      </c>
      <c r="B101" s="36" t="str">
        <f t="shared" si="23"/>
        <v>MEXICO AEREO</v>
      </c>
      <c r="C101" s="36">
        <f t="shared" si="23"/>
        <v>2277</v>
      </c>
      <c r="D101" s="84">
        <v>0.9375</v>
      </c>
      <c r="E101" s="84">
        <v>0.94444444444444453</v>
      </c>
      <c r="F101" s="85">
        <v>6.9444444444445308E-3</v>
      </c>
      <c r="G101" s="84">
        <v>0.95138888888888884</v>
      </c>
      <c r="H101" s="85">
        <v>6.9444444444443088E-3</v>
      </c>
      <c r="I101" s="86">
        <v>41727</v>
      </c>
      <c r="J101" s="36" t="str">
        <f t="shared" si="32"/>
        <v>Nacional</v>
      </c>
      <c r="K101" s="36">
        <f t="shared" si="32"/>
        <v>6.8376068376068558E-3</v>
      </c>
      <c r="L101" s="36">
        <f t="shared" si="32"/>
        <v>3.6324786324786196E-3</v>
      </c>
      <c r="M101" s="36">
        <f t="shared" si="32"/>
        <v>1.0470085470085475E-2</v>
      </c>
      <c r="N101" s="36" t="str">
        <f t="shared" si="32"/>
        <v>ER4</v>
      </c>
      <c r="O101" s="36">
        <f t="shared" si="32"/>
        <v>50</v>
      </c>
      <c r="P101" s="36" t="str">
        <f t="shared" si="32"/>
        <v>HMO</v>
      </c>
      <c r="R101">
        <v>87</v>
      </c>
      <c r="S101" s="36" t="str">
        <f t="shared" si="30"/>
        <v>MEXICO AEREO</v>
      </c>
      <c r="T101" s="36">
        <f t="shared" si="30"/>
        <v>2335</v>
      </c>
      <c r="U101" s="73">
        <v>0.96458333333333324</v>
      </c>
      <c r="V101" s="74">
        <v>0.96597222222222223</v>
      </c>
      <c r="W101" s="75">
        <v>1.388888888888995E-3</v>
      </c>
      <c r="X101" s="74">
        <v>0.96736111111111101</v>
      </c>
      <c r="Y101" s="75">
        <v>1.3888888888887729E-3</v>
      </c>
      <c r="Z101" s="76">
        <v>41751</v>
      </c>
      <c r="AA101" s="36" t="str">
        <f t="shared" si="31"/>
        <v>Nacional</v>
      </c>
      <c r="AB101" s="36">
        <f t="shared" si="31"/>
        <v>9.1820987654320854E-3</v>
      </c>
      <c r="AC101" s="36">
        <f t="shared" si="31"/>
        <v>4.1280864197530782E-3</v>
      </c>
      <c r="AD101" s="36">
        <f t="shared" si="31"/>
        <v>1.3310185185185164E-2</v>
      </c>
      <c r="AE101" s="36" t="str">
        <f t="shared" si="31"/>
        <v>ER4</v>
      </c>
      <c r="AF101" s="36">
        <f t="shared" si="31"/>
        <v>50</v>
      </c>
      <c r="AG101" s="36" t="str">
        <f t="shared" si="31"/>
        <v>HMO</v>
      </c>
      <c r="AI101">
        <v>87</v>
      </c>
      <c r="AJ101" s="77" t="str">
        <f t="shared" si="19"/>
        <v>MEXICO AEREO</v>
      </c>
      <c r="AK101" s="77">
        <f t="shared" si="19"/>
        <v>2335</v>
      </c>
      <c r="AL101" s="78">
        <v>0.95763888888888893</v>
      </c>
      <c r="AM101" s="79">
        <v>0.96527777777777779</v>
      </c>
      <c r="AN101" s="80">
        <v>7.6388888888888618E-3</v>
      </c>
      <c r="AO101" s="79">
        <v>0.98958333333333337</v>
      </c>
      <c r="AP101" s="80">
        <v>2.430555555555558E-2</v>
      </c>
      <c r="AQ101" s="81">
        <v>41793</v>
      </c>
      <c r="AR101" s="77" t="str">
        <f t="shared" si="33"/>
        <v>Nacional</v>
      </c>
      <c r="AS101" s="77">
        <f t="shared" si="33"/>
        <v>7.4926900584795526E-3</v>
      </c>
      <c r="AT101" s="77">
        <f t="shared" si="33"/>
        <v>6.7982456140350429E-3</v>
      </c>
      <c r="AU101" s="77">
        <f t="shared" si="33"/>
        <v>1.4290935672514595E-2</v>
      </c>
      <c r="AV101" s="77" t="str">
        <f t="shared" si="33"/>
        <v>ER4</v>
      </c>
      <c r="AW101" s="77">
        <f t="shared" si="33"/>
        <v>50</v>
      </c>
      <c r="AX101" s="77" t="str">
        <f t="shared" si="33"/>
        <v>HMO</v>
      </c>
    </row>
    <row r="102" spans="1:50" x14ac:dyDescent="0.25">
      <c r="A102">
        <v>88</v>
      </c>
      <c r="B102" s="36" t="str">
        <f t="shared" si="23"/>
        <v>MEXICO AEREO</v>
      </c>
      <c r="C102" s="88">
        <v>2219</v>
      </c>
      <c r="D102" s="57">
        <v>0.57500000000000007</v>
      </c>
      <c r="E102" s="57">
        <v>0.57708333333333328</v>
      </c>
      <c r="F102" s="58">
        <v>2.0833333333332149E-3</v>
      </c>
      <c r="G102" s="57">
        <v>0.58263888888888882</v>
      </c>
      <c r="H102" s="58">
        <v>5.5555555555555358E-3</v>
      </c>
      <c r="I102" s="59">
        <v>41714</v>
      </c>
      <c r="J102" s="108" t="s">
        <v>19</v>
      </c>
      <c r="K102" s="61">
        <v>5.3819444444444349E-3</v>
      </c>
      <c r="L102" s="61">
        <v>5.1504629629629357E-3</v>
      </c>
      <c r="M102" s="89">
        <v>1.0532407407407371E-2</v>
      </c>
      <c r="N102" s="90" t="s">
        <v>20</v>
      </c>
      <c r="O102" s="91">
        <v>50</v>
      </c>
      <c r="P102" s="92" t="s">
        <v>33</v>
      </c>
      <c r="R102">
        <v>88</v>
      </c>
      <c r="S102" s="36" t="str">
        <f t="shared" si="30"/>
        <v>MEXICO AEREO</v>
      </c>
      <c r="T102" s="36">
        <f t="shared" si="30"/>
        <v>2335</v>
      </c>
      <c r="U102" s="73">
        <v>0.96597222222222223</v>
      </c>
      <c r="V102" s="74">
        <v>0.97638888888888886</v>
      </c>
      <c r="W102" s="75">
        <v>1.041666666666663E-2</v>
      </c>
      <c r="X102" s="74">
        <v>0.98333333333333339</v>
      </c>
      <c r="Y102" s="75">
        <v>6.9444444444445308E-3</v>
      </c>
      <c r="Z102" s="76">
        <v>41753</v>
      </c>
      <c r="AA102" s="36" t="str">
        <f t="shared" si="31"/>
        <v>Nacional</v>
      </c>
      <c r="AB102" s="36">
        <f t="shared" si="31"/>
        <v>9.1820987654320854E-3</v>
      </c>
      <c r="AC102" s="36">
        <f t="shared" si="31"/>
        <v>4.1280864197530782E-3</v>
      </c>
      <c r="AD102" s="36">
        <f t="shared" si="31"/>
        <v>1.3310185185185164E-2</v>
      </c>
      <c r="AE102" s="36" t="str">
        <f t="shared" si="31"/>
        <v>ER4</v>
      </c>
      <c r="AF102" s="36">
        <f t="shared" si="31"/>
        <v>50</v>
      </c>
      <c r="AG102" s="36" t="str">
        <f t="shared" si="31"/>
        <v>HMO</v>
      </c>
      <c r="AI102">
        <v>88</v>
      </c>
      <c r="AJ102" s="77" t="str">
        <f t="shared" si="19"/>
        <v>MEXICO AEREO</v>
      </c>
      <c r="AK102" s="77">
        <f t="shared" si="19"/>
        <v>2335</v>
      </c>
      <c r="AL102" s="78">
        <v>0.96736111111111101</v>
      </c>
      <c r="AM102" s="79">
        <v>0.97013888888888899</v>
      </c>
      <c r="AN102" s="80">
        <v>2.77777777777799E-3</v>
      </c>
      <c r="AO102" s="79">
        <v>0.97430555555555554</v>
      </c>
      <c r="AP102" s="80">
        <v>4.1666666666665408E-3</v>
      </c>
      <c r="AQ102" s="81">
        <v>41794</v>
      </c>
      <c r="AR102" s="77" t="str">
        <f t="shared" si="33"/>
        <v>Nacional</v>
      </c>
      <c r="AS102" s="77">
        <f t="shared" si="33"/>
        <v>7.4926900584795526E-3</v>
      </c>
      <c r="AT102" s="77">
        <f t="shared" si="33"/>
        <v>6.7982456140350429E-3</v>
      </c>
      <c r="AU102" s="77">
        <f t="shared" si="33"/>
        <v>1.4290935672514595E-2</v>
      </c>
      <c r="AV102" s="77" t="str">
        <f t="shared" si="33"/>
        <v>ER4</v>
      </c>
      <c r="AW102" s="77">
        <f t="shared" si="33"/>
        <v>50</v>
      </c>
      <c r="AX102" s="77" t="str">
        <f t="shared" si="33"/>
        <v>HMO</v>
      </c>
    </row>
    <row r="103" spans="1:50" ht="15.75" thickBot="1" x14ac:dyDescent="0.3">
      <c r="A103">
        <v>89</v>
      </c>
      <c r="B103" s="36" t="str">
        <f t="shared" si="23"/>
        <v>MEXICO AEREO</v>
      </c>
      <c r="C103" s="36">
        <f t="shared" si="23"/>
        <v>2219</v>
      </c>
      <c r="D103" s="74">
        <v>0.58611111111111114</v>
      </c>
      <c r="E103" s="74">
        <v>0.59166666666666667</v>
      </c>
      <c r="F103" s="75">
        <v>5.5555555555555358E-3</v>
      </c>
      <c r="G103" s="74">
        <v>0.59930555555555554</v>
      </c>
      <c r="H103" s="75">
        <v>7.6388888888888618E-3</v>
      </c>
      <c r="I103" s="76">
        <v>41715</v>
      </c>
      <c r="J103" s="36" t="str">
        <f t="shared" ref="J103:P113" si="34">J102</f>
        <v>Nacional</v>
      </c>
      <c r="K103" s="36">
        <f t="shared" si="34"/>
        <v>5.3819444444444349E-3</v>
      </c>
      <c r="L103" s="36">
        <f t="shared" si="34"/>
        <v>5.1504629629629357E-3</v>
      </c>
      <c r="M103" s="36">
        <f t="shared" si="34"/>
        <v>1.0532407407407371E-2</v>
      </c>
      <c r="N103" s="36" t="str">
        <f t="shared" si="34"/>
        <v>ER4</v>
      </c>
      <c r="O103" s="36">
        <f t="shared" si="34"/>
        <v>50</v>
      </c>
      <c r="P103" s="36" t="str">
        <f t="shared" si="34"/>
        <v>CUU</v>
      </c>
      <c r="R103">
        <v>89</v>
      </c>
      <c r="S103" s="36" t="str">
        <f t="shared" si="30"/>
        <v>MEXICO AEREO</v>
      </c>
      <c r="T103" s="36">
        <f t="shared" si="30"/>
        <v>2335</v>
      </c>
      <c r="U103" s="73">
        <v>0.95416666666666661</v>
      </c>
      <c r="V103" s="74">
        <v>0.95972222222222225</v>
      </c>
      <c r="W103" s="75">
        <v>5.5555555555556468E-3</v>
      </c>
      <c r="X103" s="74">
        <v>0.96319444444444446</v>
      </c>
      <c r="Y103" s="75">
        <v>3.4722222222222099E-3</v>
      </c>
      <c r="Z103" s="76">
        <v>41757</v>
      </c>
      <c r="AA103" s="36" t="str">
        <f t="shared" si="31"/>
        <v>Nacional</v>
      </c>
      <c r="AB103" s="36">
        <f t="shared" si="31"/>
        <v>9.1820987654320854E-3</v>
      </c>
      <c r="AC103" s="36">
        <f t="shared" si="31"/>
        <v>4.1280864197530782E-3</v>
      </c>
      <c r="AD103" s="36">
        <f t="shared" si="31"/>
        <v>1.3310185185185164E-2</v>
      </c>
      <c r="AE103" s="36" t="str">
        <f t="shared" si="31"/>
        <v>ER4</v>
      </c>
      <c r="AF103" s="36">
        <f t="shared" si="31"/>
        <v>50</v>
      </c>
      <c r="AG103" s="36" t="str">
        <f t="shared" si="31"/>
        <v>HMO</v>
      </c>
      <c r="AI103">
        <v>89</v>
      </c>
      <c r="AJ103" s="77" t="str">
        <f t="shared" si="19"/>
        <v>MEXICO AEREO</v>
      </c>
      <c r="AK103" s="77">
        <f t="shared" si="19"/>
        <v>2335</v>
      </c>
      <c r="AL103" s="78">
        <v>0.95972222222222225</v>
      </c>
      <c r="AM103" s="79">
        <v>0.96875</v>
      </c>
      <c r="AN103" s="80">
        <v>9.0277777777777457E-3</v>
      </c>
      <c r="AO103" s="79">
        <v>0.97083333333333333</v>
      </c>
      <c r="AP103" s="80">
        <v>2.0833333333333259E-3</v>
      </c>
      <c r="AQ103" s="81">
        <v>41795</v>
      </c>
      <c r="AR103" s="77" t="str">
        <f t="shared" si="33"/>
        <v>Nacional</v>
      </c>
      <c r="AS103" s="77">
        <f t="shared" si="33"/>
        <v>7.4926900584795526E-3</v>
      </c>
      <c r="AT103" s="77">
        <f t="shared" si="33"/>
        <v>6.7982456140350429E-3</v>
      </c>
      <c r="AU103" s="77">
        <f t="shared" si="33"/>
        <v>1.4290935672514595E-2</v>
      </c>
      <c r="AV103" s="77" t="str">
        <f t="shared" si="33"/>
        <v>ER4</v>
      </c>
      <c r="AW103" s="77">
        <f t="shared" si="33"/>
        <v>50</v>
      </c>
      <c r="AX103" s="77" t="str">
        <f t="shared" si="33"/>
        <v>HMO</v>
      </c>
    </row>
    <row r="104" spans="1:50" x14ac:dyDescent="0.25">
      <c r="A104">
        <v>90</v>
      </c>
      <c r="B104" s="36" t="str">
        <f t="shared" si="23"/>
        <v>MEXICO AEREO</v>
      </c>
      <c r="C104" s="36">
        <f t="shared" si="23"/>
        <v>2219</v>
      </c>
      <c r="D104" s="74">
        <v>0.59027777777777779</v>
      </c>
      <c r="E104" s="74">
        <v>0.59444444444444444</v>
      </c>
      <c r="F104" s="75">
        <v>4.1666666666666519E-3</v>
      </c>
      <c r="G104" s="74">
        <v>0.59722222222222221</v>
      </c>
      <c r="H104" s="75">
        <v>2.7777777777777679E-3</v>
      </c>
      <c r="I104" s="76">
        <v>41716</v>
      </c>
      <c r="J104" s="36" t="str">
        <f t="shared" si="34"/>
        <v>Nacional</v>
      </c>
      <c r="K104" s="36">
        <f t="shared" si="34"/>
        <v>5.3819444444444349E-3</v>
      </c>
      <c r="L104" s="36">
        <f t="shared" si="34"/>
        <v>5.1504629629629357E-3</v>
      </c>
      <c r="M104" s="36">
        <f t="shared" si="34"/>
        <v>1.0532407407407371E-2</v>
      </c>
      <c r="N104" s="36" t="str">
        <f t="shared" si="34"/>
        <v>ER4</v>
      </c>
      <c r="O104" s="36">
        <f t="shared" si="34"/>
        <v>50</v>
      </c>
      <c r="P104" s="36" t="str">
        <f t="shared" si="34"/>
        <v>CUU</v>
      </c>
      <c r="R104">
        <v>90</v>
      </c>
      <c r="S104" s="36" t="str">
        <f t="shared" si="30"/>
        <v>MEXICO AEREO</v>
      </c>
      <c r="T104" s="36">
        <f t="shared" si="30"/>
        <v>2335</v>
      </c>
      <c r="U104" s="73">
        <v>0.96458333333333324</v>
      </c>
      <c r="V104" s="74">
        <v>0.96875</v>
      </c>
      <c r="W104" s="75">
        <v>4.1666666666667629E-3</v>
      </c>
      <c r="X104" s="74">
        <v>0.97083333333333333</v>
      </c>
      <c r="Y104" s="75">
        <v>2.0833333333333259E-3</v>
      </c>
      <c r="Z104" s="76">
        <v>41759</v>
      </c>
      <c r="AA104" s="36" t="str">
        <f t="shared" si="31"/>
        <v>Nacional</v>
      </c>
      <c r="AB104" s="36">
        <f t="shared" si="31"/>
        <v>9.1820987654320854E-3</v>
      </c>
      <c r="AC104" s="36">
        <f t="shared" si="31"/>
        <v>4.1280864197530782E-3</v>
      </c>
      <c r="AD104" s="36">
        <f t="shared" si="31"/>
        <v>1.3310185185185164E-2</v>
      </c>
      <c r="AE104" s="36" t="str">
        <f t="shared" si="31"/>
        <v>ER4</v>
      </c>
      <c r="AF104" s="36">
        <f t="shared" si="31"/>
        <v>50</v>
      </c>
      <c r="AG104" s="36" t="str">
        <f t="shared" si="31"/>
        <v>HMO</v>
      </c>
      <c r="AI104">
        <v>90</v>
      </c>
      <c r="AJ104" s="63" t="s">
        <v>18</v>
      </c>
      <c r="AK104" s="77">
        <f t="shared" ref="AK104:AK121" si="35">AK103</f>
        <v>2335</v>
      </c>
      <c r="AL104" s="78">
        <v>0.96666666666666667</v>
      </c>
      <c r="AM104" s="79">
        <v>0.97291666666666676</v>
      </c>
      <c r="AN104" s="80">
        <v>6.2500000000000888E-3</v>
      </c>
      <c r="AO104" s="79">
        <v>0.9770833333333333</v>
      </c>
      <c r="AP104" s="80">
        <v>4.1666666666665408E-3</v>
      </c>
      <c r="AQ104" s="81">
        <v>41796</v>
      </c>
      <c r="AR104" s="77" t="str">
        <f t="shared" si="33"/>
        <v>Nacional</v>
      </c>
      <c r="AS104" s="77">
        <f t="shared" si="33"/>
        <v>7.4926900584795526E-3</v>
      </c>
      <c r="AT104" s="77">
        <f t="shared" si="33"/>
        <v>6.7982456140350429E-3</v>
      </c>
      <c r="AU104" s="77">
        <f t="shared" si="33"/>
        <v>1.4290935672514595E-2</v>
      </c>
      <c r="AV104" s="77" t="str">
        <f t="shared" si="33"/>
        <v>ER4</v>
      </c>
      <c r="AW104" s="77">
        <f t="shared" si="33"/>
        <v>50</v>
      </c>
      <c r="AX104" s="77" t="str">
        <f t="shared" si="33"/>
        <v>HMO</v>
      </c>
    </row>
    <row r="105" spans="1:50" ht="15.75" thickBot="1" x14ac:dyDescent="0.3">
      <c r="A105">
        <v>91</v>
      </c>
      <c r="B105" s="36" t="str">
        <f t="shared" si="23"/>
        <v>MEXICO AEREO</v>
      </c>
      <c r="C105" s="36">
        <f t="shared" si="23"/>
        <v>2219</v>
      </c>
      <c r="D105" s="74">
        <v>0.5854166666666667</v>
      </c>
      <c r="E105" s="74">
        <v>0.59097222222222223</v>
      </c>
      <c r="F105" s="75">
        <v>5.5555555555555358E-3</v>
      </c>
      <c r="G105" s="74">
        <v>0.59513888888888888</v>
      </c>
      <c r="H105" s="75">
        <v>4.1666666666666519E-3</v>
      </c>
      <c r="I105" s="76">
        <v>41717</v>
      </c>
      <c r="J105" s="36" t="str">
        <f t="shared" si="34"/>
        <v>Nacional</v>
      </c>
      <c r="K105" s="36">
        <f t="shared" si="34"/>
        <v>5.3819444444444349E-3</v>
      </c>
      <c r="L105" s="36">
        <f t="shared" si="34"/>
        <v>5.1504629629629357E-3</v>
      </c>
      <c r="M105" s="36">
        <f t="shared" si="34"/>
        <v>1.0532407407407371E-2</v>
      </c>
      <c r="N105" s="36" t="str">
        <f t="shared" si="34"/>
        <v>ER4</v>
      </c>
      <c r="O105" s="36">
        <f t="shared" si="34"/>
        <v>50</v>
      </c>
      <c r="P105" s="36" t="str">
        <f t="shared" si="34"/>
        <v>CUU</v>
      </c>
      <c r="R105">
        <v>91</v>
      </c>
      <c r="S105" s="36" t="str">
        <f t="shared" si="30"/>
        <v>MEXICO AEREO</v>
      </c>
      <c r="T105" s="36">
        <f t="shared" si="30"/>
        <v>2335</v>
      </c>
      <c r="U105" s="83">
        <v>0.98611111111111116</v>
      </c>
      <c r="V105" s="84">
        <v>0.99305555555555547</v>
      </c>
      <c r="W105" s="85">
        <v>6.9444444444443088E-3</v>
      </c>
      <c r="X105" s="84">
        <v>0.99791666666666667</v>
      </c>
      <c r="Y105" s="85">
        <v>4.8611111111112049E-3</v>
      </c>
      <c r="Z105" s="86">
        <v>41759</v>
      </c>
      <c r="AA105" s="36" t="str">
        <f t="shared" si="31"/>
        <v>Nacional</v>
      </c>
      <c r="AB105" s="36">
        <f t="shared" si="31"/>
        <v>9.1820987654320854E-3</v>
      </c>
      <c r="AC105" s="36">
        <f t="shared" si="31"/>
        <v>4.1280864197530782E-3</v>
      </c>
      <c r="AD105" s="36">
        <f t="shared" si="31"/>
        <v>1.3310185185185164E-2</v>
      </c>
      <c r="AE105" s="36" t="str">
        <f t="shared" si="31"/>
        <v>ER4</v>
      </c>
      <c r="AF105" s="36">
        <f t="shared" si="31"/>
        <v>50</v>
      </c>
      <c r="AG105" s="36" t="str">
        <f t="shared" si="31"/>
        <v>HMO</v>
      </c>
      <c r="AI105">
        <v>91</v>
      </c>
      <c r="AJ105" s="77" t="str">
        <f t="shared" ref="AJ105:AK151" si="36">AJ104</f>
        <v>MEXICO AEREO</v>
      </c>
      <c r="AK105" s="77">
        <f t="shared" si="35"/>
        <v>2335</v>
      </c>
      <c r="AL105" s="78">
        <v>0.9590277777777777</v>
      </c>
      <c r="AM105" s="79">
        <v>0.97499999999999998</v>
      </c>
      <c r="AN105" s="80">
        <v>1.5972222222222276E-2</v>
      </c>
      <c r="AO105" s="79">
        <v>0.9770833333333333</v>
      </c>
      <c r="AP105" s="80">
        <v>2.0833333333333259E-3</v>
      </c>
      <c r="AQ105" s="81">
        <v>41798</v>
      </c>
      <c r="AR105" s="77" t="str">
        <f t="shared" si="33"/>
        <v>Nacional</v>
      </c>
      <c r="AS105" s="77">
        <f t="shared" si="33"/>
        <v>7.4926900584795526E-3</v>
      </c>
      <c r="AT105" s="77">
        <f t="shared" si="33"/>
        <v>6.7982456140350429E-3</v>
      </c>
      <c r="AU105" s="77">
        <f t="shared" si="33"/>
        <v>1.4290935672514595E-2</v>
      </c>
      <c r="AV105" s="77" t="str">
        <f t="shared" si="33"/>
        <v>ER4</v>
      </c>
      <c r="AW105" s="77">
        <f t="shared" si="33"/>
        <v>50</v>
      </c>
      <c r="AX105" s="77" t="str">
        <f t="shared" si="33"/>
        <v>HMO</v>
      </c>
    </row>
    <row r="106" spans="1:50" x14ac:dyDescent="0.25">
      <c r="A106">
        <v>92</v>
      </c>
      <c r="B106" s="36" t="str">
        <f t="shared" si="23"/>
        <v>MEXICO AEREO</v>
      </c>
      <c r="C106" s="36">
        <f t="shared" si="23"/>
        <v>2219</v>
      </c>
      <c r="D106" s="74">
        <v>0.57361111111111118</v>
      </c>
      <c r="E106" s="74">
        <v>0.57777777777777783</v>
      </c>
      <c r="F106" s="75">
        <v>4.1666666666666519E-3</v>
      </c>
      <c r="G106" s="74">
        <v>0.58611111111111114</v>
      </c>
      <c r="H106" s="75">
        <v>8.3333333333333037E-3</v>
      </c>
      <c r="I106" s="76">
        <v>41718</v>
      </c>
      <c r="J106" s="36" t="str">
        <f t="shared" si="34"/>
        <v>Nacional</v>
      </c>
      <c r="K106" s="36">
        <f t="shared" si="34"/>
        <v>5.3819444444444349E-3</v>
      </c>
      <c r="L106" s="36">
        <f t="shared" si="34"/>
        <v>5.1504629629629357E-3</v>
      </c>
      <c r="M106" s="36">
        <f t="shared" si="34"/>
        <v>1.0532407407407371E-2</v>
      </c>
      <c r="N106" s="36" t="str">
        <f t="shared" si="34"/>
        <v>ER4</v>
      </c>
      <c r="O106" s="36">
        <f t="shared" si="34"/>
        <v>50</v>
      </c>
      <c r="P106" s="36" t="str">
        <f t="shared" si="34"/>
        <v>CUU</v>
      </c>
      <c r="R106">
        <v>92</v>
      </c>
      <c r="S106" s="36" t="str">
        <f t="shared" si="30"/>
        <v>MEXICO AEREO</v>
      </c>
      <c r="T106" s="55">
        <v>2320</v>
      </c>
      <c r="U106" s="56">
        <v>0.50972222222222219</v>
      </c>
      <c r="V106" s="57">
        <v>0.53125</v>
      </c>
      <c r="W106" s="58">
        <v>2.1527777777777812E-2</v>
      </c>
      <c r="X106" s="57">
        <v>0.5395833333333333</v>
      </c>
      <c r="Y106" s="58">
        <v>8.3333333333333037E-3</v>
      </c>
      <c r="Z106" s="59">
        <v>41730</v>
      </c>
      <c r="AA106" s="60" t="s">
        <v>19</v>
      </c>
      <c r="AB106" s="61">
        <v>7.0954106280193274E-3</v>
      </c>
      <c r="AC106" s="61">
        <v>4.71014492753622E-3</v>
      </c>
      <c r="AD106" s="62">
        <v>1.1805555555555548E-2</v>
      </c>
      <c r="AE106" s="109" t="s">
        <v>20</v>
      </c>
      <c r="AF106" s="109">
        <v>50</v>
      </c>
      <c r="AG106" s="109" t="s">
        <v>29</v>
      </c>
      <c r="AI106">
        <v>92</v>
      </c>
      <c r="AJ106" s="77" t="str">
        <f t="shared" si="36"/>
        <v>MEXICO AEREO</v>
      </c>
      <c r="AK106" s="77">
        <f t="shared" si="35"/>
        <v>2335</v>
      </c>
      <c r="AL106" s="78">
        <v>0.96944444444444444</v>
      </c>
      <c r="AM106" s="79">
        <v>0.97291666666666676</v>
      </c>
      <c r="AN106" s="80">
        <v>3.4722222222223209E-3</v>
      </c>
      <c r="AO106" s="79">
        <v>0.97916666666666663</v>
      </c>
      <c r="AP106" s="80">
        <v>6.2499999999998668E-3</v>
      </c>
      <c r="AQ106" s="81">
        <v>41799</v>
      </c>
      <c r="AR106" s="77" t="str">
        <f t="shared" si="33"/>
        <v>Nacional</v>
      </c>
      <c r="AS106" s="77">
        <f t="shared" si="33"/>
        <v>7.4926900584795526E-3</v>
      </c>
      <c r="AT106" s="77">
        <f t="shared" si="33"/>
        <v>6.7982456140350429E-3</v>
      </c>
      <c r="AU106" s="77">
        <f t="shared" si="33"/>
        <v>1.4290935672514595E-2</v>
      </c>
      <c r="AV106" s="77" t="str">
        <f t="shared" si="33"/>
        <v>ER4</v>
      </c>
      <c r="AW106" s="77">
        <f t="shared" si="33"/>
        <v>50</v>
      </c>
      <c r="AX106" s="77" t="str">
        <f t="shared" si="33"/>
        <v>HMO</v>
      </c>
    </row>
    <row r="107" spans="1:50" x14ac:dyDescent="0.25">
      <c r="A107">
        <v>93</v>
      </c>
      <c r="B107" s="36" t="str">
        <f t="shared" si="23"/>
        <v>MEXICO AEREO</v>
      </c>
      <c r="C107" s="36">
        <f t="shared" si="23"/>
        <v>2219</v>
      </c>
      <c r="D107" s="74">
        <v>0.57500000000000007</v>
      </c>
      <c r="E107" s="74">
        <v>0.5805555555555556</v>
      </c>
      <c r="F107" s="75">
        <v>5.5555555555555358E-3</v>
      </c>
      <c r="G107" s="74">
        <v>0.58402777777777781</v>
      </c>
      <c r="H107" s="75">
        <v>3.4722222222222099E-3</v>
      </c>
      <c r="I107" s="76">
        <v>41721</v>
      </c>
      <c r="J107" s="36" t="str">
        <f t="shared" si="34"/>
        <v>Nacional</v>
      </c>
      <c r="K107" s="36">
        <f t="shared" si="34"/>
        <v>5.3819444444444349E-3</v>
      </c>
      <c r="L107" s="36">
        <f t="shared" si="34"/>
        <v>5.1504629629629357E-3</v>
      </c>
      <c r="M107" s="36">
        <f t="shared" si="34"/>
        <v>1.0532407407407371E-2</v>
      </c>
      <c r="N107" s="36" t="str">
        <f t="shared" si="34"/>
        <v>ER4</v>
      </c>
      <c r="O107" s="36">
        <f t="shared" si="34"/>
        <v>50</v>
      </c>
      <c r="P107" s="36" t="str">
        <f t="shared" si="34"/>
        <v>CUU</v>
      </c>
      <c r="R107">
        <v>93</v>
      </c>
      <c r="S107" s="36" t="str">
        <f t="shared" si="30"/>
        <v>MEXICO AEREO</v>
      </c>
      <c r="T107" s="36">
        <f t="shared" si="30"/>
        <v>2320</v>
      </c>
      <c r="U107" s="73">
        <v>0.52847222222222223</v>
      </c>
      <c r="V107" s="74">
        <v>0.53541666666666665</v>
      </c>
      <c r="W107" s="75">
        <v>6.9444444444444198E-3</v>
      </c>
      <c r="X107" s="74">
        <v>0.53749999999999998</v>
      </c>
      <c r="Y107" s="75">
        <v>2.0833333333333259E-3</v>
      </c>
      <c r="Z107" s="76">
        <v>41731</v>
      </c>
      <c r="AA107" s="36" t="str">
        <f t="shared" ref="AA107:AG128" si="37">AA106</f>
        <v>Nacional</v>
      </c>
      <c r="AB107" s="36">
        <f t="shared" si="37"/>
        <v>7.0954106280193274E-3</v>
      </c>
      <c r="AC107" s="36">
        <f t="shared" si="37"/>
        <v>4.71014492753622E-3</v>
      </c>
      <c r="AD107" s="36">
        <f t="shared" si="37"/>
        <v>1.1805555555555548E-2</v>
      </c>
      <c r="AE107" s="36" t="str">
        <f t="shared" si="37"/>
        <v>ER4</v>
      </c>
      <c r="AF107" s="36">
        <f t="shared" si="37"/>
        <v>50</v>
      </c>
      <c r="AG107" s="36" t="str">
        <f t="shared" si="37"/>
        <v>PVR</v>
      </c>
      <c r="AI107">
        <v>93</v>
      </c>
      <c r="AJ107" s="77" t="str">
        <f t="shared" si="36"/>
        <v>MEXICO AEREO</v>
      </c>
      <c r="AK107" s="77">
        <f t="shared" si="35"/>
        <v>2335</v>
      </c>
      <c r="AL107" s="78">
        <v>0.4777777777777778</v>
      </c>
      <c r="AM107" s="79">
        <v>0.48194444444444445</v>
      </c>
      <c r="AN107" s="80">
        <v>4.1666666666666519E-3</v>
      </c>
      <c r="AO107" s="79">
        <v>0.49513888888888885</v>
      </c>
      <c r="AP107" s="80">
        <v>1.3194444444444398E-2</v>
      </c>
      <c r="AQ107" s="81">
        <v>41800</v>
      </c>
      <c r="AR107" s="77" t="str">
        <f t="shared" si="33"/>
        <v>Nacional</v>
      </c>
      <c r="AS107" s="77">
        <f t="shared" si="33"/>
        <v>7.4926900584795526E-3</v>
      </c>
      <c r="AT107" s="77">
        <f t="shared" si="33"/>
        <v>6.7982456140350429E-3</v>
      </c>
      <c r="AU107" s="77">
        <f t="shared" si="33"/>
        <v>1.4290935672514595E-2</v>
      </c>
      <c r="AV107" s="77" t="str">
        <f t="shared" si="33"/>
        <v>ER4</v>
      </c>
      <c r="AW107" s="77">
        <f t="shared" si="33"/>
        <v>50</v>
      </c>
      <c r="AX107" s="77" t="str">
        <f t="shared" si="33"/>
        <v>HMO</v>
      </c>
    </row>
    <row r="108" spans="1:50" x14ac:dyDescent="0.25">
      <c r="A108">
        <v>94</v>
      </c>
      <c r="B108" s="36" t="str">
        <f t="shared" si="23"/>
        <v>MEXICO AEREO</v>
      </c>
      <c r="C108" s="36">
        <f t="shared" si="23"/>
        <v>2219</v>
      </c>
      <c r="D108" s="74">
        <v>0.59166666666666667</v>
      </c>
      <c r="E108" s="74">
        <v>0.59583333333333333</v>
      </c>
      <c r="F108" s="75">
        <v>4.1666666666666519E-3</v>
      </c>
      <c r="G108" s="74">
        <v>0.6</v>
      </c>
      <c r="H108" s="75">
        <v>4.1666666666666519E-3</v>
      </c>
      <c r="I108" s="76">
        <v>41722</v>
      </c>
      <c r="J108" s="36" t="str">
        <f t="shared" si="34"/>
        <v>Nacional</v>
      </c>
      <c r="K108" s="36">
        <f t="shared" si="34"/>
        <v>5.3819444444444349E-3</v>
      </c>
      <c r="L108" s="36">
        <f t="shared" si="34"/>
        <v>5.1504629629629357E-3</v>
      </c>
      <c r="M108" s="36">
        <f t="shared" si="34"/>
        <v>1.0532407407407371E-2</v>
      </c>
      <c r="N108" s="36" t="str">
        <f t="shared" si="34"/>
        <v>ER4</v>
      </c>
      <c r="O108" s="36">
        <f t="shared" si="34"/>
        <v>50</v>
      </c>
      <c r="P108" s="36" t="str">
        <f t="shared" si="34"/>
        <v>CUU</v>
      </c>
      <c r="R108">
        <v>94</v>
      </c>
      <c r="S108" s="36" t="str">
        <f t="shared" si="30"/>
        <v>MEXICO AEREO</v>
      </c>
      <c r="T108" s="36">
        <f t="shared" si="30"/>
        <v>2320</v>
      </c>
      <c r="U108" s="73">
        <v>0.53680555555555554</v>
      </c>
      <c r="V108" s="74">
        <v>0.54236111111111118</v>
      </c>
      <c r="W108" s="75">
        <v>5.5555555555556468E-3</v>
      </c>
      <c r="X108" s="74">
        <v>0.54652777777777783</v>
      </c>
      <c r="Y108" s="75">
        <v>4.1666666666666519E-3</v>
      </c>
      <c r="Z108" s="76">
        <v>41733</v>
      </c>
      <c r="AA108" s="36" t="str">
        <f t="shared" si="37"/>
        <v>Nacional</v>
      </c>
      <c r="AB108" s="36">
        <f t="shared" si="37"/>
        <v>7.0954106280193274E-3</v>
      </c>
      <c r="AC108" s="36">
        <f t="shared" si="37"/>
        <v>4.71014492753622E-3</v>
      </c>
      <c r="AD108" s="36">
        <f t="shared" si="37"/>
        <v>1.1805555555555548E-2</v>
      </c>
      <c r="AE108" s="36" t="str">
        <f t="shared" si="37"/>
        <v>ER4</v>
      </c>
      <c r="AF108" s="36">
        <f t="shared" si="37"/>
        <v>50</v>
      </c>
      <c r="AG108" s="36" t="str">
        <f t="shared" si="37"/>
        <v>PVR</v>
      </c>
      <c r="AI108">
        <v>94</v>
      </c>
      <c r="AJ108" s="77" t="str">
        <f t="shared" si="36"/>
        <v>MEXICO AEREO</v>
      </c>
      <c r="AK108" s="77">
        <f t="shared" si="35"/>
        <v>2335</v>
      </c>
      <c r="AL108" s="78">
        <v>0.52083333333333337</v>
      </c>
      <c r="AM108" s="79">
        <v>0.52847222222222223</v>
      </c>
      <c r="AN108" s="80">
        <v>7.6388888888888618E-3</v>
      </c>
      <c r="AO108" s="79">
        <v>0.53888888888888886</v>
      </c>
      <c r="AP108" s="80">
        <v>1.041666666666663E-2</v>
      </c>
      <c r="AQ108" s="81">
        <v>41801</v>
      </c>
      <c r="AR108" s="77" t="str">
        <f t="shared" si="33"/>
        <v>Nacional</v>
      </c>
      <c r="AS108" s="77">
        <f t="shared" si="33"/>
        <v>7.4926900584795526E-3</v>
      </c>
      <c r="AT108" s="77">
        <f t="shared" si="33"/>
        <v>6.7982456140350429E-3</v>
      </c>
      <c r="AU108" s="77">
        <f t="shared" si="33"/>
        <v>1.4290935672514595E-2</v>
      </c>
      <c r="AV108" s="77" t="str">
        <f t="shared" si="33"/>
        <v>ER4</v>
      </c>
      <c r="AW108" s="77">
        <f t="shared" si="33"/>
        <v>50</v>
      </c>
      <c r="AX108" s="77" t="str">
        <f t="shared" si="33"/>
        <v>HMO</v>
      </c>
    </row>
    <row r="109" spans="1:50" x14ac:dyDescent="0.25">
      <c r="A109">
        <v>95</v>
      </c>
      <c r="B109" s="36" t="str">
        <f t="shared" si="23"/>
        <v>MEXICO AEREO</v>
      </c>
      <c r="C109" s="36">
        <f t="shared" si="23"/>
        <v>2219</v>
      </c>
      <c r="D109" s="74">
        <v>0.66875000000000007</v>
      </c>
      <c r="E109" s="74">
        <v>0.6743055555555556</v>
      </c>
      <c r="F109" s="75">
        <v>5.5555555555555358E-3</v>
      </c>
      <c r="G109" s="74">
        <v>0.68263888888888891</v>
      </c>
      <c r="H109" s="75">
        <v>8.3333333333333037E-3</v>
      </c>
      <c r="I109" s="76">
        <v>41725</v>
      </c>
      <c r="J109" s="36" t="str">
        <f t="shared" si="34"/>
        <v>Nacional</v>
      </c>
      <c r="K109" s="36">
        <f t="shared" si="34"/>
        <v>5.3819444444444349E-3</v>
      </c>
      <c r="L109" s="36">
        <f t="shared" si="34"/>
        <v>5.1504629629629357E-3</v>
      </c>
      <c r="M109" s="36">
        <f t="shared" si="34"/>
        <v>1.0532407407407371E-2</v>
      </c>
      <c r="N109" s="36" t="str">
        <f t="shared" si="34"/>
        <v>ER4</v>
      </c>
      <c r="O109" s="36">
        <f t="shared" si="34"/>
        <v>50</v>
      </c>
      <c r="P109" s="36" t="str">
        <f t="shared" si="34"/>
        <v>CUU</v>
      </c>
      <c r="R109">
        <v>95</v>
      </c>
      <c r="S109" s="36" t="str">
        <f t="shared" si="30"/>
        <v>MEXICO AEREO</v>
      </c>
      <c r="T109" s="36">
        <f t="shared" si="30"/>
        <v>2320</v>
      </c>
      <c r="U109" s="74">
        <v>0.56180555555555556</v>
      </c>
      <c r="V109" s="74">
        <v>0.56597222222222221</v>
      </c>
      <c r="W109" s="75">
        <v>4.1666666666666519E-3</v>
      </c>
      <c r="X109" s="74">
        <v>0.57291666666666663</v>
      </c>
      <c r="Y109" s="75">
        <v>6.9444444444444198E-3</v>
      </c>
      <c r="Z109" s="76">
        <v>41735</v>
      </c>
      <c r="AA109" s="36" t="str">
        <f t="shared" si="37"/>
        <v>Nacional</v>
      </c>
      <c r="AB109" s="36">
        <f t="shared" si="37"/>
        <v>7.0954106280193274E-3</v>
      </c>
      <c r="AC109" s="36">
        <f t="shared" si="37"/>
        <v>4.71014492753622E-3</v>
      </c>
      <c r="AD109" s="36">
        <f t="shared" si="37"/>
        <v>1.1805555555555548E-2</v>
      </c>
      <c r="AE109" s="36" t="str">
        <f t="shared" si="37"/>
        <v>ER4</v>
      </c>
      <c r="AF109" s="36">
        <f t="shared" si="37"/>
        <v>50</v>
      </c>
      <c r="AG109" s="36" t="str">
        <f t="shared" si="37"/>
        <v>PVR</v>
      </c>
      <c r="AI109">
        <v>95</v>
      </c>
      <c r="AJ109" s="77" t="str">
        <f t="shared" si="36"/>
        <v>MEXICO AEREO</v>
      </c>
      <c r="AK109" s="77">
        <f t="shared" si="35"/>
        <v>2335</v>
      </c>
      <c r="AL109" s="78">
        <v>0.57777777777777783</v>
      </c>
      <c r="AM109" s="79">
        <v>0.58194444444444449</v>
      </c>
      <c r="AN109" s="80">
        <v>4.1666666666666519E-3</v>
      </c>
      <c r="AO109" s="79">
        <v>0.59375</v>
      </c>
      <c r="AP109" s="80">
        <v>1.1805555555555514E-2</v>
      </c>
      <c r="AQ109" s="81">
        <v>41802</v>
      </c>
      <c r="AR109" s="77" t="str">
        <f t="shared" si="33"/>
        <v>Nacional</v>
      </c>
      <c r="AS109" s="77">
        <f t="shared" si="33"/>
        <v>7.4926900584795526E-3</v>
      </c>
      <c r="AT109" s="77">
        <f t="shared" si="33"/>
        <v>6.7982456140350429E-3</v>
      </c>
      <c r="AU109" s="77">
        <f t="shared" si="33"/>
        <v>1.4290935672514595E-2</v>
      </c>
      <c r="AV109" s="77" t="str">
        <f t="shared" si="33"/>
        <v>ER4</v>
      </c>
      <c r="AW109" s="77">
        <f t="shared" si="33"/>
        <v>50</v>
      </c>
      <c r="AX109" s="77" t="str">
        <f t="shared" si="33"/>
        <v>HMO</v>
      </c>
    </row>
    <row r="110" spans="1:50" x14ac:dyDescent="0.25">
      <c r="A110">
        <v>96</v>
      </c>
      <c r="B110" s="36" t="str">
        <f t="shared" si="23"/>
        <v>MEXICO AEREO</v>
      </c>
      <c r="C110" s="36">
        <f t="shared" si="23"/>
        <v>2219</v>
      </c>
      <c r="D110" s="74">
        <v>0.61041666666666672</v>
      </c>
      <c r="E110" s="74">
        <v>0.6166666666666667</v>
      </c>
      <c r="F110" s="75">
        <v>6.2499999999999778E-3</v>
      </c>
      <c r="G110" s="74">
        <v>0.62083333333333335</v>
      </c>
      <c r="H110" s="75">
        <v>4.1666666666666519E-3</v>
      </c>
      <c r="I110" s="76">
        <v>41725</v>
      </c>
      <c r="J110" s="36" t="str">
        <f t="shared" si="34"/>
        <v>Nacional</v>
      </c>
      <c r="K110" s="36">
        <f t="shared" si="34"/>
        <v>5.3819444444444349E-3</v>
      </c>
      <c r="L110" s="36">
        <f t="shared" si="34"/>
        <v>5.1504629629629357E-3</v>
      </c>
      <c r="M110" s="36">
        <f t="shared" si="34"/>
        <v>1.0532407407407371E-2</v>
      </c>
      <c r="N110" s="36" t="str">
        <f t="shared" si="34"/>
        <v>ER4</v>
      </c>
      <c r="O110" s="36">
        <f t="shared" si="34"/>
        <v>50</v>
      </c>
      <c r="P110" s="36" t="str">
        <f t="shared" si="34"/>
        <v>CUU</v>
      </c>
      <c r="R110">
        <v>96</v>
      </c>
      <c r="S110" s="36" t="str">
        <f t="shared" si="30"/>
        <v>MEXICO AEREO</v>
      </c>
      <c r="T110" s="36">
        <f t="shared" si="30"/>
        <v>2320</v>
      </c>
      <c r="U110" s="74">
        <v>0.49652777777777773</v>
      </c>
      <c r="V110" s="74">
        <v>0.5</v>
      </c>
      <c r="W110" s="75">
        <v>3.4722222222222654E-3</v>
      </c>
      <c r="X110" s="74">
        <v>0.50347222222222221</v>
      </c>
      <c r="Y110" s="75">
        <v>3.4722222222222099E-3</v>
      </c>
      <c r="Z110" s="76">
        <v>41736</v>
      </c>
      <c r="AA110" s="36" t="str">
        <f t="shared" si="37"/>
        <v>Nacional</v>
      </c>
      <c r="AB110" s="36">
        <f t="shared" si="37"/>
        <v>7.0954106280193274E-3</v>
      </c>
      <c r="AC110" s="36">
        <f t="shared" si="37"/>
        <v>4.71014492753622E-3</v>
      </c>
      <c r="AD110" s="36">
        <f t="shared" si="37"/>
        <v>1.1805555555555548E-2</v>
      </c>
      <c r="AE110" s="36" t="str">
        <f t="shared" si="37"/>
        <v>ER4</v>
      </c>
      <c r="AF110" s="36">
        <f t="shared" si="37"/>
        <v>50</v>
      </c>
      <c r="AG110" s="36" t="str">
        <f t="shared" si="37"/>
        <v>PVR</v>
      </c>
      <c r="AI110">
        <v>96</v>
      </c>
      <c r="AJ110" s="77" t="str">
        <f t="shared" si="36"/>
        <v>MEXICO AEREO</v>
      </c>
      <c r="AK110" s="77">
        <f t="shared" si="35"/>
        <v>2335</v>
      </c>
      <c r="AL110" s="78">
        <v>0.45833333333333331</v>
      </c>
      <c r="AM110" s="79">
        <v>0.46111111111111108</v>
      </c>
      <c r="AN110" s="80">
        <v>2.7777777777777679E-3</v>
      </c>
      <c r="AO110" s="79">
        <v>0.46319444444444446</v>
      </c>
      <c r="AP110" s="80">
        <v>2.0833333333333814E-3</v>
      </c>
      <c r="AQ110" s="81">
        <v>41803</v>
      </c>
      <c r="AR110" s="77" t="str">
        <f t="shared" si="33"/>
        <v>Nacional</v>
      </c>
      <c r="AS110" s="77">
        <f t="shared" si="33"/>
        <v>7.4926900584795526E-3</v>
      </c>
      <c r="AT110" s="77">
        <f t="shared" si="33"/>
        <v>6.7982456140350429E-3</v>
      </c>
      <c r="AU110" s="77">
        <f t="shared" si="33"/>
        <v>1.4290935672514595E-2</v>
      </c>
      <c r="AV110" s="77" t="str">
        <f t="shared" si="33"/>
        <v>ER4</v>
      </c>
      <c r="AW110" s="77">
        <f t="shared" si="33"/>
        <v>50</v>
      </c>
      <c r="AX110" s="77" t="str">
        <f t="shared" si="33"/>
        <v>HMO</v>
      </c>
    </row>
    <row r="111" spans="1:50" x14ac:dyDescent="0.25">
      <c r="A111">
        <v>97</v>
      </c>
      <c r="B111" s="36" t="str">
        <f t="shared" si="23"/>
        <v>MEXICO AEREO</v>
      </c>
      <c r="C111" s="36">
        <f t="shared" si="23"/>
        <v>2219</v>
      </c>
      <c r="D111" s="74">
        <v>0.57430555555555551</v>
      </c>
      <c r="E111" s="74">
        <v>0.57916666666666672</v>
      </c>
      <c r="F111" s="75">
        <v>4.8611111111112049E-3</v>
      </c>
      <c r="G111" s="74">
        <v>0.58750000000000002</v>
      </c>
      <c r="H111" s="75">
        <v>8.3333333333333037E-3</v>
      </c>
      <c r="I111" s="76">
        <v>41726</v>
      </c>
      <c r="J111" s="36" t="str">
        <f t="shared" si="34"/>
        <v>Nacional</v>
      </c>
      <c r="K111" s="36">
        <f t="shared" si="34"/>
        <v>5.3819444444444349E-3</v>
      </c>
      <c r="L111" s="36">
        <f t="shared" si="34"/>
        <v>5.1504629629629357E-3</v>
      </c>
      <c r="M111" s="36">
        <f t="shared" si="34"/>
        <v>1.0532407407407371E-2</v>
      </c>
      <c r="N111" s="36" t="str">
        <f t="shared" si="34"/>
        <v>ER4</v>
      </c>
      <c r="O111" s="36">
        <f t="shared" si="34"/>
        <v>50</v>
      </c>
      <c r="P111" s="36" t="str">
        <f t="shared" si="34"/>
        <v>CUU</v>
      </c>
      <c r="R111">
        <v>97</v>
      </c>
      <c r="S111" s="36" t="str">
        <f t="shared" si="30"/>
        <v>MEXICO AEREO</v>
      </c>
      <c r="T111" s="36">
        <f t="shared" si="30"/>
        <v>2320</v>
      </c>
      <c r="U111" s="74">
        <v>0.50347222222222221</v>
      </c>
      <c r="V111" s="74">
        <v>0.50694444444444442</v>
      </c>
      <c r="W111" s="75">
        <v>3.4722222222222099E-3</v>
      </c>
      <c r="X111" s="74">
        <v>0.50972222222222219</v>
      </c>
      <c r="Y111" s="75">
        <v>2.7777777777777679E-3</v>
      </c>
      <c r="Z111" s="76">
        <v>41737</v>
      </c>
      <c r="AA111" s="36" t="str">
        <f t="shared" si="37"/>
        <v>Nacional</v>
      </c>
      <c r="AB111" s="36">
        <f t="shared" si="37"/>
        <v>7.0954106280193274E-3</v>
      </c>
      <c r="AC111" s="36">
        <f t="shared" si="37"/>
        <v>4.71014492753622E-3</v>
      </c>
      <c r="AD111" s="36">
        <f t="shared" si="37"/>
        <v>1.1805555555555548E-2</v>
      </c>
      <c r="AE111" s="36" t="str">
        <f t="shared" si="37"/>
        <v>ER4</v>
      </c>
      <c r="AF111" s="36">
        <f t="shared" si="37"/>
        <v>50</v>
      </c>
      <c r="AG111" s="36" t="str">
        <f t="shared" si="37"/>
        <v>PVR</v>
      </c>
      <c r="AI111">
        <v>97</v>
      </c>
      <c r="AJ111" s="77" t="str">
        <f t="shared" si="36"/>
        <v>MEXICO AEREO</v>
      </c>
      <c r="AK111" s="77">
        <f t="shared" si="35"/>
        <v>2335</v>
      </c>
      <c r="AL111" s="78">
        <v>0.78472222222222221</v>
      </c>
      <c r="AM111" s="79">
        <v>0.78819444444444453</v>
      </c>
      <c r="AN111" s="80">
        <v>3.4722222222223209E-3</v>
      </c>
      <c r="AO111" s="79">
        <v>0.79166666666666663</v>
      </c>
      <c r="AP111" s="80">
        <v>3.4722222222220989E-3</v>
      </c>
      <c r="AQ111" s="81">
        <v>41805</v>
      </c>
      <c r="AR111" s="77" t="str">
        <f t="shared" si="33"/>
        <v>Nacional</v>
      </c>
      <c r="AS111" s="77">
        <f t="shared" si="33"/>
        <v>7.4926900584795526E-3</v>
      </c>
      <c r="AT111" s="77">
        <f t="shared" si="33"/>
        <v>6.7982456140350429E-3</v>
      </c>
      <c r="AU111" s="77">
        <f t="shared" si="33"/>
        <v>1.4290935672514595E-2</v>
      </c>
      <c r="AV111" s="77" t="str">
        <f t="shared" si="33"/>
        <v>ER4</v>
      </c>
      <c r="AW111" s="77">
        <f t="shared" si="33"/>
        <v>50</v>
      </c>
      <c r="AX111" s="77" t="str">
        <f t="shared" si="33"/>
        <v>HMO</v>
      </c>
    </row>
    <row r="112" spans="1:50" x14ac:dyDescent="0.25">
      <c r="A112">
        <v>98</v>
      </c>
      <c r="B112" s="36" t="str">
        <f t="shared" si="23"/>
        <v>MEXICO AEREO</v>
      </c>
      <c r="C112" s="36">
        <f t="shared" si="23"/>
        <v>2219</v>
      </c>
      <c r="D112" s="74">
        <v>0.57638888888888895</v>
      </c>
      <c r="E112" s="74">
        <v>0.58333333333333337</v>
      </c>
      <c r="F112" s="75">
        <v>6.9444444444444198E-3</v>
      </c>
      <c r="G112" s="74">
        <v>0.58680555555555558</v>
      </c>
      <c r="H112" s="75">
        <v>3.4722222222222099E-3</v>
      </c>
      <c r="I112" s="76">
        <v>41729</v>
      </c>
      <c r="J112" s="36" t="str">
        <f t="shared" si="34"/>
        <v>Nacional</v>
      </c>
      <c r="K112" s="36">
        <f t="shared" si="34"/>
        <v>5.3819444444444349E-3</v>
      </c>
      <c r="L112" s="36">
        <f t="shared" si="34"/>
        <v>5.1504629629629357E-3</v>
      </c>
      <c r="M112" s="36">
        <f t="shared" si="34"/>
        <v>1.0532407407407371E-2</v>
      </c>
      <c r="N112" s="36" t="str">
        <f t="shared" si="34"/>
        <v>ER4</v>
      </c>
      <c r="O112" s="36">
        <f t="shared" si="34"/>
        <v>50</v>
      </c>
      <c r="P112" s="36" t="str">
        <f t="shared" si="34"/>
        <v>CUU</v>
      </c>
      <c r="R112">
        <v>98</v>
      </c>
      <c r="S112" s="36" t="str">
        <f t="shared" si="30"/>
        <v>MEXICO AEREO</v>
      </c>
      <c r="T112" s="36">
        <f t="shared" si="30"/>
        <v>2320</v>
      </c>
      <c r="U112" s="73">
        <v>0.49652777777777773</v>
      </c>
      <c r="V112" s="74">
        <v>0.5</v>
      </c>
      <c r="W112" s="75">
        <v>3.4722222222222654E-3</v>
      </c>
      <c r="X112" s="74">
        <v>0.50347222222222221</v>
      </c>
      <c r="Y112" s="75">
        <v>3.4722222222222099E-3</v>
      </c>
      <c r="Z112" s="76">
        <v>41738</v>
      </c>
      <c r="AA112" s="36" t="str">
        <f t="shared" si="37"/>
        <v>Nacional</v>
      </c>
      <c r="AB112" s="36">
        <f t="shared" si="37"/>
        <v>7.0954106280193274E-3</v>
      </c>
      <c r="AC112" s="36">
        <f t="shared" si="37"/>
        <v>4.71014492753622E-3</v>
      </c>
      <c r="AD112" s="36">
        <f t="shared" si="37"/>
        <v>1.1805555555555548E-2</v>
      </c>
      <c r="AE112" s="36" t="str">
        <f t="shared" si="37"/>
        <v>ER4</v>
      </c>
      <c r="AF112" s="36">
        <f t="shared" si="37"/>
        <v>50</v>
      </c>
      <c r="AG112" s="36" t="str">
        <f t="shared" si="37"/>
        <v>PVR</v>
      </c>
      <c r="AI112">
        <v>98</v>
      </c>
      <c r="AJ112" s="77" t="str">
        <f t="shared" si="36"/>
        <v>MEXICO AEREO</v>
      </c>
      <c r="AK112" s="77">
        <f t="shared" si="35"/>
        <v>2335</v>
      </c>
      <c r="AL112" s="78">
        <v>0.65208333333333335</v>
      </c>
      <c r="AM112" s="79">
        <v>0.66319444444444442</v>
      </c>
      <c r="AN112" s="80">
        <v>1.1111111111111072E-2</v>
      </c>
      <c r="AO112" s="79">
        <v>0.66597222222222219</v>
      </c>
      <c r="AP112" s="80">
        <v>2.7777777777777679E-3</v>
      </c>
      <c r="AQ112" s="81">
        <v>41807</v>
      </c>
      <c r="AR112" s="77" t="str">
        <f t="shared" si="33"/>
        <v>Nacional</v>
      </c>
      <c r="AS112" s="77">
        <f t="shared" si="33"/>
        <v>7.4926900584795526E-3</v>
      </c>
      <c r="AT112" s="77">
        <f t="shared" si="33"/>
        <v>6.7982456140350429E-3</v>
      </c>
      <c r="AU112" s="77">
        <f t="shared" si="33"/>
        <v>1.4290935672514595E-2</v>
      </c>
      <c r="AV112" s="77" t="str">
        <f t="shared" si="33"/>
        <v>ER4</v>
      </c>
      <c r="AW112" s="77">
        <f t="shared" si="33"/>
        <v>50</v>
      </c>
      <c r="AX112" s="77" t="str">
        <f t="shared" si="33"/>
        <v>HMO</v>
      </c>
    </row>
    <row r="113" spans="1:50" ht="15.75" thickBot="1" x14ac:dyDescent="0.3">
      <c r="A113">
        <v>99</v>
      </c>
      <c r="B113" s="36" t="str">
        <f t="shared" si="23"/>
        <v>MEXICO AEREO</v>
      </c>
      <c r="C113" s="36">
        <f t="shared" si="23"/>
        <v>2219</v>
      </c>
      <c r="D113" s="84">
        <v>0.70624999999999993</v>
      </c>
      <c r="E113" s="84">
        <v>0.71597222222222223</v>
      </c>
      <c r="F113" s="85">
        <v>9.7222222222222987E-3</v>
      </c>
      <c r="G113" s="84">
        <v>0.71736111111111101</v>
      </c>
      <c r="H113" s="85">
        <v>1.3888888888887729E-3</v>
      </c>
      <c r="I113" s="86">
        <v>41716</v>
      </c>
      <c r="J113" s="36" t="str">
        <f t="shared" si="34"/>
        <v>Nacional</v>
      </c>
      <c r="K113" s="36">
        <f t="shared" si="34"/>
        <v>5.3819444444444349E-3</v>
      </c>
      <c r="L113" s="36">
        <f t="shared" si="34"/>
        <v>5.1504629629629357E-3</v>
      </c>
      <c r="M113" s="36">
        <f t="shared" si="34"/>
        <v>1.0532407407407371E-2</v>
      </c>
      <c r="N113" s="36" t="str">
        <f t="shared" si="34"/>
        <v>ER4</v>
      </c>
      <c r="O113" s="36">
        <f t="shared" si="34"/>
        <v>50</v>
      </c>
      <c r="P113" s="36" t="str">
        <f t="shared" si="34"/>
        <v>CUU</v>
      </c>
      <c r="R113">
        <v>99</v>
      </c>
      <c r="S113" s="36" t="str">
        <f t="shared" si="30"/>
        <v>MEXICO AEREO</v>
      </c>
      <c r="T113" s="36">
        <f t="shared" si="30"/>
        <v>2320</v>
      </c>
      <c r="U113" s="73">
        <v>0.49513888888888885</v>
      </c>
      <c r="V113" s="74">
        <v>0.50347222222222221</v>
      </c>
      <c r="W113" s="75">
        <v>8.3333333333333592E-3</v>
      </c>
      <c r="X113" s="74">
        <v>0.50694444444444442</v>
      </c>
      <c r="Y113" s="75">
        <v>3.4722222222222099E-3</v>
      </c>
      <c r="Z113" s="76">
        <v>41739</v>
      </c>
      <c r="AA113" s="36" t="str">
        <f t="shared" si="37"/>
        <v>Nacional</v>
      </c>
      <c r="AB113" s="36">
        <f t="shared" si="37"/>
        <v>7.0954106280193274E-3</v>
      </c>
      <c r="AC113" s="36">
        <f t="shared" si="37"/>
        <v>4.71014492753622E-3</v>
      </c>
      <c r="AD113" s="36">
        <f t="shared" si="37"/>
        <v>1.1805555555555548E-2</v>
      </c>
      <c r="AE113" s="36" t="str">
        <f t="shared" si="37"/>
        <v>ER4</v>
      </c>
      <c r="AF113" s="36">
        <f t="shared" si="37"/>
        <v>50</v>
      </c>
      <c r="AG113" s="36" t="str">
        <f t="shared" si="37"/>
        <v>PVR</v>
      </c>
      <c r="AI113">
        <v>99</v>
      </c>
      <c r="AJ113" s="77" t="str">
        <f t="shared" si="36"/>
        <v>MEXICO AEREO</v>
      </c>
      <c r="AK113" s="77">
        <f t="shared" si="35"/>
        <v>2335</v>
      </c>
      <c r="AL113" s="78">
        <v>0.88194444444444453</v>
      </c>
      <c r="AM113" s="79">
        <v>0.88541666666666663</v>
      </c>
      <c r="AN113" s="80">
        <v>3.4722222222220989E-3</v>
      </c>
      <c r="AO113" s="79">
        <v>0.90972222222222221</v>
      </c>
      <c r="AP113" s="80">
        <v>2.430555555555558E-2</v>
      </c>
      <c r="AQ113" s="81">
        <v>41808</v>
      </c>
      <c r="AR113" s="77" t="str">
        <f t="shared" si="33"/>
        <v>Nacional</v>
      </c>
      <c r="AS113" s="77">
        <f t="shared" si="33"/>
        <v>7.4926900584795526E-3</v>
      </c>
      <c r="AT113" s="77">
        <f t="shared" si="33"/>
        <v>6.7982456140350429E-3</v>
      </c>
      <c r="AU113" s="77">
        <f t="shared" si="33"/>
        <v>1.4290935672514595E-2</v>
      </c>
      <c r="AV113" s="77" t="str">
        <f t="shared" si="33"/>
        <v>ER4</v>
      </c>
      <c r="AW113" s="77">
        <f t="shared" si="33"/>
        <v>50</v>
      </c>
      <c r="AX113" s="77" t="str">
        <f t="shared" si="33"/>
        <v>HMO</v>
      </c>
    </row>
    <row r="114" spans="1:50" x14ac:dyDescent="0.25">
      <c r="A114">
        <v>100</v>
      </c>
      <c r="B114" s="36" t="str">
        <f t="shared" si="23"/>
        <v>MEXICO AEREO</v>
      </c>
      <c r="C114" s="88">
        <v>2193</v>
      </c>
      <c r="D114" s="57">
        <v>0.82777777777777783</v>
      </c>
      <c r="E114" s="57">
        <v>0.83472222222222225</v>
      </c>
      <c r="F114" s="58">
        <v>6.9444444444444198E-3</v>
      </c>
      <c r="G114" s="57">
        <v>0.83819444444444446</v>
      </c>
      <c r="H114" s="58">
        <v>3.4722222222222099E-3</v>
      </c>
      <c r="I114" s="59">
        <v>41715</v>
      </c>
      <c r="J114" s="108" t="s">
        <v>19</v>
      </c>
      <c r="K114" s="61">
        <v>6.7708333333333232E-3</v>
      </c>
      <c r="L114" s="61">
        <v>3.7326388888888756E-3</v>
      </c>
      <c r="M114" s="89">
        <v>1.0503472222222199E-2</v>
      </c>
      <c r="N114" s="90" t="s">
        <v>20</v>
      </c>
      <c r="O114" s="91">
        <v>50</v>
      </c>
      <c r="P114" s="92" t="s">
        <v>34</v>
      </c>
      <c r="R114">
        <v>100</v>
      </c>
      <c r="S114" s="36" t="str">
        <f t="shared" si="30"/>
        <v>MEXICO AEREO</v>
      </c>
      <c r="T114" s="36">
        <f t="shared" si="30"/>
        <v>2320</v>
      </c>
      <c r="U114" s="73">
        <v>0.49861111111111112</v>
      </c>
      <c r="V114" s="74">
        <v>0.50347222222222221</v>
      </c>
      <c r="W114" s="75">
        <v>4.8611111111110938E-3</v>
      </c>
      <c r="X114" s="74">
        <v>0.50902777777777775</v>
      </c>
      <c r="Y114" s="75">
        <v>5.5555555555555358E-3</v>
      </c>
      <c r="Z114" s="76">
        <v>41741</v>
      </c>
      <c r="AA114" s="36" t="str">
        <f t="shared" si="37"/>
        <v>Nacional</v>
      </c>
      <c r="AB114" s="36">
        <f t="shared" si="37"/>
        <v>7.0954106280193274E-3</v>
      </c>
      <c r="AC114" s="36">
        <f t="shared" si="37"/>
        <v>4.71014492753622E-3</v>
      </c>
      <c r="AD114" s="36">
        <f t="shared" si="37"/>
        <v>1.1805555555555548E-2</v>
      </c>
      <c r="AE114" s="36" t="str">
        <f t="shared" si="37"/>
        <v>ER4</v>
      </c>
      <c r="AF114" s="36">
        <f t="shared" si="37"/>
        <v>50</v>
      </c>
      <c r="AG114" s="36" t="str">
        <f t="shared" si="37"/>
        <v>PVR</v>
      </c>
      <c r="AI114">
        <v>100</v>
      </c>
      <c r="AJ114" s="77" t="str">
        <f t="shared" si="36"/>
        <v>MEXICO AEREO</v>
      </c>
      <c r="AK114" s="77">
        <f t="shared" si="35"/>
        <v>2335</v>
      </c>
      <c r="AL114" s="78">
        <v>0.98472222222222217</v>
      </c>
      <c r="AM114" s="79">
        <v>0.99097222222222225</v>
      </c>
      <c r="AN114" s="80">
        <v>6.2500000000000888E-3</v>
      </c>
      <c r="AO114" s="79">
        <v>0.99375000000000002</v>
      </c>
      <c r="AP114" s="80">
        <v>2.7777777777777679E-3</v>
      </c>
      <c r="AQ114" s="81">
        <v>41809</v>
      </c>
      <c r="AR114" s="77" t="str">
        <f t="shared" si="33"/>
        <v>Nacional</v>
      </c>
      <c r="AS114" s="77">
        <f t="shared" si="33"/>
        <v>7.4926900584795526E-3</v>
      </c>
      <c r="AT114" s="77">
        <f t="shared" si="33"/>
        <v>6.7982456140350429E-3</v>
      </c>
      <c r="AU114" s="77">
        <f t="shared" si="33"/>
        <v>1.4290935672514595E-2</v>
      </c>
      <c r="AV114" s="77" t="str">
        <f t="shared" si="33"/>
        <v>ER4</v>
      </c>
      <c r="AW114" s="77">
        <f t="shared" si="33"/>
        <v>50</v>
      </c>
      <c r="AX114" s="77" t="str">
        <f t="shared" si="33"/>
        <v>HMO</v>
      </c>
    </row>
    <row r="115" spans="1:50" x14ac:dyDescent="0.25">
      <c r="A115">
        <v>101</v>
      </c>
      <c r="B115" s="36" t="str">
        <f t="shared" si="23"/>
        <v>MEXICO AEREO</v>
      </c>
      <c r="C115" s="36">
        <f t="shared" si="23"/>
        <v>2193</v>
      </c>
      <c r="D115" s="74">
        <v>0.83958333333333324</v>
      </c>
      <c r="E115" s="74">
        <v>0.84236111111111101</v>
      </c>
      <c r="F115" s="75">
        <v>2.7777777777777679E-3</v>
      </c>
      <c r="G115" s="74">
        <v>0.84444444444444444</v>
      </c>
      <c r="H115" s="75">
        <v>2.083333333333437E-3</v>
      </c>
      <c r="I115" s="76">
        <v>41716</v>
      </c>
      <c r="J115" s="36" t="str">
        <f t="shared" ref="J115:P121" si="38">J114</f>
        <v>Nacional</v>
      </c>
      <c r="K115" s="36">
        <f t="shared" si="38"/>
        <v>6.7708333333333232E-3</v>
      </c>
      <c r="L115" s="36">
        <f t="shared" si="38"/>
        <v>3.7326388888888756E-3</v>
      </c>
      <c r="M115" s="36">
        <f t="shared" si="38"/>
        <v>1.0503472222222199E-2</v>
      </c>
      <c r="N115" s="36" t="str">
        <f t="shared" si="38"/>
        <v>ER4</v>
      </c>
      <c r="O115" s="36">
        <f t="shared" si="38"/>
        <v>50</v>
      </c>
      <c r="P115" s="36" t="str">
        <f t="shared" si="38"/>
        <v>TIJ</v>
      </c>
      <c r="R115">
        <v>101</v>
      </c>
      <c r="S115" s="36" t="str">
        <f t="shared" si="30"/>
        <v>MEXICO AEREO</v>
      </c>
      <c r="T115" s="36">
        <f t="shared" si="30"/>
        <v>2320</v>
      </c>
      <c r="U115" s="73">
        <v>0.50972222222222219</v>
      </c>
      <c r="V115" s="74">
        <v>0.53125</v>
      </c>
      <c r="W115" s="75">
        <v>2.1527777777777812E-2</v>
      </c>
      <c r="X115" s="74">
        <v>0.5395833333333333</v>
      </c>
      <c r="Y115" s="75">
        <v>8.3333333333333037E-3</v>
      </c>
      <c r="Z115" s="76">
        <v>41742</v>
      </c>
      <c r="AA115" s="36" t="str">
        <f t="shared" si="37"/>
        <v>Nacional</v>
      </c>
      <c r="AB115" s="36">
        <f t="shared" si="37"/>
        <v>7.0954106280193274E-3</v>
      </c>
      <c r="AC115" s="36">
        <f t="shared" si="37"/>
        <v>4.71014492753622E-3</v>
      </c>
      <c r="AD115" s="36">
        <f t="shared" si="37"/>
        <v>1.1805555555555548E-2</v>
      </c>
      <c r="AE115" s="36" t="str">
        <f t="shared" si="37"/>
        <v>ER4</v>
      </c>
      <c r="AF115" s="36">
        <f t="shared" si="37"/>
        <v>50</v>
      </c>
      <c r="AG115" s="36" t="str">
        <f t="shared" si="37"/>
        <v>PVR</v>
      </c>
      <c r="AI115">
        <v>101</v>
      </c>
      <c r="AJ115" s="77" t="str">
        <f t="shared" si="36"/>
        <v>MEXICO AEREO</v>
      </c>
      <c r="AK115" s="77">
        <f t="shared" si="35"/>
        <v>2335</v>
      </c>
      <c r="AL115" s="78">
        <v>0.97291666666666676</v>
      </c>
      <c r="AM115" s="79">
        <v>0.9916666666666667</v>
      </c>
      <c r="AN115" s="80">
        <v>1.8749999999999933E-2</v>
      </c>
      <c r="AO115" s="79">
        <v>0.99513888888888891</v>
      </c>
      <c r="AP115" s="80">
        <v>3.4722222222222099E-3</v>
      </c>
      <c r="AQ115" s="81">
        <v>41810</v>
      </c>
      <c r="AR115" s="77" t="str">
        <f t="shared" si="33"/>
        <v>Nacional</v>
      </c>
      <c r="AS115" s="77">
        <f t="shared" si="33"/>
        <v>7.4926900584795526E-3</v>
      </c>
      <c r="AT115" s="77">
        <f t="shared" si="33"/>
        <v>6.7982456140350429E-3</v>
      </c>
      <c r="AU115" s="77">
        <f t="shared" si="33"/>
        <v>1.4290935672514595E-2</v>
      </c>
      <c r="AV115" s="77" t="str">
        <f t="shared" si="33"/>
        <v>ER4</v>
      </c>
      <c r="AW115" s="77">
        <f t="shared" si="33"/>
        <v>50</v>
      </c>
      <c r="AX115" s="77" t="str">
        <f t="shared" si="33"/>
        <v>HMO</v>
      </c>
    </row>
    <row r="116" spans="1:50" ht="15.75" thickBot="1" x14ac:dyDescent="0.3">
      <c r="A116">
        <v>102</v>
      </c>
      <c r="B116" s="36" t="str">
        <f t="shared" si="23"/>
        <v>MEXICO AEREO</v>
      </c>
      <c r="C116" s="36">
        <f t="shared" si="23"/>
        <v>2193</v>
      </c>
      <c r="D116" s="74">
        <v>0.84791666666666676</v>
      </c>
      <c r="E116" s="74">
        <v>0.85902777777777783</v>
      </c>
      <c r="F116" s="75">
        <v>1.1111111111111072E-2</v>
      </c>
      <c r="G116" s="74">
        <v>0.86458333333333337</v>
      </c>
      <c r="H116" s="75">
        <v>5.5555555555555358E-3</v>
      </c>
      <c r="I116" s="76">
        <v>41719</v>
      </c>
      <c r="J116" s="36" t="str">
        <f t="shared" si="38"/>
        <v>Nacional</v>
      </c>
      <c r="K116" s="36">
        <f t="shared" si="38"/>
        <v>6.7708333333333232E-3</v>
      </c>
      <c r="L116" s="36">
        <f t="shared" si="38"/>
        <v>3.7326388888888756E-3</v>
      </c>
      <c r="M116" s="36">
        <f t="shared" si="38"/>
        <v>1.0503472222222199E-2</v>
      </c>
      <c r="N116" s="36" t="str">
        <f t="shared" si="38"/>
        <v>ER4</v>
      </c>
      <c r="O116" s="36">
        <f t="shared" si="38"/>
        <v>50</v>
      </c>
      <c r="P116" s="36" t="str">
        <f t="shared" si="38"/>
        <v>TIJ</v>
      </c>
      <c r="R116">
        <v>102</v>
      </c>
      <c r="S116" s="36" t="str">
        <f t="shared" si="30"/>
        <v>MEXICO AEREO</v>
      </c>
      <c r="T116" s="36">
        <f t="shared" si="30"/>
        <v>2320</v>
      </c>
      <c r="U116" s="73">
        <v>0.4916666666666667</v>
      </c>
      <c r="V116" s="74">
        <v>0.49652777777777773</v>
      </c>
      <c r="W116" s="75">
        <v>4.8611111111110383E-3</v>
      </c>
      <c r="X116" s="74">
        <v>0.4993055555555555</v>
      </c>
      <c r="Y116" s="75">
        <v>2.7777777777777679E-3</v>
      </c>
      <c r="Z116" s="76">
        <v>41743</v>
      </c>
      <c r="AA116" s="36" t="str">
        <f t="shared" si="37"/>
        <v>Nacional</v>
      </c>
      <c r="AB116" s="36">
        <f t="shared" si="37"/>
        <v>7.0954106280193274E-3</v>
      </c>
      <c r="AC116" s="36">
        <f t="shared" si="37"/>
        <v>4.71014492753622E-3</v>
      </c>
      <c r="AD116" s="36">
        <f t="shared" si="37"/>
        <v>1.1805555555555548E-2</v>
      </c>
      <c r="AE116" s="36" t="str">
        <f t="shared" si="37"/>
        <v>ER4</v>
      </c>
      <c r="AF116" s="36">
        <f t="shared" si="37"/>
        <v>50</v>
      </c>
      <c r="AG116" s="36" t="str">
        <f t="shared" si="37"/>
        <v>PVR</v>
      </c>
      <c r="AI116">
        <v>102</v>
      </c>
      <c r="AJ116" s="77" t="str">
        <f t="shared" si="36"/>
        <v>MEXICO AEREO</v>
      </c>
      <c r="AK116" s="77">
        <f t="shared" si="35"/>
        <v>2335</v>
      </c>
      <c r="AL116" s="94">
        <v>0.96597222222222223</v>
      </c>
      <c r="AM116" s="95">
        <v>0.97430555555555554</v>
      </c>
      <c r="AN116" s="96">
        <v>8.3333333333333037E-3</v>
      </c>
      <c r="AO116" s="95">
        <v>0.97638888888888886</v>
      </c>
      <c r="AP116" s="96">
        <v>2.0833333333333259E-3</v>
      </c>
      <c r="AQ116" s="97">
        <v>41812</v>
      </c>
      <c r="AR116" s="77" t="str">
        <f t="shared" si="33"/>
        <v>Nacional</v>
      </c>
      <c r="AS116" s="77">
        <f t="shared" si="33"/>
        <v>7.4926900584795526E-3</v>
      </c>
      <c r="AT116" s="77">
        <f t="shared" si="33"/>
        <v>6.7982456140350429E-3</v>
      </c>
      <c r="AU116" s="77">
        <f t="shared" si="33"/>
        <v>1.4290935672514595E-2</v>
      </c>
      <c r="AV116" s="77" t="str">
        <f t="shared" si="33"/>
        <v>ER4</v>
      </c>
      <c r="AW116" s="77">
        <f t="shared" si="33"/>
        <v>50</v>
      </c>
      <c r="AX116" s="77" t="str">
        <f t="shared" si="33"/>
        <v>HMO</v>
      </c>
    </row>
    <row r="117" spans="1:50" x14ac:dyDescent="0.25">
      <c r="A117">
        <v>103</v>
      </c>
      <c r="B117" s="36" t="str">
        <f t="shared" si="23"/>
        <v>MEXICO AEREO</v>
      </c>
      <c r="C117" s="36">
        <f t="shared" si="23"/>
        <v>2193</v>
      </c>
      <c r="D117" s="74">
        <v>0.85</v>
      </c>
      <c r="E117" s="74">
        <v>0.86111111111111116</v>
      </c>
      <c r="F117" s="75">
        <v>1.1111111111111183E-2</v>
      </c>
      <c r="G117" s="74">
        <v>0.8652777777777777</v>
      </c>
      <c r="H117" s="75">
        <v>4.1666666666665408E-3</v>
      </c>
      <c r="I117" s="76">
        <v>41721</v>
      </c>
      <c r="J117" s="36" t="str">
        <f t="shared" si="38"/>
        <v>Nacional</v>
      </c>
      <c r="K117" s="36">
        <f t="shared" si="38"/>
        <v>6.7708333333333232E-3</v>
      </c>
      <c r="L117" s="36">
        <f t="shared" si="38"/>
        <v>3.7326388888888756E-3</v>
      </c>
      <c r="M117" s="36">
        <f t="shared" si="38"/>
        <v>1.0503472222222199E-2</v>
      </c>
      <c r="N117" s="36" t="str">
        <f t="shared" si="38"/>
        <v>ER4</v>
      </c>
      <c r="O117" s="36">
        <f t="shared" si="38"/>
        <v>50</v>
      </c>
      <c r="P117" s="36" t="str">
        <f t="shared" si="38"/>
        <v>TIJ</v>
      </c>
      <c r="R117">
        <v>103</v>
      </c>
      <c r="S117" s="36" t="str">
        <f t="shared" si="30"/>
        <v>MEXICO AEREO</v>
      </c>
      <c r="T117" s="36">
        <f t="shared" si="30"/>
        <v>2320</v>
      </c>
      <c r="U117" s="73">
        <v>0.49791666666666662</v>
      </c>
      <c r="V117" s="74">
        <v>0.50277777777777777</v>
      </c>
      <c r="W117" s="75">
        <v>4.8611111111111494E-3</v>
      </c>
      <c r="X117" s="74">
        <v>0.50694444444444442</v>
      </c>
      <c r="Y117" s="75">
        <v>4.1666666666666519E-3</v>
      </c>
      <c r="Z117" s="76">
        <v>41744</v>
      </c>
      <c r="AA117" s="36" t="str">
        <f t="shared" si="37"/>
        <v>Nacional</v>
      </c>
      <c r="AB117" s="36">
        <f t="shared" si="37"/>
        <v>7.0954106280193274E-3</v>
      </c>
      <c r="AC117" s="36">
        <f t="shared" si="37"/>
        <v>4.71014492753622E-3</v>
      </c>
      <c r="AD117" s="36">
        <f t="shared" si="37"/>
        <v>1.1805555555555548E-2</v>
      </c>
      <c r="AE117" s="36" t="str">
        <f t="shared" si="37"/>
        <v>ER4</v>
      </c>
      <c r="AF117" s="36">
        <f t="shared" si="37"/>
        <v>50</v>
      </c>
      <c r="AG117" s="36" t="str">
        <f t="shared" si="37"/>
        <v>PVR</v>
      </c>
      <c r="AI117">
        <v>103</v>
      </c>
      <c r="AJ117" s="77" t="str">
        <f t="shared" si="36"/>
        <v>MEXICO AEREO</v>
      </c>
      <c r="AK117" s="63">
        <v>2329</v>
      </c>
      <c r="AL117" s="64">
        <v>0.87569444444444444</v>
      </c>
      <c r="AM117" s="65">
        <v>0.88194444444444453</v>
      </c>
      <c r="AN117" s="66">
        <v>6.2500000000000888E-3</v>
      </c>
      <c r="AO117" s="65">
        <v>0.8847222222222223</v>
      </c>
      <c r="AP117" s="66">
        <v>2.7777777777777679E-3</v>
      </c>
      <c r="AQ117" s="67">
        <v>41799</v>
      </c>
      <c r="AR117" s="68" t="s">
        <v>19</v>
      </c>
      <c r="AS117" s="69">
        <v>7.7991452991453053E-3</v>
      </c>
      <c r="AT117" s="70">
        <v>7.8525641025641094E-3</v>
      </c>
      <c r="AU117" s="70">
        <v>1.5651709401709415E-2</v>
      </c>
      <c r="AV117" s="71" t="s">
        <v>20</v>
      </c>
      <c r="AW117" s="71">
        <v>50</v>
      </c>
      <c r="AX117" s="72" t="s">
        <v>28</v>
      </c>
    </row>
    <row r="118" spans="1:50" x14ac:dyDescent="0.25">
      <c r="A118">
        <v>104</v>
      </c>
      <c r="B118" s="36" t="str">
        <f t="shared" si="23"/>
        <v>MEXICO AEREO</v>
      </c>
      <c r="C118" s="36">
        <f t="shared" si="23"/>
        <v>2193</v>
      </c>
      <c r="D118" s="74">
        <v>0.84166666666666667</v>
      </c>
      <c r="E118" s="74">
        <v>0.84652777777777777</v>
      </c>
      <c r="F118" s="75">
        <v>4.8611111111110938E-3</v>
      </c>
      <c r="G118" s="74">
        <v>0.84861111111111109</v>
      </c>
      <c r="H118" s="75">
        <v>2.0833333333333259E-3</v>
      </c>
      <c r="I118" s="76">
        <v>41724</v>
      </c>
      <c r="J118" s="36" t="str">
        <f t="shared" si="38"/>
        <v>Nacional</v>
      </c>
      <c r="K118" s="36">
        <f t="shared" si="38"/>
        <v>6.7708333333333232E-3</v>
      </c>
      <c r="L118" s="36">
        <f t="shared" si="38"/>
        <v>3.7326388888888756E-3</v>
      </c>
      <c r="M118" s="36">
        <f t="shared" si="38"/>
        <v>1.0503472222222199E-2</v>
      </c>
      <c r="N118" s="36" t="str">
        <f t="shared" si="38"/>
        <v>ER4</v>
      </c>
      <c r="O118" s="36">
        <f t="shared" si="38"/>
        <v>50</v>
      </c>
      <c r="P118" s="36" t="str">
        <f t="shared" si="38"/>
        <v>TIJ</v>
      </c>
      <c r="R118">
        <v>104</v>
      </c>
      <c r="S118" s="36" t="str">
        <f t="shared" si="30"/>
        <v>MEXICO AEREO</v>
      </c>
      <c r="T118" s="36">
        <f t="shared" si="30"/>
        <v>2320</v>
      </c>
      <c r="U118" s="73">
        <v>0.4993055555555555</v>
      </c>
      <c r="V118" s="74">
        <v>0.50416666666666665</v>
      </c>
      <c r="W118" s="75">
        <v>4.8611111111111494E-3</v>
      </c>
      <c r="X118" s="74">
        <v>0.50486111111111109</v>
      </c>
      <c r="Y118" s="75">
        <v>6.9444444444444198E-4</v>
      </c>
      <c r="Z118" s="76">
        <v>41745</v>
      </c>
      <c r="AA118" s="36" t="str">
        <f t="shared" si="37"/>
        <v>Nacional</v>
      </c>
      <c r="AB118" s="36">
        <f t="shared" si="37"/>
        <v>7.0954106280193274E-3</v>
      </c>
      <c r="AC118" s="36">
        <f t="shared" si="37"/>
        <v>4.71014492753622E-3</v>
      </c>
      <c r="AD118" s="36">
        <f t="shared" si="37"/>
        <v>1.1805555555555548E-2</v>
      </c>
      <c r="AE118" s="36" t="str">
        <f t="shared" si="37"/>
        <v>ER4</v>
      </c>
      <c r="AF118" s="36">
        <f t="shared" si="37"/>
        <v>50</v>
      </c>
      <c r="AG118" s="36" t="str">
        <f t="shared" si="37"/>
        <v>PVR</v>
      </c>
      <c r="AI118">
        <v>104</v>
      </c>
      <c r="AJ118" s="77" t="str">
        <f t="shared" si="36"/>
        <v>MEXICO AEREO</v>
      </c>
      <c r="AK118" s="77">
        <f t="shared" si="36"/>
        <v>2329</v>
      </c>
      <c r="AL118" s="78">
        <v>0.47500000000000003</v>
      </c>
      <c r="AM118" s="79">
        <v>0.4826388888888889</v>
      </c>
      <c r="AN118" s="80">
        <v>7.6388888888888618E-3</v>
      </c>
      <c r="AO118" s="79">
        <v>0.49374999999999997</v>
      </c>
      <c r="AP118" s="80">
        <v>1.1111111111111072E-2</v>
      </c>
      <c r="AQ118" s="81">
        <v>41800</v>
      </c>
      <c r="AR118" s="77" t="str">
        <f t="shared" ref="AR118:AX129" si="39">AR117</f>
        <v>Nacional</v>
      </c>
      <c r="AS118" s="77">
        <f t="shared" si="39"/>
        <v>7.7991452991453053E-3</v>
      </c>
      <c r="AT118" s="77">
        <f t="shared" si="39"/>
        <v>7.8525641025641094E-3</v>
      </c>
      <c r="AU118" s="77">
        <f t="shared" si="39"/>
        <v>1.5651709401709415E-2</v>
      </c>
      <c r="AV118" s="77" t="str">
        <f t="shared" si="39"/>
        <v>ER4</v>
      </c>
      <c r="AW118" s="77">
        <f t="shared" si="39"/>
        <v>50</v>
      </c>
      <c r="AX118" s="77" t="str">
        <f t="shared" si="39"/>
        <v>MTY</v>
      </c>
    </row>
    <row r="119" spans="1:50" x14ac:dyDescent="0.25">
      <c r="A119">
        <v>105</v>
      </c>
      <c r="B119" s="36" t="str">
        <f t="shared" si="23"/>
        <v>MEXICO AEREO</v>
      </c>
      <c r="C119" s="36">
        <f t="shared" si="23"/>
        <v>2193</v>
      </c>
      <c r="D119" s="74">
        <v>0.84375</v>
      </c>
      <c r="E119" s="74">
        <v>0.84652777777777777</v>
      </c>
      <c r="F119" s="75">
        <v>2.7777777777777679E-3</v>
      </c>
      <c r="G119" s="74">
        <v>0.85277777777777775</v>
      </c>
      <c r="H119" s="75">
        <v>6.2499999999999778E-3</v>
      </c>
      <c r="I119" s="76">
        <v>41724</v>
      </c>
      <c r="J119" s="36" t="str">
        <f t="shared" si="38"/>
        <v>Nacional</v>
      </c>
      <c r="K119" s="36">
        <f t="shared" si="38"/>
        <v>6.7708333333333232E-3</v>
      </c>
      <c r="L119" s="36">
        <f t="shared" si="38"/>
        <v>3.7326388888888756E-3</v>
      </c>
      <c r="M119" s="36">
        <f t="shared" si="38"/>
        <v>1.0503472222222199E-2</v>
      </c>
      <c r="N119" s="36" t="str">
        <f t="shared" si="38"/>
        <v>ER4</v>
      </c>
      <c r="O119" s="36">
        <f t="shared" si="38"/>
        <v>50</v>
      </c>
      <c r="P119" s="36" t="str">
        <f t="shared" si="38"/>
        <v>TIJ</v>
      </c>
      <c r="R119">
        <v>105</v>
      </c>
      <c r="S119" s="36" t="str">
        <f t="shared" si="30"/>
        <v>MEXICO AEREO</v>
      </c>
      <c r="T119" s="36">
        <f t="shared" si="30"/>
        <v>2320</v>
      </c>
      <c r="U119" s="73">
        <v>0.58611111111111114</v>
      </c>
      <c r="V119" s="74">
        <v>0.59513888888888888</v>
      </c>
      <c r="W119" s="75">
        <v>9.0277777777777457E-3</v>
      </c>
      <c r="X119" s="74">
        <v>0.59722222222222221</v>
      </c>
      <c r="Y119" s="75">
        <v>2.0833333333333259E-3</v>
      </c>
      <c r="Z119" s="76">
        <v>41748</v>
      </c>
      <c r="AA119" s="36" t="str">
        <f t="shared" si="37"/>
        <v>Nacional</v>
      </c>
      <c r="AB119" s="36">
        <f t="shared" si="37"/>
        <v>7.0954106280193274E-3</v>
      </c>
      <c r="AC119" s="36">
        <f t="shared" si="37"/>
        <v>4.71014492753622E-3</v>
      </c>
      <c r="AD119" s="36">
        <f t="shared" si="37"/>
        <v>1.1805555555555548E-2</v>
      </c>
      <c r="AE119" s="36" t="str">
        <f t="shared" si="37"/>
        <v>ER4</v>
      </c>
      <c r="AF119" s="36">
        <f t="shared" si="37"/>
        <v>50</v>
      </c>
      <c r="AG119" s="36" t="str">
        <f t="shared" si="37"/>
        <v>PVR</v>
      </c>
      <c r="AI119">
        <v>105</v>
      </c>
      <c r="AJ119" s="77" t="str">
        <f t="shared" si="36"/>
        <v>MEXICO AEREO</v>
      </c>
      <c r="AK119" s="77">
        <f t="shared" si="36"/>
        <v>2329</v>
      </c>
      <c r="AL119" s="78">
        <v>0.53125</v>
      </c>
      <c r="AM119" s="79">
        <v>0.53680555555555554</v>
      </c>
      <c r="AN119" s="80">
        <v>5.5555555555555358E-3</v>
      </c>
      <c r="AO119" s="79">
        <v>0.55208333333333337</v>
      </c>
      <c r="AP119" s="80">
        <v>1.5277777777777835E-2</v>
      </c>
      <c r="AQ119" s="81">
        <v>41801</v>
      </c>
      <c r="AR119" s="77" t="str">
        <f t="shared" si="39"/>
        <v>Nacional</v>
      </c>
      <c r="AS119" s="77">
        <f t="shared" si="39"/>
        <v>7.7991452991453053E-3</v>
      </c>
      <c r="AT119" s="77">
        <f t="shared" si="39"/>
        <v>7.8525641025641094E-3</v>
      </c>
      <c r="AU119" s="77">
        <f t="shared" si="39"/>
        <v>1.5651709401709415E-2</v>
      </c>
      <c r="AV119" s="77" t="str">
        <f t="shared" si="39"/>
        <v>ER4</v>
      </c>
      <c r="AW119" s="77">
        <f t="shared" si="39"/>
        <v>50</v>
      </c>
      <c r="AX119" s="77" t="str">
        <f t="shared" si="39"/>
        <v>MTY</v>
      </c>
    </row>
    <row r="120" spans="1:50" x14ac:dyDescent="0.25">
      <c r="A120">
        <v>106</v>
      </c>
      <c r="B120" s="36" t="str">
        <f t="shared" si="23"/>
        <v>MEXICO AEREO</v>
      </c>
      <c r="C120" s="36">
        <f t="shared" si="23"/>
        <v>2193</v>
      </c>
      <c r="D120" s="74">
        <v>0.85069444444444453</v>
      </c>
      <c r="E120" s="74">
        <v>0.85416666666666663</v>
      </c>
      <c r="F120" s="75">
        <v>3.4722222222220989E-3</v>
      </c>
      <c r="G120" s="74">
        <v>0.85763888888888884</v>
      </c>
      <c r="H120" s="75">
        <v>3.4722222222222099E-3</v>
      </c>
      <c r="I120" s="76">
        <v>41725</v>
      </c>
      <c r="J120" s="36" t="str">
        <f t="shared" si="38"/>
        <v>Nacional</v>
      </c>
      <c r="K120" s="36">
        <f t="shared" si="38"/>
        <v>6.7708333333333232E-3</v>
      </c>
      <c r="L120" s="36">
        <f t="shared" si="38"/>
        <v>3.7326388888888756E-3</v>
      </c>
      <c r="M120" s="36">
        <f t="shared" si="38"/>
        <v>1.0503472222222199E-2</v>
      </c>
      <c r="N120" s="36" t="str">
        <f t="shared" si="38"/>
        <v>ER4</v>
      </c>
      <c r="O120" s="36">
        <f t="shared" si="38"/>
        <v>50</v>
      </c>
      <c r="P120" s="36" t="str">
        <f t="shared" si="38"/>
        <v>TIJ</v>
      </c>
      <c r="R120">
        <v>106</v>
      </c>
      <c r="S120" s="36" t="str">
        <f t="shared" si="30"/>
        <v>MEXICO AEREO</v>
      </c>
      <c r="T120" s="36">
        <f t="shared" si="30"/>
        <v>2320</v>
      </c>
      <c r="U120" s="73">
        <v>0.5083333333333333</v>
      </c>
      <c r="V120" s="74">
        <v>0.50972222222222219</v>
      </c>
      <c r="W120" s="75">
        <v>1.388888888888884E-3</v>
      </c>
      <c r="X120" s="74">
        <v>0.51041666666666663</v>
      </c>
      <c r="Y120" s="75">
        <v>6.9444444444444198E-4</v>
      </c>
      <c r="Z120" s="76">
        <v>41749</v>
      </c>
      <c r="AA120" s="36" t="str">
        <f t="shared" si="37"/>
        <v>Nacional</v>
      </c>
      <c r="AB120" s="36">
        <f t="shared" si="37"/>
        <v>7.0954106280193274E-3</v>
      </c>
      <c r="AC120" s="36">
        <f t="shared" si="37"/>
        <v>4.71014492753622E-3</v>
      </c>
      <c r="AD120" s="36">
        <f t="shared" si="37"/>
        <v>1.1805555555555548E-2</v>
      </c>
      <c r="AE120" s="36" t="str">
        <f t="shared" si="37"/>
        <v>ER4</v>
      </c>
      <c r="AF120" s="36">
        <f t="shared" si="37"/>
        <v>50</v>
      </c>
      <c r="AG120" s="36" t="str">
        <f t="shared" si="37"/>
        <v>PVR</v>
      </c>
      <c r="AI120">
        <v>106</v>
      </c>
      <c r="AJ120" s="77" t="str">
        <f t="shared" si="36"/>
        <v>MEXICO AEREO</v>
      </c>
      <c r="AK120" s="77">
        <f t="shared" si="36"/>
        <v>2329</v>
      </c>
      <c r="AL120" s="78">
        <v>0.5756944444444444</v>
      </c>
      <c r="AM120" s="79">
        <v>0.58194444444444449</v>
      </c>
      <c r="AN120" s="80">
        <v>6.2500000000000888E-3</v>
      </c>
      <c r="AO120" s="79">
        <v>0.59375</v>
      </c>
      <c r="AP120" s="80">
        <v>1.1805555555555514E-2</v>
      </c>
      <c r="AQ120" s="81">
        <v>41802</v>
      </c>
      <c r="AR120" s="77" t="str">
        <f t="shared" si="39"/>
        <v>Nacional</v>
      </c>
      <c r="AS120" s="77">
        <f t="shared" si="39"/>
        <v>7.7991452991453053E-3</v>
      </c>
      <c r="AT120" s="77">
        <f t="shared" si="39"/>
        <v>7.8525641025641094E-3</v>
      </c>
      <c r="AU120" s="77">
        <f t="shared" si="39"/>
        <v>1.5651709401709415E-2</v>
      </c>
      <c r="AV120" s="77" t="str">
        <f t="shared" si="39"/>
        <v>ER4</v>
      </c>
      <c r="AW120" s="77">
        <f t="shared" si="39"/>
        <v>50</v>
      </c>
      <c r="AX120" s="77" t="str">
        <f t="shared" si="39"/>
        <v>MTY</v>
      </c>
    </row>
    <row r="121" spans="1:50" ht="15.75" thickBot="1" x14ac:dyDescent="0.3">
      <c r="A121">
        <v>107</v>
      </c>
      <c r="B121" s="36" t="str">
        <f t="shared" si="23"/>
        <v>MEXICO AEREO</v>
      </c>
      <c r="C121" s="36">
        <f t="shared" si="23"/>
        <v>2193</v>
      </c>
      <c r="D121" s="120">
        <v>0.82916666666666661</v>
      </c>
      <c r="E121" s="120">
        <v>0.84027777777777779</v>
      </c>
      <c r="F121" s="121">
        <v>1.1111111111111183E-2</v>
      </c>
      <c r="G121" s="120">
        <v>0.84305555555555556</v>
      </c>
      <c r="H121" s="121">
        <v>2.7777777777777679E-3</v>
      </c>
      <c r="I121" s="122">
        <v>41726</v>
      </c>
      <c r="J121" s="36" t="str">
        <f t="shared" si="38"/>
        <v>Nacional</v>
      </c>
      <c r="K121" s="36">
        <f t="shared" si="38"/>
        <v>6.7708333333333232E-3</v>
      </c>
      <c r="L121" s="36">
        <f t="shared" si="38"/>
        <v>3.7326388888888756E-3</v>
      </c>
      <c r="M121" s="36">
        <f t="shared" si="38"/>
        <v>1.0503472222222199E-2</v>
      </c>
      <c r="N121" s="36" t="str">
        <f t="shared" si="38"/>
        <v>ER4</v>
      </c>
      <c r="O121" s="36">
        <f t="shared" si="38"/>
        <v>50</v>
      </c>
      <c r="P121" s="36" t="str">
        <f t="shared" si="38"/>
        <v>TIJ</v>
      </c>
      <c r="R121">
        <v>107</v>
      </c>
      <c r="S121" s="36" t="str">
        <f t="shared" si="30"/>
        <v>MEXICO AEREO</v>
      </c>
      <c r="T121" s="36">
        <f t="shared" si="30"/>
        <v>2320</v>
      </c>
      <c r="U121" s="73">
        <v>0.4861111111111111</v>
      </c>
      <c r="V121" s="74">
        <v>0.49374999999999997</v>
      </c>
      <c r="W121" s="75">
        <v>7.6388888888888618E-3</v>
      </c>
      <c r="X121" s="74">
        <v>0.5</v>
      </c>
      <c r="Y121" s="75">
        <v>6.2500000000000333E-3</v>
      </c>
      <c r="Z121" s="76">
        <v>41750</v>
      </c>
      <c r="AA121" s="36" t="str">
        <f t="shared" si="37"/>
        <v>Nacional</v>
      </c>
      <c r="AB121" s="36">
        <f t="shared" si="37"/>
        <v>7.0954106280193274E-3</v>
      </c>
      <c r="AC121" s="36">
        <f t="shared" si="37"/>
        <v>4.71014492753622E-3</v>
      </c>
      <c r="AD121" s="36">
        <f t="shared" si="37"/>
        <v>1.1805555555555548E-2</v>
      </c>
      <c r="AE121" s="36" t="str">
        <f t="shared" si="37"/>
        <v>ER4</v>
      </c>
      <c r="AF121" s="36">
        <f t="shared" si="37"/>
        <v>50</v>
      </c>
      <c r="AG121" s="36" t="str">
        <f t="shared" si="37"/>
        <v>PVR</v>
      </c>
      <c r="AI121">
        <v>107</v>
      </c>
      <c r="AJ121" s="77" t="str">
        <f t="shared" si="36"/>
        <v>MEXICO AEREO</v>
      </c>
      <c r="AK121" s="77">
        <f t="shared" si="36"/>
        <v>2329</v>
      </c>
      <c r="AL121" s="78">
        <v>0.63402777777777775</v>
      </c>
      <c r="AM121" s="79">
        <v>0.64236111111111105</v>
      </c>
      <c r="AN121" s="80">
        <v>8.3333333333333037E-3</v>
      </c>
      <c r="AO121" s="79">
        <v>0.64583333333333337</v>
      </c>
      <c r="AP121" s="80">
        <v>3.4722222222223209E-3</v>
      </c>
      <c r="AQ121" s="81">
        <v>41804</v>
      </c>
      <c r="AR121" s="77" t="str">
        <f t="shared" si="39"/>
        <v>Nacional</v>
      </c>
      <c r="AS121" s="77">
        <f t="shared" si="39"/>
        <v>7.7991452991453053E-3</v>
      </c>
      <c r="AT121" s="77">
        <f t="shared" si="39"/>
        <v>7.8525641025641094E-3</v>
      </c>
      <c r="AU121" s="77">
        <f t="shared" si="39"/>
        <v>1.5651709401709415E-2</v>
      </c>
      <c r="AV121" s="77" t="str">
        <f t="shared" si="39"/>
        <v>ER4</v>
      </c>
      <c r="AW121" s="77">
        <f t="shared" si="39"/>
        <v>50</v>
      </c>
      <c r="AX121" s="77" t="str">
        <f t="shared" si="39"/>
        <v>MTY</v>
      </c>
    </row>
    <row r="122" spans="1:50" x14ac:dyDescent="0.25">
      <c r="A122">
        <v>108</v>
      </c>
      <c r="B122" s="123" t="s">
        <v>18</v>
      </c>
      <c r="C122" s="124">
        <v>2185</v>
      </c>
      <c r="D122" s="57">
        <v>0.88541666666666663</v>
      </c>
      <c r="E122" s="57">
        <v>0.8881944444444444</v>
      </c>
      <c r="F122" s="58">
        <v>2.7777777777777679E-3</v>
      </c>
      <c r="G122" s="57">
        <v>0.89583333333333337</v>
      </c>
      <c r="H122" s="58">
        <v>7.6388888888889728E-3</v>
      </c>
      <c r="I122" s="59">
        <v>41713</v>
      </c>
      <c r="J122" s="59" t="s">
        <v>19</v>
      </c>
      <c r="K122" s="57">
        <v>5.803571428571408E-3</v>
      </c>
      <c r="L122" s="57">
        <v>8.928571428571461E-3</v>
      </c>
      <c r="M122" s="89">
        <v>1.4732142857142869E-2</v>
      </c>
      <c r="N122" s="90" t="s">
        <v>20</v>
      </c>
      <c r="O122" s="91">
        <v>50</v>
      </c>
      <c r="P122" s="92" t="s">
        <v>34</v>
      </c>
      <c r="R122">
        <v>108</v>
      </c>
      <c r="S122" s="36" t="str">
        <f t="shared" si="30"/>
        <v>MEXICO AEREO</v>
      </c>
      <c r="T122" s="36">
        <f t="shared" si="30"/>
        <v>2320</v>
      </c>
      <c r="U122" s="73">
        <v>0.49722222222222223</v>
      </c>
      <c r="V122" s="74">
        <v>0.50277777777777777</v>
      </c>
      <c r="W122" s="75">
        <v>5.5555555555555358E-3</v>
      </c>
      <c r="X122" s="74">
        <v>0.50902777777777775</v>
      </c>
      <c r="Y122" s="75">
        <v>6.2499999999999778E-3</v>
      </c>
      <c r="Z122" s="76">
        <v>41751</v>
      </c>
      <c r="AA122" s="36" t="str">
        <f t="shared" si="37"/>
        <v>Nacional</v>
      </c>
      <c r="AB122" s="36">
        <f t="shared" si="37"/>
        <v>7.0954106280193274E-3</v>
      </c>
      <c r="AC122" s="36">
        <f t="shared" si="37"/>
        <v>4.71014492753622E-3</v>
      </c>
      <c r="AD122" s="36">
        <f t="shared" si="37"/>
        <v>1.1805555555555548E-2</v>
      </c>
      <c r="AE122" s="36" t="str">
        <f t="shared" si="37"/>
        <v>ER4</v>
      </c>
      <c r="AF122" s="36">
        <f t="shared" si="37"/>
        <v>50</v>
      </c>
      <c r="AG122" s="36" t="str">
        <f t="shared" si="37"/>
        <v>PVR</v>
      </c>
      <c r="AI122">
        <v>108</v>
      </c>
      <c r="AJ122" s="77" t="str">
        <f t="shared" si="36"/>
        <v>MEXICO AEREO</v>
      </c>
      <c r="AK122" s="77">
        <f t="shared" si="36"/>
        <v>2329</v>
      </c>
      <c r="AL122" s="78">
        <v>0.77708333333333324</v>
      </c>
      <c r="AM122" s="79">
        <v>0.78749999999999998</v>
      </c>
      <c r="AN122" s="80">
        <v>1.0416666666666741E-2</v>
      </c>
      <c r="AO122" s="79">
        <v>0.79236111111111107</v>
      </c>
      <c r="AP122" s="80">
        <v>4.8611111111110938E-3</v>
      </c>
      <c r="AQ122" s="81">
        <v>41805</v>
      </c>
      <c r="AR122" s="77" t="str">
        <f t="shared" si="39"/>
        <v>Nacional</v>
      </c>
      <c r="AS122" s="77">
        <f t="shared" si="39"/>
        <v>7.7991452991453053E-3</v>
      </c>
      <c r="AT122" s="77">
        <f t="shared" si="39"/>
        <v>7.8525641025641094E-3</v>
      </c>
      <c r="AU122" s="77">
        <f t="shared" si="39"/>
        <v>1.5651709401709415E-2</v>
      </c>
      <c r="AV122" s="77" t="str">
        <f t="shared" si="39"/>
        <v>ER4</v>
      </c>
      <c r="AW122" s="77">
        <f t="shared" si="39"/>
        <v>50</v>
      </c>
      <c r="AX122" s="77" t="str">
        <f t="shared" si="39"/>
        <v>MTY</v>
      </c>
    </row>
    <row r="123" spans="1:50" x14ac:dyDescent="0.25">
      <c r="A123">
        <v>109</v>
      </c>
      <c r="B123" s="36" t="str">
        <f t="shared" ref="B123:C174" si="40">B122</f>
        <v>MEXICO AEREO</v>
      </c>
      <c r="C123" s="36">
        <f t="shared" si="40"/>
        <v>2185</v>
      </c>
      <c r="D123" s="74">
        <v>0.8979166666666667</v>
      </c>
      <c r="E123" s="74">
        <v>0.90347222222222223</v>
      </c>
      <c r="F123" s="75">
        <v>5.5555555555555358E-3</v>
      </c>
      <c r="G123" s="74">
        <v>0.90625</v>
      </c>
      <c r="H123" s="75">
        <v>2.7777777777777679E-3</v>
      </c>
      <c r="I123" s="76">
        <v>41715</v>
      </c>
      <c r="J123" s="36" t="str">
        <f t="shared" ref="J123:P135" si="41">J122</f>
        <v>Nacional</v>
      </c>
      <c r="K123" s="36">
        <f t="shared" si="41"/>
        <v>5.803571428571408E-3</v>
      </c>
      <c r="L123" s="36">
        <f t="shared" si="41"/>
        <v>8.928571428571461E-3</v>
      </c>
      <c r="M123" s="36">
        <f t="shared" si="41"/>
        <v>1.4732142857142869E-2</v>
      </c>
      <c r="N123" s="36" t="str">
        <f t="shared" si="41"/>
        <v>ER4</v>
      </c>
      <c r="O123" s="36">
        <f t="shared" si="41"/>
        <v>50</v>
      </c>
      <c r="P123" s="36" t="str">
        <f t="shared" si="41"/>
        <v>TIJ</v>
      </c>
      <c r="R123">
        <v>109</v>
      </c>
      <c r="S123" s="36" t="str">
        <f t="shared" si="30"/>
        <v>MEXICO AEREO</v>
      </c>
      <c r="T123" s="36">
        <f t="shared" si="30"/>
        <v>2320</v>
      </c>
      <c r="U123" s="73">
        <v>0.49861111111111112</v>
      </c>
      <c r="V123" s="74">
        <v>0.50208333333333333</v>
      </c>
      <c r="W123" s="75">
        <v>3.4722222222222099E-3</v>
      </c>
      <c r="X123" s="74">
        <v>0.50902777777777775</v>
      </c>
      <c r="Y123" s="75">
        <v>6.9444444444444198E-3</v>
      </c>
      <c r="Z123" s="76">
        <v>41753</v>
      </c>
      <c r="AA123" s="36" t="str">
        <f t="shared" si="37"/>
        <v>Nacional</v>
      </c>
      <c r="AB123" s="36">
        <f t="shared" si="37"/>
        <v>7.0954106280193274E-3</v>
      </c>
      <c r="AC123" s="36">
        <f t="shared" si="37"/>
        <v>4.71014492753622E-3</v>
      </c>
      <c r="AD123" s="36">
        <f t="shared" si="37"/>
        <v>1.1805555555555548E-2</v>
      </c>
      <c r="AE123" s="36" t="str">
        <f t="shared" si="37"/>
        <v>ER4</v>
      </c>
      <c r="AF123" s="36">
        <f t="shared" si="37"/>
        <v>50</v>
      </c>
      <c r="AG123" s="36" t="str">
        <f t="shared" si="37"/>
        <v>PVR</v>
      </c>
      <c r="AI123">
        <v>109</v>
      </c>
      <c r="AJ123" s="77" t="str">
        <f t="shared" si="36"/>
        <v>MEXICO AEREO</v>
      </c>
      <c r="AK123" s="77">
        <f t="shared" si="36"/>
        <v>2329</v>
      </c>
      <c r="AL123" s="78">
        <v>0.92986111111111114</v>
      </c>
      <c r="AM123" s="79">
        <v>0.94444444444444453</v>
      </c>
      <c r="AN123" s="80">
        <v>1.4583333333333393E-2</v>
      </c>
      <c r="AO123" s="79">
        <v>0.95833333333333337</v>
      </c>
      <c r="AP123" s="80">
        <v>1.388888888888884E-2</v>
      </c>
      <c r="AQ123" s="81">
        <v>41806</v>
      </c>
      <c r="AR123" s="77" t="str">
        <f t="shared" si="39"/>
        <v>Nacional</v>
      </c>
      <c r="AS123" s="77">
        <f t="shared" si="39"/>
        <v>7.7991452991453053E-3</v>
      </c>
      <c r="AT123" s="77">
        <f t="shared" si="39"/>
        <v>7.8525641025641094E-3</v>
      </c>
      <c r="AU123" s="77">
        <f t="shared" si="39"/>
        <v>1.5651709401709415E-2</v>
      </c>
      <c r="AV123" s="77" t="str">
        <f t="shared" si="39"/>
        <v>ER4</v>
      </c>
      <c r="AW123" s="77">
        <f t="shared" si="39"/>
        <v>50</v>
      </c>
      <c r="AX123" s="77" t="str">
        <f t="shared" si="39"/>
        <v>MTY</v>
      </c>
    </row>
    <row r="124" spans="1:50" x14ac:dyDescent="0.25">
      <c r="A124">
        <v>110</v>
      </c>
      <c r="B124" s="36" t="str">
        <f t="shared" si="40"/>
        <v>MEXICO AEREO</v>
      </c>
      <c r="C124" s="36">
        <f t="shared" si="40"/>
        <v>2185</v>
      </c>
      <c r="D124" s="74">
        <v>0.91666666666666663</v>
      </c>
      <c r="E124" s="74">
        <v>0.92361111111111116</v>
      </c>
      <c r="F124" s="75">
        <v>6.9444444444445308E-3</v>
      </c>
      <c r="G124" s="74">
        <v>0.92708333333333337</v>
      </c>
      <c r="H124" s="75">
        <v>3.4722222222222099E-3</v>
      </c>
      <c r="I124" s="76">
        <v>41716</v>
      </c>
      <c r="J124" s="36" t="str">
        <f t="shared" si="41"/>
        <v>Nacional</v>
      </c>
      <c r="K124" s="36">
        <f t="shared" si="41"/>
        <v>5.803571428571408E-3</v>
      </c>
      <c r="L124" s="36">
        <f t="shared" si="41"/>
        <v>8.928571428571461E-3</v>
      </c>
      <c r="M124" s="36">
        <f t="shared" si="41"/>
        <v>1.4732142857142869E-2</v>
      </c>
      <c r="N124" s="36" t="str">
        <f t="shared" si="41"/>
        <v>ER4</v>
      </c>
      <c r="O124" s="36">
        <f t="shared" si="41"/>
        <v>50</v>
      </c>
      <c r="P124" s="36" t="str">
        <f t="shared" si="41"/>
        <v>TIJ</v>
      </c>
      <c r="R124">
        <v>110</v>
      </c>
      <c r="S124" s="36" t="str">
        <f t="shared" si="30"/>
        <v>MEXICO AEREO</v>
      </c>
      <c r="T124" s="36">
        <f t="shared" si="30"/>
        <v>2320</v>
      </c>
      <c r="U124" s="73">
        <v>0.49027777777777781</v>
      </c>
      <c r="V124" s="74">
        <v>0.49513888888888885</v>
      </c>
      <c r="W124" s="75">
        <v>4.8611111111110383E-3</v>
      </c>
      <c r="X124" s="74">
        <v>0.50208333333333333</v>
      </c>
      <c r="Y124" s="75">
        <v>6.9444444444444753E-3</v>
      </c>
      <c r="Z124" s="76">
        <v>41754</v>
      </c>
      <c r="AA124" s="36" t="str">
        <f t="shared" si="37"/>
        <v>Nacional</v>
      </c>
      <c r="AB124" s="36">
        <f t="shared" si="37"/>
        <v>7.0954106280193274E-3</v>
      </c>
      <c r="AC124" s="36">
        <f t="shared" si="37"/>
        <v>4.71014492753622E-3</v>
      </c>
      <c r="AD124" s="36">
        <f t="shared" si="37"/>
        <v>1.1805555555555548E-2</v>
      </c>
      <c r="AE124" s="36" t="str">
        <f t="shared" si="37"/>
        <v>ER4</v>
      </c>
      <c r="AF124" s="36">
        <f t="shared" si="37"/>
        <v>50</v>
      </c>
      <c r="AG124" s="36" t="str">
        <f t="shared" si="37"/>
        <v>PVR</v>
      </c>
      <c r="AI124">
        <v>110</v>
      </c>
      <c r="AJ124" s="77" t="str">
        <f t="shared" si="36"/>
        <v>MEXICO AEREO</v>
      </c>
      <c r="AK124" s="77">
        <f t="shared" si="36"/>
        <v>2329</v>
      </c>
      <c r="AL124" s="78">
        <v>0.68472222222222223</v>
      </c>
      <c r="AM124" s="79">
        <v>0.6958333333333333</v>
      </c>
      <c r="AN124" s="80">
        <v>1.1111111111111072E-2</v>
      </c>
      <c r="AO124" s="79">
        <v>0.70208333333333339</v>
      </c>
      <c r="AP124" s="80">
        <v>6.2500000000000888E-3</v>
      </c>
      <c r="AQ124" s="81">
        <v>41807</v>
      </c>
      <c r="AR124" s="77" t="str">
        <f t="shared" si="39"/>
        <v>Nacional</v>
      </c>
      <c r="AS124" s="77">
        <f t="shared" si="39"/>
        <v>7.7991452991453053E-3</v>
      </c>
      <c r="AT124" s="77">
        <f t="shared" si="39"/>
        <v>7.8525641025641094E-3</v>
      </c>
      <c r="AU124" s="77">
        <f t="shared" si="39"/>
        <v>1.5651709401709415E-2</v>
      </c>
      <c r="AV124" s="77" t="str">
        <f t="shared" si="39"/>
        <v>ER4</v>
      </c>
      <c r="AW124" s="77">
        <f t="shared" si="39"/>
        <v>50</v>
      </c>
      <c r="AX124" s="77" t="str">
        <f t="shared" si="39"/>
        <v>MTY</v>
      </c>
    </row>
    <row r="125" spans="1:50" x14ac:dyDescent="0.25">
      <c r="A125">
        <v>111</v>
      </c>
      <c r="B125" s="36" t="str">
        <f t="shared" si="40"/>
        <v>MEXICO AEREO</v>
      </c>
      <c r="C125" s="36">
        <f t="shared" si="40"/>
        <v>2185</v>
      </c>
      <c r="D125" s="74">
        <v>0.89236111111111116</v>
      </c>
      <c r="E125" s="74">
        <v>0.92013888888888884</v>
      </c>
      <c r="F125" s="75">
        <v>2.7777777777777679E-2</v>
      </c>
      <c r="G125" s="74">
        <v>0.94444444444444453</v>
      </c>
      <c r="H125" s="75">
        <v>2.4305555555555691E-2</v>
      </c>
      <c r="I125" s="76">
        <v>41719</v>
      </c>
      <c r="J125" s="36" t="str">
        <f t="shared" si="41"/>
        <v>Nacional</v>
      </c>
      <c r="K125" s="36">
        <f t="shared" si="41"/>
        <v>5.803571428571408E-3</v>
      </c>
      <c r="L125" s="36">
        <f t="shared" si="41"/>
        <v>8.928571428571461E-3</v>
      </c>
      <c r="M125" s="36">
        <f t="shared" si="41"/>
        <v>1.4732142857142869E-2</v>
      </c>
      <c r="N125" s="36" t="str">
        <f t="shared" si="41"/>
        <v>ER4</v>
      </c>
      <c r="O125" s="36">
        <f t="shared" si="41"/>
        <v>50</v>
      </c>
      <c r="P125" s="36" t="str">
        <f t="shared" si="41"/>
        <v>TIJ</v>
      </c>
      <c r="R125">
        <v>111</v>
      </c>
      <c r="S125" s="36" t="str">
        <f t="shared" si="30"/>
        <v>MEXICO AEREO</v>
      </c>
      <c r="T125" s="36">
        <f t="shared" si="30"/>
        <v>2320</v>
      </c>
      <c r="U125" s="73">
        <v>0.5</v>
      </c>
      <c r="V125" s="74">
        <v>0.50416666666666665</v>
      </c>
      <c r="W125" s="75">
        <v>4.1666666666666519E-3</v>
      </c>
      <c r="X125" s="74">
        <v>0.50902777777777775</v>
      </c>
      <c r="Y125" s="75">
        <v>4.8611111111110938E-3</v>
      </c>
      <c r="Z125" s="76">
        <v>41756</v>
      </c>
      <c r="AA125" s="36" t="str">
        <f t="shared" si="37"/>
        <v>Nacional</v>
      </c>
      <c r="AB125" s="36">
        <f t="shared" si="37"/>
        <v>7.0954106280193274E-3</v>
      </c>
      <c r="AC125" s="36">
        <f t="shared" si="37"/>
        <v>4.71014492753622E-3</v>
      </c>
      <c r="AD125" s="36">
        <f t="shared" si="37"/>
        <v>1.1805555555555548E-2</v>
      </c>
      <c r="AE125" s="36" t="str">
        <f t="shared" si="37"/>
        <v>ER4</v>
      </c>
      <c r="AF125" s="36">
        <f t="shared" si="37"/>
        <v>50</v>
      </c>
      <c r="AG125" s="36" t="str">
        <f t="shared" si="37"/>
        <v>PVR</v>
      </c>
      <c r="AI125">
        <v>111</v>
      </c>
      <c r="AJ125" s="77" t="str">
        <f t="shared" si="36"/>
        <v>MEXICO AEREO</v>
      </c>
      <c r="AK125" s="77">
        <f t="shared" si="36"/>
        <v>2329</v>
      </c>
      <c r="AL125" s="78">
        <v>0.87847222222222221</v>
      </c>
      <c r="AM125" s="79">
        <v>0.8833333333333333</v>
      </c>
      <c r="AN125" s="80">
        <v>4.8611111111110938E-3</v>
      </c>
      <c r="AO125" s="79">
        <v>0.89236111111111116</v>
      </c>
      <c r="AP125" s="80">
        <v>9.0277777777778567E-3</v>
      </c>
      <c r="AQ125" s="81">
        <v>41808</v>
      </c>
      <c r="AR125" s="77" t="str">
        <f t="shared" si="39"/>
        <v>Nacional</v>
      </c>
      <c r="AS125" s="77">
        <f t="shared" si="39"/>
        <v>7.7991452991453053E-3</v>
      </c>
      <c r="AT125" s="77">
        <f t="shared" si="39"/>
        <v>7.8525641025641094E-3</v>
      </c>
      <c r="AU125" s="77">
        <f t="shared" si="39"/>
        <v>1.5651709401709415E-2</v>
      </c>
      <c r="AV125" s="77" t="str">
        <f t="shared" si="39"/>
        <v>ER4</v>
      </c>
      <c r="AW125" s="77">
        <f t="shared" si="39"/>
        <v>50</v>
      </c>
      <c r="AX125" s="77" t="str">
        <f t="shared" si="39"/>
        <v>MTY</v>
      </c>
    </row>
    <row r="126" spans="1:50" x14ac:dyDescent="0.25">
      <c r="A126">
        <v>112</v>
      </c>
      <c r="B126" s="36" t="str">
        <f t="shared" si="40"/>
        <v>MEXICO AEREO</v>
      </c>
      <c r="C126" s="36">
        <f t="shared" si="40"/>
        <v>2185</v>
      </c>
      <c r="D126" s="74">
        <v>0.89861111111111114</v>
      </c>
      <c r="E126" s="74">
        <v>0.90347222222222223</v>
      </c>
      <c r="F126" s="75">
        <v>4.8611111111110938E-3</v>
      </c>
      <c r="G126" s="74">
        <v>0.90763888888888899</v>
      </c>
      <c r="H126" s="75">
        <v>4.1666666666667629E-3</v>
      </c>
      <c r="I126" s="76">
        <v>41721</v>
      </c>
      <c r="J126" s="36" t="str">
        <f t="shared" si="41"/>
        <v>Nacional</v>
      </c>
      <c r="K126" s="36">
        <f t="shared" si="41"/>
        <v>5.803571428571408E-3</v>
      </c>
      <c r="L126" s="36">
        <f t="shared" si="41"/>
        <v>8.928571428571461E-3</v>
      </c>
      <c r="M126" s="36">
        <f t="shared" si="41"/>
        <v>1.4732142857142869E-2</v>
      </c>
      <c r="N126" s="36" t="str">
        <f t="shared" si="41"/>
        <v>ER4</v>
      </c>
      <c r="O126" s="36">
        <f t="shared" si="41"/>
        <v>50</v>
      </c>
      <c r="P126" s="36" t="str">
        <f t="shared" si="41"/>
        <v>TIJ</v>
      </c>
      <c r="R126">
        <v>112</v>
      </c>
      <c r="S126" s="36" t="str">
        <f t="shared" si="30"/>
        <v>MEXICO AEREO</v>
      </c>
      <c r="T126" s="36">
        <f t="shared" si="30"/>
        <v>2320</v>
      </c>
      <c r="U126" s="73">
        <v>0.49861111111111112</v>
      </c>
      <c r="V126" s="74">
        <v>0.50138888888888888</v>
      </c>
      <c r="W126" s="75">
        <v>2.7777777777777679E-3</v>
      </c>
      <c r="X126" s="74">
        <v>0.50694444444444442</v>
      </c>
      <c r="Y126" s="75">
        <v>5.5555555555555358E-3</v>
      </c>
      <c r="Z126" s="76">
        <v>41757</v>
      </c>
      <c r="AA126" s="36" t="str">
        <f t="shared" si="37"/>
        <v>Nacional</v>
      </c>
      <c r="AB126" s="36">
        <f t="shared" si="37"/>
        <v>7.0954106280193274E-3</v>
      </c>
      <c r="AC126" s="36">
        <f t="shared" si="37"/>
        <v>4.71014492753622E-3</v>
      </c>
      <c r="AD126" s="36">
        <f t="shared" si="37"/>
        <v>1.1805555555555548E-2</v>
      </c>
      <c r="AE126" s="36" t="str">
        <f t="shared" si="37"/>
        <v>ER4</v>
      </c>
      <c r="AF126" s="36">
        <f t="shared" si="37"/>
        <v>50</v>
      </c>
      <c r="AG126" s="36" t="str">
        <f t="shared" si="37"/>
        <v>PVR</v>
      </c>
      <c r="AI126">
        <v>112</v>
      </c>
      <c r="AJ126" s="77" t="str">
        <f t="shared" si="36"/>
        <v>MEXICO AEREO</v>
      </c>
      <c r="AK126" s="77">
        <f t="shared" si="36"/>
        <v>2329</v>
      </c>
      <c r="AL126" s="78">
        <v>0.87847222222222221</v>
      </c>
      <c r="AM126" s="79">
        <v>0.88611111111111107</v>
      </c>
      <c r="AN126" s="80">
        <v>7.6388888888888618E-3</v>
      </c>
      <c r="AO126" s="79">
        <v>0.89027777777777783</v>
      </c>
      <c r="AP126" s="80">
        <v>4.1666666666667629E-3</v>
      </c>
      <c r="AQ126" s="81">
        <v>41809</v>
      </c>
      <c r="AR126" s="77" t="str">
        <f t="shared" si="39"/>
        <v>Nacional</v>
      </c>
      <c r="AS126" s="77">
        <f t="shared" si="39"/>
        <v>7.7991452991453053E-3</v>
      </c>
      <c r="AT126" s="77">
        <f t="shared" si="39"/>
        <v>7.8525641025641094E-3</v>
      </c>
      <c r="AU126" s="77">
        <f t="shared" si="39"/>
        <v>1.5651709401709415E-2</v>
      </c>
      <c r="AV126" s="77" t="str">
        <f t="shared" si="39"/>
        <v>ER4</v>
      </c>
      <c r="AW126" s="77">
        <f t="shared" si="39"/>
        <v>50</v>
      </c>
      <c r="AX126" s="77" t="str">
        <f t="shared" si="39"/>
        <v>MTY</v>
      </c>
    </row>
    <row r="127" spans="1:50" x14ac:dyDescent="0.25">
      <c r="A127">
        <v>113</v>
      </c>
      <c r="B127" s="36" t="str">
        <f t="shared" si="40"/>
        <v>MEXICO AEREO</v>
      </c>
      <c r="C127" s="36">
        <f t="shared" si="40"/>
        <v>2185</v>
      </c>
      <c r="D127" s="74">
        <v>0.90277777777777779</v>
      </c>
      <c r="E127" s="74">
        <v>0.90347222222222223</v>
      </c>
      <c r="F127" s="75">
        <v>6.9444444444444198E-4</v>
      </c>
      <c r="G127" s="74">
        <v>0.91249999999999998</v>
      </c>
      <c r="H127" s="75">
        <v>9.0277777777777457E-3</v>
      </c>
      <c r="I127" s="76">
        <v>41721</v>
      </c>
      <c r="J127" s="36" t="str">
        <f t="shared" si="41"/>
        <v>Nacional</v>
      </c>
      <c r="K127" s="36">
        <f t="shared" si="41"/>
        <v>5.803571428571408E-3</v>
      </c>
      <c r="L127" s="36">
        <f t="shared" si="41"/>
        <v>8.928571428571461E-3</v>
      </c>
      <c r="M127" s="36">
        <f t="shared" si="41"/>
        <v>1.4732142857142869E-2</v>
      </c>
      <c r="N127" s="36" t="str">
        <f t="shared" si="41"/>
        <v>ER4</v>
      </c>
      <c r="O127" s="36">
        <f t="shared" si="41"/>
        <v>50</v>
      </c>
      <c r="P127" s="36" t="str">
        <f t="shared" si="41"/>
        <v>TIJ</v>
      </c>
      <c r="R127">
        <v>113</v>
      </c>
      <c r="S127" s="36" t="str">
        <f t="shared" si="30"/>
        <v>MEXICO AEREO</v>
      </c>
      <c r="T127" s="36">
        <f t="shared" si="30"/>
        <v>2320</v>
      </c>
      <c r="U127" s="73">
        <v>0.49652777777777773</v>
      </c>
      <c r="V127" s="74">
        <v>0.50277777777777777</v>
      </c>
      <c r="W127" s="75">
        <v>6.2500000000000333E-3</v>
      </c>
      <c r="X127" s="74">
        <v>0.5083333333333333</v>
      </c>
      <c r="Y127" s="75">
        <v>5.5555555555555358E-3</v>
      </c>
      <c r="Z127" s="76">
        <v>41758</v>
      </c>
      <c r="AA127" s="36" t="str">
        <f t="shared" si="37"/>
        <v>Nacional</v>
      </c>
      <c r="AB127" s="36">
        <f t="shared" si="37"/>
        <v>7.0954106280193274E-3</v>
      </c>
      <c r="AC127" s="36">
        <f t="shared" si="37"/>
        <v>4.71014492753622E-3</v>
      </c>
      <c r="AD127" s="36">
        <f t="shared" si="37"/>
        <v>1.1805555555555548E-2</v>
      </c>
      <c r="AE127" s="36" t="str">
        <f t="shared" si="37"/>
        <v>ER4</v>
      </c>
      <c r="AF127" s="36">
        <f t="shared" si="37"/>
        <v>50</v>
      </c>
      <c r="AG127" s="36" t="str">
        <f t="shared" si="37"/>
        <v>PVR</v>
      </c>
      <c r="AI127">
        <v>113</v>
      </c>
      <c r="AJ127" s="77" t="str">
        <f t="shared" si="36"/>
        <v>MEXICO AEREO</v>
      </c>
      <c r="AK127" s="77">
        <f t="shared" si="36"/>
        <v>2329</v>
      </c>
      <c r="AL127" s="78">
        <v>0.8881944444444444</v>
      </c>
      <c r="AM127" s="79">
        <v>0.89513888888888893</v>
      </c>
      <c r="AN127" s="80">
        <v>6.9444444444445308E-3</v>
      </c>
      <c r="AO127" s="79">
        <v>0.90555555555555556</v>
      </c>
      <c r="AP127" s="80">
        <v>1.041666666666663E-2</v>
      </c>
      <c r="AQ127" s="81">
        <v>41811</v>
      </c>
      <c r="AR127" s="77" t="str">
        <f t="shared" si="39"/>
        <v>Nacional</v>
      </c>
      <c r="AS127" s="77">
        <f t="shared" si="39"/>
        <v>7.7991452991453053E-3</v>
      </c>
      <c r="AT127" s="77">
        <f t="shared" si="39"/>
        <v>7.8525641025641094E-3</v>
      </c>
      <c r="AU127" s="77">
        <f t="shared" si="39"/>
        <v>1.5651709401709415E-2</v>
      </c>
      <c r="AV127" s="77" t="str">
        <f t="shared" si="39"/>
        <v>ER4</v>
      </c>
      <c r="AW127" s="77">
        <f t="shared" si="39"/>
        <v>50</v>
      </c>
      <c r="AX127" s="77" t="str">
        <f t="shared" si="39"/>
        <v>MTY</v>
      </c>
    </row>
    <row r="128" spans="1:50" ht="15.75" thickBot="1" x14ac:dyDescent="0.3">
      <c r="A128">
        <v>114</v>
      </c>
      <c r="B128" s="36" t="str">
        <f t="shared" si="40"/>
        <v>MEXICO AEREO</v>
      </c>
      <c r="C128" s="36">
        <f t="shared" si="40"/>
        <v>2185</v>
      </c>
      <c r="D128" s="74">
        <v>0.89513888888888893</v>
      </c>
      <c r="E128" s="74">
        <v>0.89583333333333337</v>
      </c>
      <c r="F128" s="75">
        <v>6.9444444444444198E-4</v>
      </c>
      <c r="G128" s="74">
        <v>0.90069444444444446</v>
      </c>
      <c r="H128" s="75">
        <v>4.8611111111110938E-3</v>
      </c>
      <c r="I128" s="76">
        <v>41723</v>
      </c>
      <c r="J128" s="36" t="str">
        <f t="shared" si="41"/>
        <v>Nacional</v>
      </c>
      <c r="K128" s="36">
        <f t="shared" si="41"/>
        <v>5.803571428571408E-3</v>
      </c>
      <c r="L128" s="36">
        <f t="shared" si="41"/>
        <v>8.928571428571461E-3</v>
      </c>
      <c r="M128" s="36">
        <f t="shared" si="41"/>
        <v>1.4732142857142869E-2</v>
      </c>
      <c r="N128" s="36" t="str">
        <f t="shared" si="41"/>
        <v>ER4</v>
      </c>
      <c r="O128" s="36">
        <f t="shared" si="41"/>
        <v>50</v>
      </c>
      <c r="P128" s="36" t="str">
        <f t="shared" si="41"/>
        <v>TIJ</v>
      </c>
      <c r="R128">
        <v>114</v>
      </c>
      <c r="S128" s="36" t="str">
        <f t="shared" si="30"/>
        <v>MEXICO AEREO</v>
      </c>
      <c r="T128" s="36">
        <f t="shared" si="30"/>
        <v>2320</v>
      </c>
      <c r="U128" s="83">
        <v>0.50763888888888886</v>
      </c>
      <c r="V128" s="84">
        <v>0.52777777777777779</v>
      </c>
      <c r="W128" s="85">
        <v>2.0138888888888928E-2</v>
      </c>
      <c r="X128" s="84">
        <v>0.53472222222222221</v>
      </c>
      <c r="Y128" s="85">
        <v>6.9444444444444198E-3</v>
      </c>
      <c r="Z128" s="86">
        <v>41759</v>
      </c>
      <c r="AA128" s="36" t="str">
        <f t="shared" si="37"/>
        <v>Nacional</v>
      </c>
      <c r="AB128" s="36">
        <f t="shared" si="37"/>
        <v>7.0954106280193274E-3</v>
      </c>
      <c r="AC128" s="36">
        <f t="shared" si="37"/>
        <v>4.71014492753622E-3</v>
      </c>
      <c r="AD128" s="36">
        <f t="shared" si="37"/>
        <v>1.1805555555555548E-2</v>
      </c>
      <c r="AE128" s="36" t="str">
        <f t="shared" si="37"/>
        <v>ER4</v>
      </c>
      <c r="AF128" s="36">
        <f t="shared" si="37"/>
        <v>50</v>
      </c>
      <c r="AG128" s="36" t="str">
        <f t="shared" si="37"/>
        <v>PVR</v>
      </c>
      <c r="AI128">
        <v>114</v>
      </c>
      <c r="AJ128" s="77" t="str">
        <f t="shared" si="36"/>
        <v>MEXICO AEREO</v>
      </c>
      <c r="AK128" s="77">
        <f t="shared" si="36"/>
        <v>2329</v>
      </c>
      <c r="AL128" s="78">
        <v>0.87638888888888899</v>
      </c>
      <c r="AM128" s="79">
        <v>0.88263888888888886</v>
      </c>
      <c r="AN128" s="80">
        <v>6.2499999999998668E-3</v>
      </c>
      <c r="AO128" s="79">
        <v>0.88541666666666663</v>
      </c>
      <c r="AP128" s="80">
        <v>2.7777777777777679E-3</v>
      </c>
      <c r="AQ128" s="81">
        <v>41812</v>
      </c>
      <c r="AR128" s="77" t="str">
        <f t="shared" si="39"/>
        <v>Nacional</v>
      </c>
      <c r="AS128" s="77">
        <f t="shared" si="39"/>
        <v>7.7991452991453053E-3</v>
      </c>
      <c r="AT128" s="77">
        <f t="shared" si="39"/>
        <v>7.8525641025641094E-3</v>
      </c>
      <c r="AU128" s="77">
        <f t="shared" si="39"/>
        <v>1.5651709401709415E-2</v>
      </c>
      <c r="AV128" s="77" t="str">
        <f t="shared" si="39"/>
        <v>ER4</v>
      </c>
      <c r="AW128" s="77">
        <f t="shared" si="39"/>
        <v>50</v>
      </c>
      <c r="AX128" s="77" t="str">
        <f t="shared" si="39"/>
        <v>MTY</v>
      </c>
    </row>
    <row r="129" spans="1:50" ht="15.75" thickBot="1" x14ac:dyDescent="0.3">
      <c r="A129">
        <v>115</v>
      </c>
      <c r="B129" s="36" t="str">
        <f t="shared" si="40"/>
        <v>MEXICO AEREO</v>
      </c>
      <c r="C129" s="36">
        <f t="shared" si="40"/>
        <v>2185</v>
      </c>
      <c r="D129" s="74">
        <v>0.89027777777777783</v>
      </c>
      <c r="E129" s="74">
        <v>0.89374999999999993</v>
      </c>
      <c r="F129" s="75">
        <v>3.4722222222220989E-3</v>
      </c>
      <c r="G129" s="74">
        <v>0.90347222222222223</v>
      </c>
      <c r="H129" s="75">
        <v>9.7222222222222987E-3</v>
      </c>
      <c r="I129" s="76">
        <v>41724</v>
      </c>
      <c r="J129" s="36" t="str">
        <f t="shared" si="41"/>
        <v>Nacional</v>
      </c>
      <c r="K129" s="36">
        <f t="shared" si="41"/>
        <v>5.803571428571408E-3</v>
      </c>
      <c r="L129" s="36">
        <f t="shared" si="41"/>
        <v>8.928571428571461E-3</v>
      </c>
      <c r="M129" s="36">
        <f t="shared" si="41"/>
        <v>1.4732142857142869E-2</v>
      </c>
      <c r="N129" s="36" t="str">
        <f t="shared" si="41"/>
        <v>ER4</v>
      </c>
      <c r="O129" s="36">
        <f t="shared" si="41"/>
        <v>50</v>
      </c>
      <c r="P129" s="36" t="str">
        <f t="shared" si="41"/>
        <v>TIJ</v>
      </c>
      <c r="R129">
        <v>115</v>
      </c>
      <c r="S129" s="36" t="str">
        <f t="shared" si="30"/>
        <v>MEXICO AEREO</v>
      </c>
      <c r="T129" s="55">
        <v>2301</v>
      </c>
      <c r="U129" s="56">
        <v>0.69513888888888886</v>
      </c>
      <c r="V129" s="57">
        <v>0.69861111111111107</v>
      </c>
      <c r="W129" s="58">
        <v>3.4722222222222099E-3</v>
      </c>
      <c r="X129" s="57">
        <v>0.70138888888888884</v>
      </c>
      <c r="Y129" s="58">
        <v>2.7777777777777679E-3</v>
      </c>
      <c r="Z129" s="59">
        <v>41730</v>
      </c>
      <c r="AA129" s="60" t="s">
        <v>19</v>
      </c>
      <c r="AB129" s="61">
        <v>1.0339506172839494E-2</v>
      </c>
      <c r="AC129" s="61">
        <v>4.0895061728394872E-3</v>
      </c>
      <c r="AD129" s="62">
        <v>1.4429012345678982E-2</v>
      </c>
      <c r="AE129" s="109" t="s">
        <v>20</v>
      </c>
      <c r="AF129" s="109">
        <v>50</v>
      </c>
      <c r="AG129" s="109" t="s">
        <v>32</v>
      </c>
      <c r="AI129">
        <v>115</v>
      </c>
      <c r="AJ129" s="77" t="str">
        <f t="shared" si="36"/>
        <v>MEXICO AEREO</v>
      </c>
      <c r="AK129" s="77">
        <f t="shared" si="36"/>
        <v>2329</v>
      </c>
      <c r="AL129" s="94">
        <v>0.89027777777777783</v>
      </c>
      <c r="AM129" s="95">
        <v>0.89583333333333337</v>
      </c>
      <c r="AN129" s="96">
        <v>5.5555555555555358E-3</v>
      </c>
      <c r="AO129" s="95">
        <v>0.90208333333333324</v>
      </c>
      <c r="AP129" s="96">
        <v>6.2499999999998668E-3</v>
      </c>
      <c r="AQ129" s="97">
        <v>41813</v>
      </c>
      <c r="AR129" s="77" t="str">
        <f t="shared" si="39"/>
        <v>Nacional</v>
      </c>
      <c r="AS129" s="77">
        <f t="shared" si="39"/>
        <v>7.7991452991453053E-3</v>
      </c>
      <c r="AT129" s="77">
        <f t="shared" si="39"/>
        <v>7.8525641025641094E-3</v>
      </c>
      <c r="AU129" s="77">
        <f t="shared" si="39"/>
        <v>1.5651709401709415E-2</v>
      </c>
      <c r="AV129" s="77" t="str">
        <f t="shared" si="39"/>
        <v>ER4</v>
      </c>
      <c r="AW129" s="77">
        <f t="shared" si="39"/>
        <v>50</v>
      </c>
      <c r="AX129" s="77" t="str">
        <f t="shared" si="39"/>
        <v>MTY</v>
      </c>
    </row>
    <row r="130" spans="1:50" x14ac:dyDescent="0.25">
      <c r="A130">
        <v>116</v>
      </c>
      <c r="B130" s="36" t="str">
        <f t="shared" si="40"/>
        <v>MEXICO AEREO</v>
      </c>
      <c r="C130" s="36">
        <f t="shared" si="40"/>
        <v>2185</v>
      </c>
      <c r="D130" s="74">
        <v>0.88888888888888884</v>
      </c>
      <c r="E130" s="74">
        <v>0.89374999999999993</v>
      </c>
      <c r="F130" s="75">
        <v>4.8611111111110938E-3</v>
      </c>
      <c r="G130" s="74">
        <v>0.89722222222222225</v>
      </c>
      <c r="H130" s="75">
        <v>3.4722222222223209E-3</v>
      </c>
      <c r="I130" s="76">
        <v>41724</v>
      </c>
      <c r="J130" s="36" t="str">
        <f t="shared" si="41"/>
        <v>Nacional</v>
      </c>
      <c r="K130" s="36">
        <f t="shared" si="41"/>
        <v>5.803571428571408E-3</v>
      </c>
      <c r="L130" s="36">
        <f t="shared" si="41"/>
        <v>8.928571428571461E-3</v>
      </c>
      <c r="M130" s="36">
        <f t="shared" si="41"/>
        <v>1.4732142857142869E-2</v>
      </c>
      <c r="N130" s="36" t="str">
        <f t="shared" si="41"/>
        <v>ER4</v>
      </c>
      <c r="O130" s="36">
        <f t="shared" si="41"/>
        <v>50</v>
      </c>
      <c r="P130" s="36" t="str">
        <f t="shared" si="41"/>
        <v>TIJ</v>
      </c>
      <c r="R130">
        <v>116</v>
      </c>
      <c r="S130" s="36" t="str">
        <f t="shared" si="30"/>
        <v>MEXICO AEREO</v>
      </c>
      <c r="T130" s="36">
        <f t="shared" si="30"/>
        <v>2301</v>
      </c>
      <c r="U130" s="73">
        <v>0.69930555555555562</v>
      </c>
      <c r="V130" s="74">
        <v>0.70833333333333337</v>
      </c>
      <c r="W130" s="75">
        <v>9.0277777777777457E-3</v>
      </c>
      <c r="X130" s="74">
        <v>0.7104166666666667</v>
      </c>
      <c r="Y130" s="75">
        <v>2.0833333333333259E-3</v>
      </c>
      <c r="Z130" s="76">
        <v>41731</v>
      </c>
      <c r="AA130" s="36" t="str">
        <f t="shared" ref="AA130:AG146" si="42">AA129</f>
        <v>Nacional</v>
      </c>
      <c r="AB130" s="36">
        <f t="shared" si="42"/>
        <v>1.0339506172839494E-2</v>
      </c>
      <c r="AC130" s="36">
        <f t="shared" si="42"/>
        <v>4.0895061728394872E-3</v>
      </c>
      <c r="AD130" s="36">
        <f t="shared" si="42"/>
        <v>1.4429012345678982E-2</v>
      </c>
      <c r="AE130" s="36" t="str">
        <f t="shared" si="42"/>
        <v>ER4</v>
      </c>
      <c r="AF130" s="36">
        <f t="shared" si="42"/>
        <v>50</v>
      </c>
      <c r="AG130" s="36" t="str">
        <f t="shared" si="42"/>
        <v>SAT</v>
      </c>
      <c r="AI130">
        <v>116</v>
      </c>
      <c r="AJ130" s="77" t="str">
        <f t="shared" si="36"/>
        <v>MEXICO AEREO</v>
      </c>
      <c r="AK130" s="63">
        <v>2320</v>
      </c>
      <c r="AL130" s="64">
        <v>0.49791666666666662</v>
      </c>
      <c r="AM130" s="65">
        <v>0.50624999999999998</v>
      </c>
      <c r="AN130" s="66">
        <v>8.3333333333333592E-3</v>
      </c>
      <c r="AO130" s="65">
        <v>0.50972222222222219</v>
      </c>
      <c r="AP130" s="66">
        <v>3.4722222222222099E-3</v>
      </c>
      <c r="AQ130" s="67">
        <v>41791</v>
      </c>
      <c r="AR130" s="68" t="s">
        <v>19</v>
      </c>
      <c r="AS130" s="69">
        <v>6.092171717171713E-3</v>
      </c>
      <c r="AT130" s="70">
        <v>5.9974747474747462E-3</v>
      </c>
      <c r="AU130" s="70">
        <v>1.2089646464646459E-2</v>
      </c>
      <c r="AV130" s="71" t="s">
        <v>20</v>
      </c>
      <c r="AW130" s="71">
        <v>50</v>
      </c>
      <c r="AX130" s="72" t="s">
        <v>29</v>
      </c>
    </row>
    <row r="131" spans="1:50" x14ac:dyDescent="0.25">
      <c r="A131">
        <v>117</v>
      </c>
      <c r="B131" s="36" t="str">
        <f t="shared" si="40"/>
        <v>MEXICO AEREO</v>
      </c>
      <c r="C131" s="36">
        <f t="shared" si="40"/>
        <v>2185</v>
      </c>
      <c r="D131" s="74">
        <v>0.9</v>
      </c>
      <c r="E131" s="74">
        <v>0.90416666666666667</v>
      </c>
      <c r="F131" s="75">
        <v>4.1666666666666519E-3</v>
      </c>
      <c r="G131" s="74">
        <v>0.90694444444444444</v>
      </c>
      <c r="H131" s="75">
        <v>2.7777777777777679E-3</v>
      </c>
      <c r="I131" s="76">
        <v>41725</v>
      </c>
      <c r="J131" s="36" t="str">
        <f t="shared" si="41"/>
        <v>Nacional</v>
      </c>
      <c r="K131" s="36">
        <f t="shared" si="41"/>
        <v>5.803571428571408E-3</v>
      </c>
      <c r="L131" s="36">
        <f t="shared" si="41"/>
        <v>8.928571428571461E-3</v>
      </c>
      <c r="M131" s="36">
        <f t="shared" si="41"/>
        <v>1.4732142857142869E-2</v>
      </c>
      <c r="N131" s="36" t="str">
        <f t="shared" si="41"/>
        <v>ER4</v>
      </c>
      <c r="O131" s="36">
        <f t="shared" si="41"/>
        <v>50</v>
      </c>
      <c r="P131" s="36" t="str">
        <f t="shared" si="41"/>
        <v>TIJ</v>
      </c>
      <c r="R131">
        <v>117</v>
      </c>
      <c r="S131" s="36" t="str">
        <f t="shared" si="30"/>
        <v>MEXICO AEREO</v>
      </c>
      <c r="T131" s="36">
        <f t="shared" si="30"/>
        <v>2301</v>
      </c>
      <c r="U131" s="73">
        <v>0.69444444444444453</v>
      </c>
      <c r="V131" s="74">
        <v>0.70000000000000007</v>
      </c>
      <c r="W131" s="75">
        <v>5.5555555555555358E-3</v>
      </c>
      <c r="X131" s="74">
        <v>0.70208333333333339</v>
      </c>
      <c r="Y131" s="75">
        <v>2.0833333333333259E-3</v>
      </c>
      <c r="Z131" s="76">
        <v>41732</v>
      </c>
      <c r="AA131" s="36" t="str">
        <f t="shared" si="42"/>
        <v>Nacional</v>
      </c>
      <c r="AB131" s="36">
        <f t="shared" si="42"/>
        <v>1.0339506172839494E-2</v>
      </c>
      <c r="AC131" s="36">
        <f t="shared" si="42"/>
        <v>4.0895061728394872E-3</v>
      </c>
      <c r="AD131" s="36">
        <f t="shared" si="42"/>
        <v>1.4429012345678982E-2</v>
      </c>
      <c r="AE131" s="36" t="str">
        <f t="shared" si="42"/>
        <v>ER4</v>
      </c>
      <c r="AF131" s="36">
        <f t="shared" si="42"/>
        <v>50</v>
      </c>
      <c r="AG131" s="36" t="str">
        <f t="shared" si="42"/>
        <v>SAT</v>
      </c>
      <c r="AI131">
        <v>117</v>
      </c>
      <c r="AJ131" s="77" t="str">
        <f t="shared" si="36"/>
        <v>MEXICO AEREO</v>
      </c>
      <c r="AK131" s="77">
        <f t="shared" si="36"/>
        <v>2320</v>
      </c>
      <c r="AL131" s="78">
        <v>0.5</v>
      </c>
      <c r="AM131" s="79">
        <v>0.50208333333333333</v>
      </c>
      <c r="AN131" s="80">
        <v>2.0833333333333259E-3</v>
      </c>
      <c r="AO131" s="79">
        <v>0.50555555555555554</v>
      </c>
      <c r="AP131" s="80">
        <v>3.4722222222222099E-3</v>
      </c>
      <c r="AQ131" s="81">
        <v>41792</v>
      </c>
      <c r="AR131" s="77" t="str">
        <f t="shared" ref="AR131:AX151" si="43">AR130</f>
        <v>Nacional</v>
      </c>
      <c r="AS131" s="77">
        <f t="shared" si="43"/>
        <v>6.092171717171713E-3</v>
      </c>
      <c r="AT131" s="77">
        <f t="shared" si="43"/>
        <v>5.9974747474747462E-3</v>
      </c>
      <c r="AU131" s="77">
        <f t="shared" si="43"/>
        <v>1.2089646464646459E-2</v>
      </c>
      <c r="AV131" s="77" t="str">
        <f t="shared" si="43"/>
        <v>ER4</v>
      </c>
      <c r="AW131" s="77">
        <f t="shared" si="43"/>
        <v>50</v>
      </c>
      <c r="AX131" s="77" t="str">
        <f t="shared" si="43"/>
        <v>PVR</v>
      </c>
    </row>
    <row r="132" spans="1:50" x14ac:dyDescent="0.25">
      <c r="A132">
        <v>118</v>
      </c>
      <c r="B132" s="36" t="str">
        <f t="shared" si="40"/>
        <v>MEXICO AEREO</v>
      </c>
      <c r="C132" s="36">
        <f t="shared" si="40"/>
        <v>2185</v>
      </c>
      <c r="D132" s="74">
        <v>0.90625</v>
      </c>
      <c r="E132" s="74">
        <v>0.91319444444444453</v>
      </c>
      <c r="F132" s="75">
        <v>6.9444444444445308E-3</v>
      </c>
      <c r="G132" s="74">
        <v>0.91666666666666663</v>
      </c>
      <c r="H132" s="75">
        <v>3.4722222222220989E-3</v>
      </c>
      <c r="I132" s="76">
        <v>41726</v>
      </c>
      <c r="J132" s="36" t="str">
        <f t="shared" si="41"/>
        <v>Nacional</v>
      </c>
      <c r="K132" s="36">
        <f t="shared" si="41"/>
        <v>5.803571428571408E-3</v>
      </c>
      <c r="L132" s="36">
        <f t="shared" si="41"/>
        <v>8.928571428571461E-3</v>
      </c>
      <c r="M132" s="36">
        <f t="shared" si="41"/>
        <v>1.4732142857142869E-2</v>
      </c>
      <c r="N132" s="36" t="str">
        <f t="shared" si="41"/>
        <v>ER4</v>
      </c>
      <c r="O132" s="36">
        <f t="shared" si="41"/>
        <v>50</v>
      </c>
      <c r="P132" s="36" t="str">
        <f t="shared" si="41"/>
        <v>TIJ</v>
      </c>
      <c r="R132">
        <v>118</v>
      </c>
      <c r="S132" s="36" t="str">
        <f t="shared" si="30"/>
        <v>MEXICO AEREO</v>
      </c>
      <c r="T132" s="36">
        <f t="shared" si="30"/>
        <v>2301</v>
      </c>
      <c r="U132" s="73">
        <v>0.69861111111111107</v>
      </c>
      <c r="V132" s="74">
        <v>0.70763888888888893</v>
      </c>
      <c r="W132" s="75">
        <v>9.0277777777778567E-3</v>
      </c>
      <c r="X132" s="74">
        <v>0.70972222222222225</v>
      </c>
      <c r="Y132" s="75">
        <v>2.0833333333333259E-3</v>
      </c>
      <c r="Z132" s="76">
        <v>41733</v>
      </c>
      <c r="AA132" s="36" t="str">
        <f t="shared" si="42"/>
        <v>Nacional</v>
      </c>
      <c r="AB132" s="36">
        <f t="shared" si="42"/>
        <v>1.0339506172839494E-2</v>
      </c>
      <c r="AC132" s="36">
        <f t="shared" si="42"/>
        <v>4.0895061728394872E-3</v>
      </c>
      <c r="AD132" s="36">
        <f t="shared" si="42"/>
        <v>1.4429012345678982E-2</v>
      </c>
      <c r="AE132" s="36" t="str">
        <f t="shared" si="42"/>
        <v>ER4</v>
      </c>
      <c r="AF132" s="36">
        <f t="shared" si="42"/>
        <v>50</v>
      </c>
      <c r="AG132" s="36" t="str">
        <f t="shared" si="42"/>
        <v>SAT</v>
      </c>
      <c r="AI132">
        <v>118</v>
      </c>
      <c r="AJ132" s="77" t="str">
        <f t="shared" si="36"/>
        <v>MEXICO AEREO</v>
      </c>
      <c r="AK132" s="77">
        <f t="shared" si="36"/>
        <v>2320</v>
      </c>
      <c r="AL132" s="78">
        <v>0.51041666666666663</v>
      </c>
      <c r="AM132" s="79">
        <v>0.51527777777777783</v>
      </c>
      <c r="AN132" s="80">
        <v>4.8611111111112049E-3</v>
      </c>
      <c r="AO132" s="79">
        <v>0.52083333333333337</v>
      </c>
      <c r="AP132" s="80">
        <v>5.5555555555555358E-3</v>
      </c>
      <c r="AQ132" s="81">
        <v>41793</v>
      </c>
      <c r="AR132" s="77" t="str">
        <f t="shared" si="43"/>
        <v>Nacional</v>
      </c>
      <c r="AS132" s="77">
        <f t="shared" si="43"/>
        <v>6.092171717171713E-3</v>
      </c>
      <c r="AT132" s="77">
        <f t="shared" si="43"/>
        <v>5.9974747474747462E-3</v>
      </c>
      <c r="AU132" s="77">
        <f t="shared" si="43"/>
        <v>1.2089646464646459E-2</v>
      </c>
      <c r="AV132" s="77" t="str">
        <f t="shared" si="43"/>
        <v>ER4</v>
      </c>
      <c r="AW132" s="77">
        <f t="shared" si="43"/>
        <v>50</v>
      </c>
      <c r="AX132" s="77" t="str">
        <f t="shared" si="43"/>
        <v>PVR</v>
      </c>
    </row>
    <row r="133" spans="1:50" x14ac:dyDescent="0.25">
      <c r="A133">
        <v>119</v>
      </c>
      <c r="B133" s="36" t="str">
        <f t="shared" si="40"/>
        <v>MEXICO AEREO</v>
      </c>
      <c r="C133" s="36">
        <f t="shared" si="40"/>
        <v>2185</v>
      </c>
      <c r="D133" s="74">
        <v>0.89513888888888893</v>
      </c>
      <c r="E133" s="74">
        <v>0.89930555555555547</v>
      </c>
      <c r="F133" s="75">
        <v>4.1666666666665408E-3</v>
      </c>
      <c r="G133" s="74">
        <v>0.90277777777777779</v>
      </c>
      <c r="H133" s="75">
        <v>3.4722222222223209E-3</v>
      </c>
      <c r="I133" s="76">
        <v>41727</v>
      </c>
      <c r="J133" s="36" t="str">
        <f t="shared" si="41"/>
        <v>Nacional</v>
      </c>
      <c r="K133" s="36">
        <f t="shared" si="41"/>
        <v>5.803571428571408E-3</v>
      </c>
      <c r="L133" s="36">
        <f t="shared" si="41"/>
        <v>8.928571428571461E-3</v>
      </c>
      <c r="M133" s="36">
        <f t="shared" si="41"/>
        <v>1.4732142857142869E-2</v>
      </c>
      <c r="N133" s="36" t="str">
        <f t="shared" si="41"/>
        <v>ER4</v>
      </c>
      <c r="O133" s="36">
        <f t="shared" si="41"/>
        <v>50</v>
      </c>
      <c r="P133" s="36" t="str">
        <f t="shared" si="41"/>
        <v>TIJ</v>
      </c>
      <c r="R133">
        <v>119</v>
      </c>
      <c r="S133" s="36" t="str">
        <f t="shared" si="30"/>
        <v>MEXICO AEREO</v>
      </c>
      <c r="T133" s="36">
        <f t="shared" si="30"/>
        <v>2301</v>
      </c>
      <c r="U133" s="73">
        <v>0.71527777777777779</v>
      </c>
      <c r="V133" s="74">
        <v>0.71875</v>
      </c>
      <c r="W133" s="75">
        <v>3.4722222222222099E-3</v>
      </c>
      <c r="X133" s="74">
        <v>0.72569444444444453</v>
      </c>
      <c r="Y133" s="75">
        <v>6.9444444444445308E-3</v>
      </c>
      <c r="Z133" s="76">
        <v>41735</v>
      </c>
      <c r="AA133" s="36" t="str">
        <f t="shared" si="42"/>
        <v>Nacional</v>
      </c>
      <c r="AB133" s="36">
        <f t="shared" si="42"/>
        <v>1.0339506172839494E-2</v>
      </c>
      <c r="AC133" s="36">
        <f t="shared" si="42"/>
        <v>4.0895061728394872E-3</v>
      </c>
      <c r="AD133" s="36">
        <f t="shared" si="42"/>
        <v>1.4429012345678982E-2</v>
      </c>
      <c r="AE133" s="36" t="str">
        <f t="shared" si="42"/>
        <v>ER4</v>
      </c>
      <c r="AF133" s="36">
        <f t="shared" si="42"/>
        <v>50</v>
      </c>
      <c r="AG133" s="36" t="str">
        <f t="shared" si="42"/>
        <v>SAT</v>
      </c>
      <c r="AI133">
        <v>119</v>
      </c>
      <c r="AJ133" s="77" t="str">
        <f t="shared" si="36"/>
        <v>MEXICO AEREO</v>
      </c>
      <c r="AK133" s="77">
        <f t="shared" si="36"/>
        <v>2320</v>
      </c>
      <c r="AL133" s="78">
        <v>0.5</v>
      </c>
      <c r="AM133" s="79">
        <v>0.50416666666666665</v>
      </c>
      <c r="AN133" s="80">
        <v>4.1666666666666519E-3</v>
      </c>
      <c r="AO133" s="79">
        <v>0.50555555555555554</v>
      </c>
      <c r="AP133" s="80">
        <v>1.388888888888884E-3</v>
      </c>
      <c r="AQ133" s="81">
        <v>41794</v>
      </c>
      <c r="AR133" s="77" t="str">
        <f t="shared" si="43"/>
        <v>Nacional</v>
      </c>
      <c r="AS133" s="77">
        <f t="shared" si="43"/>
        <v>6.092171717171713E-3</v>
      </c>
      <c r="AT133" s="77">
        <f t="shared" si="43"/>
        <v>5.9974747474747462E-3</v>
      </c>
      <c r="AU133" s="77">
        <f t="shared" si="43"/>
        <v>1.2089646464646459E-2</v>
      </c>
      <c r="AV133" s="77" t="str">
        <f t="shared" si="43"/>
        <v>ER4</v>
      </c>
      <c r="AW133" s="77">
        <f t="shared" si="43"/>
        <v>50</v>
      </c>
      <c r="AX133" s="77" t="str">
        <f t="shared" si="43"/>
        <v>PVR</v>
      </c>
    </row>
    <row r="134" spans="1:50" x14ac:dyDescent="0.25">
      <c r="A134">
        <v>128</v>
      </c>
      <c r="B134" s="36" t="str">
        <f t="shared" si="40"/>
        <v>MEXICO AEREO</v>
      </c>
      <c r="C134" s="36">
        <f t="shared" si="40"/>
        <v>2185</v>
      </c>
      <c r="D134" s="74">
        <v>0.88194444444444453</v>
      </c>
      <c r="E134" s="74">
        <v>0.88541666666666663</v>
      </c>
      <c r="F134" s="75">
        <v>3.4722222222220989E-3</v>
      </c>
      <c r="G134" s="74">
        <v>0.92986111111111114</v>
      </c>
      <c r="H134" s="75">
        <v>4.4444444444444509E-2</v>
      </c>
      <c r="I134" s="76">
        <v>41716</v>
      </c>
      <c r="J134" s="36" t="str">
        <f t="shared" si="41"/>
        <v>Nacional</v>
      </c>
      <c r="K134" s="36">
        <f t="shared" si="41"/>
        <v>5.803571428571408E-3</v>
      </c>
      <c r="L134" s="36">
        <f t="shared" si="41"/>
        <v>8.928571428571461E-3</v>
      </c>
      <c r="M134" s="36">
        <f t="shared" si="41"/>
        <v>1.4732142857142869E-2</v>
      </c>
      <c r="N134" s="36" t="str">
        <f t="shared" si="41"/>
        <v>ER4</v>
      </c>
      <c r="O134" s="36">
        <f t="shared" si="41"/>
        <v>50</v>
      </c>
      <c r="P134" s="36" t="str">
        <f t="shared" si="41"/>
        <v>TIJ</v>
      </c>
      <c r="R134">
        <v>120</v>
      </c>
      <c r="S134" s="36" t="str">
        <f t="shared" si="30"/>
        <v>MEXICO AEREO</v>
      </c>
      <c r="T134" s="36">
        <f t="shared" si="30"/>
        <v>2301</v>
      </c>
      <c r="U134" s="73">
        <v>0.70347222222222217</v>
      </c>
      <c r="V134" s="74">
        <v>0.70763888888888893</v>
      </c>
      <c r="W134" s="75">
        <v>4.1666666666667629E-3</v>
      </c>
      <c r="X134" s="74">
        <v>0.71111111111111114</v>
      </c>
      <c r="Y134" s="75">
        <v>3.4722222222222099E-3</v>
      </c>
      <c r="Z134" s="76">
        <v>41736</v>
      </c>
      <c r="AA134" s="36" t="str">
        <f t="shared" si="42"/>
        <v>Nacional</v>
      </c>
      <c r="AB134" s="36">
        <f t="shared" si="42"/>
        <v>1.0339506172839494E-2</v>
      </c>
      <c r="AC134" s="36">
        <f t="shared" si="42"/>
        <v>4.0895061728394872E-3</v>
      </c>
      <c r="AD134" s="36">
        <f t="shared" si="42"/>
        <v>1.4429012345678982E-2</v>
      </c>
      <c r="AE134" s="36" t="str">
        <f t="shared" si="42"/>
        <v>ER4</v>
      </c>
      <c r="AF134" s="36">
        <f t="shared" si="42"/>
        <v>50</v>
      </c>
      <c r="AG134" s="36" t="str">
        <f t="shared" si="42"/>
        <v>SAT</v>
      </c>
      <c r="AI134">
        <v>120</v>
      </c>
      <c r="AJ134" s="77" t="str">
        <f t="shared" si="36"/>
        <v>MEXICO AEREO</v>
      </c>
      <c r="AK134" s="77">
        <f t="shared" si="36"/>
        <v>2320</v>
      </c>
      <c r="AL134" s="78">
        <v>0.50069444444444444</v>
      </c>
      <c r="AM134" s="79">
        <v>0.50277777777777777</v>
      </c>
      <c r="AN134" s="80">
        <v>2.0833333333333259E-3</v>
      </c>
      <c r="AO134" s="79">
        <v>0.50416666666666665</v>
      </c>
      <c r="AP134" s="80">
        <v>1.388888888888884E-3</v>
      </c>
      <c r="AQ134" s="81">
        <v>41795</v>
      </c>
      <c r="AR134" s="77" t="str">
        <f t="shared" si="43"/>
        <v>Nacional</v>
      </c>
      <c r="AS134" s="77">
        <f t="shared" si="43"/>
        <v>6.092171717171713E-3</v>
      </c>
      <c r="AT134" s="77">
        <f t="shared" si="43"/>
        <v>5.9974747474747462E-3</v>
      </c>
      <c r="AU134" s="77">
        <f t="shared" si="43"/>
        <v>1.2089646464646459E-2</v>
      </c>
      <c r="AV134" s="77" t="str">
        <f t="shared" si="43"/>
        <v>ER4</v>
      </c>
      <c r="AW134" s="77">
        <f t="shared" si="43"/>
        <v>50</v>
      </c>
      <c r="AX134" s="77" t="str">
        <f t="shared" si="43"/>
        <v>PVR</v>
      </c>
    </row>
    <row r="135" spans="1:50" ht="15.75" thickBot="1" x14ac:dyDescent="0.3">
      <c r="A135">
        <v>129</v>
      </c>
      <c r="B135" s="36" t="str">
        <f t="shared" si="40"/>
        <v>MEXICO AEREO</v>
      </c>
      <c r="C135" s="36">
        <f t="shared" si="40"/>
        <v>2185</v>
      </c>
      <c r="D135" s="84">
        <v>0.92499999999999993</v>
      </c>
      <c r="E135" s="84">
        <v>0.92986111111111114</v>
      </c>
      <c r="F135" s="85">
        <v>4.8611111111112049E-3</v>
      </c>
      <c r="G135" s="84">
        <v>0.93125000000000002</v>
      </c>
      <c r="H135" s="85">
        <v>1.388888888888884E-3</v>
      </c>
      <c r="I135" s="86">
        <v>41716</v>
      </c>
      <c r="J135" s="36" t="str">
        <f t="shared" si="41"/>
        <v>Nacional</v>
      </c>
      <c r="K135" s="36">
        <f t="shared" si="41"/>
        <v>5.803571428571408E-3</v>
      </c>
      <c r="L135" s="36">
        <f t="shared" si="41"/>
        <v>8.928571428571461E-3</v>
      </c>
      <c r="M135" s="36">
        <f t="shared" si="41"/>
        <v>1.4732142857142869E-2</v>
      </c>
      <c r="N135" s="36" t="str">
        <f t="shared" si="41"/>
        <v>ER4</v>
      </c>
      <c r="O135" s="36">
        <f t="shared" si="41"/>
        <v>50</v>
      </c>
      <c r="P135" s="36" t="str">
        <f t="shared" si="41"/>
        <v>TIJ</v>
      </c>
      <c r="R135">
        <v>121</v>
      </c>
      <c r="S135" s="36" t="str">
        <f t="shared" si="30"/>
        <v>MEXICO AEREO</v>
      </c>
      <c r="T135" s="36">
        <f t="shared" si="30"/>
        <v>2301</v>
      </c>
      <c r="U135" s="73">
        <v>0.71180555555555547</v>
      </c>
      <c r="V135" s="74">
        <v>0.71875</v>
      </c>
      <c r="W135" s="75">
        <v>6.9444444444445308E-3</v>
      </c>
      <c r="X135" s="74">
        <v>0.72222222222222221</v>
      </c>
      <c r="Y135" s="75">
        <v>3.4722222222222099E-3</v>
      </c>
      <c r="Z135" s="76">
        <v>41737</v>
      </c>
      <c r="AA135" s="36" t="str">
        <f t="shared" si="42"/>
        <v>Nacional</v>
      </c>
      <c r="AB135" s="36">
        <f t="shared" si="42"/>
        <v>1.0339506172839494E-2</v>
      </c>
      <c r="AC135" s="36">
        <f t="shared" si="42"/>
        <v>4.0895061728394872E-3</v>
      </c>
      <c r="AD135" s="36">
        <f t="shared" si="42"/>
        <v>1.4429012345678982E-2</v>
      </c>
      <c r="AE135" s="36" t="str">
        <f t="shared" si="42"/>
        <v>ER4</v>
      </c>
      <c r="AF135" s="36">
        <f t="shared" si="42"/>
        <v>50</v>
      </c>
      <c r="AG135" s="36" t="str">
        <f t="shared" si="42"/>
        <v>SAT</v>
      </c>
      <c r="AI135">
        <v>121</v>
      </c>
      <c r="AJ135" s="77" t="str">
        <f t="shared" si="36"/>
        <v>MEXICO AEREO</v>
      </c>
      <c r="AK135" s="77">
        <f t="shared" si="36"/>
        <v>2320</v>
      </c>
      <c r="AL135" s="78">
        <v>0.4993055555555555</v>
      </c>
      <c r="AM135" s="79">
        <v>0.50902777777777775</v>
      </c>
      <c r="AN135" s="80">
        <v>9.7222222222222432E-3</v>
      </c>
      <c r="AO135" s="79">
        <v>0.51250000000000007</v>
      </c>
      <c r="AP135" s="80">
        <v>3.4722222222223209E-3</v>
      </c>
      <c r="AQ135" s="81">
        <v>41796</v>
      </c>
      <c r="AR135" s="77" t="str">
        <f t="shared" si="43"/>
        <v>Nacional</v>
      </c>
      <c r="AS135" s="77">
        <f t="shared" si="43"/>
        <v>6.092171717171713E-3</v>
      </c>
      <c r="AT135" s="77">
        <f t="shared" si="43"/>
        <v>5.9974747474747462E-3</v>
      </c>
      <c r="AU135" s="77">
        <f t="shared" si="43"/>
        <v>1.2089646464646459E-2</v>
      </c>
      <c r="AV135" s="77" t="str">
        <f t="shared" si="43"/>
        <v>ER4</v>
      </c>
      <c r="AW135" s="77">
        <f t="shared" si="43"/>
        <v>50</v>
      </c>
      <c r="AX135" s="77" t="str">
        <f t="shared" si="43"/>
        <v>PVR</v>
      </c>
    </row>
    <row r="136" spans="1:50" x14ac:dyDescent="0.25">
      <c r="A136">
        <v>120</v>
      </c>
      <c r="B136" s="36" t="str">
        <f t="shared" si="40"/>
        <v>MEXICO AEREO</v>
      </c>
      <c r="C136" s="125">
        <v>2184</v>
      </c>
      <c r="D136" s="112">
        <v>0.33124999999999999</v>
      </c>
      <c r="E136" s="112">
        <v>0.3347222222222222</v>
      </c>
      <c r="F136" s="113">
        <v>3.4722222222222099E-3</v>
      </c>
      <c r="G136" s="112">
        <v>0.33819444444444446</v>
      </c>
      <c r="H136" s="113">
        <v>3.4722222222222654E-3</v>
      </c>
      <c r="I136" s="114">
        <v>41716</v>
      </c>
      <c r="J136" s="126" t="s">
        <v>19</v>
      </c>
      <c r="K136" s="116">
        <v>3.645833333333362E-3</v>
      </c>
      <c r="L136" s="116">
        <v>4.8611111111111008E-3</v>
      </c>
      <c r="M136" s="117">
        <v>8.5069444444444628E-3</v>
      </c>
      <c r="N136" s="90" t="s">
        <v>20</v>
      </c>
      <c r="O136" s="91">
        <v>50</v>
      </c>
      <c r="P136" s="92" t="s">
        <v>28</v>
      </c>
      <c r="R136">
        <v>122</v>
      </c>
      <c r="S136" s="36" t="str">
        <f t="shared" si="30"/>
        <v>MEXICO AEREO</v>
      </c>
      <c r="T136" s="36">
        <f t="shared" si="30"/>
        <v>2301</v>
      </c>
      <c r="U136" s="73">
        <v>0.70486111111111116</v>
      </c>
      <c r="V136" s="74">
        <v>0.70694444444444438</v>
      </c>
      <c r="W136" s="75">
        <v>2.0833333333332149E-3</v>
      </c>
      <c r="X136" s="74">
        <v>0.71180555555555547</v>
      </c>
      <c r="Y136" s="75">
        <v>4.8611111111110938E-3</v>
      </c>
      <c r="Z136" s="76">
        <v>41739</v>
      </c>
      <c r="AA136" s="36" t="str">
        <f t="shared" si="42"/>
        <v>Nacional</v>
      </c>
      <c r="AB136" s="36">
        <f t="shared" si="42"/>
        <v>1.0339506172839494E-2</v>
      </c>
      <c r="AC136" s="36">
        <f t="shared" si="42"/>
        <v>4.0895061728394872E-3</v>
      </c>
      <c r="AD136" s="36">
        <f t="shared" si="42"/>
        <v>1.4429012345678982E-2</v>
      </c>
      <c r="AE136" s="36" t="str">
        <f t="shared" si="42"/>
        <v>ER4</v>
      </c>
      <c r="AF136" s="36">
        <f t="shared" si="42"/>
        <v>50</v>
      </c>
      <c r="AG136" s="36" t="str">
        <f t="shared" si="42"/>
        <v>SAT</v>
      </c>
      <c r="AI136">
        <v>122</v>
      </c>
      <c r="AJ136" s="77" t="str">
        <f t="shared" si="36"/>
        <v>MEXICO AEREO</v>
      </c>
      <c r="AK136" s="77">
        <f t="shared" si="36"/>
        <v>2320</v>
      </c>
      <c r="AL136" s="78">
        <v>0.50069444444444444</v>
      </c>
      <c r="AM136" s="79">
        <v>0.50555555555555554</v>
      </c>
      <c r="AN136" s="80">
        <v>4.8611111111110938E-3</v>
      </c>
      <c r="AO136" s="79">
        <v>0.50624999999999998</v>
      </c>
      <c r="AP136" s="80">
        <v>6.9444444444444198E-4</v>
      </c>
      <c r="AQ136" s="81">
        <v>41797</v>
      </c>
      <c r="AR136" s="77" t="str">
        <f t="shared" si="43"/>
        <v>Nacional</v>
      </c>
      <c r="AS136" s="77">
        <f t="shared" si="43"/>
        <v>6.092171717171713E-3</v>
      </c>
      <c r="AT136" s="77">
        <f t="shared" si="43"/>
        <v>5.9974747474747462E-3</v>
      </c>
      <c r="AU136" s="77">
        <f t="shared" si="43"/>
        <v>1.2089646464646459E-2</v>
      </c>
      <c r="AV136" s="77" t="str">
        <f t="shared" si="43"/>
        <v>ER4</v>
      </c>
      <c r="AW136" s="77">
        <f t="shared" si="43"/>
        <v>50</v>
      </c>
      <c r="AX136" s="77" t="str">
        <f t="shared" si="43"/>
        <v>PVR</v>
      </c>
    </row>
    <row r="137" spans="1:50" x14ac:dyDescent="0.25">
      <c r="A137">
        <v>121</v>
      </c>
      <c r="B137" s="36" t="str">
        <f t="shared" si="40"/>
        <v>MEXICO AEREO</v>
      </c>
      <c r="C137" s="36">
        <f t="shared" si="40"/>
        <v>2184</v>
      </c>
      <c r="D137" s="74">
        <v>0.34375</v>
      </c>
      <c r="E137" s="74">
        <v>0.34583333333333338</v>
      </c>
      <c r="F137" s="75">
        <v>2.0833333333333814E-3</v>
      </c>
      <c r="G137" s="74">
        <v>0.35069444444444442</v>
      </c>
      <c r="H137" s="75">
        <v>4.8611111111110383E-3</v>
      </c>
      <c r="I137" s="76">
        <v>41720</v>
      </c>
      <c r="J137" s="36" t="str">
        <f t="shared" ref="J137:P143" si="44">J136</f>
        <v>Nacional</v>
      </c>
      <c r="K137" s="36">
        <f t="shared" si="44"/>
        <v>3.645833333333362E-3</v>
      </c>
      <c r="L137" s="36">
        <f t="shared" si="44"/>
        <v>4.8611111111111008E-3</v>
      </c>
      <c r="M137" s="36">
        <f t="shared" si="44"/>
        <v>8.5069444444444628E-3</v>
      </c>
      <c r="N137" s="36" t="str">
        <f t="shared" si="44"/>
        <v>ER4</v>
      </c>
      <c r="O137" s="36">
        <f t="shared" si="44"/>
        <v>50</v>
      </c>
      <c r="P137" s="36" t="str">
        <f t="shared" si="44"/>
        <v>MTY</v>
      </c>
      <c r="R137">
        <v>123</v>
      </c>
      <c r="S137" s="36" t="str">
        <f t="shared" si="30"/>
        <v>MEXICO AEREO</v>
      </c>
      <c r="T137" s="36">
        <f t="shared" si="30"/>
        <v>2301</v>
      </c>
      <c r="U137" s="73">
        <v>0.69444444444444453</v>
      </c>
      <c r="V137" s="74">
        <v>0.70694444444444438</v>
      </c>
      <c r="W137" s="75">
        <v>1.2499999999999845E-2</v>
      </c>
      <c r="X137" s="74">
        <v>0.71458333333333324</v>
      </c>
      <c r="Y137" s="75">
        <v>7.6388888888888618E-3</v>
      </c>
      <c r="Z137" s="76">
        <v>41741</v>
      </c>
      <c r="AA137" s="36" t="str">
        <f t="shared" si="42"/>
        <v>Nacional</v>
      </c>
      <c r="AB137" s="36">
        <f t="shared" si="42"/>
        <v>1.0339506172839494E-2</v>
      </c>
      <c r="AC137" s="36">
        <f t="shared" si="42"/>
        <v>4.0895061728394872E-3</v>
      </c>
      <c r="AD137" s="36">
        <f t="shared" si="42"/>
        <v>1.4429012345678982E-2</v>
      </c>
      <c r="AE137" s="36" t="str">
        <f t="shared" si="42"/>
        <v>ER4</v>
      </c>
      <c r="AF137" s="36">
        <f t="shared" si="42"/>
        <v>50</v>
      </c>
      <c r="AG137" s="36" t="str">
        <f t="shared" si="42"/>
        <v>SAT</v>
      </c>
      <c r="AI137">
        <v>123</v>
      </c>
      <c r="AJ137" s="77" t="str">
        <f t="shared" si="36"/>
        <v>MEXICO AEREO</v>
      </c>
      <c r="AK137" s="77">
        <f t="shared" si="36"/>
        <v>2320</v>
      </c>
      <c r="AL137" s="78">
        <v>0.4993055555555555</v>
      </c>
      <c r="AM137" s="79">
        <v>0.50763888888888886</v>
      </c>
      <c r="AN137" s="80">
        <v>8.3333333333333592E-3</v>
      </c>
      <c r="AO137" s="79">
        <v>0.52013888888888882</v>
      </c>
      <c r="AP137" s="80">
        <v>1.2499999999999956E-2</v>
      </c>
      <c r="AQ137" s="81">
        <v>41798</v>
      </c>
      <c r="AR137" s="77" t="str">
        <f t="shared" si="43"/>
        <v>Nacional</v>
      </c>
      <c r="AS137" s="77">
        <f t="shared" si="43"/>
        <v>6.092171717171713E-3</v>
      </c>
      <c r="AT137" s="77">
        <f t="shared" si="43"/>
        <v>5.9974747474747462E-3</v>
      </c>
      <c r="AU137" s="77">
        <f t="shared" si="43"/>
        <v>1.2089646464646459E-2</v>
      </c>
      <c r="AV137" s="77" t="str">
        <f t="shared" si="43"/>
        <v>ER4</v>
      </c>
      <c r="AW137" s="77">
        <f t="shared" si="43"/>
        <v>50</v>
      </c>
      <c r="AX137" s="77" t="str">
        <f t="shared" si="43"/>
        <v>PVR</v>
      </c>
    </row>
    <row r="138" spans="1:50" x14ac:dyDescent="0.25">
      <c r="A138">
        <v>122</v>
      </c>
      <c r="B138" s="36" t="str">
        <f t="shared" si="40"/>
        <v>MEXICO AEREO</v>
      </c>
      <c r="C138" s="36">
        <f t="shared" si="40"/>
        <v>2184</v>
      </c>
      <c r="D138" s="74">
        <v>0.34097222222222223</v>
      </c>
      <c r="E138" s="74">
        <v>0.34583333333333338</v>
      </c>
      <c r="F138" s="75">
        <v>4.8611111111111494E-3</v>
      </c>
      <c r="G138" s="74">
        <v>0.34930555555555554</v>
      </c>
      <c r="H138" s="75">
        <v>3.4722222222221544E-3</v>
      </c>
      <c r="I138" s="76">
        <v>41722</v>
      </c>
      <c r="J138" s="36" t="str">
        <f t="shared" si="44"/>
        <v>Nacional</v>
      </c>
      <c r="K138" s="36">
        <f t="shared" si="44"/>
        <v>3.645833333333362E-3</v>
      </c>
      <c r="L138" s="36">
        <f t="shared" si="44"/>
        <v>4.8611111111111008E-3</v>
      </c>
      <c r="M138" s="36">
        <f t="shared" si="44"/>
        <v>8.5069444444444628E-3</v>
      </c>
      <c r="N138" s="36" t="str">
        <f t="shared" si="44"/>
        <v>ER4</v>
      </c>
      <c r="O138" s="36">
        <f t="shared" si="44"/>
        <v>50</v>
      </c>
      <c r="P138" s="36" t="str">
        <f t="shared" si="44"/>
        <v>MTY</v>
      </c>
      <c r="R138">
        <v>124</v>
      </c>
      <c r="S138" s="36" t="str">
        <f t="shared" si="30"/>
        <v>MEXICO AEREO</v>
      </c>
      <c r="T138" s="36">
        <f t="shared" si="30"/>
        <v>2301</v>
      </c>
      <c r="U138" s="73">
        <v>0.7055555555555556</v>
      </c>
      <c r="V138" s="74">
        <v>0.70972222222222225</v>
      </c>
      <c r="W138" s="75">
        <v>4.1666666666666519E-3</v>
      </c>
      <c r="X138" s="74">
        <v>0.71458333333333324</v>
      </c>
      <c r="Y138" s="75">
        <v>4.8611111111109828E-3</v>
      </c>
      <c r="Z138" s="76">
        <v>41743</v>
      </c>
      <c r="AA138" s="36" t="str">
        <f t="shared" si="42"/>
        <v>Nacional</v>
      </c>
      <c r="AB138" s="36">
        <f t="shared" si="42"/>
        <v>1.0339506172839494E-2</v>
      </c>
      <c r="AC138" s="36">
        <f t="shared" si="42"/>
        <v>4.0895061728394872E-3</v>
      </c>
      <c r="AD138" s="36">
        <f t="shared" si="42"/>
        <v>1.4429012345678982E-2</v>
      </c>
      <c r="AE138" s="36" t="str">
        <f t="shared" si="42"/>
        <v>ER4</v>
      </c>
      <c r="AF138" s="36">
        <f t="shared" si="42"/>
        <v>50</v>
      </c>
      <c r="AG138" s="36" t="str">
        <f t="shared" si="42"/>
        <v>SAT</v>
      </c>
      <c r="AI138">
        <v>124</v>
      </c>
      <c r="AJ138" s="77" t="str">
        <f t="shared" si="36"/>
        <v>MEXICO AEREO</v>
      </c>
      <c r="AK138" s="77">
        <f t="shared" si="36"/>
        <v>2320</v>
      </c>
      <c r="AL138" s="78">
        <v>0.53125</v>
      </c>
      <c r="AM138" s="79">
        <v>0.53333333333333333</v>
      </c>
      <c r="AN138" s="80">
        <v>2.0833333333333259E-3</v>
      </c>
      <c r="AO138" s="79">
        <v>0.53819444444444442</v>
      </c>
      <c r="AP138" s="80">
        <v>4.8611111111110938E-3</v>
      </c>
      <c r="AQ138" s="81">
        <v>41799</v>
      </c>
      <c r="AR138" s="77" t="str">
        <f t="shared" si="43"/>
        <v>Nacional</v>
      </c>
      <c r="AS138" s="77">
        <f t="shared" si="43"/>
        <v>6.092171717171713E-3</v>
      </c>
      <c r="AT138" s="77">
        <f t="shared" si="43"/>
        <v>5.9974747474747462E-3</v>
      </c>
      <c r="AU138" s="77">
        <f t="shared" si="43"/>
        <v>1.2089646464646459E-2</v>
      </c>
      <c r="AV138" s="77" t="str">
        <f t="shared" si="43"/>
        <v>ER4</v>
      </c>
      <c r="AW138" s="77">
        <f t="shared" si="43"/>
        <v>50</v>
      </c>
      <c r="AX138" s="77" t="str">
        <f t="shared" si="43"/>
        <v>PVR</v>
      </c>
    </row>
    <row r="139" spans="1:50" x14ac:dyDescent="0.25">
      <c r="A139">
        <v>123</v>
      </c>
      <c r="B139" s="36" t="str">
        <f t="shared" si="40"/>
        <v>MEXICO AEREO</v>
      </c>
      <c r="C139" s="36">
        <f t="shared" si="40"/>
        <v>2184</v>
      </c>
      <c r="D139" s="74">
        <v>0.3430555555555555</v>
      </c>
      <c r="E139" s="74">
        <v>0.34791666666666665</v>
      </c>
      <c r="F139" s="75">
        <v>4.8611111111111494E-3</v>
      </c>
      <c r="G139" s="74">
        <v>0.35694444444444445</v>
      </c>
      <c r="H139" s="75">
        <v>9.0277777777778012E-3</v>
      </c>
      <c r="I139" s="76">
        <v>41725</v>
      </c>
      <c r="J139" s="36" t="str">
        <f t="shared" si="44"/>
        <v>Nacional</v>
      </c>
      <c r="K139" s="36">
        <f t="shared" si="44"/>
        <v>3.645833333333362E-3</v>
      </c>
      <c r="L139" s="36">
        <f t="shared" si="44"/>
        <v>4.8611111111111008E-3</v>
      </c>
      <c r="M139" s="36">
        <f t="shared" si="44"/>
        <v>8.5069444444444628E-3</v>
      </c>
      <c r="N139" s="36" t="str">
        <f t="shared" si="44"/>
        <v>ER4</v>
      </c>
      <c r="O139" s="36">
        <f t="shared" si="44"/>
        <v>50</v>
      </c>
      <c r="P139" s="36" t="str">
        <f t="shared" si="44"/>
        <v>MTY</v>
      </c>
      <c r="R139">
        <v>125</v>
      </c>
      <c r="S139" s="36" t="str">
        <f t="shared" si="30"/>
        <v>MEXICO AEREO</v>
      </c>
      <c r="T139" s="36">
        <f t="shared" si="30"/>
        <v>2301</v>
      </c>
      <c r="U139" s="73">
        <v>0.61736111111111114</v>
      </c>
      <c r="V139" s="74">
        <v>0.70416666666666661</v>
      </c>
      <c r="W139" s="75">
        <v>8.6805555555555469E-2</v>
      </c>
      <c r="X139" s="74">
        <v>0.70624999999999993</v>
      </c>
      <c r="Y139" s="75">
        <v>2.0833333333333259E-3</v>
      </c>
      <c r="Z139" s="76">
        <v>41745</v>
      </c>
      <c r="AA139" s="36" t="str">
        <f t="shared" si="42"/>
        <v>Nacional</v>
      </c>
      <c r="AB139" s="36">
        <f t="shared" si="42"/>
        <v>1.0339506172839494E-2</v>
      </c>
      <c r="AC139" s="36">
        <f t="shared" si="42"/>
        <v>4.0895061728394872E-3</v>
      </c>
      <c r="AD139" s="36">
        <f t="shared" si="42"/>
        <v>1.4429012345678982E-2</v>
      </c>
      <c r="AE139" s="36" t="str">
        <f t="shared" si="42"/>
        <v>ER4</v>
      </c>
      <c r="AF139" s="36">
        <f t="shared" si="42"/>
        <v>50</v>
      </c>
      <c r="AG139" s="36" t="str">
        <f t="shared" si="42"/>
        <v>SAT</v>
      </c>
      <c r="AI139">
        <v>125</v>
      </c>
      <c r="AJ139" s="77" t="str">
        <f t="shared" si="36"/>
        <v>MEXICO AEREO</v>
      </c>
      <c r="AK139" s="77">
        <f t="shared" si="36"/>
        <v>2320</v>
      </c>
      <c r="AL139" s="78">
        <v>0.68263888888888891</v>
      </c>
      <c r="AM139" s="79">
        <v>0.69305555555555554</v>
      </c>
      <c r="AN139" s="80">
        <v>1.041666666666663E-2</v>
      </c>
      <c r="AO139" s="79">
        <v>0.70763888888888893</v>
      </c>
      <c r="AP139" s="80">
        <v>1.4583333333333393E-2</v>
      </c>
      <c r="AQ139" s="81">
        <v>41801</v>
      </c>
      <c r="AR139" s="77" t="str">
        <f t="shared" si="43"/>
        <v>Nacional</v>
      </c>
      <c r="AS139" s="77">
        <f t="shared" si="43"/>
        <v>6.092171717171713E-3</v>
      </c>
      <c r="AT139" s="77">
        <f t="shared" si="43"/>
        <v>5.9974747474747462E-3</v>
      </c>
      <c r="AU139" s="77">
        <f t="shared" si="43"/>
        <v>1.2089646464646459E-2</v>
      </c>
      <c r="AV139" s="77" t="str">
        <f t="shared" si="43"/>
        <v>ER4</v>
      </c>
      <c r="AW139" s="77">
        <f t="shared" si="43"/>
        <v>50</v>
      </c>
      <c r="AX139" s="77" t="str">
        <f t="shared" si="43"/>
        <v>PVR</v>
      </c>
    </row>
    <row r="140" spans="1:50" x14ac:dyDescent="0.25">
      <c r="A140">
        <v>124</v>
      </c>
      <c r="B140" s="36" t="str">
        <f t="shared" si="40"/>
        <v>MEXICO AEREO</v>
      </c>
      <c r="C140" s="36">
        <f t="shared" si="40"/>
        <v>2184</v>
      </c>
      <c r="D140" s="74">
        <v>0.34166666666666662</v>
      </c>
      <c r="E140" s="74">
        <v>0.34375</v>
      </c>
      <c r="F140" s="75">
        <v>2.0833333333333814E-3</v>
      </c>
      <c r="G140" s="74">
        <v>0.35347222222222219</v>
      </c>
      <c r="H140" s="75">
        <v>9.7222222222221877E-3</v>
      </c>
      <c r="I140" s="76">
        <v>41726</v>
      </c>
      <c r="J140" s="36" t="str">
        <f t="shared" si="44"/>
        <v>Nacional</v>
      </c>
      <c r="K140" s="36">
        <f t="shared" si="44"/>
        <v>3.645833333333362E-3</v>
      </c>
      <c r="L140" s="36">
        <f t="shared" si="44"/>
        <v>4.8611111111111008E-3</v>
      </c>
      <c r="M140" s="36">
        <f t="shared" si="44"/>
        <v>8.5069444444444628E-3</v>
      </c>
      <c r="N140" s="36" t="str">
        <f t="shared" si="44"/>
        <v>ER4</v>
      </c>
      <c r="O140" s="36">
        <f t="shared" si="44"/>
        <v>50</v>
      </c>
      <c r="P140" s="36" t="str">
        <f t="shared" si="44"/>
        <v>MTY</v>
      </c>
      <c r="R140">
        <v>126</v>
      </c>
      <c r="S140" s="36" t="str">
        <f t="shared" si="30"/>
        <v>MEXICO AEREO</v>
      </c>
      <c r="T140" s="36">
        <f t="shared" si="30"/>
        <v>2301</v>
      </c>
      <c r="U140" s="73">
        <v>0.70138888888888884</v>
      </c>
      <c r="V140" s="74">
        <v>0.70833333333333337</v>
      </c>
      <c r="W140" s="75">
        <v>6.9444444444445308E-3</v>
      </c>
      <c r="X140" s="74">
        <v>0.71319444444444446</v>
      </c>
      <c r="Y140" s="75">
        <v>4.8611111111110938E-3</v>
      </c>
      <c r="Z140" s="76">
        <v>41746</v>
      </c>
      <c r="AA140" s="36" t="str">
        <f t="shared" si="42"/>
        <v>Nacional</v>
      </c>
      <c r="AB140" s="36">
        <f t="shared" si="42"/>
        <v>1.0339506172839494E-2</v>
      </c>
      <c r="AC140" s="36">
        <f t="shared" si="42"/>
        <v>4.0895061728394872E-3</v>
      </c>
      <c r="AD140" s="36">
        <f t="shared" si="42"/>
        <v>1.4429012345678982E-2</v>
      </c>
      <c r="AE140" s="36" t="str">
        <f t="shared" si="42"/>
        <v>ER4</v>
      </c>
      <c r="AF140" s="36">
        <f t="shared" si="42"/>
        <v>50</v>
      </c>
      <c r="AG140" s="36" t="str">
        <f t="shared" si="42"/>
        <v>SAT</v>
      </c>
      <c r="AI140">
        <v>126</v>
      </c>
      <c r="AJ140" s="77" t="str">
        <f t="shared" si="36"/>
        <v>MEXICO AEREO</v>
      </c>
      <c r="AK140" s="77">
        <f t="shared" si="36"/>
        <v>2320</v>
      </c>
      <c r="AL140" s="78">
        <v>0.43541666666666662</v>
      </c>
      <c r="AM140" s="79">
        <v>0.43958333333333338</v>
      </c>
      <c r="AN140" s="80">
        <v>4.1666666666667629E-3</v>
      </c>
      <c r="AO140" s="79">
        <v>0.44444444444444442</v>
      </c>
      <c r="AP140" s="80">
        <v>4.8611111111110383E-3</v>
      </c>
      <c r="AQ140" s="81">
        <v>41801</v>
      </c>
      <c r="AR140" s="77" t="str">
        <f t="shared" si="43"/>
        <v>Nacional</v>
      </c>
      <c r="AS140" s="77">
        <f t="shared" si="43"/>
        <v>6.092171717171713E-3</v>
      </c>
      <c r="AT140" s="77">
        <f t="shared" si="43"/>
        <v>5.9974747474747462E-3</v>
      </c>
      <c r="AU140" s="77">
        <f t="shared" si="43"/>
        <v>1.2089646464646459E-2</v>
      </c>
      <c r="AV140" s="77" t="str">
        <f t="shared" si="43"/>
        <v>ER4</v>
      </c>
      <c r="AW140" s="77">
        <f t="shared" si="43"/>
        <v>50</v>
      </c>
      <c r="AX140" s="77" t="str">
        <f t="shared" si="43"/>
        <v>PVR</v>
      </c>
    </row>
    <row r="141" spans="1:50" x14ac:dyDescent="0.25">
      <c r="A141">
        <v>125</v>
      </c>
      <c r="B141" s="36" t="str">
        <f t="shared" si="40"/>
        <v>MEXICO AEREO</v>
      </c>
      <c r="C141" s="36">
        <f t="shared" si="40"/>
        <v>2184</v>
      </c>
      <c r="D141" s="74">
        <v>0.33888888888888885</v>
      </c>
      <c r="E141" s="74">
        <v>0.3430555555555555</v>
      </c>
      <c r="F141" s="75">
        <v>4.1666666666666519E-3</v>
      </c>
      <c r="G141" s="74">
        <v>0.3444444444444445</v>
      </c>
      <c r="H141" s="75">
        <v>1.388888888888995E-3</v>
      </c>
      <c r="I141" s="76">
        <v>41729</v>
      </c>
      <c r="J141" s="36" t="str">
        <f t="shared" si="44"/>
        <v>Nacional</v>
      </c>
      <c r="K141" s="36">
        <f t="shared" si="44"/>
        <v>3.645833333333362E-3</v>
      </c>
      <c r="L141" s="36">
        <f t="shared" si="44"/>
        <v>4.8611111111111008E-3</v>
      </c>
      <c r="M141" s="36">
        <f t="shared" si="44"/>
        <v>8.5069444444444628E-3</v>
      </c>
      <c r="N141" s="36" t="str">
        <f t="shared" si="44"/>
        <v>ER4</v>
      </c>
      <c r="O141" s="36">
        <f t="shared" si="44"/>
        <v>50</v>
      </c>
      <c r="P141" s="36" t="str">
        <f t="shared" si="44"/>
        <v>MTY</v>
      </c>
      <c r="R141">
        <v>127</v>
      </c>
      <c r="S141" s="36" t="str">
        <f t="shared" si="30"/>
        <v>MEXICO AEREO</v>
      </c>
      <c r="T141" s="36">
        <f t="shared" si="30"/>
        <v>2301</v>
      </c>
      <c r="U141" s="73">
        <v>0.20902777777777778</v>
      </c>
      <c r="V141" s="74">
        <v>0.21319444444444444</v>
      </c>
      <c r="W141" s="75">
        <v>4.1666666666666519E-3</v>
      </c>
      <c r="X141" s="74">
        <v>0.21597222222222223</v>
      </c>
      <c r="Y141" s="75">
        <v>2.7777777777777957E-3</v>
      </c>
      <c r="Z141" s="76">
        <v>41747</v>
      </c>
      <c r="AA141" s="36" t="str">
        <f t="shared" si="42"/>
        <v>Nacional</v>
      </c>
      <c r="AB141" s="36">
        <f t="shared" si="42"/>
        <v>1.0339506172839494E-2</v>
      </c>
      <c r="AC141" s="36">
        <f t="shared" si="42"/>
        <v>4.0895061728394872E-3</v>
      </c>
      <c r="AD141" s="36">
        <f t="shared" si="42"/>
        <v>1.4429012345678982E-2</v>
      </c>
      <c r="AE141" s="36" t="str">
        <f t="shared" si="42"/>
        <v>ER4</v>
      </c>
      <c r="AF141" s="36">
        <f t="shared" si="42"/>
        <v>50</v>
      </c>
      <c r="AG141" s="36" t="str">
        <f t="shared" si="42"/>
        <v>SAT</v>
      </c>
      <c r="AI141">
        <v>127</v>
      </c>
      <c r="AJ141" s="77" t="str">
        <f t="shared" si="36"/>
        <v>MEXICO AEREO</v>
      </c>
      <c r="AK141" s="77">
        <f t="shared" si="36"/>
        <v>2320</v>
      </c>
      <c r="AL141" s="78">
        <v>0.90902777777777777</v>
      </c>
      <c r="AM141" s="79">
        <v>0.91249999999999998</v>
      </c>
      <c r="AN141" s="80">
        <v>3.4722222222222099E-3</v>
      </c>
      <c r="AO141" s="79">
        <v>0.91805555555555562</v>
      </c>
      <c r="AP141" s="80">
        <v>5.5555555555556468E-3</v>
      </c>
      <c r="AQ141" s="81">
        <v>41803</v>
      </c>
      <c r="AR141" s="77" t="str">
        <f t="shared" si="43"/>
        <v>Nacional</v>
      </c>
      <c r="AS141" s="77">
        <f t="shared" si="43"/>
        <v>6.092171717171713E-3</v>
      </c>
      <c r="AT141" s="77">
        <f t="shared" si="43"/>
        <v>5.9974747474747462E-3</v>
      </c>
      <c r="AU141" s="77">
        <f t="shared" si="43"/>
        <v>1.2089646464646459E-2</v>
      </c>
      <c r="AV141" s="77" t="str">
        <f t="shared" si="43"/>
        <v>ER4</v>
      </c>
      <c r="AW141" s="77">
        <f t="shared" si="43"/>
        <v>50</v>
      </c>
      <c r="AX141" s="77" t="str">
        <f t="shared" si="43"/>
        <v>PVR</v>
      </c>
    </row>
    <row r="142" spans="1:50" x14ac:dyDescent="0.25">
      <c r="A142">
        <v>126</v>
      </c>
      <c r="B142" s="36" t="str">
        <f t="shared" si="40"/>
        <v>MEXICO AEREO</v>
      </c>
      <c r="C142" s="36">
        <f t="shared" si="40"/>
        <v>2184</v>
      </c>
      <c r="D142" s="74">
        <v>0.33611111111111108</v>
      </c>
      <c r="E142" s="74">
        <v>0.33819444444444446</v>
      </c>
      <c r="F142" s="75">
        <v>2.0833333333333814E-3</v>
      </c>
      <c r="G142" s="74">
        <v>0.34166666666666662</v>
      </c>
      <c r="H142" s="75">
        <v>3.4722222222221544E-3</v>
      </c>
      <c r="I142" s="76">
        <v>41717</v>
      </c>
      <c r="J142" s="36" t="str">
        <f t="shared" si="44"/>
        <v>Nacional</v>
      </c>
      <c r="K142" s="36">
        <f t="shared" si="44"/>
        <v>3.645833333333362E-3</v>
      </c>
      <c r="L142" s="36">
        <f t="shared" si="44"/>
        <v>4.8611111111111008E-3</v>
      </c>
      <c r="M142" s="36">
        <f t="shared" si="44"/>
        <v>8.5069444444444628E-3</v>
      </c>
      <c r="N142" s="36" t="str">
        <f t="shared" si="44"/>
        <v>ER4</v>
      </c>
      <c r="O142" s="36">
        <f t="shared" si="44"/>
        <v>50</v>
      </c>
      <c r="P142" s="36" t="str">
        <f t="shared" si="44"/>
        <v>MTY</v>
      </c>
      <c r="R142">
        <v>128</v>
      </c>
      <c r="S142" s="36" t="str">
        <f t="shared" si="30"/>
        <v>MEXICO AEREO</v>
      </c>
      <c r="T142" s="36">
        <f t="shared" si="30"/>
        <v>2301</v>
      </c>
      <c r="U142" s="73">
        <v>0.74236111111111114</v>
      </c>
      <c r="V142" s="74">
        <v>0.74722222222222223</v>
      </c>
      <c r="W142" s="75">
        <v>4.8611111111110938E-3</v>
      </c>
      <c r="X142" s="74">
        <v>0.75208333333333333</v>
      </c>
      <c r="Y142" s="75">
        <v>4.8611111111110938E-3</v>
      </c>
      <c r="Z142" s="76">
        <v>41748</v>
      </c>
      <c r="AA142" s="36" t="str">
        <f t="shared" si="42"/>
        <v>Nacional</v>
      </c>
      <c r="AB142" s="36">
        <f t="shared" si="42"/>
        <v>1.0339506172839494E-2</v>
      </c>
      <c r="AC142" s="36">
        <f t="shared" si="42"/>
        <v>4.0895061728394872E-3</v>
      </c>
      <c r="AD142" s="36">
        <f t="shared" si="42"/>
        <v>1.4429012345678982E-2</v>
      </c>
      <c r="AE142" s="36" t="str">
        <f t="shared" si="42"/>
        <v>ER4</v>
      </c>
      <c r="AF142" s="36">
        <f t="shared" si="42"/>
        <v>50</v>
      </c>
      <c r="AG142" s="36" t="str">
        <f t="shared" si="42"/>
        <v>SAT</v>
      </c>
      <c r="AI142">
        <v>128</v>
      </c>
      <c r="AJ142" s="77" t="str">
        <f t="shared" si="36"/>
        <v>MEXICO AEREO</v>
      </c>
      <c r="AK142" s="77">
        <f t="shared" si="36"/>
        <v>2320</v>
      </c>
      <c r="AL142" s="78">
        <v>0.4152777777777778</v>
      </c>
      <c r="AM142" s="79">
        <v>0.42291666666666666</v>
      </c>
      <c r="AN142" s="80">
        <v>7.6388888888888618E-3</v>
      </c>
      <c r="AO142" s="79">
        <v>0.42499999999999999</v>
      </c>
      <c r="AP142" s="80">
        <v>2.0833333333333259E-3</v>
      </c>
      <c r="AQ142" s="81">
        <v>41804</v>
      </c>
      <c r="AR142" s="77" t="str">
        <f t="shared" si="43"/>
        <v>Nacional</v>
      </c>
      <c r="AS142" s="77">
        <f t="shared" si="43"/>
        <v>6.092171717171713E-3</v>
      </c>
      <c r="AT142" s="77">
        <f t="shared" si="43"/>
        <v>5.9974747474747462E-3</v>
      </c>
      <c r="AU142" s="77">
        <f t="shared" si="43"/>
        <v>1.2089646464646459E-2</v>
      </c>
      <c r="AV142" s="77" t="str">
        <f t="shared" si="43"/>
        <v>ER4</v>
      </c>
      <c r="AW142" s="77">
        <f t="shared" si="43"/>
        <v>50</v>
      </c>
      <c r="AX142" s="77" t="str">
        <f t="shared" si="43"/>
        <v>PVR</v>
      </c>
    </row>
    <row r="143" spans="1:50" ht="15.75" thickBot="1" x14ac:dyDescent="0.3">
      <c r="A143">
        <v>127</v>
      </c>
      <c r="B143" s="36" t="str">
        <f t="shared" si="40"/>
        <v>MEXICO AEREO</v>
      </c>
      <c r="C143" s="36">
        <f t="shared" si="40"/>
        <v>2184</v>
      </c>
      <c r="D143" s="84">
        <v>0.35069444444444442</v>
      </c>
      <c r="E143" s="84">
        <v>0.35625000000000001</v>
      </c>
      <c r="F143" s="85">
        <v>5.5555555555555913E-3</v>
      </c>
      <c r="G143" s="84">
        <v>0.35972222222222222</v>
      </c>
      <c r="H143" s="85">
        <v>3.4722222222222099E-3</v>
      </c>
      <c r="I143" s="86">
        <v>41718</v>
      </c>
      <c r="J143" s="36" t="str">
        <f t="shared" si="44"/>
        <v>Nacional</v>
      </c>
      <c r="K143" s="36">
        <f t="shared" si="44"/>
        <v>3.645833333333362E-3</v>
      </c>
      <c r="L143" s="36">
        <f t="shared" si="44"/>
        <v>4.8611111111111008E-3</v>
      </c>
      <c r="M143" s="36">
        <f t="shared" si="44"/>
        <v>8.5069444444444628E-3</v>
      </c>
      <c r="N143" s="36" t="str">
        <f t="shared" si="44"/>
        <v>ER4</v>
      </c>
      <c r="O143" s="36">
        <f t="shared" si="44"/>
        <v>50</v>
      </c>
      <c r="P143" s="36" t="str">
        <f t="shared" si="44"/>
        <v>MTY</v>
      </c>
      <c r="R143">
        <v>129</v>
      </c>
      <c r="S143" s="36" t="str">
        <f t="shared" si="30"/>
        <v>MEXICO AEREO</v>
      </c>
      <c r="T143" s="36">
        <f t="shared" si="30"/>
        <v>2301</v>
      </c>
      <c r="U143" s="73">
        <v>0.70000000000000007</v>
      </c>
      <c r="V143" s="74">
        <v>0.7055555555555556</v>
      </c>
      <c r="W143" s="75">
        <v>5.5555555555555358E-3</v>
      </c>
      <c r="X143" s="74">
        <v>0.70694444444444438</v>
      </c>
      <c r="Y143" s="75">
        <v>1.3888888888887729E-3</v>
      </c>
      <c r="Z143" s="76">
        <v>41751</v>
      </c>
      <c r="AA143" s="36" t="str">
        <f t="shared" si="42"/>
        <v>Nacional</v>
      </c>
      <c r="AB143" s="36">
        <f t="shared" si="42"/>
        <v>1.0339506172839494E-2</v>
      </c>
      <c r="AC143" s="36">
        <f t="shared" si="42"/>
        <v>4.0895061728394872E-3</v>
      </c>
      <c r="AD143" s="36">
        <f t="shared" si="42"/>
        <v>1.4429012345678982E-2</v>
      </c>
      <c r="AE143" s="36" t="str">
        <f t="shared" si="42"/>
        <v>ER4</v>
      </c>
      <c r="AF143" s="36">
        <f t="shared" si="42"/>
        <v>50</v>
      </c>
      <c r="AG143" s="36" t="str">
        <f t="shared" si="42"/>
        <v>SAT</v>
      </c>
      <c r="AI143">
        <v>129</v>
      </c>
      <c r="AJ143" s="77" t="str">
        <f t="shared" si="36"/>
        <v>MEXICO AEREO</v>
      </c>
      <c r="AK143" s="77">
        <f t="shared" si="36"/>
        <v>2320</v>
      </c>
      <c r="AL143" s="78">
        <v>0.4291666666666667</v>
      </c>
      <c r="AM143" s="79">
        <v>0.43541666666666662</v>
      </c>
      <c r="AN143" s="80">
        <v>6.2499999999999223E-3</v>
      </c>
      <c r="AO143" s="79">
        <v>0.44375000000000003</v>
      </c>
      <c r="AP143" s="80">
        <v>8.3333333333334147E-3</v>
      </c>
      <c r="AQ143" s="81">
        <v>41805</v>
      </c>
      <c r="AR143" s="77" t="str">
        <f t="shared" si="43"/>
        <v>Nacional</v>
      </c>
      <c r="AS143" s="77">
        <f t="shared" si="43"/>
        <v>6.092171717171713E-3</v>
      </c>
      <c r="AT143" s="77">
        <f t="shared" si="43"/>
        <v>5.9974747474747462E-3</v>
      </c>
      <c r="AU143" s="77">
        <f t="shared" si="43"/>
        <v>1.2089646464646459E-2</v>
      </c>
      <c r="AV143" s="77" t="str">
        <f t="shared" si="43"/>
        <v>ER4</v>
      </c>
      <c r="AW143" s="77">
        <f t="shared" si="43"/>
        <v>50</v>
      </c>
      <c r="AX143" s="77" t="str">
        <f t="shared" si="43"/>
        <v>PVR</v>
      </c>
    </row>
    <row r="144" spans="1:50" x14ac:dyDescent="0.25">
      <c r="A144">
        <v>130</v>
      </c>
      <c r="B144" s="36" t="str">
        <f t="shared" si="40"/>
        <v>MEXICO AEREO</v>
      </c>
      <c r="C144" s="88">
        <v>2122</v>
      </c>
      <c r="D144" s="57">
        <v>0.7090277777777777</v>
      </c>
      <c r="E144" s="57">
        <v>0.71597222222222223</v>
      </c>
      <c r="F144" s="58">
        <v>6.9444444444445308E-3</v>
      </c>
      <c r="G144" s="57">
        <v>0.71666666666666667</v>
      </c>
      <c r="H144" s="58">
        <v>6.9444444444444198E-4</v>
      </c>
      <c r="I144" s="59">
        <v>41716</v>
      </c>
      <c r="J144" s="68" t="s">
        <v>19</v>
      </c>
      <c r="K144" s="61">
        <v>4.5454545454545496E-3</v>
      </c>
      <c r="L144" s="61">
        <v>3.2196969696969484E-3</v>
      </c>
      <c r="M144" s="89">
        <v>7.7651515151514975E-3</v>
      </c>
      <c r="N144" s="90" t="s">
        <v>20</v>
      </c>
      <c r="O144" s="91">
        <v>50</v>
      </c>
      <c r="P144" s="92" t="s">
        <v>35</v>
      </c>
      <c r="R144">
        <v>130</v>
      </c>
      <c r="S144" s="36" t="str">
        <f t="shared" si="30"/>
        <v>MEXICO AEREO</v>
      </c>
      <c r="T144" s="36">
        <f t="shared" si="30"/>
        <v>2301</v>
      </c>
      <c r="U144" s="73">
        <v>0.71527777777777779</v>
      </c>
      <c r="V144" s="74">
        <v>0.72083333333333333</v>
      </c>
      <c r="W144" s="75">
        <v>5.5555555555555358E-3</v>
      </c>
      <c r="X144" s="74">
        <v>0.72638888888888886</v>
      </c>
      <c r="Y144" s="75">
        <v>5.5555555555555358E-3</v>
      </c>
      <c r="Z144" s="76">
        <v>41754</v>
      </c>
      <c r="AA144" s="36" t="str">
        <f t="shared" si="42"/>
        <v>Nacional</v>
      </c>
      <c r="AB144" s="36">
        <f t="shared" si="42"/>
        <v>1.0339506172839494E-2</v>
      </c>
      <c r="AC144" s="36">
        <f t="shared" si="42"/>
        <v>4.0895061728394872E-3</v>
      </c>
      <c r="AD144" s="36">
        <f t="shared" si="42"/>
        <v>1.4429012345678982E-2</v>
      </c>
      <c r="AE144" s="36" t="str">
        <f t="shared" si="42"/>
        <v>ER4</v>
      </c>
      <c r="AF144" s="36">
        <f t="shared" si="42"/>
        <v>50</v>
      </c>
      <c r="AG144" s="36" t="str">
        <f t="shared" si="42"/>
        <v>SAT</v>
      </c>
      <c r="AI144">
        <v>130</v>
      </c>
      <c r="AJ144" s="77" t="str">
        <f t="shared" si="36"/>
        <v>MEXICO AEREO</v>
      </c>
      <c r="AK144" s="77">
        <f t="shared" si="36"/>
        <v>2320</v>
      </c>
      <c r="AL144" s="78">
        <v>0.8534722222222223</v>
      </c>
      <c r="AM144" s="79">
        <v>0.86388888888888893</v>
      </c>
      <c r="AN144" s="80">
        <v>1.041666666666663E-2</v>
      </c>
      <c r="AO144" s="79">
        <v>0.88263888888888886</v>
      </c>
      <c r="AP144" s="80">
        <v>1.8749999999999933E-2</v>
      </c>
      <c r="AQ144" s="81">
        <v>41806</v>
      </c>
      <c r="AR144" s="77" t="str">
        <f t="shared" si="43"/>
        <v>Nacional</v>
      </c>
      <c r="AS144" s="77">
        <f t="shared" si="43"/>
        <v>6.092171717171713E-3</v>
      </c>
      <c r="AT144" s="77">
        <f t="shared" si="43"/>
        <v>5.9974747474747462E-3</v>
      </c>
      <c r="AU144" s="77">
        <f t="shared" si="43"/>
        <v>1.2089646464646459E-2</v>
      </c>
      <c r="AV144" s="77" t="str">
        <f t="shared" si="43"/>
        <v>ER4</v>
      </c>
      <c r="AW144" s="77">
        <f t="shared" si="43"/>
        <v>50</v>
      </c>
      <c r="AX144" s="77" t="str">
        <f t="shared" si="43"/>
        <v>PVR</v>
      </c>
    </row>
    <row r="145" spans="1:50" x14ac:dyDescent="0.25">
      <c r="A145">
        <v>131</v>
      </c>
      <c r="B145" s="36" t="str">
        <f t="shared" si="40"/>
        <v>MEXICO AEREO</v>
      </c>
      <c r="C145" s="36">
        <f t="shared" si="40"/>
        <v>2122</v>
      </c>
      <c r="D145" s="74">
        <v>0.65902777777777777</v>
      </c>
      <c r="E145" s="74">
        <v>0.66319444444444442</v>
      </c>
      <c r="F145" s="75">
        <v>4.1666666666666519E-3</v>
      </c>
      <c r="G145" s="74">
        <v>0.6694444444444444</v>
      </c>
      <c r="H145" s="75">
        <v>6.2499999999999778E-3</v>
      </c>
      <c r="I145" s="76">
        <v>41718</v>
      </c>
      <c r="J145" s="36" t="str">
        <f t="shared" ref="J145:P154" si="45">J144</f>
        <v>Nacional</v>
      </c>
      <c r="K145" s="36">
        <f t="shared" si="45"/>
        <v>4.5454545454545496E-3</v>
      </c>
      <c r="L145" s="36">
        <f t="shared" si="45"/>
        <v>3.2196969696969484E-3</v>
      </c>
      <c r="M145" s="36">
        <f t="shared" si="45"/>
        <v>7.7651515151514975E-3</v>
      </c>
      <c r="N145" s="36" t="str">
        <f t="shared" si="45"/>
        <v>ER4</v>
      </c>
      <c r="O145" s="36">
        <f t="shared" si="45"/>
        <v>50</v>
      </c>
      <c r="P145" s="36" t="str">
        <f t="shared" si="45"/>
        <v>CUL</v>
      </c>
      <c r="R145">
        <v>131</v>
      </c>
      <c r="S145" s="36" t="str">
        <f t="shared" si="30"/>
        <v>MEXICO AEREO</v>
      </c>
      <c r="T145" s="36">
        <f t="shared" si="30"/>
        <v>2301</v>
      </c>
      <c r="U145" s="73">
        <v>0.70208333333333339</v>
      </c>
      <c r="V145" s="74">
        <v>0.70833333333333337</v>
      </c>
      <c r="W145" s="75">
        <v>6.2499999999999778E-3</v>
      </c>
      <c r="X145" s="74">
        <v>0.71527777777777779</v>
      </c>
      <c r="Y145" s="75">
        <v>6.9444444444444198E-3</v>
      </c>
      <c r="Z145" s="76">
        <v>41757</v>
      </c>
      <c r="AA145" s="36" t="str">
        <f t="shared" si="42"/>
        <v>Nacional</v>
      </c>
      <c r="AB145" s="36">
        <f t="shared" si="42"/>
        <v>1.0339506172839494E-2</v>
      </c>
      <c r="AC145" s="36">
        <f t="shared" si="42"/>
        <v>4.0895061728394872E-3</v>
      </c>
      <c r="AD145" s="36">
        <f t="shared" si="42"/>
        <v>1.4429012345678982E-2</v>
      </c>
      <c r="AE145" s="36" t="str">
        <f t="shared" si="42"/>
        <v>ER4</v>
      </c>
      <c r="AF145" s="36">
        <f t="shared" si="42"/>
        <v>50</v>
      </c>
      <c r="AG145" s="36" t="str">
        <f t="shared" si="42"/>
        <v>SAT</v>
      </c>
      <c r="AI145">
        <v>131</v>
      </c>
      <c r="AJ145" s="77" t="str">
        <f t="shared" si="36"/>
        <v>MEXICO AEREO</v>
      </c>
      <c r="AK145" s="77">
        <f t="shared" si="36"/>
        <v>2320</v>
      </c>
      <c r="AL145" s="78">
        <v>0.27013888888888887</v>
      </c>
      <c r="AM145" s="79">
        <v>0.28263888888888888</v>
      </c>
      <c r="AN145" s="80">
        <v>1.2500000000000011E-2</v>
      </c>
      <c r="AO145" s="79">
        <v>0.3</v>
      </c>
      <c r="AP145" s="80">
        <v>1.7361111111111105E-2</v>
      </c>
      <c r="AQ145" s="81">
        <v>41807</v>
      </c>
      <c r="AR145" s="77" t="str">
        <f t="shared" si="43"/>
        <v>Nacional</v>
      </c>
      <c r="AS145" s="77">
        <f t="shared" si="43"/>
        <v>6.092171717171713E-3</v>
      </c>
      <c r="AT145" s="77">
        <f t="shared" si="43"/>
        <v>5.9974747474747462E-3</v>
      </c>
      <c r="AU145" s="77">
        <f t="shared" si="43"/>
        <v>1.2089646464646459E-2</v>
      </c>
      <c r="AV145" s="77" t="str">
        <f t="shared" si="43"/>
        <v>ER4</v>
      </c>
      <c r="AW145" s="77">
        <f t="shared" si="43"/>
        <v>50</v>
      </c>
      <c r="AX145" s="77" t="str">
        <f t="shared" si="43"/>
        <v>PVR</v>
      </c>
    </row>
    <row r="146" spans="1:50" ht="15.75" thickBot="1" x14ac:dyDescent="0.3">
      <c r="A146">
        <v>132</v>
      </c>
      <c r="B146" s="36" t="str">
        <f t="shared" si="40"/>
        <v>MEXICO AEREO</v>
      </c>
      <c r="C146" s="36">
        <f t="shared" si="40"/>
        <v>2122</v>
      </c>
      <c r="D146" s="74">
        <v>0.64444444444444449</v>
      </c>
      <c r="E146" s="74">
        <v>0.64930555555555558</v>
      </c>
      <c r="F146" s="75">
        <v>4.8611111111110938E-3</v>
      </c>
      <c r="G146" s="74">
        <v>0.65138888888888891</v>
      </c>
      <c r="H146" s="75">
        <v>2.0833333333333259E-3</v>
      </c>
      <c r="I146" s="76">
        <v>41720</v>
      </c>
      <c r="J146" s="36" t="str">
        <f t="shared" si="45"/>
        <v>Nacional</v>
      </c>
      <c r="K146" s="36">
        <f t="shared" si="45"/>
        <v>4.5454545454545496E-3</v>
      </c>
      <c r="L146" s="36">
        <f t="shared" si="45"/>
        <v>3.2196969696969484E-3</v>
      </c>
      <c r="M146" s="36">
        <f t="shared" si="45"/>
        <v>7.7651515151514975E-3</v>
      </c>
      <c r="N146" s="36" t="str">
        <f t="shared" si="45"/>
        <v>ER4</v>
      </c>
      <c r="O146" s="36">
        <f t="shared" si="45"/>
        <v>50</v>
      </c>
      <c r="P146" s="36" t="str">
        <f t="shared" si="45"/>
        <v>CUL</v>
      </c>
      <c r="R146">
        <v>132</v>
      </c>
      <c r="S146" s="36" t="str">
        <f t="shared" si="30"/>
        <v>MEXICO AEREO</v>
      </c>
      <c r="T146" s="36">
        <f t="shared" si="30"/>
        <v>2301</v>
      </c>
      <c r="U146" s="83">
        <v>0.70000000000000007</v>
      </c>
      <c r="V146" s="84">
        <v>0.7055555555555556</v>
      </c>
      <c r="W146" s="85">
        <v>5.5555555555555358E-3</v>
      </c>
      <c r="X146" s="84">
        <v>0.7104166666666667</v>
      </c>
      <c r="Y146" s="85">
        <v>4.8611111111110938E-3</v>
      </c>
      <c r="Z146" s="86">
        <v>41758</v>
      </c>
      <c r="AA146" s="36" t="str">
        <f t="shared" si="42"/>
        <v>Nacional</v>
      </c>
      <c r="AB146" s="36">
        <f t="shared" si="42"/>
        <v>1.0339506172839494E-2</v>
      </c>
      <c r="AC146" s="36">
        <f t="shared" si="42"/>
        <v>4.0895061728394872E-3</v>
      </c>
      <c r="AD146" s="36">
        <f t="shared" si="42"/>
        <v>1.4429012345678982E-2</v>
      </c>
      <c r="AE146" s="36" t="str">
        <f t="shared" si="42"/>
        <v>ER4</v>
      </c>
      <c r="AF146" s="36">
        <f t="shared" si="42"/>
        <v>50</v>
      </c>
      <c r="AG146" s="36" t="str">
        <f t="shared" si="42"/>
        <v>SAT</v>
      </c>
      <c r="AI146">
        <v>132</v>
      </c>
      <c r="AJ146" s="77" t="str">
        <f t="shared" si="36"/>
        <v>MEXICO AEREO</v>
      </c>
      <c r="AK146" s="77">
        <f t="shared" si="36"/>
        <v>2320</v>
      </c>
      <c r="AL146" s="78">
        <v>0.52847222222222223</v>
      </c>
      <c r="AM146" s="79">
        <v>0.53819444444444442</v>
      </c>
      <c r="AN146" s="80">
        <v>9.7222222222221877E-3</v>
      </c>
      <c r="AO146" s="79">
        <v>0.54097222222222219</v>
      </c>
      <c r="AP146" s="80">
        <v>2.7777777777777679E-3</v>
      </c>
      <c r="AQ146" s="81">
        <v>41808</v>
      </c>
      <c r="AR146" s="77" t="str">
        <f t="shared" si="43"/>
        <v>Nacional</v>
      </c>
      <c r="AS146" s="77">
        <f t="shared" si="43"/>
        <v>6.092171717171713E-3</v>
      </c>
      <c r="AT146" s="77">
        <f t="shared" si="43"/>
        <v>5.9974747474747462E-3</v>
      </c>
      <c r="AU146" s="77">
        <f t="shared" si="43"/>
        <v>1.2089646464646459E-2</v>
      </c>
      <c r="AV146" s="77" t="str">
        <f t="shared" si="43"/>
        <v>ER4</v>
      </c>
      <c r="AW146" s="77">
        <f t="shared" si="43"/>
        <v>50</v>
      </c>
      <c r="AX146" s="77" t="str">
        <f t="shared" si="43"/>
        <v>PVR</v>
      </c>
    </row>
    <row r="147" spans="1:50" x14ac:dyDescent="0.25">
      <c r="A147">
        <v>133</v>
      </c>
      <c r="B147" s="36" t="str">
        <f t="shared" si="40"/>
        <v>MEXICO AEREO</v>
      </c>
      <c r="C147" s="36">
        <f t="shared" si="40"/>
        <v>2122</v>
      </c>
      <c r="D147" s="74">
        <v>0.65</v>
      </c>
      <c r="E147" s="74">
        <v>0.65277777777777779</v>
      </c>
      <c r="F147" s="75">
        <v>2.7777777777777679E-3</v>
      </c>
      <c r="G147" s="74">
        <v>0.65625</v>
      </c>
      <c r="H147" s="75">
        <v>3.4722222222222099E-3</v>
      </c>
      <c r="I147" s="76">
        <v>41721</v>
      </c>
      <c r="J147" s="36" t="str">
        <f t="shared" si="45"/>
        <v>Nacional</v>
      </c>
      <c r="K147" s="36">
        <f t="shared" si="45"/>
        <v>4.5454545454545496E-3</v>
      </c>
      <c r="L147" s="36">
        <f t="shared" si="45"/>
        <v>3.2196969696969484E-3</v>
      </c>
      <c r="M147" s="36">
        <f t="shared" si="45"/>
        <v>7.7651515151514975E-3</v>
      </c>
      <c r="N147" s="36" t="str">
        <f t="shared" si="45"/>
        <v>ER4</v>
      </c>
      <c r="O147" s="36">
        <f t="shared" si="45"/>
        <v>50</v>
      </c>
      <c r="P147" s="36" t="str">
        <f t="shared" si="45"/>
        <v>CUL</v>
      </c>
      <c r="R147">
        <v>133</v>
      </c>
      <c r="S147" s="45" t="s">
        <v>18</v>
      </c>
      <c r="T147" s="55">
        <v>2277</v>
      </c>
      <c r="U147" s="56">
        <v>0.9291666666666667</v>
      </c>
      <c r="V147" s="57">
        <v>0.93541666666666667</v>
      </c>
      <c r="W147" s="58">
        <v>6.2499999999999778E-3</v>
      </c>
      <c r="X147" s="57">
        <v>0.94097222222222221</v>
      </c>
      <c r="Y147" s="58">
        <v>5.5555555555555358E-3</v>
      </c>
      <c r="Z147" s="59">
        <v>41730</v>
      </c>
      <c r="AA147" s="60" t="s">
        <v>19</v>
      </c>
      <c r="AB147" s="61">
        <v>7.2002923976607928E-3</v>
      </c>
      <c r="AC147" s="61">
        <v>2.9239766081871534E-3</v>
      </c>
      <c r="AD147" s="62">
        <v>1.0124269005847945E-2</v>
      </c>
      <c r="AE147" s="109" t="s">
        <v>20</v>
      </c>
      <c r="AF147" s="109">
        <v>50</v>
      </c>
      <c r="AG147" s="109" t="s">
        <v>27</v>
      </c>
      <c r="AI147">
        <v>133</v>
      </c>
      <c r="AJ147" s="77" t="str">
        <f t="shared" si="36"/>
        <v>MEXICO AEREO</v>
      </c>
      <c r="AK147" s="77">
        <f t="shared" si="36"/>
        <v>2320</v>
      </c>
      <c r="AL147" s="78">
        <v>0.52916666666666667</v>
      </c>
      <c r="AM147" s="79">
        <v>0.53402777777777777</v>
      </c>
      <c r="AN147" s="80">
        <v>4.8611111111110938E-3</v>
      </c>
      <c r="AO147" s="79">
        <v>0.5395833333333333</v>
      </c>
      <c r="AP147" s="80">
        <v>5.5555555555555358E-3</v>
      </c>
      <c r="AQ147" s="81">
        <v>41809</v>
      </c>
      <c r="AR147" s="77" t="str">
        <f t="shared" si="43"/>
        <v>Nacional</v>
      </c>
      <c r="AS147" s="77">
        <f t="shared" si="43"/>
        <v>6.092171717171713E-3</v>
      </c>
      <c r="AT147" s="77">
        <f t="shared" si="43"/>
        <v>5.9974747474747462E-3</v>
      </c>
      <c r="AU147" s="77">
        <f t="shared" si="43"/>
        <v>1.2089646464646459E-2</v>
      </c>
      <c r="AV147" s="77" t="str">
        <f t="shared" si="43"/>
        <v>ER4</v>
      </c>
      <c r="AW147" s="77">
        <f t="shared" si="43"/>
        <v>50</v>
      </c>
      <c r="AX147" s="77" t="str">
        <f t="shared" si="43"/>
        <v>PVR</v>
      </c>
    </row>
    <row r="148" spans="1:50" x14ac:dyDescent="0.25">
      <c r="A148">
        <v>134</v>
      </c>
      <c r="B148" s="36" t="str">
        <f t="shared" si="40"/>
        <v>MEXICO AEREO</v>
      </c>
      <c r="C148" s="36">
        <f t="shared" si="40"/>
        <v>2122</v>
      </c>
      <c r="D148" s="74">
        <v>0.66666666666666663</v>
      </c>
      <c r="E148" s="74">
        <v>0.67013888888888884</v>
      </c>
      <c r="F148" s="75">
        <v>3.4722222222222099E-3</v>
      </c>
      <c r="G148" s="74">
        <v>0.67291666666666661</v>
      </c>
      <c r="H148" s="75">
        <v>2.7777777777777679E-3</v>
      </c>
      <c r="I148" s="76">
        <v>41722</v>
      </c>
      <c r="J148" s="36" t="str">
        <f t="shared" si="45"/>
        <v>Nacional</v>
      </c>
      <c r="K148" s="36">
        <f t="shared" si="45"/>
        <v>4.5454545454545496E-3</v>
      </c>
      <c r="L148" s="36">
        <f t="shared" si="45"/>
        <v>3.2196969696969484E-3</v>
      </c>
      <c r="M148" s="36">
        <f t="shared" si="45"/>
        <v>7.7651515151514975E-3</v>
      </c>
      <c r="N148" s="36" t="str">
        <f t="shared" si="45"/>
        <v>ER4</v>
      </c>
      <c r="O148" s="36">
        <f t="shared" si="45"/>
        <v>50</v>
      </c>
      <c r="P148" s="36" t="str">
        <f t="shared" si="45"/>
        <v>CUL</v>
      </c>
      <c r="R148">
        <v>134</v>
      </c>
      <c r="S148" s="36" t="str">
        <f t="shared" ref="S148:T211" si="46">S147</f>
        <v>MEXICO AEREO</v>
      </c>
      <c r="T148" s="36">
        <f t="shared" si="46"/>
        <v>2277</v>
      </c>
      <c r="U148" s="73">
        <v>0.93958333333333333</v>
      </c>
      <c r="V148" s="74">
        <v>0.94374999999999998</v>
      </c>
      <c r="W148" s="75">
        <v>4.1666666666666519E-3</v>
      </c>
      <c r="X148" s="74">
        <v>0.94444444444444453</v>
      </c>
      <c r="Y148" s="75">
        <v>6.94444444444553E-4</v>
      </c>
      <c r="Z148" s="76">
        <v>41731</v>
      </c>
      <c r="AA148" s="36" t="str">
        <f t="shared" ref="AA148:AG165" si="47">AA147</f>
        <v>Nacional</v>
      </c>
      <c r="AB148" s="36">
        <f t="shared" si="47"/>
        <v>7.2002923976607928E-3</v>
      </c>
      <c r="AC148" s="36">
        <f t="shared" si="47"/>
        <v>2.9239766081871534E-3</v>
      </c>
      <c r="AD148" s="36">
        <f t="shared" si="47"/>
        <v>1.0124269005847945E-2</v>
      </c>
      <c r="AE148" s="36" t="str">
        <f t="shared" si="47"/>
        <v>ER4</v>
      </c>
      <c r="AF148" s="36">
        <f t="shared" si="47"/>
        <v>50</v>
      </c>
      <c r="AG148" s="36" t="str">
        <f t="shared" si="47"/>
        <v>HMO</v>
      </c>
      <c r="AI148">
        <v>134</v>
      </c>
      <c r="AJ148" s="77" t="str">
        <f t="shared" si="36"/>
        <v>MEXICO AEREO</v>
      </c>
      <c r="AK148" s="77">
        <f t="shared" si="36"/>
        <v>2320</v>
      </c>
      <c r="AL148" s="78">
        <v>0.52430555555555558</v>
      </c>
      <c r="AM148" s="79">
        <v>0.52916666666666667</v>
      </c>
      <c r="AN148" s="80">
        <v>4.8611111111110938E-3</v>
      </c>
      <c r="AO148" s="79">
        <v>0.53472222222222221</v>
      </c>
      <c r="AP148" s="80">
        <v>5.5555555555555358E-3</v>
      </c>
      <c r="AQ148" s="81">
        <v>41810</v>
      </c>
      <c r="AR148" s="77" t="str">
        <f t="shared" si="43"/>
        <v>Nacional</v>
      </c>
      <c r="AS148" s="77">
        <f t="shared" si="43"/>
        <v>6.092171717171713E-3</v>
      </c>
      <c r="AT148" s="77">
        <f t="shared" si="43"/>
        <v>5.9974747474747462E-3</v>
      </c>
      <c r="AU148" s="77">
        <f t="shared" si="43"/>
        <v>1.2089646464646459E-2</v>
      </c>
      <c r="AV148" s="77" t="str">
        <f t="shared" si="43"/>
        <v>ER4</v>
      </c>
      <c r="AW148" s="77">
        <f t="shared" si="43"/>
        <v>50</v>
      </c>
      <c r="AX148" s="77" t="str">
        <f t="shared" si="43"/>
        <v>PVR</v>
      </c>
    </row>
    <row r="149" spans="1:50" x14ac:dyDescent="0.25">
      <c r="A149">
        <v>135</v>
      </c>
      <c r="B149" s="36" t="str">
        <f t="shared" si="40"/>
        <v>MEXICO AEREO</v>
      </c>
      <c r="C149" s="36">
        <f t="shared" si="40"/>
        <v>2122</v>
      </c>
      <c r="D149" s="74">
        <v>0.65694444444444444</v>
      </c>
      <c r="E149" s="74">
        <v>0.66249999999999998</v>
      </c>
      <c r="F149" s="75">
        <v>5.5555555555555358E-3</v>
      </c>
      <c r="G149" s="74">
        <v>0.6694444444444444</v>
      </c>
      <c r="H149" s="75">
        <v>6.9444444444444198E-3</v>
      </c>
      <c r="I149" s="76">
        <v>41725</v>
      </c>
      <c r="J149" s="36" t="str">
        <f t="shared" si="45"/>
        <v>Nacional</v>
      </c>
      <c r="K149" s="36">
        <f t="shared" si="45"/>
        <v>4.5454545454545496E-3</v>
      </c>
      <c r="L149" s="36">
        <f t="shared" si="45"/>
        <v>3.2196969696969484E-3</v>
      </c>
      <c r="M149" s="36">
        <f t="shared" si="45"/>
        <v>7.7651515151514975E-3</v>
      </c>
      <c r="N149" s="36" t="str">
        <f t="shared" si="45"/>
        <v>ER4</v>
      </c>
      <c r="O149" s="36">
        <f t="shared" si="45"/>
        <v>50</v>
      </c>
      <c r="P149" s="36" t="str">
        <f t="shared" si="45"/>
        <v>CUL</v>
      </c>
      <c r="R149">
        <v>135</v>
      </c>
      <c r="S149" s="36" t="str">
        <f t="shared" si="46"/>
        <v>MEXICO AEREO</v>
      </c>
      <c r="T149" s="36">
        <f t="shared" si="46"/>
        <v>2277</v>
      </c>
      <c r="U149" s="73">
        <v>0.94236111111111109</v>
      </c>
      <c r="V149" s="74">
        <v>0.95138888888888884</v>
      </c>
      <c r="W149" s="75">
        <v>9.0277777777777457E-3</v>
      </c>
      <c r="X149" s="74">
        <v>0.95416666666666661</v>
      </c>
      <c r="Y149" s="75">
        <v>2.7777777777777679E-3</v>
      </c>
      <c r="Z149" s="76">
        <v>41732</v>
      </c>
      <c r="AA149" s="36" t="str">
        <f t="shared" si="47"/>
        <v>Nacional</v>
      </c>
      <c r="AB149" s="36">
        <f t="shared" si="47"/>
        <v>7.2002923976607928E-3</v>
      </c>
      <c r="AC149" s="36">
        <f t="shared" si="47"/>
        <v>2.9239766081871534E-3</v>
      </c>
      <c r="AD149" s="36">
        <f t="shared" si="47"/>
        <v>1.0124269005847945E-2</v>
      </c>
      <c r="AE149" s="36" t="str">
        <f t="shared" si="47"/>
        <v>ER4</v>
      </c>
      <c r="AF149" s="36">
        <f t="shared" si="47"/>
        <v>50</v>
      </c>
      <c r="AG149" s="36" t="str">
        <f t="shared" si="47"/>
        <v>HMO</v>
      </c>
      <c r="AI149">
        <v>135</v>
      </c>
      <c r="AJ149" s="77" t="str">
        <f t="shared" si="36"/>
        <v>MEXICO AEREO</v>
      </c>
      <c r="AK149" s="77">
        <f t="shared" si="36"/>
        <v>2320</v>
      </c>
      <c r="AL149" s="78">
        <v>0.5229166666666667</v>
      </c>
      <c r="AM149" s="79">
        <v>0.52777777777777779</v>
      </c>
      <c r="AN149" s="80">
        <v>4.8611111111110938E-3</v>
      </c>
      <c r="AO149" s="79">
        <v>0.53055555555555556</v>
      </c>
      <c r="AP149" s="80">
        <v>2.7777777777777679E-3</v>
      </c>
      <c r="AQ149" s="81">
        <v>41811</v>
      </c>
      <c r="AR149" s="77" t="str">
        <f t="shared" si="43"/>
        <v>Nacional</v>
      </c>
      <c r="AS149" s="77">
        <f t="shared" si="43"/>
        <v>6.092171717171713E-3</v>
      </c>
      <c r="AT149" s="77">
        <f t="shared" si="43"/>
        <v>5.9974747474747462E-3</v>
      </c>
      <c r="AU149" s="77">
        <f t="shared" si="43"/>
        <v>1.2089646464646459E-2</v>
      </c>
      <c r="AV149" s="77" t="str">
        <f t="shared" si="43"/>
        <v>ER4</v>
      </c>
      <c r="AW149" s="77">
        <f t="shared" si="43"/>
        <v>50</v>
      </c>
      <c r="AX149" s="77" t="str">
        <f t="shared" si="43"/>
        <v>PVR</v>
      </c>
    </row>
    <row r="150" spans="1:50" x14ac:dyDescent="0.25">
      <c r="A150">
        <v>136</v>
      </c>
      <c r="B150" s="36" t="str">
        <f t="shared" si="40"/>
        <v>MEXICO AEREO</v>
      </c>
      <c r="C150" s="36">
        <f t="shared" si="40"/>
        <v>2122</v>
      </c>
      <c r="D150" s="74">
        <v>0.65625</v>
      </c>
      <c r="E150" s="74">
        <v>0.66180555555555554</v>
      </c>
      <c r="F150" s="75">
        <v>5.5555555555555358E-3</v>
      </c>
      <c r="G150" s="74">
        <v>0.66388888888888886</v>
      </c>
      <c r="H150" s="75">
        <v>2.0833333333333259E-3</v>
      </c>
      <c r="I150" s="76">
        <v>41725</v>
      </c>
      <c r="J150" s="36" t="str">
        <f t="shared" si="45"/>
        <v>Nacional</v>
      </c>
      <c r="K150" s="36">
        <f t="shared" si="45"/>
        <v>4.5454545454545496E-3</v>
      </c>
      <c r="L150" s="36">
        <f t="shared" si="45"/>
        <v>3.2196969696969484E-3</v>
      </c>
      <c r="M150" s="36">
        <f t="shared" si="45"/>
        <v>7.7651515151514975E-3</v>
      </c>
      <c r="N150" s="36" t="str">
        <f t="shared" si="45"/>
        <v>ER4</v>
      </c>
      <c r="O150" s="36">
        <f t="shared" si="45"/>
        <v>50</v>
      </c>
      <c r="P150" s="36" t="str">
        <f t="shared" si="45"/>
        <v>CUL</v>
      </c>
      <c r="R150">
        <v>136</v>
      </c>
      <c r="S150" s="36" t="str">
        <f t="shared" si="46"/>
        <v>MEXICO AEREO</v>
      </c>
      <c r="T150" s="36">
        <f t="shared" si="46"/>
        <v>2277</v>
      </c>
      <c r="U150" s="73">
        <v>0.92638888888888893</v>
      </c>
      <c r="V150" s="74">
        <v>0.93472222222222223</v>
      </c>
      <c r="W150" s="75">
        <v>8.3333333333333037E-3</v>
      </c>
      <c r="X150" s="74">
        <v>0.9375</v>
      </c>
      <c r="Y150" s="75">
        <v>2.7777777777777679E-3</v>
      </c>
      <c r="Z150" s="76">
        <v>41734</v>
      </c>
      <c r="AA150" s="36" t="str">
        <f t="shared" si="47"/>
        <v>Nacional</v>
      </c>
      <c r="AB150" s="36">
        <f t="shared" si="47"/>
        <v>7.2002923976607928E-3</v>
      </c>
      <c r="AC150" s="36">
        <f t="shared" si="47"/>
        <v>2.9239766081871534E-3</v>
      </c>
      <c r="AD150" s="36">
        <f t="shared" si="47"/>
        <v>1.0124269005847945E-2</v>
      </c>
      <c r="AE150" s="36" t="str">
        <f t="shared" si="47"/>
        <v>ER4</v>
      </c>
      <c r="AF150" s="36">
        <f t="shared" si="47"/>
        <v>50</v>
      </c>
      <c r="AG150" s="36" t="str">
        <f t="shared" si="47"/>
        <v>HMO</v>
      </c>
      <c r="AI150">
        <v>136</v>
      </c>
      <c r="AJ150" s="77" t="str">
        <f t="shared" si="36"/>
        <v>MEXICO AEREO</v>
      </c>
      <c r="AK150" s="77">
        <f t="shared" si="36"/>
        <v>2320</v>
      </c>
      <c r="AL150" s="78">
        <v>0.54097222222222219</v>
      </c>
      <c r="AM150" s="79">
        <v>0.5444444444444444</v>
      </c>
      <c r="AN150" s="80">
        <v>3.4722222222222099E-3</v>
      </c>
      <c r="AO150" s="79">
        <v>0.54999999999999993</v>
      </c>
      <c r="AP150" s="80">
        <v>5.5555555555555358E-3</v>
      </c>
      <c r="AQ150" s="81">
        <v>41813</v>
      </c>
      <c r="AR150" s="77" t="str">
        <f t="shared" si="43"/>
        <v>Nacional</v>
      </c>
      <c r="AS150" s="77">
        <f t="shared" si="43"/>
        <v>6.092171717171713E-3</v>
      </c>
      <c r="AT150" s="77">
        <f t="shared" si="43"/>
        <v>5.9974747474747462E-3</v>
      </c>
      <c r="AU150" s="77">
        <f t="shared" si="43"/>
        <v>1.2089646464646459E-2</v>
      </c>
      <c r="AV150" s="77" t="str">
        <f t="shared" si="43"/>
        <v>ER4</v>
      </c>
      <c r="AW150" s="77">
        <f t="shared" si="43"/>
        <v>50</v>
      </c>
      <c r="AX150" s="77" t="str">
        <f t="shared" si="43"/>
        <v>PVR</v>
      </c>
    </row>
    <row r="151" spans="1:50" ht="15.75" thickBot="1" x14ac:dyDescent="0.3">
      <c r="A151">
        <v>137</v>
      </c>
      <c r="B151" s="36" t="str">
        <f t="shared" si="40"/>
        <v>MEXICO AEREO</v>
      </c>
      <c r="C151" s="36">
        <f t="shared" si="40"/>
        <v>2122</v>
      </c>
      <c r="D151" s="74">
        <v>0.65277777777777779</v>
      </c>
      <c r="E151" s="74">
        <v>0.65555555555555556</v>
      </c>
      <c r="F151" s="75">
        <v>2.7777777777777679E-3</v>
      </c>
      <c r="G151" s="74">
        <v>0.65763888888888888</v>
      </c>
      <c r="H151" s="75">
        <v>2.0833333333333259E-3</v>
      </c>
      <c r="I151" s="76">
        <v>41726</v>
      </c>
      <c r="J151" s="36" t="str">
        <f t="shared" si="45"/>
        <v>Nacional</v>
      </c>
      <c r="K151" s="36">
        <f t="shared" si="45"/>
        <v>4.5454545454545496E-3</v>
      </c>
      <c r="L151" s="36">
        <f t="shared" si="45"/>
        <v>3.2196969696969484E-3</v>
      </c>
      <c r="M151" s="36">
        <f t="shared" si="45"/>
        <v>7.7651515151514975E-3</v>
      </c>
      <c r="N151" s="36" t="str">
        <f t="shared" si="45"/>
        <v>ER4</v>
      </c>
      <c r="O151" s="36">
        <f t="shared" si="45"/>
        <v>50</v>
      </c>
      <c r="P151" s="36" t="str">
        <f t="shared" si="45"/>
        <v>CUL</v>
      </c>
      <c r="R151">
        <v>137</v>
      </c>
      <c r="S151" s="36" t="str">
        <f t="shared" si="46"/>
        <v>MEXICO AEREO</v>
      </c>
      <c r="T151" s="36">
        <f t="shared" si="46"/>
        <v>2277</v>
      </c>
      <c r="U151" s="73">
        <v>0.94791666666666663</v>
      </c>
      <c r="V151" s="74">
        <v>0.94930555555555562</v>
      </c>
      <c r="W151" s="75">
        <v>1.388888888888995E-3</v>
      </c>
      <c r="X151" s="74">
        <v>0.95138888888888884</v>
      </c>
      <c r="Y151" s="75">
        <v>2.0833333333332149E-3</v>
      </c>
      <c r="Z151" s="76">
        <v>41734</v>
      </c>
      <c r="AA151" s="36" t="str">
        <f t="shared" si="47"/>
        <v>Nacional</v>
      </c>
      <c r="AB151" s="36">
        <f t="shared" si="47"/>
        <v>7.2002923976607928E-3</v>
      </c>
      <c r="AC151" s="36">
        <f t="shared" si="47"/>
        <v>2.9239766081871534E-3</v>
      </c>
      <c r="AD151" s="36">
        <f t="shared" si="47"/>
        <v>1.0124269005847945E-2</v>
      </c>
      <c r="AE151" s="36" t="str">
        <f t="shared" si="47"/>
        <v>ER4</v>
      </c>
      <c r="AF151" s="36">
        <f t="shared" si="47"/>
        <v>50</v>
      </c>
      <c r="AG151" s="36" t="str">
        <f t="shared" si="47"/>
        <v>HMO</v>
      </c>
      <c r="AI151">
        <v>137</v>
      </c>
      <c r="AJ151" s="77" t="str">
        <f t="shared" si="36"/>
        <v>MEXICO AEREO</v>
      </c>
      <c r="AK151" s="77">
        <f t="shared" si="36"/>
        <v>2320</v>
      </c>
      <c r="AL151" s="94">
        <v>0.53194444444444444</v>
      </c>
      <c r="AM151" s="95">
        <v>0.53680555555555554</v>
      </c>
      <c r="AN151" s="96">
        <v>4.8611111111110938E-3</v>
      </c>
      <c r="AO151" s="95">
        <v>0.53819444444444442</v>
      </c>
      <c r="AP151" s="96">
        <v>1.388888888888884E-3</v>
      </c>
      <c r="AQ151" s="97">
        <v>41812</v>
      </c>
      <c r="AR151" s="77" t="str">
        <f t="shared" si="43"/>
        <v>Nacional</v>
      </c>
      <c r="AS151" s="77">
        <f t="shared" si="43"/>
        <v>6.092171717171713E-3</v>
      </c>
      <c r="AT151" s="77">
        <f t="shared" si="43"/>
        <v>5.9974747474747462E-3</v>
      </c>
      <c r="AU151" s="77">
        <f t="shared" si="43"/>
        <v>1.2089646464646459E-2</v>
      </c>
      <c r="AV151" s="77" t="str">
        <f t="shared" si="43"/>
        <v>ER4</v>
      </c>
      <c r="AW151" s="77">
        <f t="shared" si="43"/>
        <v>50</v>
      </c>
      <c r="AX151" s="77" t="str">
        <f t="shared" si="43"/>
        <v>PVR</v>
      </c>
    </row>
    <row r="152" spans="1:50" x14ac:dyDescent="0.25">
      <c r="A152">
        <v>138</v>
      </c>
      <c r="B152" s="36" t="str">
        <f t="shared" si="40"/>
        <v>MEXICO AEREO</v>
      </c>
      <c r="C152" s="36">
        <f t="shared" si="40"/>
        <v>2122</v>
      </c>
      <c r="D152" s="74">
        <v>0.64722222222222225</v>
      </c>
      <c r="E152" s="74">
        <v>0.65069444444444446</v>
      </c>
      <c r="F152" s="75">
        <v>3.4722222222222099E-3</v>
      </c>
      <c r="G152" s="74">
        <v>0.65208333333333335</v>
      </c>
      <c r="H152" s="75">
        <v>1.388888888888884E-3</v>
      </c>
      <c r="I152" s="76">
        <v>41727</v>
      </c>
      <c r="J152" s="36" t="str">
        <f t="shared" si="45"/>
        <v>Nacional</v>
      </c>
      <c r="K152" s="36">
        <f t="shared" si="45"/>
        <v>4.5454545454545496E-3</v>
      </c>
      <c r="L152" s="36">
        <f t="shared" si="45"/>
        <v>3.2196969696969484E-3</v>
      </c>
      <c r="M152" s="36">
        <f t="shared" si="45"/>
        <v>7.7651515151514975E-3</v>
      </c>
      <c r="N152" s="36" t="str">
        <f t="shared" si="45"/>
        <v>ER4</v>
      </c>
      <c r="O152" s="36">
        <f t="shared" si="45"/>
        <v>50</v>
      </c>
      <c r="P152" s="36" t="str">
        <f t="shared" si="45"/>
        <v>CUL</v>
      </c>
      <c r="R152">
        <v>138</v>
      </c>
      <c r="S152" s="36" t="str">
        <f t="shared" si="46"/>
        <v>MEXICO AEREO</v>
      </c>
      <c r="T152" s="36">
        <f t="shared" si="46"/>
        <v>2277</v>
      </c>
      <c r="U152" s="73">
        <v>0.9375</v>
      </c>
      <c r="V152" s="74">
        <v>0.9472222222222223</v>
      </c>
      <c r="W152" s="75">
        <v>9.7222222222222987E-3</v>
      </c>
      <c r="X152" s="74">
        <v>0.9506944444444444</v>
      </c>
      <c r="Y152" s="75">
        <v>3.4722222222220989E-3</v>
      </c>
      <c r="Z152" s="76">
        <v>41736</v>
      </c>
      <c r="AA152" s="36" t="str">
        <f t="shared" si="47"/>
        <v>Nacional</v>
      </c>
      <c r="AB152" s="36">
        <f t="shared" si="47"/>
        <v>7.2002923976607928E-3</v>
      </c>
      <c r="AC152" s="36">
        <f t="shared" si="47"/>
        <v>2.9239766081871534E-3</v>
      </c>
      <c r="AD152" s="36">
        <f t="shared" si="47"/>
        <v>1.0124269005847945E-2</v>
      </c>
      <c r="AE152" s="36" t="str">
        <f t="shared" si="47"/>
        <v>ER4</v>
      </c>
      <c r="AF152" s="36">
        <f t="shared" si="47"/>
        <v>50</v>
      </c>
      <c r="AG152" s="36" t="str">
        <f t="shared" si="47"/>
        <v>HMO</v>
      </c>
      <c r="AI152">
        <v>138</v>
      </c>
      <c r="AJ152" s="63" t="s">
        <v>18</v>
      </c>
      <c r="AK152" s="63">
        <v>52</v>
      </c>
      <c r="AL152" s="64">
        <v>0.69652777777777775</v>
      </c>
      <c r="AM152" s="65">
        <v>0.70486111111111116</v>
      </c>
      <c r="AN152" s="66">
        <v>8.3333333333334147E-3</v>
      </c>
      <c r="AO152" s="65">
        <v>0.70833333333333337</v>
      </c>
      <c r="AP152" s="66">
        <v>3.4722222222222099E-3</v>
      </c>
      <c r="AQ152" s="67">
        <v>41791</v>
      </c>
      <c r="AR152" s="68" t="s">
        <v>19</v>
      </c>
      <c r="AS152" s="69">
        <v>5.5555555555555636E-3</v>
      </c>
      <c r="AT152" s="70">
        <v>5.1215277777777596E-3</v>
      </c>
      <c r="AU152" s="70">
        <v>1.0677083333333323E-2</v>
      </c>
      <c r="AV152" s="71">
        <v>733</v>
      </c>
      <c r="AW152" s="71">
        <v>169</v>
      </c>
      <c r="AX152" s="72" t="s">
        <v>30</v>
      </c>
    </row>
    <row r="153" spans="1:50" x14ac:dyDescent="0.25">
      <c r="A153">
        <v>139</v>
      </c>
      <c r="B153" s="36" t="str">
        <f t="shared" si="40"/>
        <v>MEXICO AEREO</v>
      </c>
      <c r="C153" s="36">
        <f t="shared" si="40"/>
        <v>2122</v>
      </c>
      <c r="D153" s="74">
        <v>0.66319444444444442</v>
      </c>
      <c r="E153" s="74">
        <v>0.66666666666666663</v>
      </c>
      <c r="F153" s="75">
        <v>3.4722222222222099E-3</v>
      </c>
      <c r="G153" s="74">
        <v>0.67013888888888884</v>
      </c>
      <c r="H153" s="75">
        <v>3.4722222222222099E-3</v>
      </c>
      <c r="I153" s="76">
        <v>41729</v>
      </c>
      <c r="J153" s="36" t="str">
        <f t="shared" si="45"/>
        <v>Nacional</v>
      </c>
      <c r="K153" s="36">
        <f t="shared" si="45"/>
        <v>4.5454545454545496E-3</v>
      </c>
      <c r="L153" s="36">
        <f t="shared" si="45"/>
        <v>3.2196969696969484E-3</v>
      </c>
      <c r="M153" s="36">
        <f t="shared" si="45"/>
        <v>7.7651515151514975E-3</v>
      </c>
      <c r="N153" s="36" t="str">
        <f t="shared" si="45"/>
        <v>ER4</v>
      </c>
      <c r="O153" s="36">
        <f t="shared" si="45"/>
        <v>50</v>
      </c>
      <c r="P153" s="36" t="str">
        <f t="shared" si="45"/>
        <v>CUL</v>
      </c>
      <c r="R153">
        <v>139</v>
      </c>
      <c r="S153" s="36" t="str">
        <f t="shared" si="46"/>
        <v>MEXICO AEREO</v>
      </c>
      <c r="T153" s="36">
        <f t="shared" si="46"/>
        <v>2277</v>
      </c>
      <c r="U153" s="73">
        <v>0.94097222222222221</v>
      </c>
      <c r="V153" s="74">
        <v>0.94652777777777775</v>
      </c>
      <c r="W153" s="75">
        <v>5.5555555555555358E-3</v>
      </c>
      <c r="X153" s="74">
        <v>0.94861111111111107</v>
      </c>
      <c r="Y153" s="75">
        <v>2.0833333333333259E-3</v>
      </c>
      <c r="Z153" s="76">
        <v>41736</v>
      </c>
      <c r="AA153" s="36" t="str">
        <f t="shared" si="47"/>
        <v>Nacional</v>
      </c>
      <c r="AB153" s="36">
        <f t="shared" si="47"/>
        <v>7.2002923976607928E-3</v>
      </c>
      <c r="AC153" s="36">
        <f t="shared" si="47"/>
        <v>2.9239766081871534E-3</v>
      </c>
      <c r="AD153" s="36">
        <f t="shared" si="47"/>
        <v>1.0124269005847945E-2</v>
      </c>
      <c r="AE153" s="36" t="str">
        <f t="shared" si="47"/>
        <v>ER4</v>
      </c>
      <c r="AF153" s="36">
        <f t="shared" si="47"/>
        <v>50</v>
      </c>
      <c r="AG153" s="36" t="str">
        <f t="shared" si="47"/>
        <v>HMO</v>
      </c>
      <c r="AI153">
        <v>139</v>
      </c>
      <c r="AJ153" s="77" t="str">
        <f t="shared" ref="AJ153:AK199" si="48">AJ152</f>
        <v>MEXICO AEREO</v>
      </c>
      <c r="AK153" s="77">
        <f t="shared" si="48"/>
        <v>52</v>
      </c>
      <c r="AL153" s="78">
        <v>0.69444444444444453</v>
      </c>
      <c r="AM153" s="79">
        <v>0.70000000000000007</v>
      </c>
      <c r="AN153" s="80">
        <v>5.5555555555555358E-3</v>
      </c>
      <c r="AO153" s="79">
        <v>0.70624999999999993</v>
      </c>
      <c r="AP153" s="80">
        <v>6.2499999999998668E-3</v>
      </c>
      <c r="AQ153" s="81">
        <v>41792</v>
      </c>
      <c r="AR153" s="77" t="str">
        <f t="shared" ref="AR153:AX159" si="49">AR152</f>
        <v>Nacional</v>
      </c>
      <c r="AS153" s="77">
        <f t="shared" si="49"/>
        <v>5.5555555555555636E-3</v>
      </c>
      <c r="AT153" s="77">
        <f t="shared" si="49"/>
        <v>5.1215277777777596E-3</v>
      </c>
      <c r="AU153" s="77">
        <f t="shared" si="49"/>
        <v>1.0677083333333323E-2</v>
      </c>
      <c r="AV153" s="77">
        <f t="shared" si="49"/>
        <v>733</v>
      </c>
      <c r="AW153" s="77">
        <f t="shared" si="49"/>
        <v>169</v>
      </c>
      <c r="AX153" s="77" t="str">
        <f t="shared" si="49"/>
        <v>MID</v>
      </c>
    </row>
    <row r="154" spans="1:50" ht="15.75" thickBot="1" x14ac:dyDescent="0.3">
      <c r="A154">
        <v>140</v>
      </c>
      <c r="B154" s="36" t="str">
        <f t="shared" si="40"/>
        <v>MEXICO AEREO</v>
      </c>
      <c r="C154" s="36">
        <f t="shared" si="40"/>
        <v>2122</v>
      </c>
      <c r="D154" s="84">
        <v>0.66111111111111109</v>
      </c>
      <c r="E154" s="84">
        <v>0.66805555555555562</v>
      </c>
      <c r="F154" s="85">
        <v>6.9444444444445308E-3</v>
      </c>
      <c r="G154" s="84">
        <v>0.67222222222222217</v>
      </c>
      <c r="H154" s="85">
        <v>4.1666666666665408E-3</v>
      </c>
      <c r="I154" s="86">
        <v>41717</v>
      </c>
      <c r="J154" s="36" t="str">
        <f t="shared" si="45"/>
        <v>Nacional</v>
      </c>
      <c r="K154" s="36">
        <f t="shared" si="45"/>
        <v>4.5454545454545496E-3</v>
      </c>
      <c r="L154" s="36">
        <f t="shared" si="45"/>
        <v>3.2196969696969484E-3</v>
      </c>
      <c r="M154" s="36">
        <f t="shared" si="45"/>
        <v>7.7651515151514975E-3</v>
      </c>
      <c r="N154" s="36" t="str">
        <f t="shared" si="45"/>
        <v>ER4</v>
      </c>
      <c r="O154" s="36">
        <f t="shared" si="45"/>
        <v>50</v>
      </c>
      <c r="P154" s="36" t="str">
        <f t="shared" si="45"/>
        <v>CUL</v>
      </c>
      <c r="R154">
        <v>140</v>
      </c>
      <c r="S154" s="36" t="str">
        <f t="shared" si="46"/>
        <v>MEXICO AEREO</v>
      </c>
      <c r="T154" s="36">
        <f t="shared" si="46"/>
        <v>2277</v>
      </c>
      <c r="U154" s="73">
        <v>0.96875</v>
      </c>
      <c r="V154" s="74">
        <v>0.9770833333333333</v>
      </c>
      <c r="W154" s="75">
        <v>8.3333333333333037E-3</v>
      </c>
      <c r="X154" s="74">
        <v>0.97916666666666663</v>
      </c>
      <c r="Y154" s="75">
        <v>2.0833333333333259E-3</v>
      </c>
      <c r="Z154" s="76">
        <v>41738</v>
      </c>
      <c r="AA154" s="36" t="str">
        <f t="shared" si="47"/>
        <v>Nacional</v>
      </c>
      <c r="AB154" s="36">
        <f t="shared" si="47"/>
        <v>7.2002923976607928E-3</v>
      </c>
      <c r="AC154" s="36">
        <f t="shared" si="47"/>
        <v>2.9239766081871534E-3</v>
      </c>
      <c r="AD154" s="36">
        <f t="shared" si="47"/>
        <v>1.0124269005847945E-2</v>
      </c>
      <c r="AE154" s="36" t="str">
        <f t="shared" si="47"/>
        <v>ER4</v>
      </c>
      <c r="AF154" s="36">
        <f t="shared" si="47"/>
        <v>50</v>
      </c>
      <c r="AG154" s="36" t="str">
        <f t="shared" si="47"/>
        <v>HMO</v>
      </c>
      <c r="AI154">
        <v>140</v>
      </c>
      <c r="AJ154" s="77" t="str">
        <f t="shared" si="48"/>
        <v>MEXICO AEREO</v>
      </c>
      <c r="AK154" s="77">
        <f t="shared" si="48"/>
        <v>52</v>
      </c>
      <c r="AL154" s="78">
        <v>0.70138888888888884</v>
      </c>
      <c r="AM154" s="79">
        <v>0.70694444444444438</v>
      </c>
      <c r="AN154" s="80">
        <v>5.5555555555555358E-3</v>
      </c>
      <c r="AO154" s="79">
        <v>0.71180555555555547</v>
      </c>
      <c r="AP154" s="80">
        <v>4.8611111111110938E-3</v>
      </c>
      <c r="AQ154" s="81">
        <v>41793</v>
      </c>
      <c r="AR154" s="77" t="str">
        <f t="shared" si="49"/>
        <v>Nacional</v>
      </c>
      <c r="AS154" s="77">
        <f t="shared" si="49"/>
        <v>5.5555555555555636E-3</v>
      </c>
      <c r="AT154" s="77">
        <f t="shared" si="49"/>
        <v>5.1215277777777596E-3</v>
      </c>
      <c r="AU154" s="77">
        <f t="shared" si="49"/>
        <v>1.0677083333333323E-2</v>
      </c>
      <c r="AV154" s="77">
        <f t="shared" si="49"/>
        <v>733</v>
      </c>
      <c r="AW154" s="77">
        <f t="shared" si="49"/>
        <v>169</v>
      </c>
      <c r="AX154" s="77" t="str">
        <f t="shared" si="49"/>
        <v>MID</v>
      </c>
    </row>
    <row r="155" spans="1:50" x14ac:dyDescent="0.25">
      <c r="A155">
        <v>141</v>
      </c>
      <c r="B155" s="36" t="str">
        <f t="shared" si="40"/>
        <v>MEXICO AEREO</v>
      </c>
      <c r="C155" s="55">
        <v>2121</v>
      </c>
      <c r="D155" s="57">
        <v>0.86111111111111116</v>
      </c>
      <c r="E155" s="57">
        <v>0.86736111111111114</v>
      </c>
      <c r="F155" s="58">
        <v>6.2499999999999778E-3</v>
      </c>
      <c r="G155" s="57">
        <v>0.86875000000000002</v>
      </c>
      <c r="H155" s="58">
        <v>1.388888888888884E-3</v>
      </c>
      <c r="I155" s="59">
        <v>41713</v>
      </c>
      <c r="J155" s="68" t="s">
        <v>19</v>
      </c>
      <c r="K155" s="61">
        <v>6.6666666666666541E-3</v>
      </c>
      <c r="L155" s="61">
        <v>4.6527777777777947E-3</v>
      </c>
      <c r="M155" s="89">
        <v>1.1319444444444448E-2</v>
      </c>
      <c r="N155" s="90" t="s">
        <v>20</v>
      </c>
      <c r="O155" s="91">
        <v>50</v>
      </c>
      <c r="P155" s="92" t="s">
        <v>35</v>
      </c>
      <c r="R155">
        <v>141</v>
      </c>
      <c r="S155" s="36" t="str">
        <f t="shared" si="46"/>
        <v>MEXICO AEREO</v>
      </c>
      <c r="T155" s="36">
        <f t="shared" si="46"/>
        <v>2277</v>
      </c>
      <c r="U155" s="73">
        <v>0.95000000000000007</v>
      </c>
      <c r="V155" s="74">
        <v>0.95624999999999993</v>
      </c>
      <c r="W155" s="75">
        <v>6.2499999999998668E-3</v>
      </c>
      <c r="X155" s="74">
        <v>0.95763888888888893</v>
      </c>
      <c r="Y155" s="75">
        <v>1.388888888888995E-3</v>
      </c>
      <c r="Z155" s="76">
        <v>41739</v>
      </c>
      <c r="AA155" s="36" t="str">
        <f t="shared" si="47"/>
        <v>Nacional</v>
      </c>
      <c r="AB155" s="36">
        <f t="shared" si="47"/>
        <v>7.2002923976607928E-3</v>
      </c>
      <c r="AC155" s="36">
        <f t="shared" si="47"/>
        <v>2.9239766081871534E-3</v>
      </c>
      <c r="AD155" s="36">
        <f t="shared" si="47"/>
        <v>1.0124269005847945E-2</v>
      </c>
      <c r="AE155" s="36" t="str">
        <f t="shared" si="47"/>
        <v>ER4</v>
      </c>
      <c r="AF155" s="36">
        <f t="shared" si="47"/>
        <v>50</v>
      </c>
      <c r="AG155" s="36" t="str">
        <f t="shared" si="47"/>
        <v>HMO</v>
      </c>
      <c r="AI155">
        <v>141</v>
      </c>
      <c r="AJ155" s="77" t="str">
        <f t="shared" si="48"/>
        <v>MEXICO AEREO</v>
      </c>
      <c r="AK155" s="77">
        <f t="shared" si="48"/>
        <v>52</v>
      </c>
      <c r="AL155" s="78">
        <v>0.70000000000000007</v>
      </c>
      <c r="AM155" s="79">
        <v>0.70347222222222217</v>
      </c>
      <c r="AN155" s="80">
        <v>3.4722222222220989E-3</v>
      </c>
      <c r="AO155" s="79">
        <v>0.7090277777777777</v>
      </c>
      <c r="AP155" s="80">
        <v>5.5555555555555358E-3</v>
      </c>
      <c r="AQ155" s="81">
        <v>41794</v>
      </c>
      <c r="AR155" s="77" t="str">
        <f t="shared" si="49"/>
        <v>Nacional</v>
      </c>
      <c r="AS155" s="77">
        <f t="shared" si="49"/>
        <v>5.5555555555555636E-3</v>
      </c>
      <c r="AT155" s="77">
        <f t="shared" si="49"/>
        <v>5.1215277777777596E-3</v>
      </c>
      <c r="AU155" s="77">
        <f t="shared" si="49"/>
        <v>1.0677083333333323E-2</v>
      </c>
      <c r="AV155" s="77">
        <f t="shared" si="49"/>
        <v>733</v>
      </c>
      <c r="AW155" s="77">
        <f t="shared" si="49"/>
        <v>169</v>
      </c>
      <c r="AX155" s="77" t="str">
        <f t="shared" si="49"/>
        <v>MID</v>
      </c>
    </row>
    <row r="156" spans="1:50" x14ac:dyDescent="0.25">
      <c r="A156">
        <v>142</v>
      </c>
      <c r="B156" s="36" t="str">
        <f t="shared" si="40"/>
        <v>MEXICO AEREO</v>
      </c>
      <c r="C156" s="36">
        <f t="shared" si="40"/>
        <v>2121</v>
      </c>
      <c r="D156" s="74">
        <v>0.86805555555555547</v>
      </c>
      <c r="E156" s="74">
        <v>0.87361111111111101</v>
      </c>
      <c r="F156" s="75">
        <v>5.5555555555555358E-3</v>
      </c>
      <c r="G156" s="74">
        <v>0.87847222222222221</v>
      </c>
      <c r="H156" s="75">
        <v>4.8611111111112049E-3</v>
      </c>
      <c r="I156" s="76">
        <v>41719</v>
      </c>
      <c r="J156" s="36" t="str">
        <f t="shared" ref="J156:P164" si="50">J155</f>
        <v>Nacional</v>
      </c>
      <c r="K156" s="36">
        <f t="shared" si="50"/>
        <v>6.6666666666666541E-3</v>
      </c>
      <c r="L156" s="36">
        <f t="shared" si="50"/>
        <v>4.6527777777777947E-3</v>
      </c>
      <c r="M156" s="36">
        <f t="shared" si="50"/>
        <v>1.1319444444444448E-2</v>
      </c>
      <c r="N156" s="36" t="str">
        <f t="shared" si="50"/>
        <v>ER4</v>
      </c>
      <c r="O156" s="36">
        <f t="shared" si="50"/>
        <v>50</v>
      </c>
      <c r="P156" s="36" t="str">
        <f t="shared" si="50"/>
        <v>CUL</v>
      </c>
      <c r="R156">
        <v>142</v>
      </c>
      <c r="S156" s="36" t="str">
        <f t="shared" si="46"/>
        <v>MEXICO AEREO</v>
      </c>
      <c r="T156" s="36">
        <f t="shared" si="46"/>
        <v>2277</v>
      </c>
      <c r="U156" s="73">
        <v>0.9902777777777777</v>
      </c>
      <c r="V156" s="74">
        <v>0.99861111111111101</v>
      </c>
      <c r="W156" s="75">
        <v>8.3333333333333037E-3</v>
      </c>
      <c r="X156" s="74">
        <v>0.99930555555555556</v>
      </c>
      <c r="Y156" s="75">
        <v>6.94444444444553E-4</v>
      </c>
      <c r="Z156" s="76">
        <v>41740</v>
      </c>
      <c r="AA156" s="36" t="str">
        <f t="shared" si="47"/>
        <v>Nacional</v>
      </c>
      <c r="AB156" s="36">
        <f t="shared" si="47"/>
        <v>7.2002923976607928E-3</v>
      </c>
      <c r="AC156" s="36">
        <f t="shared" si="47"/>
        <v>2.9239766081871534E-3</v>
      </c>
      <c r="AD156" s="36">
        <f t="shared" si="47"/>
        <v>1.0124269005847945E-2</v>
      </c>
      <c r="AE156" s="36" t="str">
        <f t="shared" si="47"/>
        <v>ER4</v>
      </c>
      <c r="AF156" s="36">
        <f t="shared" si="47"/>
        <v>50</v>
      </c>
      <c r="AG156" s="36" t="str">
        <f t="shared" si="47"/>
        <v>HMO</v>
      </c>
      <c r="AI156">
        <v>142</v>
      </c>
      <c r="AJ156" s="77" t="str">
        <f t="shared" si="48"/>
        <v>MEXICO AEREO</v>
      </c>
      <c r="AK156" s="77">
        <f t="shared" si="48"/>
        <v>52</v>
      </c>
      <c r="AL156" s="78">
        <v>0.7090277777777777</v>
      </c>
      <c r="AM156" s="79">
        <v>0.71527777777777779</v>
      </c>
      <c r="AN156" s="80">
        <v>6.2500000000000888E-3</v>
      </c>
      <c r="AO156" s="79">
        <v>0.72083333333333333</v>
      </c>
      <c r="AP156" s="80">
        <v>5.5555555555555358E-3</v>
      </c>
      <c r="AQ156" s="81">
        <v>41795</v>
      </c>
      <c r="AR156" s="77" t="str">
        <f t="shared" si="49"/>
        <v>Nacional</v>
      </c>
      <c r="AS156" s="77">
        <f t="shared" si="49"/>
        <v>5.5555555555555636E-3</v>
      </c>
      <c r="AT156" s="77">
        <f t="shared" si="49"/>
        <v>5.1215277777777596E-3</v>
      </c>
      <c r="AU156" s="77">
        <f t="shared" si="49"/>
        <v>1.0677083333333323E-2</v>
      </c>
      <c r="AV156" s="77">
        <f t="shared" si="49"/>
        <v>733</v>
      </c>
      <c r="AW156" s="77">
        <f t="shared" si="49"/>
        <v>169</v>
      </c>
      <c r="AX156" s="77" t="str">
        <f t="shared" si="49"/>
        <v>MID</v>
      </c>
    </row>
    <row r="157" spans="1:50" x14ac:dyDescent="0.25">
      <c r="A157">
        <v>143</v>
      </c>
      <c r="B157" s="36" t="str">
        <f t="shared" si="40"/>
        <v>MEXICO AEREO</v>
      </c>
      <c r="C157" s="36">
        <f t="shared" si="40"/>
        <v>2121</v>
      </c>
      <c r="D157" s="74">
        <v>0.85486111111111107</v>
      </c>
      <c r="E157" s="74">
        <v>0.86111111111111116</v>
      </c>
      <c r="F157" s="75">
        <v>6.2500000000000888E-3</v>
      </c>
      <c r="G157" s="74">
        <v>0.87013888888888891</v>
      </c>
      <c r="H157" s="75">
        <v>9.0277777777777457E-3</v>
      </c>
      <c r="I157" s="76">
        <v>41721</v>
      </c>
      <c r="J157" s="36" t="str">
        <f t="shared" si="50"/>
        <v>Nacional</v>
      </c>
      <c r="K157" s="36">
        <f t="shared" si="50"/>
        <v>6.6666666666666541E-3</v>
      </c>
      <c r="L157" s="36">
        <f t="shared" si="50"/>
        <v>4.6527777777777947E-3</v>
      </c>
      <c r="M157" s="36">
        <f t="shared" si="50"/>
        <v>1.1319444444444448E-2</v>
      </c>
      <c r="N157" s="36" t="str">
        <f t="shared" si="50"/>
        <v>ER4</v>
      </c>
      <c r="O157" s="36">
        <f t="shared" si="50"/>
        <v>50</v>
      </c>
      <c r="P157" s="36" t="str">
        <f t="shared" si="50"/>
        <v>CUL</v>
      </c>
      <c r="R157">
        <v>143</v>
      </c>
      <c r="S157" s="36" t="str">
        <f t="shared" si="46"/>
        <v>MEXICO AEREO</v>
      </c>
      <c r="T157" s="36">
        <f t="shared" si="46"/>
        <v>2277</v>
      </c>
      <c r="U157" s="73">
        <v>0.9291666666666667</v>
      </c>
      <c r="V157" s="74">
        <v>0.93541666666666667</v>
      </c>
      <c r="W157" s="75">
        <v>6.2499999999999778E-3</v>
      </c>
      <c r="X157" s="74">
        <v>0.94097222222222221</v>
      </c>
      <c r="Y157" s="75">
        <v>5.5555555555555358E-3</v>
      </c>
      <c r="Z157" s="76">
        <v>41742</v>
      </c>
      <c r="AA157" s="36" t="str">
        <f t="shared" si="47"/>
        <v>Nacional</v>
      </c>
      <c r="AB157" s="36">
        <f t="shared" si="47"/>
        <v>7.2002923976607928E-3</v>
      </c>
      <c r="AC157" s="36">
        <f t="shared" si="47"/>
        <v>2.9239766081871534E-3</v>
      </c>
      <c r="AD157" s="36">
        <f t="shared" si="47"/>
        <v>1.0124269005847945E-2</v>
      </c>
      <c r="AE157" s="36" t="str">
        <f t="shared" si="47"/>
        <v>ER4</v>
      </c>
      <c r="AF157" s="36">
        <f t="shared" si="47"/>
        <v>50</v>
      </c>
      <c r="AG157" s="36" t="str">
        <f t="shared" si="47"/>
        <v>HMO</v>
      </c>
      <c r="AI157">
        <v>143</v>
      </c>
      <c r="AJ157" s="77" t="str">
        <f t="shared" si="48"/>
        <v>MEXICO AEREO</v>
      </c>
      <c r="AK157" s="77">
        <f t="shared" si="48"/>
        <v>52</v>
      </c>
      <c r="AL157" s="78">
        <v>0.69861111111111107</v>
      </c>
      <c r="AM157" s="79">
        <v>0.70277777777777783</v>
      </c>
      <c r="AN157" s="80">
        <v>4.1666666666667629E-3</v>
      </c>
      <c r="AO157" s="79">
        <v>0.7055555555555556</v>
      </c>
      <c r="AP157" s="80">
        <v>2.7777777777777679E-3</v>
      </c>
      <c r="AQ157" s="81">
        <v>41796</v>
      </c>
      <c r="AR157" s="77" t="str">
        <f t="shared" si="49"/>
        <v>Nacional</v>
      </c>
      <c r="AS157" s="77">
        <f t="shared" si="49"/>
        <v>5.5555555555555636E-3</v>
      </c>
      <c r="AT157" s="77">
        <f t="shared" si="49"/>
        <v>5.1215277777777596E-3</v>
      </c>
      <c r="AU157" s="77">
        <f t="shared" si="49"/>
        <v>1.0677083333333323E-2</v>
      </c>
      <c r="AV157" s="77">
        <f t="shared" si="49"/>
        <v>733</v>
      </c>
      <c r="AW157" s="77">
        <f t="shared" si="49"/>
        <v>169</v>
      </c>
      <c r="AX157" s="77" t="str">
        <f t="shared" si="49"/>
        <v>MID</v>
      </c>
    </row>
    <row r="158" spans="1:50" x14ac:dyDescent="0.25">
      <c r="A158">
        <v>144</v>
      </c>
      <c r="B158" s="36" t="str">
        <f t="shared" si="40"/>
        <v>MEXICO AEREO</v>
      </c>
      <c r="C158" s="36">
        <f t="shared" si="40"/>
        <v>2121</v>
      </c>
      <c r="D158" s="74">
        <v>0.88194444444444453</v>
      </c>
      <c r="E158" s="74">
        <v>0.89444444444444438</v>
      </c>
      <c r="F158" s="75">
        <v>1.2499999999999845E-2</v>
      </c>
      <c r="G158" s="74">
        <v>0.90208333333333324</v>
      </c>
      <c r="H158" s="75">
        <v>7.6388888888888618E-3</v>
      </c>
      <c r="I158" s="76">
        <v>41721</v>
      </c>
      <c r="J158" s="36" t="str">
        <f t="shared" si="50"/>
        <v>Nacional</v>
      </c>
      <c r="K158" s="36">
        <f t="shared" si="50"/>
        <v>6.6666666666666541E-3</v>
      </c>
      <c r="L158" s="36">
        <f t="shared" si="50"/>
        <v>4.6527777777777947E-3</v>
      </c>
      <c r="M158" s="36">
        <f t="shared" si="50"/>
        <v>1.1319444444444448E-2</v>
      </c>
      <c r="N158" s="36" t="str">
        <f t="shared" si="50"/>
        <v>ER4</v>
      </c>
      <c r="O158" s="36">
        <f t="shared" si="50"/>
        <v>50</v>
      </c>
      <c r="P158" s="36" t="str">
        <f t="shared" si="50"/>
        <v>CUL</v>
      </c>
      <c r="R158">
        <v>144</v>
      </c>
      <c r="S158" s="36" t="str">
        <f t="shared" si="46"/>
        <v>MEXICO AEREO</v>
      </c>
      <c r="T158" s="36">
        <f t="shared" si="46"/>
        <v>2277</v>
      </c>
      <c r="U158" s="73">
        <v>0.93888888888888899</v>
      </c>
      <c r="V158" s="74">
        <v>0.94305555555555554</v>
      </c>
      <c r="W158" s="75">
        <v>4.1666666666665408E-3</v>
      </c>
      <c r="X158" s="74">
        <v>0.94930555555555562</v>
      </c>
      <c r="Y158" s="75">
        <v>6.2500000000000888E-3</v>
      </c>
      <c r="Z158" s="76">
        <v>41743</v>
      </c>
      <c r="AA158" s="36" t="str">
        <f t="shared" si="47"/>
        <v>Nacional</v>
      </c>
      <c r="AB158" s="36">
        <f t="shared" si="47"/>
        <v>7.2002923976607928E-3</v>
      </c>
      <c r="AC158" s="36">
        <f t="shared" si="47"/>
        <v>2.9239766081871534E-3</v>
      </c>
      <c r="AD158" s="36">
        <f t="shared" si="47"/>
        <v>1.0124269005847945E-2</v>
      </c>
      <c r="AE158" s="36" t="str">
        <f t="shared" si="47"/>
        <v>ER4</v>
      </c>
      <c r="AF158" s="36">
        <f t="shared" si="47"/>
        <v>50</v>
      </c>
      <c r="AG158" s="36" t="str">
        <f t="shared" si="47"/>
        <v>HMO</v>
      </c>
      <c r="AI158">
        <v>144</v>
      </c>
      <c r="AJ158" s="77" t="str">
        <f t="shared" si="48"/>
        <v>MEXICO AEREO</v>
      </c>
      <c r="AK158" s="77">
        <f t="shared" si="48"/>
        <v>52</v>
      </c>
      <c r="AL158" s="78">
        <v>0.70138888888888884</v>
      </c>
      <c r="AM158" s="79">
        <v>0.70833333333333337</v>
      </c>
      <c r="AN158" s="80">
        <v>6.9444444444445308E-3</v>
      </c>
      <c r="AO158" s="79">
        <v>0.71388888888888891</v>
      </c>
      <c r="AP158" s="80">
        <v>5.5555555555555358E-3</v>
      </c>
      <c r="AQ158" s="81">
        <v>41797</v>
      </c>
      <c r="AR158" s="77" t="str">
        <f t="shared" si="49"/>
        <v>Nacional</v>
      </c>
      <c r="AS158" s="77">
        <f t="shared" si="49"/>
        <v>5.5555555555555636E-3</v>
      </c>
      <c r="AT158" s="77">
        <f t="shared" si="49"/>
        <v>5.1215277777777596E-3</v>
      </c>
      <c r="AU158" s="77">
        <f t="shared" si="49"/>
        <v>1.0677083333333323E-2</v>
      </c>
      <c r="AV158" s="77">
        <f t="shared" si="49"/>
        <v>733</v>
      </c>
      <c r="AW158" s="77">
        <f t="shared" si="49"/>
        <v>169</v>
      </c>
      <c r="AX158" s="77" t="str">
        <f t="shared" si="49"/>
        <v>MID</v>
      </c>
    </row>
    <row r="159" spans="1:50" ht="15.75" thickBot="1" x14ac:dyDescent="0.3">
      <c r="A159">
        <v>145</v>
      </c>
      <c r="B159" s="36" t="str">
        <f t="shared" si="40"/>
        <v>MEXICO AEREO</v>
      </c>
      <c r="C159" s="36">
        <f t="shared" si="40"/>
        <v>2121</v>
      </c>
      <c r="D159" s="74">
        <v>0.86805555555555547</v>
      </c>
      <c r="E159" s="74">
        <v>0.875</v>
      </c>
      <c r="F159" s="75">
        <v>6.9444444444445308E-3</v>
      </c>
      <c r="G159" s="74">
        <v>0.88194444444444453</v>
      </c>
      <c r="H159" s="75">
        <v>6.9444444444445308E-3</v>
      </c>
      <c r="I159" s="76">
        <v>41723</v>
      </c>
      <c r="J159" s="36" t="str">
        <f t="shared" si="50"/>
        <v>Nacional</v>
      </c>
      <c r="K159" s="36">
        <f t="shared" si="50"/>
        <v>6.6666666666666541E-3</v>
      </c>
      <c r="L159" s="36">
        <f t="shared" si="50"/>
        <v>4.6527777777777947E-3</v>
      </c>
      <c r="M159" s="36">
        <f t="shared" si="50"/>
        <v>1.1319444444444448E-2</v>
      </c>
      <c r="N159" s="36" t="str">
        <f t="shared" si="50"/>
        <v>ER4</v>
      </c>
      <c r="O159" s="36">
        <f t="shared" si="50"/>
        <v>50</v>
      </c>
      <c r="P159" s="36" t="str">
        <f t="shared" si="50"/>
        <v>CUL</v>
      </c>
      <c r="R159">
        <v>145</v>
      </c>
      <c r="S159" s="36" t="str">
        <f t="shared" si="46"/>
        <v>MEXICO AEREO</v>
      </c>
      <c r="T159" s="36">
        <f t="shared" si="46"/>
        <v>2277</v>
      </c>
      <c r="U159" s="73">
        <v>0.92638888888888893</v>
      </c>
      <c r="V159" s="74">
        <v>0.93333333333333324</v>
      </c>
      <c r="W159" s="75">
        <v>6.9444444444443088E-3</v>
      </c>
      <c r="X159" s="74">
        <v>0.9375</v>
      </c>
      <c r="Y159" s="75">
        <v>4.1666666666667629E-3</v>
      </c>
      <c r="Z159" s="76">
        <v>41744</v>
      </c>
      <c r="AA159" s="36" t="str">
        <f t="shared" si="47"/>
        <v>Nacional</v>
      </c>
      <c r="AB159" s="36">
        <f t="shared" si="47"/>
        <v>7.2002923976607928E-3</v>
      </c>
      <c r="AC159" s="36">
        <f t="shared" si="47"/>
        <v>2.9239766081871534E-3</v>
      </c>
      <c r="AD159" s="36">
        <f t="shared" si="47"/>
        <v>1.0124269005847945E-2</v>
      </c>
      <c r="AE159" s="36" t="str">
        <f t="shared" si="47"/>
        <v>ER4</v>
      </c>
      <c r="AF159" s="36">
        <f t="shared" si="47"/>
        <v>50</v>
      </c>
      <c r="AG159" s="36" t="str">
        <f t="shared" si="47"/>
        <v>HMO</v>
      </c>
      <c r="AI159">
        <v>145</v>
      </c>
      <c r="AJ159" s="77" t="str">
        <f t="shared" si="48"/>
        <v>MEXICO AEREO</v>
      </c>
      <c r="AK159" s="77">
        <f t="shared" si="48"/>
        <v>52</v>
      </c>
      <c r="AL159" s="94">
        <v>0.75416666666666676</v>
      </c>
      <c r="AM159" s="95">
        <v>0.7583333333333333</v>
      </c>
      <c r="AN159" s="96">
        <v>4.1666666666665408E-3</v>
      </c>
      <c r="AO159" s="95">
        <v>0.76527777777777783</v>
      </c>
      <c r="AP159" s="96">
        <v>6.9444444444445308E-3</v>
      </c>
      <c r="AQ159" s="97">
        <v>41798</v>
      </c>
      <c r="AR159" s="77" t="str">
        <f t="shared" si="49"/>
        <v>Nacional</v>
      </c>
      <c r="AS159" s="77">
        <f t="shared" si="49"/>
        <v>5.5555555555555636E-3</v>
      </c>
      <c r="AT159" s="77">
        <f t="shared" si="49"/>
        <v>5.1215277777777596E-3</v>
      </c>
      <c r="AU159" s="77">
        <f t="shared" si="49"/>
        <v>1.0677083333333323E-2</v>
      </c>
      <c r="AV159" s="77">
        <f t="shared" si="49"/>
        <v>733</v>
      </c>
      <c r="AW159" s="77">
        <f t="shared" si="49"/>
        <v>169</v>
      </c>
      <c r="AX159" s="77" t="str">
        <f t="shared" si="49"/>
        <v>MID</v>
      </c>
    </row>
    <row r="160" spans="1:50" x14ac:dyDescent="0.25">
      <c r="A160">
        <v>146</v>
      </c>
      <c r="B160" s="36" t="str">
        <f t="shared" si="40"/>
        <v>MEXICO AEREO</v>
      </c>
      <c r="C160" s="36">
        <f t="shared" si="40"/>
        <v>2121</v>
      </c>
      <c r="D160" s="74">
        <v>0.86805555555555547</v>
      </c>
      <c r="E160" s="74">
        <v>0.87152777777777779</v>
      </c>
      <c r="F160" s="75">
        <v>3.4722222222223209E-3</v>
      </c>
      <c r="G160" s="74">
        <v>0.875</v>
      </c>
      <c r="H160" s="75">
        <v>3.4722222222222099E-3</v>
      </c>
      <c r="I160" s="76">
        <v>41724</v>
      </c>
      <c r="J160" s="36" t="str">
        <f t="shared" si="50"/>
        <v>Nacional</v>
      </c>
      <c r="K160" s="36">
        <f t="shared" si="50"/>
        <v>6.6666666666666541E-3</v>
      </c>
      <c r="L160" s="36">
        <f t="shared" si="50"/>
        <v>4.6527777777777947E-3</v>
      </c>
      <c r="M160" s="36">
        <f t="shared" si="50"/>
        <v>1.1319444444444448E-2</v>
      </c>
      <c r="N160" s="36" t="str">
        <f t="shared" si="50"/>
        <v>ER4</v>
      </c>
      <c r="O160" s="36">
        <f t="shared" si="50"/>
        <v>50</v>
      </c>
      <c r="P160" s="36" t="str">
        <f t="shared" si="50"/>
        <v>CUL</v>
      </c>
      <c r="R160">
        <v>146</v>
      </c>
      <c r="S160" s="36" t="str">
        <f t="shared" si="46"/>
        <v>MEXICO AEREO</v>
      </c>
      <c r="T160" s="36">
        <f t="shared" si="46"/>
        <v>2277</v>
      </c>
      <c r="U160" s="73">
        <v>0.93819444444444444</v>
      </c>
      <c r="V160" s="74">
        <v>0.94791666666666663</v>
      </c>
      <c r="W160" s="75">
        <v>9.7222222222221877E-3</v>
      </c>
      <c r="X160" s="74">
        <v>0.95138888888888884</v>
      </c>
      <c r="Y160" s="75">
        <v>3.4722222222222099E-3</v>
      </c>
      <c r="Z160" s="76">
        <v>41749</v>
      </c>
      <c r="AA160" s="36" t="str">
        <f t="shared" si="47"/>
        <v>Nacional</v>
      </c>
      <c r="AB160" s="36">
        <f t="shared" si="47"/>
        <v>7.2002923976607928E-3</v>
      </c>
      <c r="AC160" s="36">
        <f t="shared" si="47"/>
        <v>2.9239766081871534E-3</v>
      </c>
      <c r="AD160" s="36">
        <f t="shared" si="47"/>
        <v>1.0124269005847945E-2</v>
      </c>
      <c r="AE160" s="36" t="str">
        <f t="shared" si="47"/>
        <v>ER4</v>
      </c>
      <c r="AF160" s="36">
        <f t="shared" si="47"/>
        <v>50</v>
      </c>
      <c r="AG160" s="36" t="str">
        <f t="shared" si="47"/>
        <v>HMO</v>
      </c>
      <c r="AI160">
        <v>146</v>
      </c>
      <c r="AJ160" s="77" t="str">
        <f t="shared" si="48"/>
        <v>MEXICO AEREO</v>
      </c>
      <c r="AK160" s="63">
        <v>2277</v>
      </c>
      <c r="AL160" s="64">
        <v>0.9458333333333333</v>
      </c>
      <c r="AM160" s="65">
        <v>0.95277777777777783</v>
      </c>
      <c r="AN160" s="66">
        <v>6.9444444444445308E-3</v>
      </c>
      <c r="AO160" s="65">
        <v>0.9555555555555556</v>
      </c>
      <c r="AP160" s="66">
        <v>2.7777777777777679E-3</v>
      </c>
      <c r="AQ160" s="67">
        <v>41791</v>
      </c>
      <c r="AR160" s="68" t="s">
        <v>19</v>
      </c>
      <c r="AS160" s="69">
        <v>9.5012626262626562E-3</v>
      </c>
      <c r="AT160" s="70">
        <v>6.2815656565656294E-3</v>
      </c>
      <c r="AU160" s="70">
        <v>1.5782828282828287E-2</v>
      </c>
      <c r="AV160" s="71" t="s">
        <v>20</v>
      </c>
      <c r="AW160" s="71">
        <v>50</v>
      </c>
      <c r="AX160" s="72" t="s">
        <v>27</v>
      </c>
    </row>
    <row r="161" spans="1:50" x14ac:dyDescent="0.25">
      <c r="A161">
        <v>147</v>
      </c>
      <c r="B161" s="36" t="str">
        <f t="shared" si="40"/>
        <v>MEXICO AEREO</v>
      </c>
      <c r="C161" s="36">
        <f t="shared" si="40"/>
        <v>2121</v>
      </c>
      <c r="D161" s="74">
        <v>0.86111111111111116</v>
      </c>
      <c r="E161" s="74">
        <v>0.86319444444444438</v>
      </c>
      <c r="F161" s="75">
        <v>2.0833333333332149E-3</v>
      </c>
      <c r="G161" s="74">
        <v>0.86736111111111114</v>
      </c>
      <c r="H161" s="75">
        <v>4.1666666666667629E-3</v>
      </c>
      <c r="I161" s="76">
        <v>41724</v>
      </c>
      <c r="J161" s="36" t="str">
        <f t="shared" si="50"/>
        <v>Nacional</v>
      </c>
      <c r="K161" s="36">
        <f t="shared" si="50"/>
        <v>6.6666666666666541E-3</v>
      </c>
      <c r="L161" s="36">
        <f t="shared" si="50"/>
        <v>4.6527777777777947E-3</v>
      </c>
      <c r="M161" s="36">
        <f t="shared" si="50"/>
        <v>1.1319444444444448E-2</v>
      </c>
      <c r="N161" s="36" t="str">
        <f t="shared" si="50"/>
        <v>ER4</v>
      </c>
      <c r="O161" s="36">
        <f t="shared" si="50"/>
        <v>50</v>
      </c>
      <c r="P161" s="36" t="str">
        <f t="shared" si="50"/>
        <v>CUL</v>
      </c>
      <c r="R161">
        <v>147</v>
      </c>
      <c r="S161" s="36" t="str">
        <f t="shared" si="46"/>
        <v>MEXICO AEREO</v>
      </c>
      <c r="T161" s="36">
        <f t="shared" si="46"/>
        <v>2277</v>
      </c>
      <c r="U161" s="73">
        <v>0.93888888888888899</v>
      </c>
      <c r="V161" s="74">
        <v>0.94791666666666663</v>
      </c>
      <c r="W161" s="75">
        <v>9.0277777777776347E-3</v>
      </c>
      <c r="X161" s="74">
        <v>0.95000000000000007</v>
      </c>
      <c r="Y161" s="75">
        <v>2.083333333333437E-3</v>
      </c>
      <c r="Z161" s="76">
        <v>41749</v>
      </c>
      <c r="AA161" s="36" t="str">
        <f t="shared" si="47"/>
        <v>Nacional</v>
      </c>
      <c r="AB161" s="36">
        <f t="shared" si="47"/>
        <v>7.2002923976607928E-3</v>
      </c>
      <c r="AC161" s="36">
        <f t="shared" si="47"/>
        <v>2.9239766081871534E-3</v>
      </c>
      <c r="AD161" s="36">
        <f t="shared" si="47"/>
        <v>1.0124269005847945E-2</v>
      </c>
      <c r="AE161" s="36" t="str">
        <f t="shared" si="47"/>
        <v>ER4</v>
      </c>
      <c r="AF161" s="36">
        <f t="shared" si="47"/>
        <v>50</v>
      </c>
      <c r="AG161" s="36" t="str">
        <f t="shared" si="47"/>
        <v>HMO</v>
      </c>
      <c r="AI161">
        <v>147</v>
      </c>
      <c r="AJ161" s="77" t="str">
        <f t="shared" si="48"/>
        <v>MEXICO AEREO</v>
      </c>
      <c r="AK161" s="77">
        <f t="shared" si="48"/>
        <v>2277</v>
      </c>
      <c r="AL161" s="78">
        <v>0.94791666666666663</v>
      </c>
      <c r="AM161" s="79">
        <v>0.95138888888888884</v>
      </c>
      <c r="AN161" s="80">
        <v>3.4722222222222099E-3</v>
      </c>
      <c r="AO161" s="79">
        <v>0.95763888888888893</v>
      </c>
      <c r="AP161" s="80">
        <v>6.2500000000000888E-3</v>
      </c>
      <c r="AQ161" s="81">
        <v>41792</v>
      </c>
      <c r="AR161" s="77" t="str">
        <f t="shared" ref="AR161:AX181" si="51">AR160</f>
        <v>Nacional</v>
      </c>
      <c r="AS161" s="77">
        <f t="shared" si="51"/>
        <v>9.5012626262626562E-3</v>
      </c>
      <c r="AT161" s="77">
        <f t="shared" si="51"/>
        <v>6.2815656565656294E-3</v>
      </c>
      <c r="AU161" s="77">
        <f t="shared" si="51"/>
        <v>1.5782828282828287E-2</v>
      </c>
      <c r="AV161" s="77" t="str">
        <f t="shared" si="51"/>
        <v>ER4</v>
      </c>
      <c r="AW161" s="77">
        <f t="shared" si="51"/>
        <v>50</v>
      </c>
      <c r="AX161" s="77" t="str">
        <f t="shared" si="51"/>
        <v>HMO</v>
      </c>
    </row>
    <row r="162" spans="1:50" x14ac:dyDescent="0.25">
      <c r="A162">
        <v>148</v>
      </c>
      <c r="B162" s="36" t="str">
        <f t="shared" si="40"/>
        <v>MEXICO AEREO</v>
      </c>
      <c r="C162" s="36">
        <f t="shared" si="40"/>
        <v>2121</v>
      </c>
      <c r="D162" s="74">
        <v>0.85069444444444453</v>
      </c>
      <c r="E162" s="74">
        <v>0.86041666666666661</v>
      </c>
      <c r="F162" s="75">
        <v>9.7222222222220767E-3</v>
      </c>
      <c r="G162" s="74">
        <v>0.86319444444444438</v>
      </c>
      <c r="H162" s="75">
        <v>2.7777777777777679E-3</v>
      </c>
      <c r="I162" s="76">
        <v>41727</v>
      </c>
      <c r="J162" s="36" t="str">
        <f t="shared" si="50"/>
        <v>Nacional</v>
      </c>
      <c r="K162" s="36">
        <f t="shared" si="50"/>
        <v>6.6666666666666541E-3</v>
      </c>
      <c r="L162" s="36">
        <f t="shared" si="50"/>
        <v>4.6527777777777947E-3</v>
      </c>
      <c r="M162" s="36">
        <f t="shared" si="50"/>
        <v>1.1319444444444448E-2</v>
      </c>
      <c r="N162" s="36" t="str">
        <f t="shared" si="50"/>
        <v>ER4</v>
      </c>
      <c r="O162" s="36">
        <f t="shared" si="50"/>
        <v>50</v>
      </c>
      <c r="P162" s="36" t="str">
        <f t="shared" si="50"/>
        <v>CUL</v>
      </c>
      <c r="R162">
        <v>148</v>
      </c>
      <c r="S162" s="36" t="str">
        <f t="shared" si="46"/>
        <v>MEXICO AEREO</v>
      </c>
      <c r="T162" s="36">
        <f t="shared" si="46"/>
        <v>2277</v>
      </c>
      <c r="U162" s="73">
        <v>0.94305555555555554</v>
      </c>
      <c r="V162" s="74">
        <v>0.95000000000000007</v>
      </c>
      <c r="W162" s="75">
        <v>6.9444444444445308E-3</v>
      </c>
      <c r="X162" s="74">
        <v>0.95208333333333339</v>
      </c>
      <c r="Y162" s="75">
        <v>2.0833333333333259E-3</v>
      </c>
      <c r="Z162" s="76">
        <v>41753</v>
      </c>
      <c r="AA162" s="36" t="str">
        <f t="shared" si="47"/>
        <v>Nacional</v>
      </c>
      <c r="AB162" s="36">
        <f t="shared" si="47"/>
        <v>7.2002923976607928E-3</v>
      </c>
      <c r="AC162" s="36">
        <f t="shared" si="47"/>
        <v>2.9239766081871534E-3</v>
      </c>
      <c r="AD162" s="36">
        <f t="shared" si="47"/>
        <v>1.0124269005847945E-2</v>
      </c>
      <c r="AE162" s="36" t="str">
        <f t="shared" si="47"/>
        <v>ER4</v>
      </c>
      <c r="AF162" s="36">
        <f t="shared" si="47"/>
        <v>50</v>
      </c>
      <c r="AG162" s="36" t="str">
        <f t="shared" si="47"/>
        <v>HMO</v>
      </c>
      <c r="AI162">
        <v>148</v>
      </c>
      <c r="AJ162" s="77" t="str">
        <f t="shared" si="48"/>
        <v>MEXICO AEREO</v>
      </c>
      <c r="AK162" s="77">
        <f t="shared" si="48"/>
        <v>2277</v>
      </c>
      <c r="AL162" s="78">
        <v>0.94513888888888886</v>
      </c>
      <c r="AM162" s="79">
        <v>0.95763888888888893</v>
      </c>
      <c r="AN162" s="80">
        <v>1.2500000000000067E-2</v>
      </c>
      <c r="AO162" s="79">
        <v>0.96180555555555547</v>
      </c>
      <c r="AP162" s="80">
        <v>4.1666666666665408E-3</v>
      </c>
      <c r="AQ162" s="81">
        <v>41793</v>
      </c>
      <c r="AR162" s="77" t="str">
        <f t="shared" si="51"/>
        <v>Nacional</v>
      </c>
      <c r="AS162" s="77">
        <f t="shared" si="51"/>
        <v>9.5012626262626562E-3</v>
      </c>
      <c r="AT162" s="77">
        <f t="shared" si="51"/>
        <v>6.2815656565656294E-3</v>
      </c>
      <c r="AU162" s="77">
        <f t="shared" si="51"/>
        <v>1.5782828282828287E-2</v>
      </c>
      <c r="AV162" s="77" t="str">
        <f t="shared" si="51"/>
        <v>ER4</v>
      </c>
      <c r="AW162" s="77">
        <f t="shared" si="51"/>
        <v>50</v>
      </c>
      <c r="AX162" s="77" t="str">
        <f t="shared" si="51"/>
        <v>HMO</v>
      </c>
    </row>
    <row r="163" spans="1:50" x14ac:dyDescent="0.25">
      <c r="A163">
        <v>149</v>
      </c>
      <c r="B163" s="36" t="str">
        <f t="shared" si="40"/>
        <v>MEXICO AEREO</v>
      </c>
      <c r="C163" s="36">
        <f t="shared" si="40"/>
        <v>2121</v>
      </c>
      <c r="D163" s="74">
        <v>0.8652777777777777</v>
      </c>
      <c r="E163" s="74">
        <v>0.87152777777777779</v>
      </c>
      <c r="F163" s="75">
        <v>6.2500000000000888E-3</v>
      </c>
      <c r="G163" s="74">
        <v>0.875</v>
      </c>
      <c r="H163" s="75">
        <v>3.4722222222222099E-3</v>
      </c>
      <c r="I163" s="76">
        <v>41715</v>
      </c>
      <c r="J163" s="36" t="str">
        <f t="shared" si="50"/>
        <v>Nacional</v>
      </c>
      <c r="K163" s="36">
        <f t="shared" si="50"/>
        <v>6.6666666666666541E-3</v>
      </c>
      <c r="L163" s="36">
        <f t="shared" si="50"/>
        <v>4.6527777777777947E-3</v>
      </c>
      <c r="M163" s="36">
        <f t="shared" si="50"/>
        <v>1.1319444444444448E-2</v>
      </c>
      <c r="N163" s="36" t="str">
        <f t="shared" si="50"/>
        <v>ER4</v>
      </c>
      <c r="O163" s="36">
        <f t="shared" si="50"/>
        <v>50</v>
      </c>
      <c r="P163" s="36" t="str">
        <f t="shared" si="50"/>
        <v>CUL</v>
      </c>
      <c r="R163">
        <v>149</v>
      </c>
      <c r="S163" s="36" t="str">
        <f t="shared" si="46"/>
        <v>MEXICO AEREO</v>
      </c>
      <c r="T163" s="36">
        <f t="shared" si="46"/>
        <v>2277</v>
      </c>
      <c r="U163" s="73">
        <v>0.94444444444444453</v>
      </c>
      <c r="V163" s="74">
        <v>0.95208333333333339</v>
      </c>
      <c r="W163" s="75">
        <v>7.6388888888888618E-3</v>
      </c>
      <c r="X163" s="74">
        <v>0.9555555555555556</v>
      </c>
      <c r="Y163" s="75">
        <v>3.4722222222222099E-3</v>
      </c>
      <c r="Z163" s="76">
        <v>41757</v>
      </c>
      <c r="AA163" s="36" t="str">
        <f t="shared" si="47"/>
        <v>Nacional</v>
      </c>
      <c r="AB163" s="36">
        <f t="shared" si="47"/>
        <v>7.2002923976607928E-3</v>
      </c>
      <c r="AC163" s="36">
        <f t="shared" si="47"/>
        <v>2.9239766081871534E-3</v>
      </c>
      <c r="AD163" s="36">
        <f t="shared" si="47"/>
        <v>1.0124269005847945E-2</v>
      </c>
      <c r="AE163" s="36" t="str">
        <f t="shared" si="47"/>
        <v>ER4</v>
      </c>
      <c r="AF163" s="36">
        <f t="shared" si="47"/>
        <v>50</v>
      </c>
      <c r="AG163" s="36" t="str">
        <f t="shared" si="47"/>
        <v>HMO</v>
      </c>
      <c r="AI163">
        <v>149</v>
      </c>
      <c r="AJ163" s="77" t="str">
        <f t="shared" si="48"/>
        <v>MEXICO AEREO</v>
      </c>
      <c r="AK163" s="77">
        <f t="shared" si="48"/>
        <v>2277</v>
      </c>
      <c r="AL163" s="78">
        <v>0.95138888888888884</v>
      </c>
      <c r="AM163" s="79">
        <v>0.9604166666666667</v>
      </c>
      <c r="AN163" s="80">
        <v>9.0277777777778567E-3</v>
      </c>
      <c r="AO163" s="79">
        <v>0.96875</v>
      </c>
      <c r="AP163" s="80">
        <v>8.3333333333333037E-3</v>
      </c>
      <c r="AQ163" s="81">
        <v>41794</v>
      </c>
      <c r="AR163" s="77" t="str">
        <f t="shared" si="51"/>
        <v>Nacional</v>
      </c>
      <c r="AS163" s="77">
        <f t="shared" si="51"/>
        <v>9.5012626262626562E-3</v>
      </c>
      <c r="AT163" s="77">
        <f t="shared" si="51"/>
        <v>6.2815656565656294E-3</v>
      </c>
      <c r="AU163" s="77">
        <f t="shared" si="51"/>
        <v>1.5782828282828287E-2</v>
      </c>
      <c r="AV163" s="77" t="str">
        <f t="shared" si="51"/>
        <v>ER4</v>
      </c>
      <c r="AW163" s="77">
        <f t="shared" si="51"/>
        <v>50</v>
      </c>
      <c r="AX163" s="77" t="str">
        <f t="shared" si="51"/>
        <v>HMO</v>
      </c>
    </row>
    <row r="164" spans="1:50" ht="15.75" thickBot="1" x14ac:dyDescent="0.3">
      <c r="A164">
        <v>150</v>
      </c>
      <c r="B164" s="36" t="str">
        <f t="shared" si="40"/>
        <v>MEXICO AEREO</v>
      </c>
      <c r="C164" s="36">
        <f t="shared" si="40"/>
        <v>2121</v>
      </c>
      <c r="D164" s="84">
        <v>0.86319444444444438</v>
      </c>
      <c r="E164" s="84">
        <v>0.87083333333333324</v>
      </c>
      <c r="F164" s="85">
        <v>7.6388888888888618E-3</v>
      </c>
      <c r="G164" s="84">
        <v>0.87361111111111101</v>
      </c>
      <c r="H164" s="85">
        <v>2.7777777777777679E-3</v>
      </c>
      <c r="I164" s="86">
        <v>41725</v>
      </c>
      <c r="J164" s="36" t="str">
        <f t="shared" si="50"/>
        <v>Nacional</v>
      </c>
      <c r="K164" s="36">
        <f t="shared" si="50"/>
        <v>6.6666666666666541E-3</v>
      </c>
      <c r="L164" s="36">
        <f t="shared" si="50"/>
        <v>4.6527777777777947E-3</v>
      </c>
      <c r="M164" s="36">
        <f t="shared" si="50"/>
        <v>1.1319444444444448E-2</v>
      </c>
      <c r="N164" s="36" t="str">
        <f t="shared" si="50"/>
        <v>ER4</v>
      </c>
      <c r="O164" s="36">
        <f t="shared" si="50"/>
        <v>50</v>
      </c>
      <c r="P164" s="36" t="str">
        <f t="shared" si="50"/>
        <v>CUL</v>
      </c>
      <c r="R164">
        <v>150</v>
      </c>
      <c r="S164" s="36" t="str">
        <f t="shared" si="46"/>
        <v>MEXICO AEREO</v>
      </c>
      <c r="T164" s="36">
        <f t="shared" si="46"/>
        <v>2277</v>
      </c>
      <c r="U164" s="73">
        <v>0.94861111111111107</v>
      </c>
      <c r="V164" s="74">
        <v>0.95624999999999993</v>
      </c>
      <c r="W164" s="75">
        <v>7.6388888888888618E-3</v>
      </c>
      <c r="X164" s="74">
        <v>0.95833333333333337</v>
      </c>
      <c r="Y164" s="75">
        <v>2.083333333333437E-3</v>
      </c>
      <c r="Z164" s="76">
        <v>41759</v>
      </c>
      <c r="AA164" s="36" t="str">
        <f t="shared" si="47"/>
        <v>Nacional</v>
      </c>
      <c r="AB164" s="36">
        <f t="shared" si="47"/>
        <v>7.2002923976607928E-3</v>
      </c>
      <c r="AC164" s="36">
        <f t="shared" si="47"/>
        <v>2.9239766081871534E-3</v>
      </c>
      <c r="AD164" s="36">
        <f t="shared" si="47"/>
        <v>1.0124269005847945E-2</v>
      </c>
      <c r="AE164" s="36" t="str">
        <f t="shared" si="47"/>
        <v>ER4</v>
      </c>
      <c r="AF164" s="36">
        <f t="shared" si="47"/>
        <v>50</v>
      </c>
      <c r="AG164" s="36" t="str">
        <f t="shared" si="47"/>
        <v>HMO</v>
      </c>
      <c r="AI164">
        <v>150</v>
      </c>
      <c r="AJ164" s="77" t="str">
        <f t="shared" si="48"/>
        <v>MEXICO AEREO</v>
      </c>
      <c r="AK164" s="77">
        <f t="shared" si="48"/>
        <v>2277</v>
      </c>
      <c r="AL164" s="78">
        <v>0.94513888888888886</v>
      </c>
      <c r="AM164" s="79">
        <v>0.95277777777777783</v>
      </c>
      <c r="AN164" s="80">
        <v>7.6388888888889728E-3</v>
      </c>
      <c r="AO164" s="79">
        <v>0.95624999999999993</v>
      </c>
      <c r="AP164" s="80">
        <v>3.4722222222220989E-3</v>
      </c>
      <c r="AQ164" s="81">
        <v>41795</v>
      </c>
      <c r="AR164" s="77" t="str">
        <f t="shared" si="51"/>
        <v>Nacional</v>
      </c>
      <c r="AS164" s="77">
        <f t="shared" si="51"/>
        <v>9.5012626262626562E-3</v>
      </c>
      <c r="AT164" s="77">
        <f t="shared" si="51"/>
        <v>6.2815656565656294E-3</v>
      </c>
      <c r="AU164" s="77">
        <f t="shared" si="51"/>
        <v>1.5782828282828287E-2</v>
      </c>
      <c r="AV164" s="77" t="str">
        <f t="shared" si="51"/>
        <v>ER4</v>
      </c>
      <c r="AW164" s="77">
        <f t="shared" si="51"/>
        <v>50</v>
      </c>
      <c r="AX164" s="77" t="str">
        <f t="shared" si="51"/>
        <v>HMO</v>
      </c>
    </row>
    <row r="165" spans="1:50" ht="15.75" thickBot="1" x14ac:dyDescent="0.3">
      <c r="A165">
        <v>151</v>
      </c>
      <c r="B165" s="36" t="str">
        <f t="shared" si="40"/>
        <v>MEXICO AEREO</v>
      </c>
      <c r="C165" s="88">
        <v>2058</v>
      </c>
      <c r="D165" s="57">
        <v>0.90763888888888899</v>
      </c>
      <c r="E165" s="57">
        <v>0.91388888888888886</v>
      </c>
      <c r="F165" s="58">
        <v>6.2499999999998668E-3</v>
      </c>
      <c r="G165" s="57">
        <v>0.91875000000000007</v>
      </c>
      <c r="H165" s="58">
        <v>4.8611111111112049E-3</v>
      </c>
      <c r="I165" s="59">
        <v>41713</v>
      </c>
      <c r="J165" s="108" t="s">
        <v>19</v>
      </c>
      <c r="K165" s="61">
        <v>8.402777777777759E-3</v>
      </c>
      <c r="L165" s="61">
        <v>4.3750000000000065E-3</v>
      </c>
      <c r="M165" s="89">
        <v>1.2777777777777766E-2</v>
      </c>
      <c r="N165" s="90" t="s">
        <v>20</v>
      </c>
      <c r="O165" s="91">
        <v>50</v>
      </c>
      <c r="P165" s="92" t="s">
        <v>27</v>
      </c>
      <c r="R165">
        <v>151</v>
      </c>
      <c r="S165" s="36" t="str">
        <f t="shared" si="46"/>
        <v>MEXICO AEREO</v>
      </c>
      <c r="T165" s="36">
        <f t="shared" si="46"/>
        <v>2277</v>
      </c>
      <c r="U165" s="83">
        <v>0.94374999999999998</v>
      </c>
      <c r="V165" s="84">
        <v>0.95486111111111116</v>
      </c>
      <c r="W165" s="85">
        <v>1.1111111111111183E-2</v>
      </c>
      <c r="X165" s="84">
        <v>0.95763888888888893</v>
      </c>
      <c r="Y165" s="85">
        <v>2.7777777777777679E-3</v>
      </c>
      <c r="Z165" s="86">
        <v>41759</v>
      </c>
      <c r="AA165" s="36" t="str">
        <f t="shared" si="47"/>
        <v>Nacional</v>
      </c>
      <c r="AB165" s="36">
        <f t="shared" si="47"/>
        <v>7.2002923976607928E-3</v>
      </c>
      <c r="AC165" s="36">
        <f t="shared" si="47"/>
        <v>2.9239766081871534E-3</v>
      </c>
      <c r="AD165" s="36">
        <f t="shared" si="47"/>
        <v>1.0124269005847945E-2</v>
      </c>
      <c r="AE165" s="36" t="str">
        <f t="shared" si="47"/>
        <v>ER4</v>
      </c>
      <c r="AF165" s="36">
        <f t="shared" si="47"/>
        <v>50</v>
      </c>
      <c r="AG165" s="36" t="str">
        <f t="shared" si="47"/>
        <v>HMO</v>
      </c>
      <c r="AI165">
        <v>151</v>
      </c>
      <c r="AJ165" s="77" t="str">
        <f t="shared" si="48"/>
        <v>MEXICO AEREO</v>
      </c>
      <c r="AK165" s="77">
        <f t="shared" si="48"/>
        <v>2277</v>
      </c>
      <c r="AL165" s="78">
        <v>0.94444444444444453</v>
      </c>
      <c r="AM165" s="79">
        <v>0.9506944444444444</v>
      </c>
      <c r="AN165" s="80">
        <v>6.2499999999998668E-3</v>
      </c>
      <c r="AO165" s="79">
        <v>0.95486111111111116</v>
      </c>
      <c r="AP165" s="80">
        <v>4.1666666666667629E-3</v>
      </c>
      <c r="AQ165" s="81">
        <v>41796</v>
      </c>
      <c r="AR165" s="77" t="str">
        <f t="shared" si="51"/>
        <v>Nacional</v>
      </c>
      <c r="AS165" s="77">
        <f t="shared" si="51"/>
        <v>9.5012626262626562E-3</v>
      </c>
      <c r="AT165" s="77">
        <f t="shared" si="51"/>
        <v>6.2815656565656294E-3</v>
      </c>
      <c r="AU165" s="77">
        <f t="shared" si="51"/>
        <v>1.5782828282828287E-2</v>
      </c>
      <c r="AV165" s="77" t="str">
        <f t="shared" si="51"/>
        <v>ER4</v>
      </c>
      <c r="AW165" s="77">
        <f t="shared" si="51"/>
        <v>50</v>
      </c>
      <c r="AX165" s="77" t="str">
        <f t="shared" si="51"/>
        <v>HMO</v>
      </c>
    </row>
    <row r="166" spans="1:50" x14ac:dyDescent="0.25">
      <c r="A166">
        <v>152</v>
      </c>
      <c r="B166" s="36" t="str">
        <f t="shared" si="40"/>
        <v>MEXICO AEREO</v>
      </c>
      <c r="C166" s="36">
        <f t="shared" si="40"/>
        <v>2058</v>
      </c>
      <c r="D166" s="74">
        <v>0.91041666666666676</v>
      </c>
      <c r="E166" s="74">
        <v>0.91875000000000007</v>
      </c>
      <c r="F166" s="75">
        <v>8.3333333333333037E-3</v>
      </c>
      <c r="G166" s="74">
        <v>0.92152777777777783</v>
      </c>
      <c r="H166" s="75">
        <v>2.7777777777777679E-3</v>
      </c>
      <c r="I166" s="76">
        <v>41715</v>
      </c>
      <c r="J166" s="36" t="str">
        <f t="shared" ref="J166:P174" si="52">J165</f>
        <v>Nacional</v>
      </c>
      <c r="K166" s="36">
        <f t="shared" si="52"/>
        <v>8.402777777777759E-3</v>
      </c>
      <c r="L166" s="36">
        <f t="shared" si="52"/>
        <v>4.3750000000000065E-3</v>
      </c>
      <c r="M166" s="36">
        <f t="shared" si="52"/>
        <v>1.2777777777777766E-2</v>
      </c>
      <c r="N166" s="36" t="str">
        <f t="shared" si="52"/>
        <v>ER4</v>
      </c>
      <c r="O166" s="36">
        <f t="shared" si="52"/>
        <v>50</v>
      </c>
      <c r="P166" s="36" t="str">
        <f t="shared" si="52"/>
        <v>HMO</v>
      </c>
      <c r="R166">
        <v>152</v>
      </c>
      <c r="S166" s="36" t="str">
        <f t="shared" si="46"/>
        <v>MEXICO AEREO</v>
      </c>
      <c r="T166" s="55">
        <v>2219</v>
      </c>
      <c r="U166" s="56">
        <v>0.75486111111111109</v>
      </c>
      <c r="V166" s="57">
        <v>0.7631944444444444</v>
      </c>
      <c r="W166" s="58">
        <v>8.3333333333333037E-3</v>
      </c>
      <c r="X166" s="57">
        <v>0.76666666666666661</v>
      </c>
      <c r="Y166" s="58">
        <v>3.4722222222222099E-3</v>
      </c>
      <c r="Z166" s="59">
        <v>41733</v>
      </c>
      <c r="AA166" s="60" t="s">
        <v>19</v>
      </c>
      <c r="AB166" s="61">
        <v>5.2579365079365248E-3</v>
      </c>
      <c r="AC166" s="61">
        <v>6.2499999999999483E-3</v>
      </c>
      <c r="AD166" s="62">
        <v>1.1507936507936474E-2</v>
      </c>
      <c r="AE166" s="109" t="s">
        <v>20</v>
      </c>
      <c r="AF166" s="109">
        <v>50</v>
      </c>
      <c r="AG166" s="109" t="s">
        <v>33</v>
      </c>
      <c r="AI166">
        <v>152</v>
      </c>
      <c r="AJ166" s="77" t="str">
        <f t="shared" si="48"/>
        <v>MEXICO AEREO</v>
      </c>
      <c r="AK166" s="77">
        <f t="shared" si="48"/>
        <v>2277</v>
      </c>
      <c r="AL166" s="78">
        <v>0.95138888888888884</v>
      </c>
      <c r="AM166" s="79">
        <v>0.95833333333333337</v>
      </c>
      <c r="AN166" s="80">
        <v>6.9444444444445308E-3</v>
      </c>
      <c r="AO166" s="79">
        <v>0.96250000000000002</v>
      </c>
      <c r="AP166" s="80">
        <v>4.1666666666666519E-3</v>
      </c>
      <c r="AQ166" s="81">
        <v>41797</v>
      </c>
      <c r="AR166" s="77" t="str">
        <f t="shared" si="51"/>
        <v>Nacional</v>
      </c>
      <c r="AS166" s="77">
        <f t="shared" si="51"/>
        <v>9.5012626262626562E-3</v>
      </c>
      <c r="AT166" s="77">
        <f t="shared" si="51"/>
        <v>6.2815656565656294E-3</v>
      </c>
      <c r="AU166" s="77">
        <f t="shared" si="51"/>
        <v>1.5782828282828287E-2</v>
      </c>
      <c r="AV166" s="77" t="str">
        <f t="shared" si="51"/>
        <v>ER4</v>
      </c>
      <c r="AW166" s="77">
        <f t="shared" si="51"/>
        <v>50</v>
      </c>
      <c r="AX166" s="77" t="str">
        <f t="shared" si="51"/>
        <v>HMO</v>
      </c>
    </row>
    <row r="167" spans="1:50" x14ac:dyDescent="0.25">
      <c r="A167">
        <v>153</v>
      </c>
      <c r="B167" s="36" t="str">
        <f t="shared" si="40"/>
        <v>MEXICO AEREO</v>
      </c>
      <c r="C167" s="36">
        <f t="shared" si="40"/>
        <v>2058</v>
      </c>
      <c r="D167" s="74">
        <v>0.92222222222222217</v>
      </c>
      <c r="E167" s="74">
        <v>0.93055555555555547</v>
      </c>
      <c r="F167" s="75">
        <v>8.3333333333333037E-3</v>
      </c>
      <c r="G167" s="74">
        <v>0.93472222222222223</v>
      </c>
      <c r="H167" s="75">
        <v>4.1666666666667629E-3</v>
      </c>
      <c r="I167" s="76">
        <v>41716</v>
      </c>
      <c r="J167" s="36" t="str">
        <f t="shared" si="52"/>
        <v>Nacional</v>
      </c>
      <c r="K167" s="36">
        <f t="shared" si="52"/>
        <v>8.402777777777759E-3</v>
      </c>
      <c r="L167" s="36">
        <f t="shared" si="52"/>
        <v>4.3750000000000065E-3</v>
      </c>
      <c r="M167" s="36">
        <f t="shared" si="52"/>
        <v>1.2777777777777766E-2</v>
      </c>
      <c r="N167" s="36" t="str">
        <f t="shared" si="52"/>
        <v>ER4</v>
      </c>
      <c r="O167" s="36">
        <f t="shared" si="52"/>
        <v>50</v>
      </c>
      <c r="P167" s="36" t="str">
        <f t="shared" si="52"/>
        <v>HMO</v>
      </c>
      <c r="R167">
        <v>153</v>
      </c>
      <c r="S167" s="36" t="str">
        <f t="shared" si="46"/>
        <v>MEXICO AEREO</v>
      </c>
      <c r="T167" s="36">
        <f t="shared" si="46"/>
        <v>2219</v>
      </c>
      <c r="U167" s="73">
        <v>0.57152777777777775</v>
      </c>
      <c r="V167" s="74">
        <v>0.57638888888888895</v>
      </c>
      <c r="W167" s="75">
        <v>4.8611111111112049E-3</v>
      </c>
      <c r="X167" s="74">
        <v>0.57986111111111105</v>
      </c>
      <c r="Y167" s="75">
        <v>3.4722222222220989E-3</v>
      </c>
      <c r="Z167" s="76">
        <v>41730</v>
      </c>
      <c r="AA167" s="36" t="str">
        <f t="shared" ref="AA167:AG172" si="53">AA166</f>
        <v>Nacional</v>
      </c>
      <c r="AB167" s="36">
        <f t="shared" si="53"/>
        <v>5.2579365079365248E-3</v>
      </c>
      <c r="AC167" s="36">
        <f t="shared" si="53"/>
        <v>6.2499999999999483E-3</v>
      </c>
      <c r="AD167" s="36">
        <f t="shared" si="53"/>
        <v>1.1507936507936474E-2</v>
      </c>
      <c r="AE167" s="36" t="str">
        <f t="shared" si="53"/>
        <v>ER4</v>
      </c>
      <c r="AF167" s="36">
        <f t="shared" si="53"/>
        <v>50</v>
      </c>
      <c r="AG167" s="36" t="str">
        <f t="shared" si="53"/>
        <v>CUU</v>
      </c>
      <c r="AI167">
        <v>153</v>
      </c>
      <c r="AJ167" s="77" t="str">
        <f t="shared" si="48"/>
        <v>MEXICO AEREO</v>
      </c>
      <c r="AK167" s="77">
        <f t="shared" si="48"/>
        <v>2277</v>
      </c>
      <c r="AL167" s="78">
        <v>0.93680555555555556</v>
      </c>
      <c r="AM167" s="79">
        <v>0.94930555555555562</v>
      </c>
      <c r="AN167" s="80">
        <v>1.2500000000000067E-2</v>
      </c>
      <c r="AO167" s="79">
        <v>0.95138888888888884</v>
      </c>
      <c r="AP167" s="80">
        <v>2.0833333333332149E-3</v>
      </c>
      <c r="AQ167" s="81">
        <v>41798</v>
      </c>
      <c r="AR167" s="77" t="str">
        <f t="shared" si="51"/>
        <v>Nacional</v>
      </c>
      <c r="AS167" s="77">
        <f t="shared" si="51"/>
        <v>9.5012626262626562E-3</v>
      </c>
      <c r="AT167" s="77">
        <f t="shared" si="51"/>
        <v>6.2815656565656294E-3</v>
      </c>
      <c r="AU167" s="77">
        <f t="shared" si="51"/>
        <v>1.5782828282828287E-2</v>
      </c>
      <c r="AV167" s="77" t="str">
        <f t="shared" si="51"/>
        <v>ER4</v>
      </c>
      <c r="AW167" s="77">
        <f t="shared" si="51"/>
        <v>50</v>
      </c>
      <c r="AX167" s="77" t="str">
        <f t="shared" si="51"/>
        <v>HMO</v>
      </c>
    </row>
    <row r="168" spans="1:50" x14ac:dyDescent="0.25">
      <c r="A168">
        <v>154</v>
      </c>
      <c r="B168" s="36" t="str">
        <f t="shared" si="40"/>
        <v>MEXICO AEREO</v>
      </c>
      <c r="C168" s="36">
        <f t="shared" si="40"/>
        <v>2058</v>
      </c>
      <c r="D168" s="74">
        <v>0.9145833333333333</v>
      </c>
      <c r="E168" s="74">
        <v>0.92013888888888884</v>
      </c>
      <c r="F168" s="75">
        <v>5.5555555555555358E-3</v>
      </c>
      <c r="G168" s="74">
        <v>0.92361111111111116</v>
      </c>
      <c r="H168" s="75">
        <v>3.4722222222223209E-3</v>
      </c>
      <c r="I168" s="76">
        <v>41719</v>
      </c>
      <c r="J168" s="36" t="str">
        <f t="shared" si="52"/>
        <v>Nacional</v>
      </c>
      <c r="K168" s="36">
        <f t="shared" si="52"/>
        <v>8.402777777777759E-3</v>
      </c>
      <c r="L168" s="36">
        <f t="shared" si="52"/>
        <v>4.3750000000000065E-3</v>
      </c>
      <c r="M168" s="36">
        <f t="shared" si="52"/>
        <v>1.2777777777777766E-2</v>
      </c>
      <c r="N168" s="36" t="str">
        <f t="shared" si="52"/>
        <v>ER4</v>
      </c>
      <c r="O168" s="36">
        <f t="shared" si="52"/>
        <v>50</v>
      </c>
      <c r="P168" s="36" t="str">
        <f t="shared" si="52"/>
        <v>HMO</v>
      </c>
      <c r="R168">
        <v>154</v>
      </c>
      <c r="S168" s="36" t="str">
        <f t="shared" si="46"/>
        <v>MEXICO AEREO</v>
      </c>
      <c r="T168" s="36">
        <f t="shared" si="46"/>
        <v>2219</v>
      </c>
      <c r="U168" s="73">
        <v>0.59236111111111112</v>
      </c>
      <c r="V168" s="74">
        <v>0.59930555555555554</v>
      </c>
      <c r="W168" s="75">
        <v>6.9444444444444198E-3</v>
      </c>
      <c r="X168" s="74">
        <v>0.60972222222222217</v>
      </c>
      <c r="Y168" s="75">
        <v>1.041666666666663E-2</v>
      </c>
      <c r="Z168" s="76">
        <v>41731</v>
      </c>
      <c r="AA168" s="36" t="str">
        <f t="shared" si="53"/>
        <v>Nacional</v>
      </c>
      <c r="AB168" s="36">
        <f t="shared" si="53"/>
        <v>5.2579365079365248E-3</v>
      </c>
      <c r="AC168" s="36">
        <f t="shared" si="53"/>
        <v>6.2499999999999483E-3</v>
      </c>
      <c r="AD168" s="36">
        <f t="shared" si="53"/>
        <v>1.1507936507936474E-2</v>
      </c>
      <c r="AE168" s="36" t="str">
        <f t="shared" si="53"/>
        <v>ER4</v>
      </c>
      <c r="AF168" s="36">
        <f t="shared" si="53"/>
        <v>50</v>
      </c>
      <c r="AG168" s="36" t="str">
        <f t="shared" si="53"/>
        <v>CUU</v>
      </c>
      <c r="AI168">
        <v>154</v>
      </c>
      <c r="AJ168" s="77" t="str">
        <f t="shared" si="48"/>
        <v>MEXICO AEREO</v>
      </c>
      <c r="AK168" s="77">
        <f t="shared" si="48"/>
        <v>2277</v>
      </c>
      <c r="AL168" s="78">
        <v>0.95416666666666661</v>
      </c>
      <c r="AM168" s="79">
        <v>0.96388888888888891</v>
      </c>
      <c r="AN168" s="80">
        <v>9.7222222222222987E-3</v>
      </c>
      <c r="AO168" s="79">
        <v>0.96875</v>
      </c>
      <c r="AP168" s="80">
        <v>4.8611111111110938E-3</v>
      </c>
      <c r="AQ168" s="81">
        <v>41799</v>
      </c>
      <c r="AR168" s="77" t="str">
        <f t="shared" si="51"/>
        <v>Nacional</v>
      </c>
      <c r="AS168" s="77">
        <f t="shared" si="51"/>
        <v>9.5012626262626562E-3</v>
      </c>
      <c r="AT168" s="77">
        <f t="shared" si="51"/>
        <v>6.2815656565656294E-3</v>
      </c>
      <c r="AU168" s="77">
        <f t="shared" si="51"/>
        <v>1.5782828282828287E-2</v>
      </c>
      <c r="AV168" s="77" t="str">
        <f t="shared" si="51"/>
        <v>ER4</v>
      </c>
      <c r="AW168" s="77">
        <f t="shared" si="51"/>
        <v>50</v>
      </c>
      <c r="AX168" s="77" t="str">
        <f t="shared" si="51"/>
        <v>HMO</v>
      </c>
    </row>
    <row r="169" spans="1:50" x14ac:dyDescent="0.25">
      <c r="A169">
        <v>155</v>
      </c>
      <c r="B169" s="36" t="str">
        <f t="shared" si="40"/>
        <v>MEXICO AEREO</v>
      </c>
      <c r="C169" s="36">
        <f t="shared" si="40"/>
        <v>2058</v>
      </c>
      <c r="D169" s="74">
        <v>0.91041666666666676</v>
      </c>
      <c r="E169" s="74">
        <v>0.93819444444444444</v>
      </c>
      <c r="F169" s="75">
        <v>2.7777777777777679E-2</v>
      </c>
      <c r="G169" s="74">
        <v>0.94166666666666676</v>
      </c>
      <c r="H169" s="75">
        <v>3.4722222222223209E-3</v>
      </c>
      <c r="I169" s="76">
        <v>41721</v>
      </c>
      <c r="J169" s="36" t="str">
        <f t="shared" si="52"/>
        <v>Nacional</v>
      </c>
      <c r="K169" s="36">
        <f t="shared" si="52"/>
        <v>8.402777777777759E-3</v>
      </c>
      <c r="L169" s="36">
        <f t="shared" si="52"/>
        <v>4.3750000000000065E-3</v>
      </c>
      <c r="M169" s="36">
        <f t="shared" si="52"/>
        <v>1.2777777777777766E-2</v>
      </c>
      <c r="N169" s="36" t="str">
        <f t="shared" si="52"/>
        <v>ER4</v>
      </c>
      <c r="O169" s="36">
        <f t="shared" si="52"/>
        <v>50</v>
      </c>
      <c r="P169" s="36" t="str">
        <f t="shared" si="52"/>
        <v>HMO</v>
      </c>
      <c r="R169">
        <v>155</v>
      </c>
      <c r="S169" s="36" t="str">
        <f t="shared" si="46"/>
        <v>MEXICO AEREO</v>
      </c>
      <c r="T169" s="36">
        <f t="shared" si="46"/>
        <v>2219</v>
      </c>
      <c r="U169" s="73">
        <v>8.3333333333333329E-2</v>
      </c>
      <c r="V169" s="74">
        <v>8.6805555555555566E-2</v>
      </c>
      <c r="W169" s="75">
        <v>3.4722222222222376E-3</v>
      </c>
      <c r="X169" s="74">
        <v>9.375E-2</v>
      </c>
      <c r="Y169" s="75">
        <v>6.9444444444444337E-3</v>
      </c>
      <c r="Z169" s="76">
        <v>41732</v>
      </c>
      <c r="AA169" s="36" t="str">
        <f t="shared" si="53"/>
        <v>Nacional</v>
      </c>
      <c r="AB169" s="36">
        <f t="shared" si="53"/>
        <v>5.2579365079365248E-3</v>
      </c>
      <c r="AC169" s="36">
        <f t="shared" si="53"/>
        <v>6.2499999999999483E-3</v>
      </c>
      <c r="AD169" s="36">
        <f t="shared" si="53"/>
        <v>1.1507936507936474E-2</v>
      </c>
      <c r="AE169" s="36" t="str">
        <f t="shared" si="53"/>
        <v>ER4</v>
      </c>
      <c r="AF169" s="36">
        <f t="shared" si="53"/>
        <v>50</v>
      </c>
      <c r="AG169" s="36" t="str">
        <f t="shared" si="53"/>
        <v>CUU</v>
      </c>
      <c r="AI169">
        <v>155</v>
      </c>
      <c r="AJ169" s="77" t="str">
        <f t="shared" si="48"/>
        <v>MEXICO AEREO</v>
      </c>
      <c r="AK169" s="77">
        <f t="shared" si="48"/>
        <v>2277</v>
      </c>
      <c r="AL169" s="78">
        <v>0.47361111111111115</v>
      </c>
      <c r="AM169" s="79">
        <v>0.4770833333333333</v>
      </c>
      <c r="AN169" s="80">
        <v>3.4722222222221544E-3</v>
      </c>
      <c r="AO169" s="79">
        <v>0.48541666666666666</v>
      </c>
      <c r="AP169" s="80">
        <v>8.3333333333333592E-3</v>
      </c>
      <c r="AQ169" s="81">
        <v>41800</v>
      </c>
      <c r="AR169" s="77" t="str">
        <f t="shared" si="51"/>
        <v>Nacional</v>
      </c>
      <c r="AS169" s="77">
        <f t="shared" si="51"/>
        <v>9.5012626262626562E-3</v>
      </c>
      <c r="AT169" s="77">
        <f t="shared" si="51"/>
        <v>6.2815656565656294E-3</v>
      </c>
      <c r="AU169" s="77">
        <f t="shared" si="51"/>
        <v>1.5782828282828287E-2</v>
      </c>
      <c r="AV169" s="77" t="str">
        <f t="shared" si="51"/>
        <v>ER4</v>
      </c>
      <c r="AW169" s="77">
        <f t="shared" si="51"/>
        <v>50</v>
      </c>
      <c r="AX169" s="77" t="str">
        <f t="shared" si="51"/>
        <v>HMO</v>
      </c>
    </row>
    <row r="170" spans="1:50" x14ac:dyDescent="0.25">
      <c r="A170">
        <v>156</v>
      </c>
      <c r="B170" s="36" t="str">
        <f t="shared" si="40"/>
        <v>MEXICO AEREO</v>
      </c>
      <c r="C170" s="36">
        <f t="shared" si="40"/>
        <v>2058</v>
      </c>
      <c r="D170" s="74">
        <v>0.91666666666666663</v>
      </c>
      <c r="E170" s="74">
        <v>0.92152777777777783</v>
      </c>
      <c r="F170" s="75">
        <v>4.8611111111112049E-3</v>
      </c>
      <c r="G170" s="74">
        <v>0.92986111111111114</v>
      </c>
      <c r="H170" s="75">
        <v>8.3333333333333037E-3</v>
      </c>
      <c r="I170" s="76">
        <v>41723</v>
      </c>
      <c r="J170" s="36" t="str">
        <f t="shared" si="52"/>
        <v>Nacional</v>
      </c>
      <c r="K170" s="36">
        <f t="shared" si="52"/>
        <v>8.402777777777759E-3</v>
      </c>
      <c r="L170" s="36">
        <f t="shared" si="52"/>
        <v>4.3750000000000065E-3</v>
      </c>
      <c r="M170" s="36">
        <f t="shared" si="52"/>
        <v>1.2777777777777766E-2</v>
      </c>
      <c r="N170" s="36" t="str">
        <f t="shared" si="52"/>
        <v>ER4</v>
      </c>
      <c r="O170" s="36">
        <f t="shared" si="52"/>
        <v>50</v>
      </c>
      <c r="P170" s="36" t="str">
        <f t="shared" si="52"/>
        <v>HMO</v>
      </c>
      <c r="R170">
        <v>156</v>
      </c>
      <c r="S170" s="36" t="str">
        <f t="shared" si="46"/>
        <v>MEXICO AEREO</v>
      </c>
      <c r="T170" s="36">
        <f t="shared" si="46"/>
        <v>2219</v>
      </c>
      <c r="U170" s="73">
        <v>0.58750000000000002</v>
      </c>
      <c r="V170" s="74">
        <v>0.59166666666666667</v>
      </c>
      <c r="W170" s="75">
        <v>4.1666666666666519E-3</v>
      </c>
      <c r="X170" s="74">
        <v>0.60138888888888886</v>
      </c>
      <c r="Y170" s="75">
        <v>9.7222222222221877E-3</v>
      </c>
      <c r="Z170" s="76">
        <v>41733</v>
      </c>
      <c r="AA170" s="36" t="str">
        <f t="shared" si="53"/>
        <v>Nacional</v>
      </c>
      <c r="AB170" s="36">
        <f t="shared" si="53"/>
        <v>5.2579365079365248E-3</v>
      </c>
      <c r="AC170" s="36">
        <f t="shared" si="53"/>
        <v>6.2499999999999483E-3</v>
      </c>
      <c r="AD170" s="36">
        <f t="shared" si="53"/>
        <v>1.1507936507936474E-2</v>
      </c>
      <c r="AE170" s="36" t="str">
        <f t="shared" si="53"/>
        <v>ER4</v>
      </c>
      <c r="AF170" s="36">
        <f t="shared" si="53"/>
        <v>50</v>
      </c>
      <c r="AG170" s="36" t="str">
        <f t="shared" si="53"/>
        <v>CUU</v>
      </c>
      <c r="AI170">
        <v>156</v>
      </c>
      <c r="AJ170" s="77" t="str">
        <f t="shared" si="48"/>
        <v>MEXICO AEREO</v>
      </c>
      <c r="AK170" s="77">
        <f t="shared" si="48"/>
        <v>2277</v>
      </c>
      <c r="AL170" s="78">
        <v>0.52013888888888882</v>
      </c>
      <c r="AM170" s="79">
        <v>0.52638888888888891</v>
      </c>
      <c r="AN170" s="80">
        <v>6.2500000000000888E-3</v>
      </c>
      <c r="AO170" s="79">
        <v>0.53819444444444442</v>
      </c>
      <c r="AP170" s="80">
        <v>1.1805555555555514E-2</v>
      </c>
      <c r="AQ170" s="81">
        <v>41801</v>
      </c>
      <c r="AR170" s="77" t="str">
        <f t="shared" si="51"/>
        <v>Nacional</v>
      </c>
      <c r="AS170" s="77">
        <f t="shared" si="51"/>
        <v>9.5012626262626562E-3</v>
      </c>
      <c r="AT170" s="77">
        <f t="shared" si="51"/>
        <v>6.2815656565656294E-3</v>
      </c>
      <c r="AU170" s="77">
        <f t="shared" si="51"/>
        <v>1.5782828282828287E-2</v>
      </c>
      <c r="AV170" s="77" t="str">
        <f t="shared" si="51"/>
        <v>ER4</v>
      </c>
      <c r="AW170" s="77">
        <f t="shared" si="51"/>
        <v>50</v>
      </c>
      <c r="AX170" s="77" t="str">
        <f t="shared" si="51"/>
        <v>HMO</v>
      </c>
    </row>
    <row r="171" spans="1:50" x14ac:dyDescent="0.25">
      <c r="A171">
        <v>157</v>
      </c>
      <c r="B171" s="36" t="str">
        <f t="shared" si="40"/>
        <v>MEXICO AEREO</v>
      </c>
      <c r="C171" s="36">
        <f t="shared" si="40"/>
        <v>2058</v>
      </c>
      <c r="D171" s="74">
        <v>0.92083333333333339</v>
      </c>
      <c r="E171" s="74">
        <v>0.92361111111111116</v>
      </c>
      <c r="F171" s="75">
        <v>2.7777777777777679E-3</v>
      </c>
      <c r="G171" s="74">
        <v>0.92499999999999993</v>
      </c>
      <c r="H171" s="75">
        <v>1.3888888888887729E-3</v>
      </c>
      <c r="I171" s="76">
        <v>41724</v>
      </c>
      <c r="J171" s="36" t="str">
        <f t="shared" si="52"/>
        <v>Nacional</v>
      </c>
      <c r="K171" s="36">
        <f t="shared" si="52"/>
        <v>8.402777777777759E-3</v>
      </c>
      <c r="L171" s="36">
        <f t="shared" si="52"/>
        <v>4.3750000000000065E-3</v>
      </c>
      <c r="M171" s="36">
        <f t="shared" si="52"/>
        <v>1.2777777777777766E-2</v>
      </c>
      <c r="N171" s="36" t="str">
        <f t="shared" si="52"/>
        <v>ER4</v>
      </c>
      <c r="O171" s="36">
        <f t="shared" si="52"/>
        <v>50</v>
      </c>
      <c r="P171" s="36" t="str">
        <f t="shared" si="52"/>
        <v>HMO</v>
      </c>
      <c r="R171">
        <v>157</v>
      </c>
      <c r="S171" s="36" t="str">
        <f t="shared" si="46"/>
        <v>MEXICO AEREO</v>
      </c>
      <c r="T171" s="36">
        <f t="shared" si="46"/>
        <v>2219</v>
      </c>
      <c r="U171" s="73">
        <v>0.57638888888888895</v>
      </c>
      <c r="V171" s="74">
        <v>0.5805555555555556</v>
      </c>
      <c r="W171" s="75">
        <v>4.1666666666666519E-3</v>
      </c>
      <c r="X171" s="74">
        <v>0.58680555555555558</v>
      </c>
      <c r="Y171" s="75">
        <v>6.2499999999999778E-3</v>
      </c>
      <c r="Z171" s="76">
        <v>41735</v>
      </c>
      <c r="AA171" s="36" t="str">
        <f t="shared" si="53"/>
        <v>Nacional</v>
      </c>
      <c r="AB171" s="36">
        <f t="shared" si="53"/>
        <v>5.2579365079365248E-3</v>
      </c>
      <c r="AC171" s="36">
        <f t="shared" si="53"/>
        <v>6.2499999999999483E-3</v>
      </c>
      <c r="AD171" s="36">
        <f t="shared" si="53"/>
        <v>1.1507936507936474E-2</v>
      </c>
      <c r="AE171" s="36" t="str">
        <f t="shared" si="53"/>
        <v>ER4</v>
      </c>
      <c r="AF171" s="36">
        <f t="shared" si="53"/>
        <v>50</v>
      </c>
      <c r="AG171" s="36" t="str">
        <f t="shared" si="53"/>
        <v>CUU</v>
      </c>
      <c r="AI171">
        <v>157</v>
      </c>
      <c r="AJ171" s="77" t="str">
        <f t="shared" si="48"/>
        <v>MEXICO AEREO</v>
      </c>
      <c r="AK171" s="77">
        <f t="shared" si="48"/>
        <v>2277</v>
      </c>
      <c r="AL171" s="78">
        <v>7.4999999999999997E-2</v>
      </c>
      <c r="AM171" s="79">
        <v>8.2638888888888887E-2</v>
      </c>
      <c r="AN171" s="80">
        <v>7.6388888888888895E-3</v>
      </c>
      <c r="AO171" s="79">
        <v>9.5833333333333326E-2</v>
      </c>
      <c r="AP171" s="80">
        <v>1.3194444444444439E-2</v>
      </c>
      <c r="AQ171" s="81">
        <v>41802</v>
      </c>
      <c r="AR171" s="77" t="str">
        <f t="shared" si="51"/>
        <v>Nacional</v>
      </c>
      <c r="AS171" s="77">
        <f t="shared" si="51"/>
        <v>9.5012626262626562E-3</v>
      </c>
      <c r="AT171" s="77">
        <f t="shared" si="51"/>
        <v>6.2815656565656294E-3</v>
      </c>
      <c r="AU171" s="77">
        <f t="shared" si="51"/>
        <v>1.5782828282828287E-2</v>
      </c>
      <c r="AV171" s="77" t="str">
        <f t="shared" si="51"/>
        <v>ER4</v>
      </c>
      <c r="AW171" s="77">
        <f t="shared" si="51"/>
        <v>50</v>
      </c>
      <c r="AX171" s="77" t="str">
        <f t="shared" si="51"/>
        <v>HMO</v>
      </c>
    </row>
    <row r="172" spans="1:50" ht="15.75" thickBot="1" x14ac:dyDescent="0.3">
      <c r="A172">
        <v>158</v>
      </c>
      <c r="B172" s="36" t="str">
        <f t="shared" si="40"/>
        <v>MEXICO AEREO</v>
      </c>
      <c r="C172" s="36">
        <f t="shared" si="40"/>
        <v>2058</v>
      </c>
      <c r="D172" s="74">
        <v>0.91736111111111107</v>
      </c>
      <c r="E172" s="74">
        <v>0.9243055555555556</v>
      </c>
      <c r="F172" s="75">
        <v>6.9444444444445308E-3</v>
      </c>
      <c r="G172" s="74">
        <v>0.92986111111111114</v>
      </c>
      <c r="H172" s="75">
        <v>5.5555555555555358E-3</v>
      </c>
      <c r="I172" s="76">
        <v>41724</v>
      </c>
      <c r="J172" s="36" t="str">
        <f t="shared" si="52"/>
        <v>Nacional</v>
      </c>
      <c r="K172" s="36">
        <f t="shared" si="52"/>
        <v>8.402777777777759E-3</v>
      </c>
      <c r="L172" s="36">
        <f t="shared" si="52"/>
        <v>4.3750000000000065E-3</v>
      </c>
      <c r="M172" s="36">
        <f t="shared" si="52"/>
        <v>1.2777777777777766E-2</v>
      </c>
      <c r="N172" s="36" t="str">
        <f t="shared" si="52"/>
        <v>ER4</v>
      </c>
      <c r="O172" s="36">
        <f t="shared" si="52"/>
        <v>50</v>
      </c>
      <c r="P172" s="36" t="str">
        <f t="shared" si="52"/>
        <v>HMO</v>
      </c>
      <c r="R172">
        <v>158</v>
      </c>
      <c r="S172" s="36" t="str">
        <f t="shared" si="46"/>
        <v>MEXICO AEREO</v>
      </c>
      <c r="T172" s="36">
        <f t="shared" si="46"/>
        <v>2219</v>
      </c>
      <c r="U172" s="83">
        <v>0.57152777777777775</v>
      </c>
      <c r="V172" s="84">
        <v>0.57638888888888895</v>
      </c>
      <c r="W172" s="85">
        <v>4.8611111111112049E-3</v>
      </c>
      <c r="X172" s="84">
        <v>0.57986111111111105</v>
      </c>
      <c r="Y172" s="85">
        <v>3.4722222222220989E-3</v>
      </c>
      <c r="Z172" s="86">
        <v>41742</v>
      </c>
      <c r="AA172" s="36" t="str">
        <f t="shared" si="53"/>
        <v>Nacional</v>
      </c>
      <c r="AB172" s="36">
        <f t="shared" si="53"/>
        <v>5.2579365079365248E-3</v>
      </c>
      <c r="AC172" s="36">
        <f t="shared" si="53"/>
        <v>6.2499999999999483E-3</v>
      </c>
      <c r="AD172" s="36">
        <f t="shared" si="53"/>
        <v>1.1507936507936474E-2</v>
      </c>
      <c r="AE172" s="36" t="str">
        <f t="shared" si="53"/>
        <v>ER4</v>
      </c>
      <c r="AF172" s="36">
        <f t="shared" si="53"/>
        <v>50</v>
      </c>
      <c r="AG172" s="36" t="str">
        <f t="shared" si="53"/>
        <v>CUU</v>
      </c>
      <c r="AI172">
        <v>158</v>
      </c>
      <c r="AJ172" s="77" t="str">
        <f t="shared" si="48"/>
        <v>MEXICO AEREO</v>
      </c>
      <c r="AK172" s="77">
        <f t="shared" si="48"/>
        <v>2277</v>
      </c>
      <c r="AL172" s="78">
        <v>0.85416666666666663</v>
      </c>
      <c r="AM172" s="79">
        <v>0.85902777777777783</v>
      </c>
      <c r="AN172" s="80">
        <v>4.8611111111112049E-3</v>
      </c>
      <c r="AO172" s="79">
        <v>0.8618055555555556</v>
      </c>
      <c r="AP172" s="80">
        <v>2.7777777777777679E-3</v>
      </c>
      <c r="AQ172" s="81">
        <v>41803</v>
      </c>
      <c r="AR172" s="77" t="str">
        <f t="shared" si="51"/>
        <v>Nacional</v>
      </c>
      <c r="AS172" s="77">
        <f t="shared" si="51"/>
        <v>9.5012626262626562E-3</v>
      </c>
      <c r="AT172" s="77">
        <f t="shared" si="51"/>
        <v>6.2815656565656294E-3</v>
      </c>
      <c r="AU172" s="77">
        <f t="shared" si="51"/>
        <v>1.5782828282828287E-2</v>
      </c>
      <c r="AV172" s="77" t="str">
        <f t="shared" si="51"/>
        <v>ER4</v>
      </c>
      <c r="AW172" s="77">
        <f t="shared" si="51"/>
        <v>50</v>
      </c>
      <c r="AX172" s="77" t="str">
        <f t="shared" si="51"/>
        <v>HMO</v>
      </c>
    </row>
    <row r="173" spans="1:50" x14ac:dyDescent="0.25">
      <c r="A173">
        <v>159</v>
      </c>
      <c r="B173" s="36" t="str">
        <f t="shared" si="40"/>
        <v>MEXICO AEREO</v>
      </c>
      <c r="C173" s="36">
        <f t="shared" si="40"/>
        <v>2058</v>
      </c>
      <c r="D173" s="74">
        <v>0.91041666666666676</v>
      </c>
      <c r="E173" s="74">
        <v>0.91875000000000007</v>
      </c>
      <c r="F173" s="75">
        <v>8.3333333333333037E-3</v>
      </c>
      <c r="G173" s="74">
        <v>0.92291666666666661</v>
      </c>
      <c r="H173" s="75">
        <v>4.1666666666665408E-3</v>
      </c>
      <c r="I173" s="76">
        <v>41726</v>
      </c>
      <c r="J173" s="36" t="str">
        <f t="shared" si="52"/>
        <v>Nacional</v>
      </c>
      <c r="K173" s="36">
        <f t="shared" si="52"/>
        <v>8.402777777777759E-3</v>
      </c>
      <c r="L173" s="36">
        <f t="shared" si="52"/>
        <v>4.3750000000000065E-3</v>
      </c>
      <c r="M173" s="36">
        <f t="shared" si="52"/>
        <v>1.2777777777777766E-2</v>
      </c>
      <c r="N173" s="36" t="str">
        <f t="shared" si="52"/>
        <v>ER4</v>
      </c>
      <c r="O173" s="36">
        <f t="shared" si="52"/>
        <v>50</v>
      </c>
      <c r="P173" s="36" t="str">
        <f t="shared" si="52"/>
        <v>HMO</v>
      </c>
      <c r="R173">
        <v>159</v>
      </c>
      <c r="S173" s="36" t="str">
        <f t="shared" si="46"/>
        <v>MEXICO AEREO</v>
      </c>
      <c r="T173" s="55">
        <v>2193</v>
      </c>
      <c r="U173" s="56">
        <v>0.83124999999999993</v>
      </c>
      <c r="V173" s="57">
        <v>0.8340277777777777</v>
      </c>
      <c r="W173" s="58">
        <v>2.7777777777777679E-3</v>
      </c>
      <c r="X173" s="57">
        <v>0.84513888888888899</v>
      </c>
      <c r="Y173" s="58">
        <v>1.1111111111111294E-2</v>
      </c>
      <c r="Z173" s="59">
        <v>41734</v>
      </c>
      <c r="AA173" s="60" t="s">
        <v>19</v>
      </c>
      <c r="AB173" s="61">
        <v>7.6099537037036952E-3</v>
      </c>
      <c r="AC173" s="61">
        <v>4.1956018518518783E-3</v>
      </c>
      <c r="AD173" s="62">
        <v>1.1805555555555573E-2</v>
      </c>
      <c r="AE173" s="109" t="s">
        <v>20</v>
      </c>
      <c r="AF173" s="109">
        <v>50</v>
      </c>
      <c r="AG173" s="109" t="s">
        <v>34</v>
      </c>
      <c r="AI173">
        <v>159</v>
      </c>
      <c r="AJ173" s="77" t="str">
        <f t="shared" si="48"/>
        <v>MEXICO AEREO</v>
      </c>
      <c r="AK173" s="77">
        <f t="shared" si="48"/>
        <v>2277</v>
      </c>
      <c r="AL173" s="78">
        <v>0.87847222222222221</v>
      </c>
      <c r="AM173" s="79">
        <v>0.8881944444444444</v>
      </c>
      <c r="AN173" s="80">
        <v>9.7222222222221877E-3</v>
      </c>
      <c r="AO173" s="79">
        <v>0.8979166666666667</v>
      </c>
      <c r="AP173" s="80">
        <v>9.7222222222222987E-3</v>
      </c>
      <c r="AQ173" s="81">
        <v>41804</v>
      </c>
      <c r="AR173" s="77" t="str">
        <f t="shared" si="51"/>
        <v>Nacional</v>
      </c>
      <c r="AS173" s="77">
        <f t="shared" si="51"/>
        <v>9.5012626262626562E-3</v>
      </c>
      <c r="AT173" s="77">
        <f t="shared" si="51"/>
        <v>6.2815656565656294E-3</v>
      </c>
      <c r="AU173" s="77">
        <f t="shared" si="51"/>
        <v>1.5782828282828287E-2</v>
      </c>
      <c r="AV173" s="77" t="str">
        <f t="shared" si="51"/>
        <v>ER4</v>
      </c>
      <c r="AW173" s="77">
        <f t="shared" si="51"/>
        <v>50</v>
      </c>
      <c r="AX173" s="77" t="str">
        <f t="shared" si="51"/>
        <v>HMO</v>
      </c>
    </row>
    <row r="174" spans="1:50" ht="15.75" thickBot="1" x14ac:dyDescent="0.3">
      <c r="A174">
        <v>160</v>
      </c>
      <c r="B174" s="36" t="str">
        <f t="shared" si="40"/>
        <v>MEXICO AEREO</v>
      </c>
      <c r="C174" s="36">
        <f t="shared" si="40"/>
        <v>2058</v>
      </c>
      <c r="D174" s="84">
        <v>0.9375</v>
      </c>
      <c r="E174" s="84">
        <v>0.94236111111111109</v>
      </c>
      <c r="F174" s="85">
        <v>4.8611111111110938E-3</v>
      </c>
      <c r="G174" s="84">
        <v>0.94791666666666663</v>
      </c>
      <c r="H174" s="85">
        <v>5.5555555555555358E-3</v>
      </c>
      <c r="I174" s="86">
        <v>41727</v>
      </c>
      <c r="J174" s="36" t="str">
        <f t="shared" si="52"/>
        <v>Nacional</v>
      </c>
      <c r="K174" s="36">
        <f t="shared" si="52"/>
        <v>8.402777777777759E-3</v>
      </c>
      <c r="L174" s="36">
        <f t="shared" si="52"/>
        <v>4.3750000000000065E-3</v>
      </c>
      <c r="M174" s="36">
        <f t="shared" si="52"/>
        <v>1.2777777777777766E-2</v>
      </c>
      <c r="N174" s="36" t="str">
        <f t="shared" si="52"/>
        <v>ER4</v>
      </c>
      <c r="O174" s="36">
        <f t="shared" si="52"/>
        <v>50</v>
      </c>
      <c r="P174" s="36" t="str">
        <f t="shared" si="52"/>
        <v>HMO</v>
      </c>
      <c r="R174">
        <v>160</v>
      </c>
      <c r="S174" s="36" t="str">
        <f t="shared" si="46"/>
        <v>MEXICO AEREO</v>
      </c>
      <c r="T174" s="36">
        <f t="shared" si="46"/>
        <v>2193</v>
      </c>
      <c r="U174" s="73">
        <v>0.85069444444444453</v>
      </c>
      <c r="V174" s="74">
        <v>0.86458333333333337</v>
      </c>
      <c r="W174" s="75">
        <v>1.388888888888884E-2</v>
      </c>
      <c r="X174" s="74">
        <v>0.87430555555555556</v>
      </c>
      <c r="Y174" s="75">
        <v>9.7222222222221877E-3</v>
      </c>
      <c r="Z174" s="76">
        <v>41730</v>
      </c>
      <c r="AA174" s="36" t="str">
        <f t="shared" ref="AA174:AG196" si="54">AA173</f>
        <v>Nacional</v>
      </c>
      <c r="AB174" s="36">
        <f t="shared" si="54"/>
        <v>7.6099537037036952E-3</v>
      </c>
      <c r="AC174" s="36">
        <f t="shared" si="54"/>
        <v>4.1956018518518783E-3</v>
      </c>
      <c r="AD174" s="36">
        <f t="shared" si="54"/>
        <v>1.1805555555555573E-2</v>
      </c>
      <c r="AE174" s="36" t="str">
        <f t="shared" si="54"/>
        <v>ER4</v>
      </c>
      <c r="AF174" s="36">
        <f t="shared" si="54"/>
        <v>50</v>
      </c>
      <c r="AG174" s="36" t="str">
        <f t="shared" si="54"/>
        <v>TIJ</v>
      </c>
      <c r="AI174">
        <v>160</v>
      </c>
      <c r="AJ174" s="77" t="str">
        <f t="shared" si="48"/>
        <v>MEXICO AEREO</v>
      </c>
      <c r="AK174" s="77">
        <f t="shared" si="48"/>
        <v>2277</v>
      </c>
      <c r="AL174" s="78">
        <v>0.90555555555555556</v>
      </c>
      <c r="AM174" s="79">
        <v>0.91319444444444453</v>
      </c>
      <c r="AN174" s="80">
        <v>7.6388888888889728E-3</v>
      </c>
      <c r="AO174" s="79">
        <v>0.93055555555555547</v>
      </c>
      <c r="AP174" s="80">
        <v>1.7361111111110938E-2</v>
      </c>
      <c r="AQ174" s="81">
        <v>41806</v>
      </c>
      <c r="AR174" s="77" t="str">
        <f t="shared" si="51"/>
        <v>Nacional</v>
      </c>
      <c r="AS174" s="77">
        <f t="shared" si="51"/>
        <v>9.5012626262626562E-3</v>
      </c>
      <c r="AT174" s="77">
        <f t="shared" si="51"/>
        <v>6.2815656565656294E-3</v>
      </c>
      <c r="AU174" s="77">
        <f t="shared" si="51"/>
        <v>1.5782828282828287E-2</v>
      </c>
      <c r="AV174" s="77" t="str">
        <f t="shared" si="51"/>
        <v>ER4</v>
      </c>
      <c r="AW174" s="77">
        <f t="shared" si="51"/>
        <v>50</v>
      </c>
      <c r="AX174" s="77" t="str">
        <f t="shared" si="51"/>
        <v>HMO</v>
      </c>
    </row>
    <row r="175" spans="1:50" x14ac:dyDescent="0.25">
      <c r="A175">
        <v>161</v>
      </c>
      <c r="B175" s="45" t="s">
        <v>18</v>
      </c>
      <c r="C175" s="88">
        <v>2028</v>
      </c>
      <c r="D175" s="57">
        <v>0.76666666666666661</v>
      </c>
      <c r="E175" s="57">
        <v>0.76874999999999993</v>
      </c>
      <c r="F175" s="58">
        <v>2.0833333333333259E-3</v>
      </c>
      <c r="G175" s="57">
        <v>0.77013888888888893</v>
      </c>
      <c r="H175" s="58">
        <v>1.388888888888995E-3</v>
      </c>
      <c r="I175" s="59">
        <v>41714</v>
      </c>
      <c r="J175" s="108" t="s">
        <v>19</v>
      </c>
      <c r="K175" s="61">
        <v>5.632716049382671E-3</v>
      </c>
      <c r="L175" s="61">
        <v>3.317901234567914E-3</v>
      </c>
      <c r="M175" s="89">
        <v>8.9506172839505845E-3</v>
      </c>
      <c r="N175" s="90" t="s">
        <v>20</v>
      </c>
      <c r="O175" s="91">
        <v>50</v>
      </c>
      <c r="P175" s="92" t="s">
        <v>28</v>
      </c>
      <c r="R175">
        <v>161</v>
      </c>
      <c r="S175" s="36" t="str">
        <f t="shared" si="46"/>
        <v>MEXICO AEREO</v>
      </c>
      <c r="T175" s="36">
        <f t="shared" si="46"/>
        <v>2193</v>
      </c>
      <c r="U175" s="73">
        <v>0.84027777777777779</v>
      </c>
      <c r="V175" s="74">
        <v>0.85486111111111107</v>
      </c>
      <c r="W175" s="75">
        <v>1.4583333333333282E-2</v>
      </c>
      <c r="X175" s="74">
        <v>0.85833333333333339</v>
      </c>
      <c r="Y175" s="75">
        <v>3.4722222222223209E-3</v>
      </c>
      <c r="Z175" s="76">
        <v>41730</v>
      </c>
      <c r="AA175" s="36" t="str">
        <f t="shared" si="54"/>
        <v>Nacional</v>
      </c>
      <c r="AB175" s="36">
        <f t="shared" si="54"/>
        <v>7.6099537037036952E-3</v>
      </c>
      <c r="AC175" s="36">
        <f t="shared" si="54"/>
        <v>4.1956018518518783E-3</v>
      </c>
      <c r="AD175" s="36">
        <f t="shared" si="54"/>
        <v>1.1805555555555573E-2</v>
      </c>
      <c r="AE175" s="36" t="str">
        <f t="shared" si="54"/>
        <v>ER4</v>
      </c>
      <c r="AF175" s="36">
        <f t="shared" si="54"/>
        <v>50</v>
      </c>
      <c r="AG175" s="36" t="str">
        <f t="shared" si="54"/>
        <v>TIJ</v>
      </c>
      <c r="AI175">
        <v>161</v>
      </c>
      <c r="AJ175" s="77" t="str">
        <f t="shared" si="48"/>
        <v>MEXICO AEREO</v>
      </c>
      <c r="AK175" s="77">
        <f t="shared" si="48"/>
        <v>2277</v>
      </c>
      <c r="AL175" s="78">
        <v>0.67499999999999993</v>
      </c>
      <c r="AM175" s="79">
        <v>0.68263888888888891</v>
      </c>
      <c r="AN175" s="80">
        <v>7.6388888888889728E-3</v>
      </c>
      <c r="AO175" s="79">
        <v>0.69513888888888886</v>
      </c>
      <c r="AP175" s="80">
        <v>1.2499999999999956E-2</v>
      </c>
      <c r="AQ175" s="81">
        <v>41807</v>
      </c>
      <c r="AR175" s="77" t="str">
        <f t="shared" si="51"/>
        <v>Nacional</v>
      </c>
      <c r="AS175" s="77">
        <f t="shared" si="51"/>
        <v>9.5012626262626562E-3</v>
      </c>
      <c r="AT175" s="77">
        <f t="shared" si="51"/>
        <v>6.2815656565656294E-3</v>
      </c>
      <c r="AU175" s="77">
        <f t="shared" si="51"/>
        <v>1.5782828282828287E-2</v>
      </c>
      <c r="AV175" s="77" t="str">
        <f t="shared" si="51"/>
        <v>ER4</v>
      </c>
      <c r="AW175" s="77">
        <f t="shared" si="51"/>
        <v>50</v>
      </c>
      <c r="AX175" s="77" t="str">
        <f t="shared" si="51"/>
        <v>HMO</v>
      </c>
    </row>
    <row r="176" spans="1:50" x14ac:dyDescent="0.25">
      <c r="A176">
        <v>162</v>
      </c>
      <c r="B176" s="36" t="str">
        <f t="shared" ref="B176:C227" si="55">B175</f>
        <v>MEXICO AEREO</v>
      </c>
      <c r="C176" s="36">
        <f t="shared" si="55"/>
        <v>2028</v>
      </c>
      <c r="D176" s="74">
        <v>0.75138888888888899</v>
      </c>
      <c r="E176" s="74">
        <v>0.7583333333333333</v>
      </c>
      <c r="F176" s="75">
        <v>6.9444444444443088E-3</v>
      </c>
      <c r="G176" s="74">
        <v>0.76736111111111116</v>
      </c>
      <c r="H176" s="75">
        <v>9.0277777777778567E-3</v>
      </c>
      <c r="I176" s="76">
        <v>41715</v>
      </c>
      <c r="J176" s="36" t="str">
        <f t="shared" ref="J176:P183" si="56">J175</f>
        <v>Nacional</v>
      </c>
      <c r="K176" s="36">
        <f t="shared" si="56"/>
        <v>5.632716049382671E-3</v>
      </c>
      <c r="L176" s="36">
        <f t="shared" si="56"/>
        <v>3.317901234567914E-3</v>
      </c>
      <c r="M176" s="36">
        <f t="shared" si="56"/>
        <v>8.9506172839505845E-3</v>
      </c>
      <c r="N176" s="36" t="str">
        <f t="shared" si="56"/>
        <v>ER4</v>
      </c>
      <c r="O176" s="36">
        <f t="shared" si="56"/>
        <v>50</v>
      </c>
      <c r="P176" s="36" t="str">
        <f t="shared" si="56"/>
        <v>MTY</v>
      </c>
      <c r="R176">
        <v>162</v>
      </c>
      <c r="S176" s="36" t="str">
        <f t="shared" si="46"/>
        <v>MEXICO AEREO</v>
      </c>
      <c r="T176" s="36">
        <f t="shared" si="46"/>
        <v>2193</v>
      </c>
      <c r="U176" s="73">
        <v>0.85069444444444453</v>
      </c>
      <c r="V176" s="74">
        <v>0.85763888888888884</v>
      </c>
      <c r="W176" s="75">
        <v>6.9444444444443088E-3</v>
      </c>
      <c r="X176" s="74">
        <v>0.85972222222222217</v>
      </c>
      <c r="Y176" s="75">
        <v>2.0833333333333259E-3</v>
      </c>
      <c r="Z176" s="76">
        <v>41731</v>
      </c>
      <c r="AA176" s="36" t="str">
        <f t="shared" si="54"/>
        <v>Nacional</v>
      </c>
      <c r="AB176" s="36">
        <f t="shared" si="54"/>
        <v>7.6099537037036952E-3</v>
      </c>
      <c r="AC176" s="36">
        <f t="shared" si="54"/>
        <v>4.1956018518518783E-3</v>
      </c>
      <c r="AD176" s="36">
        <f t="shared" si="54"/>
        <v>1.1805555555555573E-2</v>
      </c>
      <c r="AE176" s="36" t="str">
        <f t="shared" si="54"/>
        <v>ER4</v>
      </c>
      <c r="AF176" s="36">
        <f t="shared" si="54"/>
        <v>50</v>
      </c>
      <c r="AG176" s="36" t="str">
        <f t="shared" si="54"/>
        <v>TIJ</v>
      </c>
      <c r="AI176">
        <v>162</v>
      </c>
      <c r="AJ176" s="77" t="str">
        <f t="shared" si="48"/>
        <v>MEXICO AEREO</v>
      </c>
      <c r="AK176" s="77">
        <f t="shared" si="48"/>
        <v>2277</v>
      </c>
      <c r="AL176" s="78">
        <v>0.95763888888888893</v>
      </c>
      <c r="AM176" s="79">
        <v>0.96319444444444446</v>
      </c>
      <c r="AN176" s="80">
        <v>5.5555555555555358E-3</v>
      </c>
      <c r="AO176" s="79">
        <v>0.96666666666666667</v>
      </c>
      <c r="AP176" s="80">
        <v>3.4722222222222099E-3</v>
      </c>
      <c r="AQ176" s="81">
        <v>41808</v>
      </c>
      <c r="AR176" s="77" t="str">
        <f t="shared" si="51"/>
        <v>Nacional</v>
      </c>
      <c r="AS176" s="77">
        <f t="shared" si="51"/>
        <v>9.5012626262626562E-3</v>
      </c>
      <c r="AT176" s="77">
        <f t="shared" si="51"/>
        <v>6.2815656565656294E-3</v>
      </c>
      <c r="AU176" s="77">
        <f t="shared" si="51"/>
        <v>1.5782828282828287E-2</v>
      </c>
      <c r="AV176" s="77" t="str">
        <f t="shared" si="51"/>
        <v>ER4</v>
      </c>
      <c r="AW176" s="77">
        <f t="shared" si="51"/>
        <v>50</v>
      </c>
      <c r="AX176" s="77" t="str">
        <f t="shared" si="51"/>
        <v>HMO</v>
      </c>
    </row>
    <row r="177" spans="1:50" x14ac:dyDescent="0.25">
      <c r="A177">
        <v>163</v>
      </c>
      <c r="B177" s="36" t="str">
        <f t="shared" si="55"/>
        <v>MEXICO AEREO</v>
      </c>
      <c r="C177" s="36">
        <f t="shared" si="55"/>
        <v>2028</v>
      </c>
      <c r="D177" s="74">
        <v>0.75416666666666676</v>
      </c>
      <c r="E177" s="74">
        <v>0.75763888888888886</v>
      </c>
      <c r="F177" s="75">
        <v>3.4722222222220989E-3</v>
      </c>
      <c r="G177" s="74">
        <v>0.76041666666666663</v>
      </c>
      <c r="H177" s="75">
        <v>2.7777777777777679E-3</v>
      </c>
      <c r="I177" s="76">
        <v>41716</v>
      </c>
      <c r="J177" s="36" t="str">
        <f t="shared" si="56"/>
        <v>Nacional</v>
      </c>
      <c r="K177" s="36">
        <f t="shared" si="56"/>
        <v>5.632716049382671E-3</v>
      </c>
      <c r="L177" s="36">
        <f t="shared" si="56"/>
        <v>3.317901234567914E-3</v>
      </c>
      <c r="M177" s="36">
        <f t="shared" si="56"/>
        <v>8.9506172839505845E-3</v>
      </c>
      <c r="N177" s="36" t="str">
        <f t="shared" si="56"/>
        <v>ER4</v>
      </c>
      <c r="O177" s="36">
        <f t="shared" si="56"/>
        <v>50</v>
      </c>
      <c r="P177" s="36" t="str">
        <f t="shared" si="56"/>
        <v>MTY</v>
      </c>
      <c r="R177">
        <v>163</v>
      </c>
      <c r="S177" s="36" t="str">
        <f t="shared" si="46"/>
        <v>MEXICO AEREO</v>
      </c>
      <c r="T177" s="36">
        <f t="shared" si="46"/>
        <v>2193</v>
      </c>
      <c r="U177" s="73">
        <v>0.84236111111111101</v>
      </c>
      <c r="V177" s="74">
        <v>0.84791666666666676</v>
      </c>
      <c r="W177" s="75">
        <v>5.5555555555557579E-3</v>
      </c>
      <c r="X177" s="74">
        <v>0.85</v>
      </c>
      <c r="Y177" s="75">
        <v>2.0833333333332149E-3</v>
      </c>
      <c r="Z177" s="76">
        <v>41732</v>
      </c>
      <c r="AA177" s="36" t="str">
        <f t="shared" si="54"/>
        <v>Nacional</v>
      </c>
      <c r="AB177" s="36">
        <f t="shared" si="54"/>
        <v>7.6099537037036952E-3</v>
      </c>
      <c r="AC177" s="36">
        <f t="shared" si="54"/>
        <v>4.1956018518518783E-3</v>
      </c>
      <c r="AD177" s="36">
        <f t="shared" si="54"/>
        <v>1.1805555555555573E-2</v>
      </c>
      <c r="AE177" s="36" t="str">
        <f t="shared" si="54"/>
        <v>ER4</v>
      </c>
      <c r="AF177" s="36">
        <f t="shared" si="54"/>
        <v>50</v>
      </c>
      <c r="AG177" s="36" t="str">
        <f t="shared" si="54"/>
        <v>TIJ</v>
      </c>
      <c r="AI177">
        <v>163</v>
      </c>
      <c r="AJ177" s="77" t="str">
        <f t="shared" si="48"/>
        <v>MEXICO AEREO</v>
      </c>
      <c r="AK177" s="77">
        <f t="shared" si="48"/>
        <v>2277</v>
      </c>
      <c r="AL177" s="78">
        <v>0.95000000000000007</v>
      </c>
      <c r="AM177" s="79">
        <v>0.96111111111111114</v>
      </c>
      <c r="AN177" s="80">
        <v>1.1111111111111072E-2</v>
      </c>
      <c r="AO177" s="79">
        <v>0.96319444444444446</v>
      </c>
      <c r="AP177" s="80">
        <v>2.0833333333333259E-3</v>
      </c>
      <c r="AQ177" s="81">
        <v>41809</v>
      </c>
      <c r="AR177" s="77" t="str">
        <f t="shared" si="51"/>
        <v>Nacional</v>
      </c>
      <c r="AS177" s="77">
        <f t="shared" si="51"/>
        <v>9.5012626262626562E-3</v>
      </c>
      <c r="AT177" s="77">
        <f t="shared" si="51"/>
        <v>6.2815656565656294E-3</v>
      </c>
      <c r="AU177" s="77">
        <f t="shared" si="51"/>
        <v>1.5782828282828287E-2</v>
      </c>
      <c r="AV177" s="77" t="str">
        <f t="shared" si="51"/>
        <v>ER4</v>
      </c>
      <c r="AW177" s="77">
        <f t="shared" si="51"/>
        <v>50</v>
      </c>
      <c r="AX177" s="77" t="str">
        <f t="shared" si="51"/>
        <v>HMO</v>
      </c>
    </row>
    <row r="178" spans="1:50" x14ac:dyDescent="0.25">
      <c r="A178">
        <v>164</v>
      </c>
      <c r="B178" s="36" t="str">
        <f t="shared" si="55"/>
        <v>MEXICO AEREO</v>
      </c>
      <c r="C178" s="36">
        <f t="shared" si="55"/>
        <v>2028</v>
      </c>
      <c r="D178" s="74">
        <v>0.7416666666666667</v>
      </c>
      <c r="E178" s="74">
        <v>0.75347222222222221</v>
      </c>
      <c r="F178" s="75">
        <v>1.1805555555555514E-2</v>
      </c>
      <c r="G178" s="74">
        <v>0.75555555555555554</v>
      </c>
      <c r="H178" s="75">
        <v>2.0833333333333259E-3</v>
      </c>
      <c r="I178" s="76">
        <v>41720</v>
      </c>
      <c r="J178" s="36" t="str">
        <f t="shared" si="56"/>
        <v>Nacional</v>
      </c>
      <c r="K178" s="36">
        <f t="shared" si="56"/>
        <v>5.632716049382671E-3</v>
      </c>
      <c r="L178" s="36">
        <f t="shared" si="56"/>
        <v>3.317901234567914E-3</v>
      </c>
      <c r="M178" s="36">
        <f t="shared" si="56"/>
        <v>8.9506172839505845E-3</v>
      </c>
      <c r="N178" s="36" t="str">
        <f t="shared" si="56"/>
        <v>ER4</v>
      </c>
      <c r="O178" s="36">
        <f t="shared" si="56"/>
        <v>50</v>
      </c>
      <c r="P178" s="36" t="str">
        <f t="shared" si="56"/>
        <v>MTY</v>
      </c>
      <c r="R178">
        <v>164</v>
      </c>
      <c r="S178" s="36" t="str">
        <f t="shared" si="46"/>
        <v>MEXICO AEREO</v>
      </c>
      <c r="T178" s="36">
        <f t="shared" si="46"/>
        <v>2193</v>
      </c>
      <c r="U178" s="73">
        <v>0.84375</v>
      </c>
      <c r="V178" s="74">
        <v>0.84722222222222221</v>
      </c>
      <c r="W178" s="75">
        <v>3.4722222222222099E-3</v>
      </c>
      <c r="X178" s="74">
        <v>0.84791666666666676</v>
      </c>
      <c r="Y178" s="75">
        <v>6.94444444444553E-4</v>
      </c>
      <c r="Z178" s="76">
        <v>41734</v>
      </c>
      <c r="AA178" s="36" t="str">
        <f t="shared" si="54"/>
        <v>Nacional</v>
      </c>
      <c r="AB178" s="36">
        <f t="shared" si="54"/>
        <v>7.6099537037036952E-3</v>
      </c>
      <c r="AC178" s="36">
        <f t="shared" si="54"/>
        <v>4.1956018518518783E-3</v>
      </c>
      <c r="AD178" s="36">
        <f t="shared" si="54"/>
        <v>1.1805555555555573E-2</v>
      </c>
      <c r="AE178" s="36" t="str">
        <f t="shared" si="54"/>
        <v>ER4</v>
      </c>
      <c r="AF178" s="36">
        <f t="shared" si="54"/>
        <v>50</v>
      </c>
      <c r="AG178" s="36" t="str">
        <f t="shared" si="54"/>
        <v>TIJ</v>
      </c>
      <c r="AI178">
        <v>164</v>
      </c>
      <c r="AJ178" s="77" t="str">
        <f t="shared" si="48"/>
        <v>MEXICO AEREO</v>
      </c>
      <c r="AK178" s="77">
        <f t="shared" si="48"/>
        <v>2277</v>
      </c>
      <c r="AL178" s="78">
        <v>0.95000000000000007</v>
      </c>
      <c r="AM178" s="79">
        <v>0.95972222222222225</v>
      </c>
      <c r="AN178" s="80">
        <v>9.7222222222221877E-3</v>
      </c>
      <c r="AO178" s="79">
        <v>0.96250000000000002</v>
      </c>
      <c r="AP178" s="80">
        <v>2.7777777777777679E-3</v>
      </c>
      <c r="AQ178" s="81">
        <v>41810</v>
      </c>
      <c r="AR178" s="77" t="str">
        <f t="shared" si="51"/>
        <v>Nacional</v>
      </c>
      <c r="AS178" s="77">
        <f t="shared" si="51"/>
        <v>9.5012626262626562E-3</v>
      </c>
      <c r="AT178" s="77">
        <f t="shared" si="51"/>
        <v>6.2815656565656294E-3</v>
      </c>
      <c r="AU178" s="77">
        <f t="shared" si="51"/>
        <v>1.5782828282828287E-2</v>
      </c>
      <c r="AV178" s="77" t="str">
        <f t="shared" si="51"/>
        <v>ER4</v>
      </c>
      <c r="AW178" s="77">
        <f t="shared" si="51"/>
        <v>50</v>
      </c>
      <c r="AX178" s="77" t="str">
        <f t="shared" si="51"/>
        <v>HMO</v>
      </c>
    </row>
    <row r="179" spans="1:50" x14ac:dyDescent="0.25">
      <c r="A179">
        <v>165</v>
      </c>
      <c r="B179" s="36" t="str">
        <f t="shared" si="55"/>
        <v>MEXICO AEREO</v>
      </c>
      <c r="C179" s="36">
        <f t="shared" si="55"/>
        <v>2028</v>
      </c>
      <c r="D179" s="74">
        <v>0.75138888888888899</v>
      </c>
      <c r="E179" s="74">
        <v>0.75624999999999998</v>
      </c>
      <c r="F179" s="75">
        <v>4.8611111111109828E-3</v>
      </c>
      <c r="G179" s="74">
        <v>0.75902777777777775</v>
      </c>
      <c r="H179" s="75">
        <v>2.7777777777777679E-3</v>
      </c>
      <c r="I179" s="76">
        <v>41721</v>
      </c>
      <c r="J179" s="36" t="str">
        <f t="shared" si="56"/>
        <v>Nacional</v>
      </c>
      <c r="K179" s="36">
        <f t="shared" si="56"/>
        <v>5.632716049382671E-3</v>
      </c>
      <c r="L179" s="36">
        <f t="shared" si="56"/>
        <v>3.317901234567914E-3</v>
      </c>
      <c r="M179" s="36">
        <f t="shared" si="56"/>
        <v>8.9506172839505845E-3</v>
      </c>
      <c r="N179" s="36" t="str">
        <f t="shared" si="56"/>
        <v>ER4</v>
      </c>
      <c r="O179" s="36">
        <f t="shared" si="56"/>
        <v>50</v>
      </c>
      <c r="P179" s="36" t="str">
        <f t="shared" si="56"/>
        <v>MTY</v>
      </c>
      <c r="R179">
        <v>165</v>
      </c>
      <c r="S179" s="36" t="str">
        <f t="shared" si="46"/>
        <v>MEXICO AEREO</v>
      </c>
      <c r="T179" s="36">
        <f t="shared" si="46"/>
        <v>2193</v>
      </c>
      <c r="U179" s="73">
        <v>0.34722222222222227</v>
      </c>
      <c r="V179" s="74">
        <v>0.34861111111111115</v>
      </c>
      <c r="W179" s="75">
        <v>1.388888888888884E-3</v>
      </c>
      <c r="X179" s="74">
        <v>0.35000000000000003</v>
      </c>
      <c r="Y179" s="75">
        <v>1.388888888888884E-3</v>
      </c>
      <c r="Z179" s="76">
        <v>41735</v>
      </c>
      <c r="AA179" s="36" t="str">
        <f t="shared" si="54"/>
        <v>Nacional</v>
      </c>
      <c r="AB179" s="36">
        <f t="shared" si="54"/>
        <v>7.6099537037036952E-3</v>
      </c>
      <c r="AC179" s="36">
        <f t="shared" si="54"/>
        <v>4.1956018518518783E-3</v>
      </c>
      <c r="AD179" s="36">
        <f t="shared" si="54"/>
        <v>1.1805555555555573E-2</v>
      </c>
      <c r="AE179" s="36" t="str">
        <f t="shared" si="54"/>
        <v>ER4</v>
      </c>
      <c r="AF179" s="36">
        <f t="shared" si="54"/>
        <v>50</v>
      </c>
      <c r="AG179" s="36" t="str">
        <f t="shared" si="54"/>
        <v>TIJ</v>
      </c>
      <c r="AI179">
        <v>165</v>
      </c>
      <c r="AJ179" s="77" t="str">
        <f t="shared" si="48"/>
        <v>MEXICO AEREO</v>
      </c>
      <c r="AK179" s="77">
        <f t="shared" si="48"/>
        <v>2277</v>
      </c>
      <c r="AL179" s="78">
        <v>0.94097222222222221</v>
      </c>
      <c r="AM179" s="79">
        <v>0.98611111111111116</v>
      </c>
      <c r="AN179" s="80">
        <v>4.5138888888888951E-2</v>
      </c>
      <c r="AO179" s="79">
        <v>0.98958333333333337</v>
      </c>
      <c r="AP179" s="80">
        <v>3.4722222222222099E-3</v>
      </c>
      <c r="AQ179" s="81">
        <v>41811</v>
      </c>
      <c r="AR179" s="77" t="str">
        <f t="shared" si="51"/>
        <v>Nacional</v>
      </c>
      <c r="AS179" s="77">
        <f t="shared" si="51"/>
        <v>9.5012626262626562E-3</v>
      </c>
      <c r="AT179" s="77">
        <f t="shared" si="51"/>
        <v>6.2815656565656294E-3</v>
      </c>
      <c r="AU179" s="77">
        <f t="shared" si="51"/>
        <v>1.5782828282828287E-2</v>
      </c>
      <c r="AV179" s="77" t="str">
        <f t="shared" si="51"/>
        <v>ER4</v>
      </c>
      <c r="AW179" s="77">
        <f t="shared" si="51"/>
        <v>50</v>
      </c>
      <c r="AX179" s="77" t="str">
        <f t="shared" si="51"/>
        <v>HMO</v>
      </c>
    </row>
    <row r="180" spans="1:50" x14ac:dyDescent="0.25">
      <c r="A180">
        <v>166</v>
      </c>
      <c r="B180" s="36" t="str">
        <f t="shared" si="55"/>
        <v>MEXICO AEREO</v>
      </c>
      <c r="C180" s="36">
        <f t="shared" si="55"/>
        <v>2028</v>
      </c>
      <c r="D180" s="74">
        <v>0.77708333333333324</v>
      </c>
      <c r="E180" s="74">
        <v>0.78125</v>
      </c>
      <c r="F180" s="75">
        <v>4.1666666666667629E-3</v>
      </c>
      <c r="G180" s="74">
        <v>0.78472222222222221</v>
      </c>
      <c r="H180" s="75">
        <v>3.4722222222222099E-3</v>
      </c>
      <c r="I180" s="76">
        <v>41725</v>
      </c>
      <c r="J180" s="36" t="str">
        <f t="shared" si="56"/>
        <v>Nacional</v>
      </c>
      <c r="K180" s="36">
        <f t="shared" si="56"/>
        <v>5.632716049382671E-3</v>
      </c>
      <c r="L180" s="36">
        <f t="shared" si="56"/>
        <v>3.317901234567914E-3</v>
      </c>
      <c r="M180" s="36">
        <f t="shared" si="56"/>
        <v>8.9506172839505845E-3</v>
      </c>
      <c r="N180" s="36" t="str">
        <f t="shared" si="56"/>
        <v>ER4</v>
      </c>
      <c r="O180" s="36">
        <f t="shared" si="56"/>
        <v>50</v>
      </c>
      <c r="P180" s="36" t="str">
        <f t="shared" si="56"/>
        <v>MTY</v>
      </c>
      <c r="R180">
        <v>166</v>
      </c>
      <c r="S180" s="36" t="str">
        <f t="shared" si="46"/>
        <v>MEXICO AEREO</v>
      </c>
      <c r="T180" s="36">
        <f t="shared" si="46"/>
        <v>2193</v>
      </c>
      <c r="U180" s="73">
        <v>0.9277777777777777</v>
      </c>
      <c r="V180" s="74">
        <v>0.93055555555555547</v>
      </c>
      <c r="W180" s="75">
        <v>2.7777777777777679E-3</v>
      </c>
      <c r="X180" s="74">
        <v>0.93819444444444444</v>
      </c>
      <c r="Y180" s="75">
        <v>7.6388888888889728E-3</v>
      </c>
      <c r="Z180" s="76">
        <v>41736</v>
      </c>
      <c r="AA180" s="36" t="str">
        <f t="shared" si="54"/>
        <v>Nacional</v>
      </c>
      <c r="AB180" s="36">
        <f t="shared" si="54"/>
        <v>7.6099537037036952E-3</v>
      </c>
      <c r="AC180" s="36">
        <f t="shared" si="54"/>
        <v>4.1956018518518783E-3</v>
      </c>
      <c r="AD180" s="36">
        <f t="shared" si="54"/>
        <v>1.1805555555555573E-2</v>
      </c>
      <c r="AE180" s="36" t="str">
        <f t="shared" si="54"/>
        <v>ER4</v>
      </c>
      <c r="AF180" s="36">
        <f t="shared" si="54"/>
        <v>50</v>
      </c>
      <c r="AG180" s="36" t="str">
        <f t="shared" si="54"/>
        <v>TIJ</v>
      </c>
      <c r="AI180">
        <v>166</v>
      </c>
      <c r="AJ180" s="77" t="str">
        <f t="shared" si="48"/>
        <v>MEXICO AEREO</v>
      </c>
      <c r="AK180" s="77">
        <f t="shared" si="48"/>
        <v>2277</v>
      </c>
      <c r="AL180" s="78">
        <v>0.95347222222222217</v>
      </c>
      <c r="AM180" s="79">
        <v>0.95972222222222225</v>
      </c>
      <c r="AN180" s="80">
        <v>6.2500000000000888E-3</v>
      </c>
      <c r="AO180" s="79">
        <v>0.96388888888888891</v>
      </c>
      <c r="AP180" s="80">
        <v>4.1666666666666519E-3</v>
      </c>
      <c r="AQ180" s="81">
        <v>41812</v>
      </c>
      <c r="AR180" s="77" t="str">
        <f t="shared" si="51"/>
        <v>Nacional</v>
      </c>
      <c r="AS180" s="77">
        <f t="shared" si="51"/>
        <v>9.5012626262626562E-3</v>
      </c>
      <c r="AT180" s="77">
        <f t="shared" si="51"/>
        <v>6.2815656565656294E-3</v>
      </c>
      <c r="AU180" s="77">
        <f t="shared" si="51"/>
        <v>1.5782828282828287E-2</v>
      </c>
      <c r="AV180" s="77" t="str">
        <f t="shared" si="51"/>
        <v>ER4</v>
      </c>
      <c r="AW180" s="77">
        <f t="shared" si="51"/>
        <v>50</v>
      </c>
      <c r="AX180" s="77" t="str">
        <f t="shared" si="51"/>
        <v>HMO</v>
      </c>
    </row>
    <row r="181" spans="1:50" ht="15.75" thickBot="1" x14ac:dyDescent="0.3">
      <c r="A181">
        <v>167</v>
      </c>
      <c r="B181" s="36" t="str">
        <f t="shared" si="55"/>
        <v>MEXICO AEREO</v>
      </c>
      <c r="C181" s="36">
        <f t="shared" si="55"/>
        <v>2028</v>
      </c>
      <c r="D181" s="74">
        <v>0.74791666666666667</v>
      </c>
      <c r="E181" s="74">
        <v>0.75</v>
      </c>
      <c r="F181" s="75">
        <v>2.0833333333333259E-3</v>
      </c>
      <c r="G181" s="74">
        <v>0.75416666666666676</v>
      </c>
      <c r="H181" s="75">
        <v>4.1666666666667629E-3</v>
      </c>
      <c r="I181" s="76">
        <v>41727</v>
      </c>
      <c r="J181" s="36" t="str">
        <f t="shared" si="56"/>
        <v>Nacional</v>
      </c>
      <c r="K181" s="36">
        <f t="shared" si="56"/>
        <v>5.632716049382671E-3</v>
      </c>
      <c r="L181" s="36">
        <f t="shared" si="56"/>
        <v>3.317901234567914E-3</v>
      </c>
      <c r="M181" s="36">
        <f t="shared" si="56"/>
        <v>8.9506172839505845E-3</v>
      </c>
      <c r="N181" s="36" t="str">
        <f t="shared" si="56"/>
        <v>ER4</v>
      </c>
      <c r="O181" s="36">
        <f t="shared" si="56"/>
        <v>50</v>
      </c>
      <c r="P181" s="36" t="str">
        <f t="shared" si="56"/>
        <v>MTY</v>
      </c>
      <c r="R181">
        <v>167</v>
      </c>
      <c r="S181" s="36" t="str">
        <f t="shared" si="46"/>
        <v>MEXICO AEREO</v>
      </c>
      <c r="T181" s="36">
        <f t="shared" si="46"/>
        <v>2193</v>
      </c>
      <c r="U181" s="73">
        <v>0.93611111111111101</v>
      </c>
      <c r="V181" s="74">
        <v>0.94305555555555554</v>
      </c>
      <c r="W181" s="75">
        <v>6.9444444444445308E-3</v>
      </c>
      <c r="X181" s="74">
        <v>0.9458333333333333</v>
      </c>
      <c r="Y181" s="75">
        <v>2.7777777777777679E-3</v>
      </c>
      <c r="Z181" s="76">
        <v>41736</v>
      </c>
      <c r="AA181" s="36" t="str">
        <f t="shared" si="54"/>
        <v>Nacional</v>
      </c>
      <c r="AB181" s="36">
        <f t="shared" si="54"/>
        <v>7.6099537037036952E-3</v>
      </c>
      <c r="AC181" s="36">
        <f t="shared" si="54"/>
        <v>4.1956018518518783E-3</v>
      </c>
      <c r="AD181" s="36">
        <f t="shared" si="54"/>
        <v>1.1805555555555573E-2</v>
      </c>
      <c r="AE181" s="36" t="str">
        <f t="shared" si="54"/>
        <v>ER4</v>
      </c>
      <c r="AF181" s="36">
        <f t="shared" si="54"/>
        <v>50</v>
      </c>
      <c r="AG181" s="36" t="str">
        <f t="shared" si="54"/>
        <v>TIJ</v>
      </c>
      <c r="AI181">
        <v>167</v>
      </c>
      <c r="AJ181" s="77" t="str">
        <f t="shared" si="48"/>
        <v>MEXICO AEREO</v>
      </c>
      <c r="AK181" s="77">
        <f t="shared" si="48"/>
        <v>2277</v>
      </c>
      <c r="AL181" s="94">
        <v>0.94930555555555562</v>
      </c>
      <c r="AM181" s="95">
        <v>0.95833333333333337</v>
      </c>
      <c r="AN181" s="96">
        <v>9.0277777777777457E-3</v>
      </c>
      <c r="AO181" s="95">
        <v>0.96458333333333324</v>
      </c>
      <c r="AP181" s="96">
        <v>6.2499999999998668E-3</v>
      </c>
      <c r="AQ181" s="97">
        <v>41813</v>
      </c>
      <c r="AR181" s="77" t="str">
        <f t="shared" si="51"/>
        <v>Nacional</v>
      </c>
      <c r="AS181" s="77">
        <f t="shared" si="51"/>
        <v>9.5012626262626562E-3</v>
      </c>
      <c r="AT181" s="77">
        <f t="shared" si="51"/>
        <v>6.2815656565656294E-3</v>
      </c>
      <c r="AU181" s="77">
        <f t="shared" si="51"/>
        <v>1.5782828282828287E-2</v>
      </c>
      <c r="AV181" s="77" t="str">
        <f t="shared" si="51"/>
        <v>ER4</v>
      </c>
      <c r="AW181" s="77">
        <f t="shared" si="51"/>
        <v>50</v>
      </c>
      <c r="AX181" s="77" t="str">
        <f t="shared" si="51"/>
        <v>HMO</v>
      </c>
    </row>
    <row r="182" spans="1:50" x14ac:dyDescent="0.25">
      <c r="A182">
        <v>168</v>
      </c>
      <c r="B182" s="36" t="str">
        <f t="shared" si="55"/>
        <v>MEXICO AEREO</v>
      </c>
      <c r="C182" s="36">
        <f t="shared" si="55"/>
        <v>2028</v>
      </c>
      <c r="D182" s="74">
        <v>0.75347222222222221</v>
      </c>
      <c r="E182" s="74">
        <v>0.76250000000000007</v>
      </c>
      <c r="F182" s="75">
        <v>9.0277777777778567E-3</v>
      </c>
      <c r="G182" s="74">
        <v>0.76388888888888884</v>
      </c>
      <c r="H182" s="75">
        <v>1.3888888888887729E-3</v>
      </c>
      <c r="I182" s="76">
        <v>41729</v>
      </c>
      <c r="J182" s="36" t="str">
        <f t="shared" si="56"/>
        <v>Nacional</v>
      </c>
      <c r="K182" s="36">
        <f t="shared" si="56"/>
        <v>5.632716049382671E-3</v>
      </c>
      <c r="L182" s="36">
        <f t="shared" si="56"/>
        <v>3.317901234567914E-3</v>
      </c>
      <c r="M182" s="36">
        <f t="shared" si="56"/>
        <v>8.9506172839505845E-3</v>
      </c>
      <c r="N182" s="36" t="str">
        <f t="shared" si="56"/>
        <v>ER4</v>
      </c>
      <c r="O182" s="36">
        <f t="shared" si="56"/>
        <v>50</v>
      </c>
      <c r="P182" s="36" t="str">
        <f t="shared" si="56"/>
        <v>MTY</v>
      </c>
      <c r="R182">
        <v>168</v>
      </c>
      <c r="S182" s="36" t="str">
        <f t="shared" si="46"/>
        <v>MEXICO AEREO</v>
      </c>
      <c r="T182" s="36">
        <f t="shared" si="46"/>
        <v>2193</v>
      </c>
      <c r="U182" s="73">
        <v>0.93958333333333333</v>
      </c>
      <c r="V182" s="74">
        <v>0.94652777777777775</v>
      </c>
      <c r="W182" s="75">
        <v>6.9444444444444198E-3</v>
      </c>
      <c r="X182" s="74">
        <v>0.94930555555555562</v>
      </c>
      <c r="Y182" s="75">
        <v>2.7777777777778789E-3</v>
      </c>
      <c r="Z182" s="76">
        <v>41739</v>
      </c>
      <c r="AA182" s="36" t="str">
        <f t="shared" si="54"/>
        <v>Nacional</v>
      </c>
      <c r="AB182" s="36">
        <f t="shared" si="54"/>
        <v>7.6099537037036952E-3</v>
      </c>
      <c r="AC182" s="36">
        <f t="shared" si="54"/>
        <v>4.1956018518518783E-3</v>
      </c>
      <c r="AD182" s="36">
        <f t="shared" si="54"/>
        <v>1.1805555555555573E-2</v>
      </c>
      <c r="AE182" s="36" t="str">
        <f t="shared" si="54"/>
        <v>ER4</v>
      </c>
      <c r="AF182" s="36">
        <f t="shared" si="54"/>
        <v>50</v>
      </c>
      <c r="AG182" s="36" t="str">
        <f t="shared" si="54"/>
        <v>TIJ</v>
      </c>
      <c r="AI182">
        <v>168</v>
      </c>
      <c r="AJ182" s="77" t="str">
        <f t="shared" si="48"/>
        <v>MEXICO AEREO</v>
      </c>
      <c r="AK182" s="63">
        <v>2277</v>
      </c>
      <c r="AL182" s="64">
        <v>0.78263888888888899</v>
      </c>
      <c r="AM182" s="65">
        <v>0.7895833333333333</v>
      </c>
      <c r="AN182" s="66">
        <v>6.9444444444443088E-3</v>
      </c>
      <c r="AO182" s="65">
        <v>0.79513888888888884</v>
      </c>
      <c r="AP182" s="66">
        <v>5.5555555555555358E-3</v>
      </c>
      <c r="AQ182" s="67">
        <v>41805</v>
      </c>
      <c r="AR182" s="127" t="s">
        <v>19</v>
      </c>
      <c r="AS182" s="128">
        <v>6.9444444444444198E-3</v>
      </c>
      <c r="AT182" s="128">
        <v>6.5972222222221988E-3</v>
      </c>
      <c r="AU182" s="128">
        <v>1.3541666666666619E-2</v>
      </c>
      <c r="AV182" s="129" t="s">
        <v>20</v>
      </c>
      <c r="AW182" s="129">
        <v>50</v>
      </c>
      <c r="AX182" s="129" t="s">
        <v>27</v>
      </c>
    </row>
    <row r="183" spans="1:50" ht="15.75" thickBot="1" x14ac:dyDescent="0.3">
      <c r="A183">
        <v>169</v>
      </c>
      <c r="B183" s="36" t="str">
        <f t="shared" si="55"/>
        <v>MEXICO AEREO</v>
      </c>
      <c r="C183" s="36">
        <f t="shared" si="55"/>
        <v>2028</v>
      </c>
      <c r="D183" s="84">
        <v>0.75694444444444453</v>
      </c>
      <c r="E183" s="84">
        <v>0.7631944444444444</v>
      </c>
      <c r="F183" s="85">
        <v>6.2499999999998668E-3</v>
      </c>
      <c r="G183" s="84">
        <v>0.76597222222222217</v>
      </c>
      <c r="H183" s="85">
        <v>2.7777777777777679E-3</v>
      </c>
      <c r="I183" s="86">
        <v>41717</v>
      </c>
      <c r="J183" s="36" t="str">
        <f t="shared" si="56"/>
        <v>Nacional</v>
      </c>
      <c r="K183" s="36">
        <f t="shared" si="56"/>
        <v>5.632716049382671E-3</v>
      </c>
      <c r="L183" s="36">
        <f t="shared" si="56"/>
        <v>3.317901234567914E-3</v>
      </c>
      <c r="M183" s="36">
        <f t="shared" si="56"/>
        <v>8.9506172839505845E-3</v>
      </c>
      <c r="N183" s="36" t="str">
        <f t="shared" si="56"/>
        <v>ER4</v>
      </c>
      <c r="O183" s="36">
        <f t="shared" si="56"/>
        <v>50</v>
      </c>
      <c r="P183" s="36" t="str">
        <f t="shared" si="56"/>
        <v>MTY</v>
      </c>
      <c r="R183">
        <v>169</v>
      </c>
      <c r="S183" s="36" t="str">
        <f t="shared" si="46"/>
        <v>MEXICO AEREO</v>
      </c>
      <c r="T183" s="36">
        <f t="shared" si="46"/>
        <v>2193</v>
      </c>
      <c r="U183" s="73">
        <v>0.91249999999999998</v>
      </c>
      <c r="V183" s="74">
        <v>0.92638888888888893</v>
      </c>
      <c r="W183" s="75">
        <v>1.3888888888888951E-2</v>
      </c>
      <c r="X183" s="74">
        <v>0.92847222222222225</v>
      </c>
      <c r="Y183" s="75">
        <v>2.0833333333333259E-3</v>
      </c>
      <c r="Z183" s="76">
        <v>41740</v>
      </c>
      <c r="AA183" s="36" t="str">
        <f t="shared" si="54"/>
        <v>Nacional</v>
      </c>
      <c r="AB183" s="36">
        <f t="shared" si="54"/>
        <v>7.6099537037036952E-3</v>
      </c>
      <c r="AC183" s="36">
        <f t="shared" si="54"/>
        <v>4.1956018518518783E-3</v>
      </c>
      <c r="AD183" s="36">
        <f t="shared" si="54"/>
        <v>1.1805555555555573E-2</v>
      </c>
      <c r="AE183" s="36" t="str">
        <f t="shared" si="54"/>
        <v>ER4</v>
      </c>
      <c r="AF183" s="36">
        <f t="shared" si="54"/>
        <v>50</v>
      </c>
      <c r="AG183" s="36" t="str">
        <f t="shared" si="54"/>
        <v>TIJ</v>
      </c>
      <c r="AI183">
        <v>169</v>
      </c>
      <c r="AJ183" s="77" t="str">
        <f t="shared" si="48"/>
        <v>MEXICO AEREO</v>
      </c>
      <c r="AK183" s="77">
        <f>AK182</f>
        <v>2277</v>
      </c>
      <c r="AL183" s="94">
        <v>0.57222222222222219</v>
      </c>
      <c r="AM183" s="95">
        <v>0.57916666666666672</v>
      </c>
      <c r="AN183" s="96">
        <v>6.9444444444445308E-3</v>
      </c>
      <c r="AO183" s="95">
        <v>0.58680555555555558</v>
      </c>
      <c r="AP183" s="96">
        <v>7.6388888888888618E-3</v>
      </c>
      <c r="AQ183" s="97">
        <v>41802</v>
      </c>
      <c r="AR183" s="77" t="str">
        <f t="shared" ref="AR183:AS183" si="57">AR182</f>
        <v>Nacional</v>
      </c>
      <c r="AS183" s="77">
        <f t="shared" si="57"/>
        <v>6.9444444444444198E-3</v>
      </c>
      <c r="AT183" s="130" t="s">
        <v>19</v>
      </c>
      <c r="AU183" s="77">
        <f t="shared" ref="AU183:AX183" si="58">AU182</f>
        <v>1.3541666666666619E-2</v>
      </c>
      <c r="AV183" s="77" t="str">
        <f t="shared" si="58"/>
        <v>ER4</v>
      </c>
      <c r="AW183" s="77">
        <f t="shared" si="58"/>
        <v>50</v>
      </c>
      <c r="AX183" s="77" t="str">
        <f t="shared" si="58"/>
        <v>HMO</v>
      </c>
    </row>
    <row r="184" spans="1:50" x14ac:dyDescent="0.25">
      <c r="A184">
        <v>170</v>
      </c>
      <c r="B184" s="36" t="str">
        <f t="shared" si="55"/>
        <v>MEXICO AEREO</v>
      </c>
      <c r="C184" s="88">
        <v>2027</v>
      </c>
      <c r="D184" s="57">
        <v>0.83958333333333324</v>
      </c>
      <c r="E184" s="57">
        <v>0.84444444444444444</v>
      </c>
      <c r="F184" s="58">
        <v>4.8611111111112049E-3</v>
      </c>
      <c r="G184" s="57">
        <v>0.84722222222222221</v>
      </c>
      <c r="H184" s="58">
        <v>2.7777777777777679E-3</v>
      </c>
      <c r="I184" s="59">
        <v>41713</v>
      </c>
      <c r="J184" s="108" t="s">
        <v>19</v>
      </c>
      <c r="K184" s="61">
        <v>6.5972222222222638E-3</v>
      </c>
      <c r="L184" s="61">
        <v>4.2824074074073832E-3</v>
      </c>
      <c r="M184" s="89">
        <v>1.0879629629629647E-2</v>
      </c>
      <c r="N184" s="90" t="s">
        <v>20</v>
      </c>
      <c r="O184" s="91">
        <v>50</v>
      </c>
      <c r="P184" s="92" t="s">
        <v>29</v>
      </c>
      <c r="R184">
        <v>170</v>
      </c>
      <c r="S184" s="36" t="str">
        <f t="shared" si="46"/>
        <v>MEXICO AEREO</v>
      </c>
      <c r="T184" s="36">
        <f t="shared" si="46"/>
        <v>2193</v>
      </c>
      <c r="U184" s="73">
        <v>0.85069444444444453</v>
      </c>
      <c r="V184" s="74">
        <v>0.86458333333333337</v>
      </c>
      <c r="W184" s="75">
        <v>1.388888888888884E-2</v>
      </c>
      <c r="X184" s="74">
        <v>0.87430555555555556</v>
      </c>
      <c r="Y184" s="75">
        <v>9.7222222222221877E-3</v>
      </c>
      <c r="Z184" s="76">
        <v>41742</v>
      </c>
      <c r="AA184" s="36" t="str">
        <f t="shared" si="54"/>
        <v>Nacional</v>
      </c>
      <c r="AB184" s="36">
        <f t="shared" si="54"/>
        <v>7.6099537037036952E-3</v>
      </c>
      <c r="AC184" s="36">
        <f t="shared" si="54"/>
        <v>4.1956018518518783E-3</v>
      </c>
      <c r="AD184" s="36">
        <f t="shared" si="54"/>
        <v>1.1805555555555573E-2</v>
      </c>
      <c r="AE184" s="36" t="str">
        <f t="shared" si="54"/>
        <v>ER4</v>
      </c>
      <c r="AF184" s="36">
        <f t="shared" si="54"/>
        <v>50</v>
      </c>
      <c r="AG184" s="36" t="str">
        <f t="shared" si="54"/>
        <v>TIJ</v>
      </c>
      <c r="AI184">
        <v>170</v>
      </c>
      <c r="AJ184" s="77" t="str">
        <f t="shared" si="48"/>
        <v>MEXICO AEREO</v>
      </c>
      <c r="AK184" s="63">
        <v>2193</v>
      </c>
      <c r="AL184" s="64">
        <v>0.92847222222222225</v>
      </c>
      <c r="AM184" s="65">
        <v>0.94236111111111109</v>
      </c>
      <c r="AN184" s="66">
        <v>1.388888888888884E-2</v>
      </c>
      <c r="AO184" s="65">
        <v>0.94374999999999998</v>
      </c>
      <c r="AP184" s="66">
        <v>1.388888888888884E-3</v>
      </c>
      <c r="AQ184" s="67">
        <v>41791</v>
      </c>
      <c r="AR184" s="68" t="s">
        <v>19</v>
      </c>
      <c r="AS184" s="69">
        <v>8.8768115942029265E-3</v>
      </c>
      <c r="AT184" s="70">
        <v>4.7705314009661879E-3</v>
      </c>
      <c r="AU184" s="70">
        <v>1.3647342995169114E-2</v>
      </c>
      <c r="AV184" s="71" t="s">
        <v>20</v>
      </c>
      <c r="AW184" s="71">
        <v>50</v>
      </c>
      <c r="AX184" s="72" t="s">
        <v>34</v>
      </c>
    </row>
    <row r="185" spans="1:50" x14ac:dyDescent="0.25">
      <c r="A185">
        <v>171</v>
      </c>
      <c r="B185" s="36" t="str">
        <f t="shared" si="55"/>
        <v>MEXICO AEREO</v>
      </c>
      <c r="C185" s="36">
        <f t="shared" si="55"/>
        <v>2027</v>
      </c>
      <c r="D185" s="74">
        <v>0.84375</v>
      </c>
      <c r="E185" s="74">
        <v>0.84722222222222221</v>
      </c>
      <c r="F185" s="75">
        <v>3.4722222222222099E-3</v>
      </c>
      <c r="G185" s="74">
        <v>0.85</v>
      </c>
      <c r="H185" s="75">
        <v>2.7777777777777679E-3</v>
      </c>
      <c r="I185" s="76">
        <v>41715</v>
      </c>
      <c r="J185" s="36" t="str">
        <f t="shared" ref="J185:P195" si="59">J184</f>
        <v>Nacional</v>
      </c>
      <c r="K185" s="36">
        <f t="shared" si="59"/>
        <v>6.5972222222222638E-3</v>
      </c>
      <c r="L185" s="36">
        <f t="shared" si="59"/>
        <v>4.2824074074073832E-3</v>
      </c>
      <c r="M185" s="36">
        <f t="shared" si="59"/>
        <v>1.0879629629629647E-2</v>
      </c>
      <c r="N185" s="36" t="str">
        <f t="shared" si="59"/>
        <v>ER4</v>
      </c>
      <c r="O185" s="36">
        <f t="shared" si="59"/>
        <v>50</v>
      </c>
      <c r="P185" s="36" t="str">
        <f t="shared" si="59"/>
        <v>PVR</v>
      </c>
      <c r="R185">
        <v>171</v>
      </c>
      <c r="S185" s="36" t="str">
        <f t="shared" si="46"/>
        <v>MEXICO AEREO</v>
      </c>
      <c r="T185" s="36">
        <f t="shared" si="46"/>
        <v>2193</v>
      </c>
      <c r="U185" s="73">
        <v>0.96527777777777779</v>
      </c>
      <c r="V185" s="74">
        <v>0.97222222222222221</v>
      </c>
      <c r="W185" s="75">
        <v>6.9444444444444198E-3</v>
      </c>
      <c r="X185" s="74">
        <v>0.97569444444444453</v>
      </c>
      <c r="Y185" s="75">
        <v>3.4722222222223209E-3</v>
      </c>
      <c r="Z185" s="76">
        <v>41745</v>
      </c>
      <c r="AA185" s="36" t="str">
        <f t="shared" si="54"/>
        <v>Nacional</v>
      </c>
      <c r="AB185" s="36">
        <f t="shared" si="54"/>
        <v>7.6099537037036952E-3</v>
      </c>
      <c r="AC185" s="36">
        <f t="shared" si="54"/>
        <v>4.1956018518518783E-3</v>
      </c>
      <c r="AD185" s="36">
        <f t="shared" si="54"/>
        <v>1.1805555555555573E-2</v>
      </c>
      <c r="AE185" s="36" t="str">
        <f t="shared" si="54"/>
        <v>ER4</v>
      </c>
      <c r="AF185" s="36">
        <f t="shared" si="54"/>
        <v>50</v>
      </c>
      <c r="AG185" s="36" t="str">
        <f t="shared" si="54"/>
        <v>TIJ</v>
      </c>
      <c r="AI185">
        <v>171</v>
      </c>
      <c r="AJ185" s="77" t="str">
        <f t="shared" si="48"/>
        <v>MEXICO AEREO</v>
      </c>
      <c r="AK185" s="77">
        <f t="shared" si="48"/>
        <v>2193</v>
      </c>
      <c r="AL185" s="78">
        <v>0.97986111111111107</v>
      </c>
      <c r="AM185" s="79">
        <v>0.9819444444444444</v>
      </c>
      <c r="AN185" s="80">
        <v>2.0833333333333259E-3</v>
      </c>
      <c r="AO185" s="79">
        <v>0.98958333333333337</v>
      </c>
      <c r="AP185" s="80">
        <v>7.6388888888889728E-3</v>
      </c>
      <c r="AQ185" s="81">
        <v>41792</v>
      </c>
      <c r="AR185" s="77" t="str">
        <f t="shared" ref="AR185:AX206" si="60">AR184</f>
        <v>Nacional</v>
      </c>
      <c r="AS185" s="77">
        <f t="shared" si="60"/>
        <v>8.8768115942029265E-3</v>
      </c>
      <c r="AT185" s="77">
        <f t="shared" si="60"/>
        <v>4.7705314009661879E-3</v>
      </c>
      <c r="AU185" s="77">
        <f t="shared" si="60"/>
        <v>1.3647342995169114E-2</v>
      </c>
      <c r="AV185" s="77" t="str">
        <f t="shared" si="60"/>
        <v>ER4</v>
      </c>
      <c r="AW185" s="77">
        <f t="shared" si="60"/>
        <v>50</v>
      </c>
      <c r="AX185" s="77" t="str">
        <f t="shared" si="60"/>
        <v>TIJ</v>
      </c>
    </row>
    <row r="186" spans="1:50" x14ac:dyDescent="0.25">
      <c r="A186">
        <v>172</v>
      </c>
      <c r="B186" s="36" t="str">
        <f t="shared" si="55"/>
        <v>MEXICO AEREO</v>
      </c>
      <c r="C186" s="36">
        <f t="shared" si="55"/>
        <v>2027</v>
      </c>
      <c r="D186" s="74">
        <v>0.84375</v>
      </c>
      <c r="E186" s="74">
        <v>0.85763888888888884</v>
      </c>
      <c r="F186" s="75">
        <v>1.388888888888884E-2</v>
      </c>
      <c r="G186" s="74">
        <v>0.8618055555555556</v>
      </c>
      <c r="H186" s="75">
        <v>4.1666666666667629E-3</v>
      </c>
      <c r="I186" s="76">
        <v>41716</v>
      </c>
      <c r="J186" s="36" t="str">
        <f t="shared" si="59"/>
        <v>Nacional</v>
      </c>
      <c r="K186" s="36">
        <f t="shared" si="59"/>
        <v>6.5972222222222638E-3</v>
      </c>
      <c r="L186" s="36">
        <f t="shared" si="59"/>
        <v>4.2824074074073832E-3</v>
      </c>
      <c r="M186" s="36">
        <f t="shared" si="59"/>
        <v>1.0879629629629647E-2</v>
      </c>
      <c r="N186" s="36" t="str">
        <f t="shared" si="59"/>
        <v>ER4</v>
      </c>
      <c r="O186" s="36">
        <f t="shared" si="59"/>
        <v>50</v>
      </c>
      <c r="P186" s="36" t="str">
        <f t="shared" si="59"/>
        <v>PVR</v>
      </c>
      <c r="R186">
        <v>172</v>
      </c>
      <c r="S186" s="36" t="str">
        <f t="shared" si="46"/>
        <v>MEXICO AEREO</v>
      </c>
      <c r="T186" s="36">
        <f t="shared" si="46"/>
        <v>2193</v>
      </c>
      <c r="U186" s="73">
        <v>0.92986111111111114</v>
      </c>
      <c r="V186" s="74">
        <v>0.9375</v>
      </c>
      <c r="W186" s="75">
        <v>7.6388888888888618E-3</v>
      </c>
      <c r="X186" s="74">
        <v>0.9458333333333333</v>
      </c>
      <c r="Y186" s="75">
        <v>8.3333333333333037E-3</v>
      </c>
      <c r="Z186" s="76">
        <v>41744</v>
      </c>
      <c r="AA186" s="36" t="str">
        <f t="shared" si="54"/>
        <v>Nacional</v>
      </c>
      <c r="AB186" s="36">
        <f t="shared" si="54"/>
        <v>7.6099537037036952E-3</v>
      </c>
      <c r="AC186" s="36">
        <f t="shared" si="54"/>
        <v>4.1956018518518783E-3</v>
      </c>
      <c r="AD186" s="36">
        <f t="shared" si="54"/>
        <v>1.1805555555555573E-2</v>
      </c>
      <c r="AE186" s="36" t="str">
        <f t="shared" si="54"/>
        <v>ER4</v>
      </c>
      <c r="AF186" s="36">
        <f t="shared" si="54"/>
        <v>50</v>
      </c>
      <c r="AG186" s="36" t="str">
        <f t="shared" si="54"/>
        <v>TIJ</v>
      </c>
      <c r="AI186">
        <v>172</v>
      </c>
      <c r="AJ186" s="77" t="str">
        <f t="shared" si="48"/>
        <v>MEXICO AEREO</v>
      </c>
      <c r="AK186" s="77">
        <f t="shared" si="48"/>
        <v>2193</v>
      </c>
      <c r="AL186" s="78">
        <v>0.91805555555555562</v>
      </c>
      <c r="AM186" s="79">
        <v>0.92361111111111116</v>
      </c>
      <c r="AN186" s="80">
        <v>5.5555555555555358E-3</v>
      </c>
      <c r="AO186" s="79">
        <v>0.92847222222222225</v>
      </c>
      <c r="AP186" s="80">
        <v>4.8611111111110938E-3</v>
      </c>
      <c r="AQ186" s="81">
        <v>41793</v>
      </c>
      <c r="AR186" s="77" t="str">
        <f t="shared" si="60"/>
        <v>Nacional</v>
      </c>
      <c r="AS186" s="77">
        <f t="shared" si="60"/>
        <v>8.8768115942029265E-3</v>
      </c>
      <c r="AT186" s="77">
        <f t="shared" si="60"/>
        <v>4.7705314009661879E-3</v>
      </c>
      <c r="AU186" s="77">
        <f t="shared" si="60"/>
        <v>1.3647342995169114E-2</v>
      </c>
      <c r="AV186" s="77" t="str">
        <f t="shared" si="60"/>
        <v>ER4</v>
      </c>
      <c r="AW186" s="77">
        <f t="shared" si="60"/>
        <v>50</v>
      </c>
      <c r="AX186" s="77" t="str">
        <f t="shared" si="60"/>
        <v>TIJ</v>
      </c>
    </row>
    <row r="187" spans="1:50" x14ac:dyDescent="0.25">
      <c r="A187">
        <v>173</v>
      </c>
      <c r="B187" s="36" t="str">
        <f t="shared" si="55"/>
        <v>MEXICO AEREO</v>
      </c>
      <c r="C187" s="36">
        <f t="shared" si="55"/>
        <v>2027</v>
      </c>
      <c r="D187" s="74">
        <v>0.85</v>
      </c>
      <c r="E187" s="74">
        <v>0.86111111111111116</v>
      </c>
      <c r="F187" s="75">
        <v>1.1111111111111183E-2</v>
      </c>
      <c r="G187" s="74">
        <v>0.86805555555555547</v>
      </c>
      <c r="H187" s="75">
        <v>6.9444444444443088E-3</v>
      </c>
      <c r="I187" s="76">
        <v>41719</v>
      </c>
      <c r="J187" s="36" t="str">
        <f t="shared" si="59"/>
        <v>Nacional</v>
      </c>
      <c r="K187" s="36">
        <f t="shared" si="59"/>
        <v>6.5972222222222638E-3</v>
      </c>
      <c r="L187" s="36">
        <f t="shared" si="59"/>
        <v>4.2824074074073832E-3</v>
      </c>
      <c r="M187" s="36">
        <f t="shared" si="59"/>
        <v>1.0879629629629647E-2</v>
      </c>
      <c r="N187" s="36" t="str">
        <f t="shared" si="59"/>
        <v>ER4</v>
      </c>
      <c r="O187" s="36">
        <f t="shared" si="59"/>
        <v>50</v>
      </c>
      <c r="P187" s="36" t="str">
        <f t="shared" si="59"/>
        <v>PVR</v>
      </c>
      <c r="R187">
        <v>173</v>
      </c>
      <c r="S187" s="36" t="str">
        <f t="shared" si="46"/>
        <v>MEXICO AEREO</v>
      </c>
      <c r="T187" s="36">
        <f t="shared" si="46"/>
        <v>2193</v>
      </c>
      <c r="U187" s="73">
        <v>0.94166666666666676</v>
      </c>
      <c r="V187" s="74">
        <v>0.94652777777777775</v>
      </c>
      <c r="W187" s="75">
        <v>4.8611111111109828E-3</v>
      </c>
      <c r="X187" s="74">
        <v>0.94930555555555562</v>
      </c>
      <c r="Y187" s="75">
        <v>2.7777777777778789E-3</v>
      </c>
      <c r="Z187" s="76">
        <v>41746</v>
      </c>
      <c r="AA187" s="36" t="str">
        <f t="shared" si="54"/>
        <v>Nacional</v>
      </c>
      <c r="AB187" s="36">
        <f t="shared" si="54"/>
        <v>7.6099537037036952E-3</v>
      </c>
      <c r="AC187" s="36">
        <f t="shared" si="54"/>
        <v>4.1956018518518783E-3</v>
      </c>
      <c r="AD187" s="36">
        <f t="shared" si="54"/>
        <v>1.1805555555555573E-2</v>
      </c>
      <c r="AE187" s="36" t="str">
        <f t="shared" si="54"/>
        <v>ER4</v>
      </c>
      <c r="AF187" s="36">
        <f t="shared" si="54"/>
        <v>50</v>
      </c>
      <c r="AG187" s="36" t="str">
        <f t="shared" si="54"/>
        <v>TIJ</v>
      </c>
      <c r="AI187">
        <v>173</v>
      </c>
      <c r="AJ187" s="77" t="str">
        <f t="shared" si="48"/>
        <v>MEXICO AEREO</v>
      </c>
      <c r="AK187" s="77">
        <f t="shared" si="48"/>
        <v>2193</v>
      </c>
      <c r="AL187" s="78">
        <v>0.95138888888888884</v>
      </c>
      <c r="AM187" s="79">
        <v>0.95833333333333337</v>
      </c>
      <c r="AN187" s="80">
        <v>6.9444444444445308E-3</v>
      </c>
      <c r="AO187" s="79">
        <v>0.96180555555555547</v>
      </c>
      <c r="AP187" s="80">
        <v>3.4722222222220989E-3</v>
      </c>
      <c r="AQ187" s="81">
        <v>41794</v>
      </c>
      <c r="AR187" s="77" t="str">
        <f t="shared" si="60"/>
        <v>Nacional</v>
      </c>
      <c r="AS187" s="77">
        <f t="shared" si="60"/>
        <v>8.8768115942029265E-3</v>
      </c>
      <c r="AT187" s="77">
        <f t="shared" si="60"/>
        <v>4.7705314009661879E-3</v>
      </c>
      <c r="AU187" s="77">
        <f t="shared" si="60"/>
        <v>1.3647342995169114E-2</v>
      </c>
      <c r="AV187" s="77" t="str">
        <f t="shared" si="60"/>
        <v>ER4</v>
      </c>
      <c r="AW187" s="77">
        <f t="shared" si="60"/>
        <v>50</v>
      </c>
      <c r="AX187" s="77" t="str">
        <f t="shared" si="60"/>
        <v>TIJ</v>
      </c>
    </row>
    <row r="188" spans="1:50" x14ac:dyDescent="0.25">
      <c r="A188">
        <v>174</v>
      </c>
      <c r="B188" s="36" t="str">
        <f t="shared" si="55"/>
        <v>MEXICO AEREO</v>
      </c>
      <c r="C188" s="36">
        <f t="shared" si="55"/>
        <v>2027</v>
      </c>
      <c r="D188" s="74">
        <v>0.84236111111111101</v>
      </c>
      <c r="E188" s="74">
        <v>0.84930555555555554</v>
      </c>
      <c r="F188" s="75">
        <v>6.9444444444445308E-3</v>
      </c>
      <c r="G188" s="74">
        <v>0.85763888888888884</v>
      </c>
      <c r="H188" s="75">
        <v>8.3333333333333037E-3</v>
      </c>
      <c r="I188" s="76">
        <v>41721</v>
      </c>
      <c r="J188" s="36" t="str">
        <f t="shared" si="59"/>
        <v>Nacional</v>
      </c>
      <c r="K188" s="36">
        <f t="shared" si="59"/>
        <v>6.5972222222222638E-3</v>
      </c>
      <c r="L188" s="36">
        <f t="shared" si="59"/>
        <v>4.2824074074073832E-3</v>
      </c>
      <c r="M188" s="36">
        <f t="shared" si="59"/>
        <v>1.0879629629629647E-2</v>
      </c>
      <c r="N188" s="36" t="str">
        <f t="shared" si="59"/>
        <v>ER4</v>
      </c>
      <c r="O188" s="36">
        <f t="shared" si="59"/>
        <v>50</v>
      </c>
      <c r="P188" s="36" t="str">
        <f t="shared" si="59"/>
        <v>PVR</v>
      </c>
      <c r="R188">
        <v>174</v>
      </c>
      <c r="S188" s="36" t="str">
        <f t="shared" si="46"/>
        <v>MEXICO AEREO</v>
      </c>
      <c r="T188" s="36">
        <f t="shared" si="46"/>
        <v>2193</v>
      </c>
      <c r="U188" s="73">
        <v>4.8611111111111112E-2</v>
      </c>
      <c r="V188" s="74">
        <v>5.2083333333333336E-2</v>
      </c>
      <c r="W188" s="75">
        <v>3.4722222222222238E-3</v>
      </c>
      <c r="X188" s="74">
        <v>5.347222222222222E-2</v>
      </c>
      <c r="Y188" s="75">
        <v>1.388888888888884E-3</v>
      </c>
      <c r="Z188" s="76">
        <v>41747</v>
      </c>
      <c r="AA188" s="36" t="str">
        <f t="shared" si="54"/>
        <v>Nacional</v>
      </c>
      <c r="AB188" s="36">
        <f t="shared" si="54"/>
        <v>7.6099537037036952E-3</v>
      </c>
      <c r="AC188" s="36">
        <f t="shared" si="54"/>
        <v>4.1956018518518783E-3</v>
      </c>
      <c r="AD188" s="36">
        <f t="shared" si="54"/>
        <v>1.1805555555555573E-2</v>
      </c>
      <c r="AE188" s="36" t="str">
        <f t="shared" si="54"/>
        <v>ER4</v>
      </c>
      <c r="AF188" s="36">
        <f t="shared" si="54"/>
        <v>50</v>
      </c>
      <c r="AG188" s="36" t="str">
        <f t="shared" si="54"/>
        <v>TIJ</v>
      </c>
      <c r="AI188">
        <v>174</v>
      </c>
      <c r="AJ188" s="77" t="str">
        <f t="shared" si="48"/>
        <v>MEXICO AEREO</v>
      </c>
      <c r="AK188" s="77">
        <f t="shared" si="48"/>
        <v>2193</v>
      </c>
      <c r="AL188" s="78">
        <v>0.93402777777777779</v>
      </c>
      <c r="AM188" s="79">
        <v>0.94444444444444453</v>
      </c>
      <c r="AN188" s="80">
        <v>1.0416666666666741E-2</v>
      </c>
      <c r="AO188" s="79">
        <v>0.9472222222222223</v>
      </c>
      <c r="AP188" s="80">
        <v>2.7777777777777679E-3</v>
      </c>
      <c r="AQ188" s="81">
        <v>41795</v>
      </c>
      <c r="AR188" s="77" t="str">
        <f t="shared" si="60"/>
        <v>Nacional</v>
      </c>
      <c r="AS188" s="77">
        <f t="shared" si="60"/>
        <v>8.8768115942029265E-3</v>
      </c>
      <c r="AT188" s="77">
        <f t="shared" si="60"/>
        <v>4.7705314009661879E-3</v>
      </c>
      <c r="AU188" s="77">
        <f t="shared" si="60"/>
        <v>1.3647342995169114E-2</v>
      </c>
      <c r="AV188" s="77" t="str">
        <f t="shared" si="60"/>
        <v>ER4</v>
      </c>
      <c r="AW188" s="77">
        <f t="shared" si="60"/>
        <v>50</v>
      </c>
      <c r="AX188" s="77" t="str">
        <f t="shared" si="60"/>
        <v>TIJ</v>
      </c>
    </row>
    <row r="189" spans="1:50" x14ac:dyDescent="0.25">
      <c r="A189">
        <v>175</v>
      </c>
      <c r="B189" s="36" t="str">
        <f t="shared" si="55"/>
        <v>MEXICO AEREO</v>
      </c>
      <c r="C189" s="36">
        <f t="shared" si="55"/>
        <v>2027</v>
      </c>
      <c r="D189" s="74">
        <v>0.85416666666666663</v>
      </c>
      <c r="E189" s="74">
        <v>0.8618055555555556</v>
      </c>
      <c r="F189" s="75">
        <v>7.6388888888889728E-3</v>
      </c>
      <c r="G189" s="74">
        <v>0.8666666666666667</v>
      </c>
      <c r="H189" s="75">
        <v>4.8611111111110938E-3</v>
      </c>
      <c r="I189" s="76">
        <v>41721</v>
      </c>
      <c r="J189" s="36" t="str">
        <f t="shared" si="59"/>
        <v>Nacional</v>
      </c>
      <c r="K189" s="36">
        <f t="shared" si="59"/>
        <v>6.5972222222222638E-3</v>
      </c>
      <c r="L189" s="36">
        <f t="shared" si="59"/>
        <v>4.2824074074073832E-3</v>
      </c>
      <c r="M189" s="36">
        <f t="shared" si="59"/>
        <v>1.0879629629629647E-2</v>
      </c>
      <c r="N189" s="36" t="str">
        <f t="shared" si="59"/>
        <v>ER4</v>
      </c>
      <c r="O189" s="36">
        <f t="shared" si="59"/>
        <v>50</v>
      </c>
      <c r="P189" s="36" t="str">
        <f t="shared" si="59"/>
        <v>PVR</v>
      </c>
      <c r="R189">
        <v>175</v>
      </c>
      <c r="S189" s="36" t="str">
        <f t="shared" si="46"/>
        <v>MEXICO AEREO</v>
      </c>
      <c r="T189" s="36">
        <f t="shared" si="46"/>
        <v>2193</v>
      </c>
      <c r="U189" s="73">
        <v>0.9555555555555556</v>
      </c>
      <c r="V189" s="74">
        <v>0.96458333333333324</v>
      </c>
      <c r="W189" s="75">
        <v>9.0277777777776347E-3</v>
      </c>
      <c r="X189" s="74">
        <v>0.96597222222222223</v>
      </c>
      <c r="Y189" s="75">
        <v>1.388888888888995E-3</v>
      </c>
      <c r="Z189" s="76">
        <v>41749</v>
      </c>
      <c r="AA189" s="36" t="str">
        <f t="shared" si="54"/>
        <v>Nacional</v>
      </c>
      <c r="AB189" s="36">
        <f t="shared" si="54"/>
        <v>7.6099537037036952E-3</v>
      </c>
      <c r="AC189" s="36">
        <f t="shared" si="54"/>
        <v>4.1956018518518783E-3</v>
      </c>
      <c r="AD189" s="36">
        <f t="shared" si="54"/>
        <v>1.1805555555555573E-2</v>
      </c>
      <c r="AE189" s="36" t="str">
        <f t="shared" si="54"/>
        <v>ER4</v>
      </c>
      <c r="AF189" s="36">
        <f t="shared" si="54"/>
        <v>50</v>
      </c>
      <c r="AG189" s="36" t="str">
        <f t="shared" si="54"/>
        <v>TIJ</v>
      </c>
      <c r="AI189">
        <v>175</v>
      </c>
      <c r="AJ189" s="77" t="str">
        <f t="shared" si="48"/>
        <v>MEXICO AEREO</v>
      </c>
      <c r="AK189" s="77">
        <f t="shared" si="48"/>
        <v>2193</v>
      </c>
      <c r="AL189" s="78">
        <v>0.95624999999999993</v>
      </c>
      <c r="AM189" s="79">
        <v>0.96597222222222223</v>
      </c>
      <c r="AN189" s="80">
        <v>9.7222222222222987E-3</v>
      </c>
      <c r="AO189" s="79">
        <v>0.97083333333333333</v>
      </c>
      <c r="AP189" s="80">
        <v>4.8611111111110938E-3</v>
      </c>
      <c r="AQ189" s="81">
        <v>41796</v>
      </c>
      <c r="AR189" s="77" t="str">
        <f t="shared" si="60"/>
        <v>Nacional</v>
      </c>
      <c r="AS189" s="77">
        <f t="shared" si="60"/>
        <v>8.8768115942029265E-3</v>
      </c>
      <c r="AT189" s="77">
        <f t="shared" si="60"/>
        <v>4.7705314009661879E-3</v>
      </c>
      <c r="AU189" s="77">
        <f t="shared" si="60"/>
        <v>1.3647342995169114E-2</v>
      </c>
      <c r="AV189" s="77" t="str">
        <f t="shared" si="60"/>
        <v>ER4</v>
      </c>
      <c r="AW189" s="77">
        <f t="shared" si="60"/>
        <v>50</v>
      </c>
      <c r="AX189" s="77" t="str">
        <f t="shared" si="60"/>
        <v>TIJ</v>
      </c>
    </row>
    <row r="190" spans="1:50" x14ac:dyDescent="0.25">
      <c r="A190">
        <v>176</v>
      </c>
      <c r="B190" s="36" t="str">
        <f t="shared" si="55"/>
        <v>MEXICO AEREO</v>
      </c>
      <c r="C190" s="36">
        <f t="shared" si="55"/>
        <v>2027</v>
      </c>
      <c r="D190" s="74">
        <v>0.88124999999999998</v>
      </c>
      <c r="E190" s="74">
        <v>0.8833333333333333</v>
      </c>
      <c r="F190" s="75">
        <v>2.0833333333333259E-3</v>
      </c>
      <c r="G190" s="74">
        <v>0.89166666666666661</v>
      </c>
      <c r="H190" s="75">
        <v>8.3333333333333037E-3</v>
      </c>
      <c r="I190" s="76">
        <v>41723</v>
      </c>
      <c r="J190" s="36" t="str">
        <f t="shared" si="59"/>
        <v>Nacional</v>
      </c>
      <c r="K190" s="36">
        <f t="shared" si="59"/>
        <v>6.5972222222222638E-3</v>
      </c>
      <c r="L190" s="36">
        <f t="shared" si="59"/>
        <v>4.2824074074073832E-3</v>
      </c>
      <c r="M190" s="36">
        <f t="shared" si="59"/>
        <v>1.0879629629629647E-2</v>
      </c>
      <c r="N190" s="36" t="str">
        <f t="shared" si="59"/>
        <v>ER4</v>
      </c>
      <c r="O190" s="36">
        <f t="shared" si="59"/>
        <v>50</v>
      </c>
      <c r="P190" s="36" t="str">
        <f t="shared" si="59"/>
        <v>PVR</v>
      </c>
      <c r="R190">
        <v>176</v>
      </c>
      <c r="S190" s="36" t="str">
        <f t="shared" si="46"/>
        <v>MEXICO AEREO</v>
      </c>
      <c r="T190" s="36">
        <f t="shared" si="46"/>
        <v>2193</v>
      </c>
      <c r="U190" s="73">
        <v>0.93611111111111101</v>
      </c>
      <c r="V190" s="74">
        <v>0.94236111111111109</v>
      </c>
      <c r="W190" s="75">
        <v>6.2500000000000888E-3</v>
      </c>
      <c r="X190" s="74">
        <v>0.94444444444444453</v>
      </c>
      <c r="Y190" s="75">
        <v>2.083333333333437E-3</v>
      </c>
      <c r="Z190" s="76">
        <v>41749</v>
      </c>
      <c r="AA190" s="36" t="str">
        <f t="shared" si="54"/>
        <v>Nacional</v>
      </c>
      <c r="AB190" s="36">
        <f t="shared" si="54"/>
        <v>7.6099537037036952E-3</v>
      </c>
      <c r="AC190" s="36">
        <f t="shared" si="54"/>
        <v>4.1956018518518783E-3</v>
      </c>
      <c r="AD190" s="36">
        <f t="shared" si="54"/>
        <v>1.1805555555555573E-2</v>
      </c>
      <c r="AE190" s="36" t="str">
        <f t="shared" si="54"/>
        <v>ER4</v>
      </c>
      <c r="AF190" s="36">
        <f t="shared" si="54"/>
        <v>50</v>
      </c>
      <c r="AG190" s="36" t="str">
        <f t="shared" si="54"/>
        <v>TIJ</v>
      </c>
      <c r="AI190">
        <v>176</v>
      </c>
      <c r="AJ190" s="77" t="str">
        <f t="shared" si="48"/>
        <v>MEXICO AEREO</v>
      </c>
      <c r="AK190" s="77">
        <f t="shared" si="48"/>
        <v>2193</v>
      </c>
      <c r="AL190" s="78">
        <v>0.93125000000000002</v>
      </c>
      <c r="AM190" s="79">
        <v>0.94027777777777777</v>
      </c>
      <c r="AN190" s="80">
        <v>9.0277777777777457E-3</v>
      </c>
      <c r="AO190" s="79">
        <v>0.94166666666666676</v>
      </c>
      <c r="AP190" s="80">
        <v>1.388888888888995E-3</v>
      </c>
      <c r="AQ190" s="81">
        <v>41797</v>
      </c>
      <c r="AR190" s="77" t="str">
        <f t="shared" si="60"/>
        <v>Nacional</v>
      </c>
      <c r="AS190" s="77">
        <f t="shared" si="60"/>
        <v>8.8768115942029265E-3</v>
      </c>
      <c r="AT190" s="77">
        <f t="shared" si="60"/>
        <v>4.7705314009661879E-3</v>
      </c>
      <c r="AU190" s="77">
        <f t="shared" si="60"/>
        <v>1.3647342995169114E-2</v>
      </c>
      <c r="AV190" s="77" t="str">
        <f t="shared" si="60"/>
        <v>ER4</v>
      </c>
      <c r="AW190" s="77">
        <f t="shared" si="60"/>
        <v>50</v>
      </c>
      <c r="AX190" s="77" t="str">
        <f t="shared" si="60"/>
        <v>TIJ</v>
      </c>
    </row>
    <row r="191" spans="1:50" x14ac:dyDescent="0.25">
      <c r="A191">
        <v>177</v>
      </c>
      <c r="B191" s="36" t="str">
        <f t="shared" si="55"/>
        <v>MEXICO AEREO</v>
      </c>
      <c r="C191" s="36">
        <f t="shared" si="55"/>
        <v>2027</v>
      </c>
      <c r="D191" s="74">
        <v>0.87361111111111101</v>
      </c>
      <c r="E191" s="74">
        <v>0.87847222222222221</v>
      </c>
      <c r="F191" s="75">
        <v>4.8611111111112049E-3</v>
      </c>
      <c r="G191" s="74">
        <v>0.88263888888888886</v>
      </c>
      <c r="H191" s="75">
        <v>4.1666666666666519E-3</v>
      </c>
      <c r="I191" s="76">
        <v>41724</v>
      </c>
      <c r="J191" s="36" t="str">
        <f t="shared" si="59"/>
        <v>Nacional</v>
      </c>
      <c r="K191" s="36">
        <f t="shared" si="59"/>
        <v>6.5972222222222638E-3</v>
      </c>
      <c r="L191" s="36">
        <f t="shared" si="59"/>
        <v>4.2824074074073832E-3</v>
      </c>
      <c r="M191" s="36">
        <f t="shared" si="59"/>
        <v>1.0879629629629647E-2</v>
      </c>
      <c r="N191" s="36" t="str">
        <f t="shared" si="59"/>
        <v>ER4</v>
      </c>
      <c r="O191" s="36">
        <f t="shared" si="59"/>
        <v>50</v>
      </c>
      <c r="P191" s="36" t="str">
        <f t="shared" si="59"/>
        <v>PVR</v>
      </c>
      <c r="R191">
        <v>177</v>
      </c>
      <c r="S191" s="36" t="str">
        <f t="shared" si="46"/>
        <v>MEXICO AEREO</v>
      </c>
      <c r="T191" s="36">
        <f t="shared" si="46"/>
        <v>2193</v>
      </c>
      <c r="U191" s="73">
        <v>0.92013888888888884</v>
      </c>
      <c r="V191" s="74">
        <v>0.92361111111111116</v>
      </c>
      <c r="W191" s="75">
        <v>3.4722222222223209E-3</v>
      </c>
      <c r="X191" s="74">
        <v>0.9243055555555556</v>
      </c>
      <c r="Y191" s="75">
        <v>6.9444444444444198E-4</v>
      </c>
      <c r="Z191" s="76">
        <v>41751</v>
      </c>
      <c r="AA191" s="36" t="str">
        <f t="shared" si="54"/>
        <v>Nacional</v>
      </c>
      <c r="AB191" s="36">
        <f t="shared" si="54"/>
        <v>7.6099537037036952E-3</v>
      </c>
      <c r="AC191" s="36">
        <f t="shared" si="54"/>
        <v>4.1956018518518783E-3</v>
      </c>
      <c r="AD191" s="36">
        <f t="shared" si="54"/>
        <v>1.1805555555555573E-2</v>
      </c>
      <c r="AE191" s="36" t="str">
        <f t="shared" si="54"/>
        <v>ER4</v>
      </c>
      <c r="AF191" s="36">
        <f t="shared" si="54"/>
        <v>50</v>
      </c>
      <c r="AG191" s="36" t="str">
        <f t="shared" si="54"/>
        <v>TIJ</v>
      </c>
      <c r="AI191">
        <v>177</v>
      </c>
      <c r="AJ191" s="77" t="str">
        <f t="shared" si="48"/>
        <v>MEXICO AEREO</v>
      </c>
      <c r="AK191" s="77">
        <f t="shared" si="48"/>
        <v>2193</v>
      </c>
      <c r="AL191" s="78">
        <v>0.96319444444444446</v>
      </c>
      <c r="AM191" s="79">
        <v>0.97569444444444453</v>
      </c>
      <c r="AN191" s="80">
        <v>1.2500000000000067E-2</v>
      </c>
      <c r="AO191" s="79">
        <v>0.9770833333333333</v>
      </c>
      <c r="AP191" s="80">
        <v>1.3888888888887729E-3</v>
      </c>
      <c r="AQ191" s="81">
        <v>41798</v>
      </c>
      <c r="AR191" s="77" t="str">
        <f t="shared" si="60"/>
        <v>Nacional</v>
      </c>
      <c r="AS191" s="77">
        <f t="shared" si="60"/>
        <v>8.8768115942029265E-3</v>
      </c>
      <c r="AT191" s="77">
        <f t="shared" si="60"/>
        <v>4.7705314009661879E-3</v>
      </c>
      <c r="AU191" s="77">
        <f t="shared" si="60"/>
        <v>1.3647342995169114E-2</v>
      </c>
      <c r="AV191" s="77" t="str">
        <f t="shared" si="60"/>
        <v>ER4</v>
      </c>
      <c r="AW191" s="77">
        <f t="shared" si="60"/>
        <v>50</v>
      </c>
      <c r="AX191" s="77" t="str">
        <f t="shared" si="60"/>
        <v>TIJ</v>
      </c>
    </row>
    <row r="192" spans="1:50" x14ac:dyDescent="0.25">
      <c r="A192">
        <v>178</v>
      </c>
      <c r="B192" s="36" t="str">
        <f t="shared" si="55"/>
        <v>MEXICO AEREO</v>
      </c>
      <c r="C192" s="36">
        <f t="shared" si="55"/>
        <v>2027</v>
      </c>
      <c r="D192" s="74">
        <v>0.85277777777777775</v>
      </c>
      <c r="E192" s="74">
        <v>0.85625000000000007</v>
      </c>
      <c r="F192" s="75">
        <v>3.4722222222223209E-3</v>
      </c>
      <c r="G192" s="74">
        <v>0.8569444444444444</v>
      </c>
      <c r="H192" s="75">
        <v>6.9444444444433095E-4</v>
      </c>
      <c r="I192" s="76">
        <v>41724</v>
      </c>
      <c r="J192" s="36" t="str">
        <f t="shared" si="59"/>
        <v>Nacional</v>
      </c>
      <c r="K192" s="36">
        <f t="shared" si="59"/>
        <v>6.5972222222222638E-3</v>
      </c>
      <c r="L192" s="36">
        <f t="shared" si="59"/>
        <v>4.2824074074073832E-3</v>
      </c>
      <c r="M192" s="36">
        <f t="shared" si="59"/>
        <v>1.0879629629629647E-2</v>
      </c>
      <c r="N192" s="36" t="str">
        <f t="shared" si="59"/>
        <v>ER4</v>
      </c>
      <c r="O192" s="36">
        <f t="shared" si="59"/>
        <v>50</v>
      </c>
      <c r="P192" s="36" t="str">
        <f t="shared" si="59"/>
        <v>PVR</v>
      </c>
      <c r="R192">
        <v>178</v>
      </c>
      <c r="S192" s="36" t="str">
        <f t="shared" si="46"/>
        <v>MEXICO AEREO</v>
      </c>
      <c r="T192" s="36">
        <f t="shared" si="46"/>
        <v>2193</v>
      </c>
      <c r="U192" s="73">
        <v>0.92638888888888893</v>
      </c>
      <c r="V192" s="74">
        <v>0.93333333333333324</v>
      </c>
      <c r="W192" s="75">
        <v>6.9444444444443088E-3</v>
      </c>
      <c r="X192" s="74">
        <v>0.93611111111111101</v>
      </c>
      <c r="Y192" s="75">
        <v>2.7777777777777679E-3</v>
      </c>
      <c r="Z192" s="76">
        <v>41753</v>
      </c>
      <c r="AA192" s="36" t="str">
        <f t="shared" si="54"/>
        <v>Nacional</v>
      </c>
      <c r="AB192" s="36">
        <f t="shared" si="54"/>
        <v>7.6099537037036952E-3</v>
      </c>
      <c r="AC192" s="36">
        <f t="shared" si="54"/>
        <v>4.1956018518518783E-3</v>
      </c>
      <c r="AD192" s="36">
        <f t="shared" si="54"/>
        <v>1.1805555555555573E-2</v>
      </c>
      <c r="AE192" s="36" t="str">
        <f t="shared" si="54"/>
        <v>ER4</v>
      </c>
      <c r="AF192" s="36">
        <f t="shared" si="54"/>
        <v>50</v>
      </c>
      <c r="AG192" s="36" t="str">
        <f t="shared" si="54"/>
        <v>TIJ</v>
      </c>
      <c r="AI192">
        <v>178</v>
      </c>
      <c r="AJ192" s="77" t="str">
        <f t="shared" si="48"/>
        <v>MEXICO AEREO</v>
      </c>
      <c r="AK192" s="77">
        <f t="shared" si="48"/>
        <v>2193</v>
      </c>
      <c r="AL192" s="78">
        <v>0.90347222222222223</v>
      </c>
      <c r="AM192" s="79">
        <v>0.90902777777777777</v>
      </c>
      <c r="AN192" s="80">
        <v>5.5555555555555358E-3</v>
      </c>
      <c r="AO192" s="79">
        <v>0.91319444444444453</v>
      </c>
      <c r="AP192" s="80">
        <v>4.1666666666667629E-3</v>
      </c>
      <c r="AQ192" s="81">
        <v>41799</v>
      </c>
      <c r="AR192" s="77" t="str">
        <f t="shared" si="60"/>
        <v>Nacional</v>
      </c>
      <c r="AS192" s="77">
        <f t="shared" si="60"/>
        <v>8.8768115942029265E-3</v>
      </c>
      <c r="AT192" s="77">
        <f t="shared" si="60"/>
        <v>4.7705314009661879E-3</v>
      </c>
      <c r="AU192" s="77">
        <f t="shared" si="60"/>
        <v>1.3647342995169114E-2</v>
      </c>
      <c r="AV192" s="77" t="str">
        <f t="shared" si="60"/>
        <v>ER4</v>
      </c>
      <c r="AW192" s="77">
        <f t="shared" si="60"/>
        <v>50</v>
      </c>
      <c r="AX192" s="77" t="str">
        <f t="shared" si="60"/>
        <v>TIJ</v>
      </c>
    </row>
    <row r="193" spans="1:50" x14ac:dyDescent="0.25">
      <c r="A193">
        <v>179</v>
      </c>
      <c r="B193" s="36" t="str">
        <f t="shared" si="55"/>
        <v>MEXICO AEREO</v>
      </c>
      <c r="C193" s="36">
        <f t="shared" si="55"/>
        <v>2027</v>
      </c>
      <c r="D193" s="74">
        <v>0.87916666666666676</v>
      </c>
      <c r="E193" s="74">
        <v>0.88680555555555562</v>
      </c>
      <c r="F193" s="75">
        <v>7.6388888888888618E-3</v>
      </c>
      <c r="G193" s="74">
        <v>0.89027777777777783</v>
      </c>
      <c r="H193" s="75">
        <v>3.4722222222222099E-3</v>
      </c>
      <c r="I193" s="76">
        <v>41725</v>
      </c>
      <c r="J193" s="36" t="str">
        <f t="shared" si="59"/>
        <v>Nacional</v>
      </c>
      <c r="K193" s="36">
        <f t="shared" si="59"/>
        <v>6.5972222222222638E-3</v>
      </c>
      <c r="L193" s="36">
        <f t="shared" si="59"/>
        <v>4.2824074074073832E-3</v>
      </c>
      <c r="M193" s="36">
        <f t="shared" si="59"/>
        <v>1.0879629629629647E-2</v>
      </c>
      <c r="N193" s="36" t="str">
        <f t="shared" si="59"/>
        <v>ER4</v>
      </c>
      <c r="O193" s="36">
        <f t="shared" si="59"/>
        <v>50</v>
      </c>
      <c r="P193" s="36" t="str">
        <f t="shared" si="59"/>
        <v>PVR</v>
      </c>
      <c r="R193">
        <v>179</v>
      </c>
      <c r="S193" s="36" t="str">
        <f t="shared" si="46"/>
        <v>MEXICO AEREO</v>
      </c>
      <c r="T193" s="36">
        <f t="shared" si="46"/>
        <v>2193</v>
      </c>
      <c r="U193" s="73">
        <v>0.94791666666666663</v>
      </c>
      <c r="V193" s="74">
        <v>0.95694444444444438</v>
      </c>
      <c r="W193" s="75">
        <v>9.0277777777777457E-3</v>
      </c>
      <c r="X193" s="74">
        <v>0.9590277777777777</v>
      </c>
      <c r="Y193" s="75">
        <v>2.0833333333333259E-3</v>
      </c>
      <c r="Z193" s="76">
        <v>41755</v>
      </c>
      <c r="AA193" s="36" t="str">
        <f t="shared" si="54"/>
        <v>Nacional</v>
      </c>
      <c r="AB193" s="36">
        <f t="shared" si="54"/>
        <v>7.6099537037036952E-3</v>
      </c>
      <c r="AC193" s="36">
        <f t="shared" si="54"/>
        <v>4.1956018518518783E-3</v>
      </c>
      <c r="AD193" s="36">
        <f t="shared" si="54"/>
        <v>1.1805555555555573E-2</v>
      </c>
      <c r="AE193" s="36" t="str">
        <f t="shared" si="54"/>
        <v>ER4</v>
      </c>
      <c r="AF193" s="36">
        <f t="shared" si="54"/>
        <v>50</v>
      </c>
      <c r="AG193" s="36" t="str">
        <f t="shared" si="54"/>
        <v>TIJ</v>
      </c>
      <c r="AI193">
        <v>179</v>
      </c>
      <c r="AJ193" s="77" t="str">
        <f t="shared" si="48"/>
        <v>MEXICO AEREO</v>
      </c>
      <c r="AK193" s="77">
        <f t="shared" si="48"/>
        <v>2193</v>
      </c>
      <c r="AL193" s="78">
        <v>0.39583333333333331</v>
      </c>
      <c r="AM193" s="79">
        <v>0.39652777777777781</v>
      </c>
      <c r="AN193" s="80">
        <v>6.9444444444449749E-4</v>
      </c>
      <c r="AO193" s="79">
        <v>0.40416666666666662</v>
      </c>
      <c r="AP193" s="80">
        <v>7.6388888888888062E-3</v>
      </c>
      <c r="AQ193" s="81">
        <v>41800</v>
      </c>
      <c r="AR193" s="77" t="str">
        <f t="shared" si="60"/>
        <v>Nacional</v>
      </c>
      <c r="AS193" s="77">
        <f t="shared" si="60"/>
        <v>8.8768115942029265E-3</v>
      </c>
      <c r="AT193" s="77">
        <f t="shared" si="60"/>
        <v>4.7705314009661879E-3</v>
      </c>
      <c r="AU193" s="77">
        <f t="shared" si="60"/>
        <v>1.3647342995169114E-2</v>
      </c>
      <c r="AV193" s="77" t="str">
        <f t="shared" si="60"/>
        <v>ER4</v>
      </c>
      <c r="AW193" s="77">
        <f t="shared" si="60"/>
        <v>50</v>
      </c>
      <c r="AX193" s="77" t="str">
        <f t="shared" si="60"/>
        <v>TIJ</v>
      </c>
    </row>
    <row r="194" spans="1:50" x14ac:dyDescent="0.25">
      <c r="A194">
        <v>180</v>
      </c>
      <c r="B194" s="36" t="str">
        <f t="shared" si="55"/>
        <v>MEXICO AEREO</v>
      </c>
      <c r="C194" s="36">
        <f t="shared" si="55"/>
        <v>2027</v>
      </c>
      <c r="D194" s="74">
        <v>0.83333333333333337</v>
      </c>
      <c r="E194" s="74">
        <v>0.84027777777777779</v>
      </c>
      <c r="F194" s="75">
        <v>6.9444444444444198E-3</v>
      </c>
      <c r="G194" s="74">
        <v>0.84166666666666667</v>
      </c>
      <c r="H194" s="75">
        <v>1.388888888888884E-3</v>
      </c>
      <c r="I194" s="76">
        <v>41727</v>
      </c>
      <c r="J194" s="36" t="str">
        <f t="shared" si="59"/>
        <v>Nacional</v>
      </c>
      <c r="K194" s="36">
        <f t="shared" si="59"/>
        <v>6.5972222222222638E-3</v>
      </c>
      <c r="L194" s="36">
        <f t="shared" si="59"/>
        <v>4.2824074074073832E-3</v>
      </c>
      <c r="M194" s="36">
        <f t="shared" si="59"/>
        <v>1.0879629629629647E-2</v>
      </c>
      <c r="N194" s="36" t="str">
        <f t="shared" si="59"/>
        <v>ER4</v>
      </c>
      <c r="O194" s="36">
        <f t="shared" si="59"/>
        <v>50</v>
      </c>
      <c r="P194" s="36" t="str">
        <f t="shared" si="59"/>
        <v>PVR</v>
      </c>
      <c r="R194">
        <v>180</v>
      </c>
      <c r="S194" s="36" t="str">
        <f t="shared" si="46"/>
        <v>MEXICO AEREO</v>
      </c>
      <c r="T194" s="36">
        <f t="shared" si="46"/>
        <v>2193</v>
      </c>
      <c r="U194" s="73">
        <v>0.98472222222222217</v>
      </c>
      <c r="V194" s="74">
        <v>0.99513888888888891</v>
      </c>
      <c r="W194" s="75">
        <v>1.0416666666666741E-2</v>
      </c>
      <c r="X194" s="74">
        <v>0.99930555555555556</v>
      </c>
      <c r="Y194" s="75">
        <v>4.1666666666666519E-3</v>
      </c>
      <c r="Z194" s="76">
        <v>41757</v>
      </c>
      <c r="AA194" s="36" t="str">
        <f t="shared" si="54"/>
        <v>Nacional</v>
      </c>
      <c r="AB194" s="36">
        <f t="shared" si="54"/>
        <v>7.6099537037036952E-3</v>
      </c>
      <c r="AC194" s="36">
        <f t="shared" si="54"/>
        <v>4.1956018518518783E-3</v>
      </c>
      <c r="AD194" s="36">
        <f t="shared" si="54"/>
        <v>1.1805555555555573E-2</v>
      </c>
      <c r="AE194" s="36" t="str">
        <f t="shared" si="54"/>
        <v>ER4</v>
      </c>
      <c r="AF194" s="36">
        <f t="shared" si="54"/>
        <v>50</v>
      </c>
      <c r="AG194" s="36" t="str">
        <f t="shared" si="54"/>
        <v>TIJ</v>
      </c>
      <c r="AI194">
        <v>180</v>
      </c>
      <c r="AJ194" s="77" t="str">
        <f t="shared" si="48"/>
        <v>MEXICO AEREO</v>
      </c>
      <c r="AK194" s="77">
        <f t="shared" si="48"/>
        <v>2193</v>
      </c>
      <c r="AL194" s="78">
        <v>0.52013888888888882</v>
      </c>
      <c r="AM194" s="79">
        <v>0.52638888888888891</v>
      </c>
      <c r="AN194" s="80">
        <v>6.2500000000000888E-3</v>
      </c>
      <c r="AO194" s="79">
        <v>0.53611111111111109</v>
      </c>
      <c r="AP194" s="80">
        <v>9.7222222222221877E-3</v>
      </c>
      <c r="AQ194" s="81">
        <v>41801</v>
      </c>
      <c r="AR194" s="77" t="str">
        <f t="shared" si="60"/>
        <v>Nacional</v>
      </c>
      <c r="AS194" s="77">
        <f t="shared" si="60"/>
        <v>8.8768115942029265E-3</v>
      </c>
      <c r="AT194" s="77">
        <f t="shared" si="60"/>
        <v>4.7705314009661879E-3</v>
      </c>
      <c r="AU194" s="77">
        <f t="shared" si="60"/>
        <v>1.3647342995169114E-2</v>
      </c>
      <c r="AV194" s="77" t="str">
        <f t="shared" si="60"/>
        <v>ER4</v>
      </c>
      <c r="AW194" s="77">
        <f t="shared" si="60"/>
        <v>50</v>
      </c>
      <c r="AX194" s="77" t="str">
        <f t="shared" si="60"/>
        <v>TIJ</v>
      </c>
    </row>
    <row r="195" spans="1:50" ht="15.75" thickBot="1" x14ac:dyDescent="0.3">
      <c r="A195">
        <v>181</v>
      </c>
      <c r="B195" s="36" t="str">
        <f t="shared" si="55"/>
        <v>MEXICO AEREO</v>
      </c>
      <c r="C195" s="36">
        <f t="shared" si="55"/>
        <v>2027</v>
      </c>
      <c r="D195" s="84">
        <v>0.8520833333333333</v>
      </c>
      <c r="E195" s="84">
        <v>0.85833333333333339</v>
      </c>
      <c r="F195" s="85">
        <v>6.2500000000000888E-3</v>
      </c>
      <c r="G195" s="84">
        <v>0.8618055555555556</v>
      </c>
      <c r="H195" s="85">
        <v>3.4722222222222099E-3</v>
      </c>
      <c r="I195" s="86">
        <v>41716</v>
      </c>
      <c r="J195" s="36" t="str">
        <f t="shared" si="59"/>
        <v>Nacional</v>
      </c>
      <c r="K195" s="36">
        <f t="shared" si="59"/>
        <v>6.5972222222222638E-3</v>
      </c>
      <c r="L195" s="36">
        <f t="shared" si="59"/>
        <v>4.2824074074073832E-3</v>
      </c>
      <c r="M195" s="36">
        <f t="shared" si="59"/>
        <v>1.0879629629629647E-2</v>
      </c>
      <c r="N195" s="36" t="str">
        <f t="shared" si="59"/>
        <v>ER4</v>
      </c>
      <c r="O195" s="36">
        <f t="shared" si="59"/>
        <v>50</v>
      </c>
      <c r="P195" s="36" t="str">
        <f t="shared" si="59"/>
        <v>PVR</v>
      </c>
      <c r="R195">
        <v>181</v>
      </c>
      <c r="S195" s="36" t="str">
        <f t="shared" si="46"/>
        <v>MEXICO AEREO</v>
      </c>
      <c r="T195" s="36">
        <f t="shared" si="46"/>
        <v>2193</v>
      </c>
      <c r="U195" s="73">
        <v>0.96319444444444446</v>
      </c>
      <c r="V195" s="74">
        <v>0.97777777777777775</v>
      </c>
      <c r="W195" s="75">
        <v>1.4583333333333282E-2</v>
      </c>
      <c r="X195" s="74">
        <v>0.98263888888888884</v>
      </c>
      <c r="Y195" s="75">
        <v>4.8611111111110938E-3</v>
      </c>
      <c r="Z195" s="76">
        <v>41759</v>
      </c>
      <c r="AA195" s="36" t="str">
        <f t="shared" si="54"/>
        <v>Nacional</v>
      </c>
      <c r="AB195" s="36">
        <f t="shared" si="54"/>
        <v>7.6099537037036952E-3</v>
      </c>
      <c r="AC195" s="36">
        <f t="shared" si="54"/>
        <v>4.1956018518518783E-3</v>
      </c>
      <c r="AD195" s="36">
        <f t="shared" si="54"/>
        <v>1.1805555555555573E-2</v>
      </c>
      <c r="AE195" s="36" t="str">
        <f t="shared" si="54"/>
        <v>ER4</v>
      </c>
      <c r="AF195" s="36">
        <f t="shared" si="54"/>
        <v>50</v>
      </c>
      <c r="AG195" s="36" t="str">
        <f t="shared" si="54"/>
        <v>TIJ</v>
      </c>
      <c r="AI195">
        <v>181</v>
      </c>
      <c r="AJ195" s="77" t="str">
        <f t="shared" si="48"/>
        <v>MEXICO AEREO</v>
      </c>
      <c r="AK195" s="77">
        <f t="shared" si="48"/>
        <v>2193</v>
      </c>
      <c r="AL195" s="78">
        <v>0.57361111111111118</v>
      </c>
      <c r="AM195" s="79">
        <v>0.58194444444444449</v>
      </c>
      <c r="AN195" s="80">
        <v>8.3333333333333037E-3</v>
      </c>
      <c r="AO195" s="79">
        <v>0.59166666666666667</v>
      </c>
      <c r="AP195" s="80">
        <v>9.7222222222221877E-3</v>
      </c>
      <c r="AQ195" s="81">
        <v>41802</v>
      </c>
      <c r="AR195" s="77" t="str">
        <f t="shared" si="60"/>
        <v>Nacional</v>
      </c>
      <c r="AS195" s="77">
        <f t="shared" si="60"/>
        <v>8.8768115942029265E-3</v>
      </c>
      <c r="AT195" s="77">
        <f t="shared" si="60"/>
        <v>4.7705314009661879E-3</v>
      </c>
      <c r="AU195" s="77">
        <f t="shared" si="60"/>
        <v>1.3647342995169114E-2</v>
      </c>
      <c r="AV195" s="77" t="str">
        <f t="shared" si="60"/>
        <v>ER4</v>
      </c>
      <c r="AW195" s="77">
        <f t="shared" si="60"/>
        <v>50</v>
      </c>
      <c r="AX195" s="77" t="str">
        <f t="shared" si="60"/>
        <v>TIJ</v>
      </c>
    </row>
    <row r="196" spans="1:50" ht="15.75" thickBot="1" x14ac:dyDescent="0.3">
      <c r="A196">
        <v>182</v>
      </c>
      <c r="B196" s="36" t="str">
        <f t="shared" si="55"/>
        <v>MEXICO AEREO</v>
      </c>
      <c r="C196" s="88">
        <v>2015</v>
      </c>
      <c r="D196" s="57">
        <v>0.84166666666666667</v>
      </c>
      <c r="E196" s="57">
        <v>0.84722222222222221</v>
      </c>
      <c r="F196" s="58">
        <v>5.5555555555555358E-3</v>
      </c>
      <c r="G196" s="57">
        <v>0.8520833333333333</v>
      </c>
      <c r="H196" s="58">
        <v>4.8611111111110938E-3</v>
      </c>
      <c r="I196" s="59">
        <v>41726</v>
      </c>
      <c r="J196" s="60" t="s">
        <v>19</v>
      </c>
      <c r="K196" s="61">
        <v>3.2638888888888717E-3</v>
      </c>
      <c r="L196" s="61">
        <v>6.7361111111111146E-3</v>
      </c>
      <c r="M196" s="89">
        <v>9.9999999999999863E-3</v>
      </c>
      <c r="N196" s="90" t="s">
        <v>20</v>
      </c>
      <c r="O196" s="91">
        <v>50</v>
      </c>
      <c r="P196" s="92" t="s">
        <v>36</v>
      </c>
      <c r="R196">
        <v>182</v>
      </c>
      <c r="S196" s="36" t="str">
        <f t="shared" si="46"/>
        <v>MEXICO AEREO</v>
      </c>
      <c r="T196" s="36">
        <f t="shared" si="46"/>
        <v>2193</v>
      </c>
      <c r="U196" s="83">
        <v>0.97916666666666663</v>
      </c>
      <c r="V196" s="84">
        <v>0.98611111111111116</v>
      </c>
      <c r="W196" s="85">
        <v>6.9444444444445308E-3</v>
      </c>
      <c r="X196" s="84">
        <v>0.99722222222222223</v>
      </c>
      <c r="Y196" s="85">
        <v>1.1111111111111072E-2</v>
      </c>
      <c r="Z196" s="86">
        <v>41759</v>
      </c>
      <c r="AA196" s="36" t="str">
        <f t="shared" si="54"/>
        <v>Nacional</v>
      </c>
      <c r="AB196" s="36">
        <f t="shared" si="54"/>
        <v>7.6099537037036952E-3</v>
      </c>
      <c r="AC196" s="36">
        <f t="shared" si="54"/>
        <v>4.1956018518518783E-3</v>
      </c>
      <c r="AD196" s="36">
        <f t="shared" si="54"/>
        <v>1.1805555555555573E-2</v>
      </c>
      <c r="AE196" s="36" t="str">
        <f t="shared" si="54"/>
        <v>ER4</v>
      </c>
      <c r="AF196" s="36">
        <f t="shared" si="54"/>
        <v>50</v>
      </c>
      <c r="AG196" s="36" t="str">
        <f t="shared" si="54"/>
        <v>TIJ</v>
      </c>
      <c r="AI196">
        <v>182</v>
      </c>
      <c r="AJ196" s="77" t="str">
        <f t="shared" si="48"/>
        <v>MEXICO AEREO</v>
      </c>
      <c r="AK196" s="77">
        <f t="shared" si="48"/>
        <v>2193</v>
      </c>
      <c r="AL196" s="78">
        <v>0.8666666666666667</v>
      </c>
      <c r="AM196" s="79">
        <v>0.875</v>
      </c>
      <c r="AN196" s="80">
        <v>8.3333333333333037E-3</v>
      </c>
      <c r="AO196" s="79">
        <v>0.87708333333333333</v>
      </c>
      <c r="AP196" s="80">
        <v>2.0833333333333259E-3</v>
      </c>
      <c r="AQ196" s="81">
        <v>41803</v>
      </c>
      <c r="AR196" s="77" t="str">
        <f t="shared" si="60"/>
        <v>Nacional</v>
      </c>
      <c r="AS196" s="77">
        <f t="shared" si="60"/>
        <v>8.8768115942029265E-3</v>
      </c>
      <c r="AT196" s="77">
        <f t="shared" si="60"/>
        <v>4.7705314009661879E-3</v>
      </c>
      <c r="AU196" s="77">
        <f t="shared" si="60"/>
        <v>1.3647342995169114E-2</v>
      </c>
      <c r="AV196" s="77" t="str">
        <f t="shared" si="60"/>
        <v>ER4</v>
      </c>
      <c r="AW196" s="77">
        <f t="shared" si="60"/>
        <v>50</v>
      </c>
      <c r="AX196" s="77" t="str">
        <f t="shared" si="60"/>
        <v>TIJ</v>
      </c>
    </row>
    <row r="197" spans="1:50" x14ac:dyDescent="0.25">
      <c r="A197">
        <v>183</v>
      </c>
      <c r="B197" s="36" t="str">
        <f t="shared" si="55"/>
        <v>MEXICO AEREO</v>
      </c>
      <c r="C197" s="36">
        <f t="shared" si="55"/>
        <v>2015</v>
      </c>
      <c r="D197" s="74">
        <v>0.44027777777777777</v>
      </c>
      <c r="E197" s="74">
        <v>0.44444444444444442</v>
      </c>
      <c r="F197" s="75">
        <v>4.1666666666666519E-3</v>
      </c>
      <c r="G197" s="74">
        <v>0.45069444444444445</v>
      </c>
      <c r="H197" s="75">
        <v>6.2500000000000333E-3</v>
      </c>
      <c r="I197" s="76">
        <v>41714</v>
      </c>
      <c r="J197" s="36" t="str">
        <f t="shared" ref="J197:P205" si="61">J196</f>
        <v>Nacional</v>
      </c>
      <c r="K197" s="36">
        <f t="shared" si="61"/>
        <v>3.2638888888888717E-3</v>
      </c>
      <c r="L197" s="36">
        <f t="shared" si="61"/>
        <v>6.7361111111111146E-3</v>
      </c>
      <c r="M197" s="36">
        <f t="shared" si="61"/>
        <v>9.9999999999999863E-3</v>
      </c>
      <c r="N197" s="36" t="str">
        <f t="shared" si="61"/>
        <v>ER4</v>
      </c>
      <c r="O197" s="36">
        <f t="shared" si="61"/>
        <v>50</v>
      </c>
      <c r="P197" s="36" t="str">
        <f t="shared" si="61"/>
        <v>CJS</v>
      </c>
      <c r="R197">
        <v>183</v>
      </c>
      <c r="S197" s="36" t="str">
        <f t="shared" si="46"/>
        <v>MEXICO AEREO</v>
      </c>
      <c r="T197" s="55">
        <v>2185</v>
      </c>
      <c r="U197" s="56">
        <v>0.89236111111111116</v>
      </c>
      <c r="V197" s="57">
        <v>0.8965277777777777</v>
      </c>
      <c r="W197" s="58">
        <v>4.1666666666665408E-3</v>
      </c>
      <c r="X197" s="57">
        <v>0.90347222222222223</v>
      </c>
      <c r="Y197" s="58">
        <v>6.9444444444445308E-3</v>
      </c>
      <c r="Z197" s="59">
        <v>41730</v>
      </c>
      <c r="AA197" s="60" t="s">
        <v>19</v>
      </c>
      <c r="AB197" s="61">
        <v>8.4780092592592338E-3</v>
      </c>
      <c r="AC197" s="61">
        <v>5.4976851851852001E-3</v>
      </c>
      <c r="AD197" s="131">
        <v>1.3975694444444433E-2</v>
      </c>
      <c r="AE197" s="109" t="s">
        <v>20</v>
      </c>
      <c r="AF197" s="109">
        <v>50</v>
      </c>
      <c r="AG197" s="109" t="s">
        <v>34</v>
      </c>
      <c r="AI197">
        <v>183</v>
      </c>
      <c r="AJ197" s="77" t="str">
        <f t="shared" si="48"/>
        <v>MEXICO AEREO</v>
      </c>
      <c r="AK197" s="77">
        <f t="shared" si="48"/>
        <v>2193</v>
      </c>
      <c r="AL197" s="78">
        <v>0.71180555555555547</v>
      </c>
      <c r="AM197" s="79">
        <v>0.72152777777777777</v>
      </c>
      <c r="AN197" s="80">
        <v>9.7222222222222987E-3</v>
      </c>
      <c r="AO197" s="79">
        <v>0.72569444444444453</v>
      </c>
      <c r="AP197" s="80">
        <v>4.1666666666667629E-3</v>
      </c>
      <c r="AQ197" s="81">
        <v>41804</v>
      </c>
      <c r="AR197" s="77" t="str">
        <f t="shared" si="60"/>
        <v>Nacional</v>
      </c>
      <c r="AS197" s="77">
        <f t="shared" si="60"/>
        <v>8.8768115942029265E-3</v>
      </c>
      <c r="AT197" s="77">
        <f t="shared" si="60"/>
        <v>4.7705314009661879E-3</v>
      </c>
      <c r="AU197" s="77">
        <f t="shared" si="60"/>
        <v>1.3647342995169114E-2</v>
      </c>
      <c r="AV197" s="77" t="str">
        <f t="shared" si="60"/>
        <v>ER4</v>
      </c>
      <c r="AW197" s="77">
        <f t="shared" si="60"/>
        <v>50</v>
      </c>
      <c r="AX197" s="77" t="str">
        <f t="shared" si="60"/>
        <v>TIJ</v>
      </c>
    </row>
    <row r="198" spans="1:50" x14ac:dyDescent="0.25">
      <c r="A198">
        <v>184</v>
      </c>
      <c r="B198" s="36" t="str">
        <f t="shared" si="55"/>
        <v>MEXICO AEREO</v>
      </c>
      <c r="C198" s="36">
        <f t="shared" si="55"/>
        <v>2015</v>
      </c>
      <c r="D198" s="74">
        <v>0.43333333333333335</v>
      </c>
      <c r="E198" s="74">
        <v>0.43611111111111112</v>
      </c>
      <c r="F198" s="75">
        <v>2.7777777777777679E-3</v>
      </c>
      <c r="G198" s="74">
        <v>0.4458333333333333</v>
      </c>
      <c r="H198" s="75">
        <v>9.7222222222221877E-3</v>
      </c>
      <c r="I198" s="76">
        <v>41716</v>
      </c>
      <c r="J198" s="36" t="str">
        <f t="shared" si="61"/>
        <v>Nacional</v>
      </c>
      <c r="K198" s="36">
        <f t="shared" si="61"/>
        <v>3.2638888888888717E-3</v>
      </c>
      <c r="L198" s="36">
        <f t="shared" si="61"/>
        <v>6.7361111111111146E-3</v>
      </c>
      <c r="M198" s="36">
        <f t="shared" si="61"/>
        <v>9.9999999999999863E-3</v>
      </c>
      <c r="N198" s="36" t="str">
        <f t="shared" si="61"/>
        <v>ER4</v>
      </c>
      <c r="O198" s="36">
        <f t="shared" si="61"/>
        <v>50</v>
      </c>
      <c r="P198" s="36" t="str">
        <f t="shared" si="61"/>
        <v>CJS</v>
      </c>
      <c r="R198">
        <v>184</v>
      </c>
      <c r="S198" s="36" t="str">
        <f t="shared" si="46"/>
        <v>MEXICO AEREO</v>
      </c>
      <c r="T198" s="36">
        <f t="shared" si="46"/>
        <v>2185</v>
      </c>
      <c r="U198" s="73">
        <v>0.89861111111111114</v>
      </c>
      <c r="V198" s="74">
        <v>0.90902777777777777</v>
      </c>
      <c r="W198" s="75">
        <v>1.041666666666663E-2</v>
      </c>
      <c r="X198" s="74">
        <v>0.91249999999999998</v>
      </c>
      <c r="Y198" s="75">
        <v>3.4722222222222099E-3</v>
      </c>
      <c r="Z198" s="76">
        <v>41731</v>
      </c>
      <c r="AA198" s="36" t="str">
        <f t="shared" ref="AA198:AG220" si="62">AA197</f>
        <v>Nacional</v>
      </c>
      <c r="AB198" s="36">
        <f t="shared" si="62"/>
        <v>8.4780092592592338E-3</v>
      </c>
      <c r="AC198" s="36">
        <f t="shared" si="62"/>
        <v>5.4976851851852001E-3</v>
      </c>
      <c r="AD198" s="36">
        <f t="shared" si="62"/>
        <v>1.3975694444444433E-2</v>
      </c>
      <c r="AE198" s="36" t="str">
        <f t="shared" si="62"/>
        <v>ER4</v>
      </c>
      <c r="AF198" s="36">
        <f t="shared" si="62"/>
        <v>50</v>
      </c>
      <c r="AG198" s="36" t="str">
        <f t="shared" si="62"/>
        <v>TIJ</v>
      </c>
      <c r="AI198">
        <v>184</v>
      </c>
      <c r="AJ198" s="77" t="str">
        <f t="shared" si="48"/>
        <v>MEXICO AEREO</v>
      </c>
      <c r="AK198" s="77">
        <f t="shared" si="48"/>
        <v>2193</v>
      </c>
      <c r="AL198" s="78">
        <v>0.78680555555555554</v>
      </c>
      <c r="AM198" s="79">
        <v>0.79375000000000007</v>
      </c>
      <c r="AN198" s="80">
        <v>6.9444444444445308E-3</v>
      </c>
      <c r="AO198" s="79">
        <v>0.79583333333333339</v>
      </c>
      <c r="AP198" s="80">
        <v>2.0833333333333259E-3</v>
      </c>
      <c r="AQ198" s="81">
        <v>41805</v>
      </c>
      <c r="AR198" s="77" t="str">
        <f t="shared" si="60"/>
        <v>Nacional</v>
      </c>
      <c r="AS198" s="77">
        <f t="shared" si="60"/>
        <v>8.8768115942029265E-3</v>
      </c>
      <c r="AT198" s="77">
        <f t="shared" si="60"/>
        <v>4.7705314009661879E-3</v>
      </c>
      <c r="AU198" s="77">
        <f t="shared" si="60"/>
        <v>1.3647342995169114E-2</v>
      </c>
      <c r="AV198" s="77" t="str">
        <f t="shared" si="60"/>
        <v>ER4</v>
      </c>
      <c r="AW198" s="77">
        <f t="shared" si="60"/>
        <v>50</v>
      </c>
      <c r="AX198" s="77" t="str">
        <f t="shared" si="60"/>
        <v>TIJ</v>
      </c>
    </row>
    <row r="199" spans="1:50" ht="15.75" thickBot="1" x14ac:dyDescent="0.3">
      <c r="A199">
        <v>185</v>
      </c>
      <c r="B199" s="36" t="str">
        <f t="shared" si="55"/>
        <v>MEXICO AEREO</v>
      </c>
      <c r="C199" s="36">
        <f t="shared" si="55"/>
        <v>2015</v>
      </c>
      <c r="D199" s="74">
        <v>0.44444444444444442</v>
      </c>
      <c r="E199" s="74">
        <v>0.44722222222222219</v>
      </c>
      <c r="F199" s="75">
        <v>2.7777777777777679E-3</v>
      </c>
      <c r="G199" s="74">
        <v>0.45347222222222222</v>
      </c>
      <c r="H199" s="75">
        <v>6.2500000000000333E-3</v>
      </c>
      <c r="I199" s="76">
        <v>41720</v>
      </c>
      <c r="J199" s="36" t="str">
        <f t="shared" si="61"/>
        <v>Nacional</v>
      </c>
      <c r="K199" s="36">
        <f t="shared" si="61"/>
        <v>3.2638888888888717E-3</v>
      </c>
      <c r="L199" s="36">
        <f t="shared" si="61"/>
        <v>6.7361111111111146E-3</v>
      </c>
      <c r="M199" s="36">
        <f t="shared" si="61"/>
        <v>9.9999999999999863E-3</v>
      </c>
      <c r="N199" s="36" t="str">
        <f t="shared" si="61"/>
        <v>ER4</v>
      </c>
      <c r="O199" s="36">
        <f t="shared" si="61"/>
        <v>50</v>
      </c>
      <c r="P199" s="36" t="str">
        <f t="shared" si="61"/>
        <v>CJS</v>
      </c>
      <c r="R199">
        <v>185</v>
      </c>
      <c r="S199" s="36" t="str">
        <f t="shared" si="46"/>
        <v>MEXICO AEREO</v>
      </c>
      <c r="T199" s="36">
        <f t="shared" si="46"/>
        <v>2185</v>
      </c>
      <c r="U199" s="73">
        <v>0.8847222222222223</v>
      </c>
      <c r="V199" s="74">
        <v>0.89513888888888893</v>
      </c>
      <c r="W199" s="75">
        <v>1.041666666666663E-2</v>
      </c>
      <c r="X199" s="74">
        <v>0.89861111111111114</v>
      </c>
      <c r="Y199" s="75">
        <v>3.4722222222222099E-3</v>
      </c>
      <c r="Z199" s="76">
        <v>41732</v>
      </c>
      <c r="AA199" s="36" t="str">
        <f t="shared" si="62"/>
        <v>Nacional</v>
      </c>
      <c r="AB199" s="36">
        <f t="shared" si="62"/>
        <v>8.4780092592592338E-3</v>
      </c>
      <c r="AC199" s="36">
        <f t="shared" si="62"/>
        <v>5.4976851851852001E-3</v>
      </c>
      <c r="AD199" s="36">
        <f t="shared" si="62"/>
        <v>1.3975694444444433E-2</v>
      </c>
      <c r="AE199" s="36" t="str">
        <f t="shared" si="62"/>
        <v>ER4</v>
      </c>
      <c r="AF199" s="36">
        <f t="shared" si="62"/>
        <v>50</v>
      </c>
      <c r="AG199" s="36" t="str">
        <f t="shared" si="62"/>
        <v>TIJ</v>
      </c>
      <c r="AI199">
        <v>185</v>
      </c>
      <c r="AJ199" s="77" t="str">
        <f t="shared" si="48"/>
        <v>MEXICO AEREO</v>
      </c>
      <c r="AK199" s="77">
        <f t="shared" si="48"/>
        <v>2193</v>
      </c>
      <c r="AL199" s="78">
        <v>0.89444444444444438</v>
      </c>
      <c r="AM199" s="79">
        <v>0.9159722222222223</v>
      </c>
      <c r="AN199" s="80">
        <v>2.1527777777777923E-2</v>
      </c>
      <c r="AO199" s="79">
        <v>0.92361111111111116</v>
      </c>
      <c r="AP199" s="80">
        <v>7.6388888888888618E-3</v>
      </c>
      <c r="AQ199" s="81">
        <v>41806</v>
      </c>
      <c r="AR199" s="77" t="str">
        <f t="shared" si="60"/>
        <v>Nacional</v>
      </c>
      <c r="AS199" s="77">
        <f t="shared" si="60"/>
        <v>8.8768115942029265E-3</v>
      </c>
      <c r="AT199" s="77">
        <f t="shared" si="60"/>
        <v>4.7705314009661879E-3</v>
      </c>
      <c r="AU199" s="77">
        <f t="shared" si="60"/>
        <v>1.3647342995169114E-2</v>
      </c>
      <c r="AV199" s="77" t="str">
        <f t="shared" si="60"/>
        <v>ER4</v>
      </c>
      <c r="AW199" s="77">
        <f t="shared" si="60"/>
        <v>50</v>
      </c>
      <c r="AX199" s="77" t="str">
        <f t="shared" si="60"/>
        <v>TIJ</v>
      </c>
    </row>
    <row r="200" spans="1:50" x14ac:dyDescent="0.25">
      <c r="A200">
        <v>186</v>
      </c>
      <c r="B200" s="36" t="str">
        <f t="shared" si="55"/>
        <v>MEXICO AEREO</v>
      </c>
      <c r="C200" s="36">
        <f t="shared" si="55"/>
        <v>2015</v>
      </c>
      <c r="D200" s="74">
        <v>0.43124999999999997</v>
      </c>
      <c r="E200" s="74">
        <v>0.43541666666666662</v>
      </c>
      <c r="F200" s="75">
        <v>4.1666666666666519E-3</v>
      </c>
      <c r="G200" s="74">
        <v>0.44166666666666665</v>
      </c>
      <c r="H200" s="75">
        <v>6.2500000000000333E-3</v>
      </c>
      <c r="I200" s="76">
        <v>41721</v>
      </c>
      <c r="J200" s="36" t="str">
        <f t="shared" si="61"/>
        <v>Nacional</v>
      </c>
      <c r="K200" s="36">
        <f t="shared" si="61"/>
        <v>3.2638888888888717E-3</v>
      </c>
      <c r="L200" s="36">
        <f t="shared" si="61"/>
        <v>6.7361111111111146E-3</v>
      </c>
      <c r="M200" s="36">
        <f t="shared" si="61"/>
        <v>9.9999999999999863E-3</v>
      </c>
      <c r="N200" s="36" t="str">
        <f t="shared" si="61"/>
        <v>ER4</v>
      </c>
      <c r="O200" s="36">
        <f t="shared" si="61"/>
        <v>50</v>
      </c>
      <c r="P200" s="36" t="str">
        <f t="shared" si="61"/>
        <v>CJS</v>
      </c>
      <c r="R200">
        <v>186</v>
      </c>
      <c r="S200" s="36" t="str">
        <f t="shared" si="46"/>
        <v>MEXICO AEREO</v>
      </c>
      <c r="T200" s="36">
        <f t="shared" si="46"/>
        <v>2185</v>
      </c>
      <c r="U200" s="73">
        <v>0.88194444444444453</v>
      </c>
      <c r="V200" s="74">
        <v>0.90972222222222221</v>
      </c>
      <c r="W200" s="75">
        <v>2.7777777777777679E-2</v>
      </c>
      <c r="X200" s="74">
        <v>0.91319444444444453</v>
      </c>
      <c r="Y200" s="75">
        <v>3.4722222222223209E-3</v>
      </c>
      <c r="Z200" s="76">
        <v>41734</v>
      </c>
      <c r="AA200" s="36" t="str">
        <f t="shared" si="62"/>
        <v>Nacional</v>
      </c>
      <c r="AB200" s="36">
        <f t="shared" si="62"/>
        <v>8.4780092592592338E-3</v>
      </c>
      <c r="AC200" s="36">
        <f t="shared" si="62"/>
        <v>5.4976851851852001E-3</v>
      </c>
      <c r="AD200" s="36">
        <f t="shared" si="62"/>
        <v>1.3975694444444433E-2</v>
      </c>
      <c r="AE200" s="36" t="str">
        <f t="shared" si="62"/>
        <v>ER4</v>
      </c>
      <c r="AF200" s="36">
        <f t="shared" si="62"/>
        <v>50</v>
      </c>
      <c r="AG200" s="36" t="str">
        <f t="shared" si="62"/>
        <v>TIJ</v>
      </c>
      <c r="AI200">
        <v>186</v>
      </c>
      <c r="AJ200" s="63" t="s">
        <v>18</v>
      </c>
      <c r="AK200" s="77">
        <f t="shared" ref="AK200:AK221" si="63">AK199</f>
        <v>2193</v>
      </c>
      <c r="AL200" s="78">
        <v>0.70416666666666661</v>
      </c>
      <c r="AM200" s="79">
        <v>0.72083333333333333</v>
      </c>
      <c r="AN200" s="80">
        <v>1.6666666666666718E-2</v>
      </c>
      <c r="AO200" s="79">
        <v>0.73125000000000007</v>
      </c>
      <c r="AP200" s="80">
        <v>1.0416666666666741E-2</v>
      </c>
      <c r="AQ200" s="81">
        <v>41807</v>
      </c>
      <c r="AR200" s="77" t="str">
        <f t="shared" si="60"/>
        <v>Nacional</v>
      </c>
      <c r="AS200" s="77">
        <f t="shared" si="60"/>
        <v>8.8768115942029265E-3</v>
      </c>
      <c r="AT200" s="77">
        <f t="shared" si="60"/>
        <v>4.7705314009661879E-3</v>
      </c>
      <c r="AU200" s="77">
        <f t="shared" si="60"/>
        <v>1.3647342995169114E-2</v>
      </c>
      <c r="AV200" s="77" t="str">
        <f t="shared" si="60"/>
        <v>ER4</v>
      </c>
      <c r="AW200" s="77">
        <f t="shared" si="60"/>
        <v>50</v>
      </c>
      <c r="AX200" s="77" t="str">
        <f t="shared" si="60"/>
        <v>TIJ</v>
      </c>
    </row>
    <row r="201" spans="1:50" x14ac:dyDescent="0.25">
      <c r="A201">
        <v>187</v>
      </c>
      <c r="B201" s="36" t="str">
        <f t="shared" si="55"/>
        <v>MEXICO AEREO</v>
      </c>
      <c r="C201" s="36">
        <f t="shared" si="55"/>
        <v>2015</v>
      </c>
      <c r="D201" s="74">
        <v>0.44444444444444442</v>
      </c>
      <c r="E201" s="74">
        <v>0.4458333333333333</v>
      </c>
      <c r="F201" s="75">
        <v>1.388888888888884E-3</v>
      </c>
      <c r="G201" s="74">
        <v>0.44791666666666669</v>
      </c>
      <c r="H201" s="75">
        <v>2.0833333333333814E-3</v>
      </c>
      <c r="I201" s="76">
        <v>41722</v>
      </c>
      <c r="J201" s="36" t="str">
        <f t="shared" si="61"/>
        <v>Nacional</v>
      </c>
      <c r="K201" s="36">
        <f t="shared" si="61"/>
        <v>3.2638888888888717E-3</v>
      </c>
      <c r="L201" s="36">
        <f t="shared" si="61"/>
        <v>6.7361111111111146E-3</v>
      </c>
      <c r="M201" s="36">
        <f t="shared" si="61"/>
        <v>9.9999999999999863E-3</v>
      </c>
      <c r="N201" s="36" t="str">
        <f t="shared" si="61"/>
        <v>ER4</v>
      </c>
      <c r="O201" s="36">
        <f t="shared" si="61"/>
        <v>50</v>
      </c>
      <c r="P201" s="36" t="str">
        <f t="shared" si="61"/>
        <v>CJS</v>
      </c>
      <c r="R201">
        <v>187</v>
      </c>
      <c r="S201" s="36" t="str">
        <f t="shared" si="46"/>
        <v>MEXICO AEREO</v>
      </c>
      <c r="T201" s="36">
        <f t="shared" si="46"/>
        <v>2185</v>
      </c>
      <c r="U201" s="73">
        <v>0.90625</v>
      </c>
      <c r="V201" s="74">
        <v>0.91388888888888886</v>
      </c>
      <c r="W201" s="75">
        <v>7.6388888888888618E-3</v>
      </c>
      <c r="X201" s="74">
        <v>0.9145833333333333</v>
      </c>
      <c r="Y201" s="75">
        <v>6.9444444444444198E-4</v>
      </c>
      <c r="Z201" s="76">
        <v>41734</v>
      </c>
      <c r="AA201" s="36" t="str">
        <f t="shared" si="62"/>
        <v>Nacional</v>
      </c>
      <c r="AB201" s="36">
        <f t="shared" si="62"/>
        <v>8.4780092592592338E-3</v>
      </c>
      <c r="AC201" s="36">
        <f t="shared" si="62"/>
        <v>5.4976851851852001E-3</v>
      </c>
      <c r="AD201" s="36">
        <f t="shared" si="62"/>
        <v>1.3975694444444433E-2</v>
      </c>
      <c r="AE201" s="36" t="str">
        <f t="shared" si="62"/>
        <v>ER4</v>
      </c>
      <c r="AF201" s="36">
        <f t="shared" si="62"/>
        <v>50</v>
      </c>
      <c r="AG201" s="36" t="str">
        <f t="shared" si="62"/>
        <v>TIJ</v>
      </c>
      <c r="AI201">
        <v>187</v>
      </c>
      <c r="AJ201" s="77" t="str">
        <f t="shared" ref="AJ201:AK246" si="64">AJ200</f>
        <v>MEXICO AEREO</v>
      </c>
      <c r="AK201" s="77">
        <f t="shared" si="63"/>
        <v>2193</v>
      </c>
      <c r="AL201" s="78">
        <v>0.8965277777777777</v>
      </c>
      <c r="AM201" s="79">
        <v>0.90416666666666667</v>
      </c>
      <c r="AN201" s="80">
        <v>7.6388888888889728E-3</v>
      </c>
      <c r="AO201" s="79">
        <v>0.90763888888888899</v>
      </c>
      <c r="AP201" s="80">
        <v>3.4722222222223209E-3</v>
      </c>
      <c r="AQ201" s="81">
        <v>41808</v>
      </c>
      <c r="AR201" s="77" t="str">
        <f t="shared" si="60"/>
        <v>Nacional</v>
      </c>
      <c r="AS201" s="77">
        <f t="shared" si="60"/>
        <v>8.8768115942029265E-3</v>
      </c>
      <c r="AT201" s="77">
        <f t="shared" si="60"/>
        <v>4.7705314009661879E-3</v>
      </c>
      <c r="AU201" s="77">
        <f t="shared" si="60"/>
        <v>1.3647342995169114E-2</v>
      </c>
      <c r="AV201" s="77" t="str">
        <f t="shared" si="60"/>
        <v>ER4</v>
      </c>
      <c r="AW201" s="77">
        <f t="shared" si="60"/>
        <v>50</v>
      </c>
      <c r="AX201" s="77" t="str">
        <f t="shared" si="60"/>
        <v>TIJ</v>
      </c>
    </row>
    <row r="202" spans="1:50" x14ac:dyDescent="0.25">
      <c r="A202">
        <v>188</v>
      </c>
      <c r="B202" s="36" t="str">
        <f t="shared" si="55"/>
        <v>MEXICO AEREO</v>
      </c>
      <c r="C202" s="36">
        <f t="shared" si="55"/>
        <v>2015</v>
      </c>
      <c r="D202" s="74">
        <v>0.4375</v>
      </c>
      <c r="E202" s="74">
        <v>0.43888888888888888</v>
      </c>
      <c r="F202" s="75">
        <v>1.388888888888884E-3</v>
      </c>
      <c r="G202" s="74">
        <v>0.44930555555555557</v>
      </c>
      <c r="H202" s="75">
        <v>1.0416666666666685E-2</v>
      </c>
      <c r="I202" s="76">
        <v>41726</v>
      </c>
      <c r="J202" s="36" t="str">
        <f t="shared" si="61"/>
        <v>Nacional</v>
      </c>
      <c r="K202" s="36">
        <f t="shared" si="61"/>
        <v>3.2638888888888717E-3</v>
      </c>
      <c r="L202" s="36">
        <f t="shared" si="61"/>
        <v>6.7361111111111146E-3</v>
      </c>
      <c r="M202" s="36">
        <f t="shared" si="61"/>
        <v>9.9999999999999863E-3</v>
      </c>
      <c r="N202" s="36" t="str">
        <f t="shared" si="61"/>
        <v>ER4</v>
      </c>
      <c r="O202" s="36">
        <f t="shared" si="61"/>
        <v>50</v>
      </c>
      <c r="P202" s="36" t="str">
        <f t="shared" si="61"/>
        <v>CJS</v>
      </c>
      <c r="R202">
        <v>188</v>
      </c>
      <c r="S202" s="36" t="str">
        <f t="shared" si="46"/>
        <v>MEXICO AEREO</v>
      </c>
      <c r="T202" s="36">
        <f t="shared" si="46"/>
        <v>2185</v>
      </c>
      <c r="U202" s="73">
        <v>0.9194444444444444</v>
      </c>
      <c r="V202" s="74">
        <v>0.92291666666666661</v>
      </c>
      <c r="W202" s="75">
        <v>3.4722222222222099E-3</v>
      </c>
      <c r="X202" s="74">
        <v>0.93333333333333324</v>
      </c>
      <c r="Y202" s="75">
        <v>1.041666666666663E-2</v>
      </c>
      <c r="Z202" s="76">
        <v>41736</v>
      </c>
      <c r="AA202" s="36" t="str">
        <f t="shared" si="62"/>
        <v>Nacional</v>
      </c>
      <c r="AB202" s="36">
        <f t="shared" si="62"/>
        <v>8.4780092592592338E-3</v>
      </c>
      <c r="AC202" s="36">
        <f t="shared" si="62"/>
        <v>5.4976851851852001E-3</v>
      </c>
      <c r="AD202" s="36">
        <f t="shared" si="62"/>
        <v>1.3975694444444433E-2</v>
      </c>
      <c r="AE202" s="36" t="str">
        <f t="shared" si="62"/>
        <v>ER4</v>
      </c>
      <c r="AF202" s="36">
        <f t="shared" si="62"/>
        <v>50</v>
      </c>
      <c r="AG202" s="36" t="str">
        <f t="shared" si="62"/>
        <v>TIJ</v>
      </c>
      <c r="AI202">
        <v>188</v>
      </c>
      <c r="AJ202" s="77" t="str">
        <f t="shared" si="64"/>
        <v>MEXICO AEREO</v>
      </c>
      <c r="AK202" s="77">
        <f t="shared" si="63"/>
        <v>2193</v>
      </c>
      <c r="AL202" s="78">
        <v>0.89722222222222225</v>
      </c>
      <c r="AM202" s="79">
        <v>0.90833333333333333</v>
      </c>
      <c r="AN202" s="80">
        <v>1.1111111111111072E-2</v>
      </c>
      <c r="AO202" s="79">
        <v>0.90972222222222221</v>
      </c>
      <c r="AP202" s="80">
        <v>1.388888888888884E-3</v>
      </c>
      <c r="AQ202" s="81">
        <v>41809</v>
      </c>
      <c r="AR202" s="77" t="str">
        <f t="shared" si="60"/>
        <v>Nacional</v>
      </c>
      <c r="AS202" s="77">
        <f t="shared" si="60"/>
        <v>8.8768115942029265E-3</v>
      </c>
      <c r="AT202" s="77">
        <f t="shared" si="60"/>
        <v>4.7705314009661879E-3</v>
      </c>
      <c r="AU202" s="77">
        <f t="shared" si="60"/>
        <v>1.3647342995169114E-2</v>
      </c>
      <c r="AV202" s="77" t="str">
        <f t="shared" si="60"/>
        <v>ER4</v>
      </c>
      <c r="AW202" s="77">
        <f t="shared" si="60"/>
        <v>50</v>
      </c>
      <c r="AX202" s="77" t="str">
        <f t="shared" si="60"/>
        <v>TIJ</v>
      </c>
    </row>
    <row r="203" spans="1:50" x14ac:dyDescent="0.25">
      <c r="A203">
        <v>189</v>
      </c>
      <c r="B203" s="36" t="str">
        <f t="shared" si="55"/>
        <v>MEXICO AEREO</v>
      </c>
      <c r="C203" s="36">
        <f t="shared" si="55"/>
        <v>2015</v>
      </c>
      <c r="D203" s="74">
        <v>0.4694444444444445</v>
      </c>
      <c r="E203" s="74">
        <v>0.47500000000000003</v>
      </c>
      <c r="F203" s="75">
        <v>5.5555555555555358E-3</v>
      </c>
      <c r="G203" s="74">
        <v>0.48402777777777778</v>
      </c>
      <c r="H203" s="75">
        <v>9.0277777777777457E-3</v>
      </c>
      <c r="I203" s="76">
        <v>41727</v>
      </c>
      <c r="J203" s="36" t="str">
        <f t="shared" si="61"/>
        <v>Nacional</v>
      </c>
      <c r="K203" s="36">
        <f t="shared" si="61"/>
        <v>3.2638888888888717E-3</v>
      </c>
      <c r="L203" s="36">
        <f t="shared" si="61"/>
        <v>6.7361111111111146E-3</v>
      </c>
      <c r="M203" s="36">
        <f t="shared" si="61"/>
        <v>9.9999999999999863E-3</v>
      </c>
      <c r="N203" s="36" t="str">
        <f t="shared" si="61"/>
        <v>ER4</v>
      </c>
      <c r="O203" s="36">
        <f t="shared" si="61"/>
        <v>50</v>
      </c>
      <c r="P203" s="36" t="str">
        <f t="shared" si="61"/>
        <v>CJS</v>
      </c>
      <c r="R203">
        <v>189</v>
      </c>
      <c r="S203" s="36" t="str">
        <f t="shared" si="46"/>
        <v>MEXICO AEREO</v>
      </c>
      <c r="T203" s="36">
        <f t="shared" si="46"/>
        <v>2185</v>
      </c>
      <c r="U203" s="73">
        <v>0.90347222222222223</v>
      </c>
      <c r="V203" s="74">
        <v>0.90833333333333333</v>
      </c>
      <c r="W203" s="75">
        <v>4.8611111111110938E-3</v>
      </c>
      <c r="X203" s="74">
        <v>0.90972222222222221</v>
      </c>
      <c r="Y203" s="75">
        <v>1.388888888888884E-3</v>
      </c>
      <c r="Z203" s="76">
        <v>41736</v>
      </c>
      <c r="AA203" s="36" t="str">
        <f t="shared" si="62"/>
        <v>Nacional</v>
      </c>
      <c r="AB203" s="36">
        <f t="shared" si="62"/>
        <v>8.4780092592592338E-3</v>
      </c>
      <c r="AC203" s="36">
        <f t="shared" si="62"/>
        <v>5.4976851851852001E-3</v>
      </c>
      <c r="AD203" s="36">
        <f t="shared" si="62"/>
        <v>1.3975694444444433E-2</v>
      </c>
      <c r="AE203" s="36" t="str">
        <f t="shared" si="62"/>
        <v>ER4</v>
      </c>
      <c r="AF203" s="36">
        <f t="shared" si="62"/>
        <v>50</v>
      </c>
      <c r="AG203" s="36" t="str">
        <f t="shared" si="62"/>
        <v>TIJ</v>
      </c>
      <c r="AI203">
        <v>189</v>
      </c>
      <c r="AJ203" s="77" t="str">
        <f t="shared" si="64"/>
        <v>MEXICO AEREO</v>
      </c>
      <c r="AK203" s="77">
        <f t="shared" si="63"/>
        <v>2193</v>
      </c>
      <c r="AL203" s="78">
        <v>0.8930555555555556</v>
      </c>
      <c r="AM203" s="79">
        <v>0.90625</v>
      </c>
      <c r="AN203" s="80">
        <v>1.3194444444444398E-2</v>
      </c>
      <c r="AO203" s="79">
        <v>0.90833333333333333</v>
      </c>
      <c r="AP203" s="80">
        <v>2.0833333333333259E-3</v>
      </c>
      <c r="AQ203" s="81">
        <v>41810</v>
      </c>
      <c r="AR203" s="77" t="str">
        <f t="shared" si="60"/>
        <v>Nacional</v>
      </c>
      <c r="AS203" s="77">
        <f t="shared" si="60"/>
        <v>8.8768115942029265E-3</v>
      </c>
      <c r="AT203" s="77">
        <f t="shared" si="60"/>
        <v>4.7705314009661879E-3</v>
      </c>
      <c r="AU203" s="77">
        <f t="shared" si="60"/>
        <v>1.3647342995169114E-2</v>
      </c>
      <c r="AV203" s="77" t="str">
        <f t="shared" si="60"/>
        <v>ER4</v>
      </c>
      <c r="AW203" s="77">
        <f t="shared" si="60"/>
        <v>50</v>
      </c>
      <c r="AX203" s="77" t="str">
        <f t="shared" si="60"/>
        <v>TIJ</v>
      </c>
    </row>
    <row r="204" spans="1:50" x14ac:dyDescent="0.25">
      <c r="A204">
        <v>190</v>
      </c>
      <c r="B204" s="36" t="str">
        <f t="shared" si="55"/>
        <v>MEXICO AEREO</v>
      </c>
      <c r="C204" s="36">
        <f t="shared" si="55"/>
        <v>2015</v>
      </c>
      <c r="D204" s="74">
        <v>0.43055555555555558</v>
      </c>
      <c r="E204" s="74">
        <v>0.43194444444444446</v>
      </c>
      <c r="F204" s="75">
        <v>1.388888888888884E-3</v>
      </c>
      <c r="G204" s="74">
        <v>0.4368055555555555</v>
      </c>
      <c r="H204" s="75">
        <v>4.8611111111110383E-3</v>
      </c>
      <c r="I204" s="76">
        <v>41729</v>
      </c>
      <c r="J204" s="36" t="str">
        <f t="shared" si="61"/>
        <v>Nacional</v>
      </c>
      <c r="K204" s="36">
        <f t="shared" si="61"/>
        <v>3.2638888888888717E-3</v>
      </c>
      <c r="L204" s="36">
        <f t="shared" si="61"/>
        <v>6.7361111111111146E-3</v>
      </c>
      <c r="M204" s="36">
        <f t="shared" si="61"/>
        <v>9.9999999999999863E-3</v>
      </c>
      <c r="N204" s="36" t="str">
        <f t="shared" si="61"/>
        <v>ER4</v>
      </c>
      <c r="O204" s="36">
        <f t="shared" si="61"/>
        <v>50</v>
      </c>
      <c r="P204" s="36" t="str">
        <f t="shared" si="61"/>
        <v>CJS</v>
      </c>
      <c r="R204">
        <v>190</v>
      </c>
      <c r="S204" s="36" t="str">
        <f t="shared" si="46"/>
        <v>MEXICO AEREO</v>
      </c>
      <c r="T204" s="36">
        <f t="shared" si="46"/>
        <v>2185</v>
      </c>
      <c r="U204" s="73">
        <v>0.90277777777777779</v>
      </c>
      <c r="V204" s="74">
        <v>0.90833333333333333</v>
      </c>
      <c r="W204" s="75">
        <v>5.5555555555555358E-3</v>
      </c>
      <c r="X204" s="74">
        <v>0.91041666666666676</v>
      </c>
      <c r="Y204" s="75">
        <v>2.083333333333437E-3</v>
      </c>
      <c r="Z204" s="76">
        <v>41738</v>
      </c>
      <c r="AA204" s="36" t="str">
        <f t="shared" si="62"/>
        <v>Nacional</v>
      </c>
      <c r="AB204" s="36">
        <f t="shared" si="62"/>
        <v>8.4780092592592338E-3</v>
      </c>
      <c r="AC204" s="36">
        <f t="shared" si="62"/>
        <v>5.4976851851852001E-3</v>
      </c>
      <c r="AD204" s="36">
        <f t="shared" si="62"/>
        <v>1.3975694444444433E-2</v>
      </c>
      <c r="AE204" s="36" t="str">
        <f t="shared" si="62"/>
        <v>ER4</v>
      </c>
      <c r="AF204" s="36">
        <f t="shared" si="62"/>
        <v>50</v>
      </c>
      <c r="AG204" s="36" t="str">
        <f t="shared" si="62"/>
        <v>TIJ</v>
      </c>
      <c r="AI204">
        <v>190</v>
      </c>
      <c r="AJ204" s="77" t="str">
        <f t="shared" si="64"/>
        <v>MEXICO AEREO</v>
      </c>
      <c r="AK204" s="77">
        <f t="shared" si="63"/>
        <v>2193</v>
      </c>
      <c r="AL204" s="78">
        <v>0.89444444444444438</v>
      </c>
      <c r="AM204" s="79">
        <v>0.90277777777777779</v>
      </c>
      <c r="AN204" s="80">
        <v>8.3333333333334147E-3</v>
      </c>
      <c r="AO204" s="79">
        <v>0.90625</v>
      </c>
      <c r="AP204" s="80">
        <v>3.4722222222222099E-3</v>
      </c>
      <c r="AQ204" s="81">
        <v>41811</v>
      </c>
      <c r="AR204" s="77" t="str">
        <f t="shared" si="60"/>
        <v>Nacional</v>
      </c>
      <c r="AS204" s="77">
        <f t="shared" si="60"/>
        <v>8.8768115942029265E-3</v>
      </c>
      <c r="AT204" s="77">
        <f t="shared" si="60"/>
        <v>4.7705314009661879E-3</v>
      </c>
      <c r="AU204" s="77">
        <f t="shared" si="60"/>
        <v>1.3647342995169114E-2</v>
      </c>
      <c r="AV204" s="77" t="str">
        <f t="shared" si="60"/>
        <v>ER4</v>
      </c>
      <c r="AW204" s="77">
        <f t="shared" si="60"/>
        <v>50</v>
      </c>
      <c r="AX204" s="77" t="str">
        <f t="shared" si="60"/>
        <v>TIJ</v>
      </c>
    </row>
    <row r="205" spans="1:50" ht="15.75" thickBot="1" x14ac:dyDescent="0.3">
      <c r="A205">
        <v>191</v>
      </c>
      <c r="B205" s="36" t="str">
        <f t="shared" si="55"/>
        <v>MEXICO AEREO</v>
      </c>
      <c r="C205" s="36">
        <f t="shared" si="55"/>
        <v>2015</v>
      </c>
      <c r="D205" s="84">
        <v>0.45902777777777781</v>
      </c>
      <c r="E205" s="84">
        <v>0.46249999999999997</v>
      </c>
      <c r="F205" s="85">
        <v>3.4722222222221544E-3</v>
      </c>
      <c r="G205" s="84">
        <v>0.47013888888888888</v>
      </c>
      <c r="H205" s="85">
        <v>7.6388888888889173E-3</v>
      </c>
      <c r="I205" s="86">
        <v>41717</v>
      </c>
      <c r="J205" s="36" t="str">
        <f t="shared" si="61"/>
        <v>Nacional</v>
      </c>
      <c r="K205" s="36">
        <f t="shared" si="61"/>
        <v>3.2638888888888717E-3</v>
      </c>
      <c r="L205" s="36">
        <f t="shared" si="61"/>
        <v>6.7361111111111146E-3</v>
      </c>
      <c r="M205" s="36">
        <f t="shared" si="61"/>
        <v>9.9999999999999863E-3</v>
      </c>
      <c r="N205" s="36" t="str">
        <f t="shared" si="61"/>
        <v>ER4</v>
      </c>
      <c r="O205" s="36">
        <f t="shared" si="61"/>
        <v>50</v>
      </c>
      <c r="P205" s="36" t="str">
        <f t="shared" si="61"/>
        <v>CJS</v>
      </c>
      <c r="R205">
        <v>191</v>
      </c>
      <c r="S205" s="36" t="str">
        <f t="shared" si="46"/>
        <v>MEXICO AEREO</v>
      </c>
      <c r="T205" s="36">
        <f t="shared" si="46"/>
        <v>2185</v>
      </c>
      <c r="U205" s="73">
        <v>0.88750000000000007</v>
      </c>
      <c r="V205" s="74">
        <v>0.89166666666666661</v>
      </c>
      <c r="W205" s="75">
        <v>4.1666666666665408E-3</v>
      </c>
      <c r="X205" s="74">
        <v>0.90486111111111101</v>
      </c>
      <c r="Y205" s="75">
        <v>1.3194444444444398E-2</v>
      </c>
      <c r="Z205" s="76">
        <v>41739</v>
      </c>
      <c r="AA205" s="36" t="str">
        <f t="shared" si="62"/>
        <v>Nacional</v>
      </c>
      <c r="AB205" s="36">
        <f t="shared" si="62"/>
        <v>8.4780092592592338E-3</v>
      </c>
      <c r="AC205" s="36">
        <f t="shared" si="62"/>
        <v>5.4976851851852001E-3</v>
      </c>
      <c r="AD205" s="36">
        <f t="shared" si="62"/>
        <v>1.3975694444444433E-2</v>
      </c>
      <c r="AE205" s="36" t="str">
        <f t="shared" si="62"/>
        <v>ER4</v>
      </c>
      <c r="AF205" s="36">
        <f t="shared" si="62"/>
        <v>50</v>
      </c>
      <c r="AG205" s="36" t="str">
        <f t="shared" si="62"/>
        <v>TIJ</v>
      </c>
      <c r="AI205">
        <v>191</v>
      </c>
      <c r="AJ205" s="77" t="str">
        <f t="shared" si="64"/>
        <v>MEXICO AEREO</v>
      </c>
      <c r="AK205" s="77">
        <f t="shared" si="63"/>
        <v>2193</v>
      </c>
      <c r="AL205" s="78">
        <v>0.8930555555555556</v>
      </c>
      <c r="AM205" s="79">
        <v>0.9</v>
      </c>
      <c r="AN205" s="80">
        <v>6.9444444444444198E-3</v>
      </c>
      <c r="AO205" s="79">
        <v>0.90277777777777779</v>
      </c>
      <c r="AP205" s="80">
        <v>2.7777777777777679E-3</v>
      </c>
      <c r="AQ205" s="81">
        <v>41812</v>
      </c>
      <c r="AR205" s="77" t="str">
        <f t="shared" si="60"/>
        <v>Nacional</v>
      </c>
      <c r="AS205" s="77">
        <f t="shared" si="60"/>
        <v>8.8768115942029265E-3</v>
      </c>
      <c r="AT205" s="77">
        <f t="shared" si="60"/>
        <v>4.7705314009661879E-3</v>
      </c>
      <c r="AU205" s="77">
        <f t="shared" si="60"/>
        <v>1.3647342995169114E-2</v>
      </c>
      <c r="AV205" s="77" t="str">
        <f t="shared" si="60"/>
        <v>ER4</v>
      </c>
      <c r="AW205" s="77">
        <f t="shared" si="60"/>
        <v>50</v>
      </c>
      <c r="AX205" s="77" t="str">
        <f t="shared" si="60"/>
        <v>TIJ</v>
      </c>
    </row>
    <row r="206" spans="1:50" ht="15.75" thickBot="1" x14ac:dyDescent="0.3">
      <c r="A206">
        <v>192</v>
      </c>
      <c r="B206" s="36" t="str">
        <f t="shared" si="55"/>
        <v>MEXICO AEREO</v>
      </c>
      <c r="C206" s="88">
        <v>2012</v>
      </c>
      <c r="D206" s="57">
        <v>0.70138888888888884</v>
      </c>
      <c r="E206" s="57">
        <v>0.70277777777777783</v>
      </c>
      <c r="F206" s="58">
        <v>1.388888888888995E-3</v>
      </c>
      <c r="G206" s="57">
        <v>0.70763888888888893</v>
      </c>
      <c r="H206" s="58">
        <v>4.8611111111110938E-3</v>
      </c>
      <c r="I206" s="59">
        <v>41714</v>
      </c>
      <c r="J206" s="108" t="s">
        <v>19</v>
      </c>
      <c r="K206" s="61">
        <v>5.2777777777777927E-3</v>
      </c>
      <c r="L206" s="61">
        <v>4.3749999999999848E-3</v>
      </c>
      <c r="M206" s="89">
        <v>9.6527777777777775E-3</v>
      </c>
      <c r="N206" s="90" t="s">
        <v>20</v>
      </c>
      <c r="O206" s="91">
        <v>50</v>
      </c>
      <c r="P206" s="92" t="s">
        <v>29</v>
      </c>
      <c r="R206">
        <v>192</v>
      </c>
      <c r="S206" s="36" t="str">
        <f t="shared" si="46"/>
        <v>MEXICO AEREO</v>
      </c>
      <c r="T206" s="36">
        <f t="shared" si="46"/>
        <v>2185</v>
      </c>
      <c r="U206" s="73">
        <v>0.90694444444444444</v>
      </c>
      <c r="V206" s="74">
        <v>0.91249999999999998</v>
      </c>
      <c r="W206" s="75">
        <v>5.5555555555555358E-3</v>
      </c>
      <c r="X206" s="74">
        <v>0.91736111111111107</v>
      </c>
      <c r="Y206" s="75">
        <v>4.8611111111110938E-3</v>
      </c>
      <c r="Z206" s="76">
        <v>41740</v>
      </c>
      <c r="AA206" s="36" t="str">
        <f t="shared" si="62"/>
        <v>Nacional</v>
      </c>
      <c r="AB206" s="36">
        <f t="shared" si="62"/>
        <v>8.4780092592592338E-3</v>
      </c>
      <c r="AC206" s="36">
        <f t="shared" si="62"/>
        <v>5.4976851851852001E-3</v>
      </c>
      <c r="AD206" s="36">
        <f t="shared" si="62"/>
        <v>1.3975694444444433E-2</v>
      </c>
      <c r="AE206" s="36" t="str">
        <f t="shared" si="62"/>
        <v>ER4</v>
      </c>
      <c r="AF206" s="36">
        <f t="shared" si="62"/>
        <v>50</v>
      </c>
      <c r="AG206" s="36" t="str">
        <f t="shared" si="62"/>
        <v>TIJ</v>
      </c>
      <c r="AI206">
        <v>192</v>
      </c>
      <c r="AJ206" s="77" t="str">
        <f t="shared" si="64"/>
        <v>MEXICO AEREO</v>
      </c>
      <c r="AK206" s="77">
        <f t="shared" si="63"/>
        <v>2193</v>
      </c>
      <c r="AL206" s="94">
        <v>0.90694444444444444</v>
      </c>
      <c r="AM206" s="95">
        <v>0.90972222222222221</v>
      </c>
      <c r="AN206" s="96">
        <v>2.7777777777777679E-3</v>
      </c>
      <c r="AO206" s="95">
        <v>0.92083333333333339</v>
      </c>
      <c r="AP206" s="96">
        <v>1.1111111111111183E-2</v>
      </c>
      <c r="AQ206" s="97">
        <v>41813</v>
      </c>
      <c r="AR206" s="77" t="str">
        <f t="shared" si="60"/>
        <v>Nacional</v>
      </c>
      <c r="AS206" s="77">
        <f t="shared" si="60"/>
        <v>8.8768115942029265E-3</v>
      </c>
      <c r="AT206" s="77">
        <f t="shared" si="60"/>
        <v>4.7705314009661879E-3</v>
      </c>
      <c r="AU206" s="77">
        <f t="shared" si="60"/>
        <v>1.3647342995169114E-2</v>
      </c>
      <c r="AV206" s="77" t="str">
        <f t="shared" si="60"/>
        <v>ER4</v>
      </c>
      <c r="AW206" s="77">
        <f t="shared" si="60"/>
        <v>50</v>
      </c>
      <c r="AX206" s="77" t="str">
        <f t="shared" si="60"/>
        <v>TIJ</v>
      </c>
    </row>
    <row r="207" spans="1:50" x14ac:dyDescent="0.25">
      <c r="A207">
        <v>193</v>
      </c>
      <c r="B207" s="36" t="str">
        <f t="shared" si="55"/>
        <v>MEXICO AEREO</v>
      </c>
      <c r="C207" s="36">
        <f t="shared" si="55"/>
        <v>2012</v>
      </c>
      <c r="D207" s="74">
        <v>0.72222222222222221</v>
      </c>
      <c r="E207" s="74">
        <v>0.72916666666666663</v>
      </c>
      <c r="F207" s="75">
        <v>6.9444444444444198E-3</v>
      </c>
      <c r="G207" s="74">
        <v>0.73472222222222217</v>
      </c>
      <c r="H207" s="75">
        <v>5.5555555555555358E-3</v>
      </c>
      <c r="I207" s="76">
        <v>41715</v>
      </c>
      <c r="J207" s="36" t="str">
        <f t="shared" ref="J207:P215" si="65">J206</f>
        <v>Nacional</v>
      </c>
      <c r="K207" s="36">
        <f t="shared" si="65"/>
        <v>5.2777777777777927E-3</v>
      </c>
      <c r="L207" s="36">
        <f t="shared" si="65"/>
        <v>4.3749999999999848E-3</v>
      </c>
      <c r="M207" s="36">
        <f t="shared" si="65"/>
        <v>9.6527777777777775E-3</v>
      </c>
      <c r="N207" s="36" t="str">
        <f t="shared" si="65"/>
        <v>ER4</v>
      </c>
      <c r="O207" s="36">
        <f t="shared" si="65"/>
        <v>50</v>
      </c>
      <c r="P207" s="36" t="str">
        <f t="shared" si="65"/>
        <v>PVR</v>
      </c>
      <c r="R207">
        <v>193</v>
      </c>
      <c r="S207" s="36" t="str">
        <f t="shared" si="46"/>
        <v>MEXICO AEREO</v>
      </c>
      <c r="T207" s="36">
        <f t="shared" si="46"/>
        <v>2185</v>
      </c>
      <c r="U207" s="73">
        <v>0.90625</v>
      </c>
      <c r="V207" s="74">
        <v>0.92083333333333339</v>
      </c>
      <c r="W207" s="75">
        <v>1.4583333333333393E-2</v>
      </c>
      <c r="X207" s="74">
        <v>0.92708333333333337</v>
      </c>
      <c r="Y207" s="75">
        <v>6.2499999999999778E-3</v>
      </c>
      <c r="Z207" s="76">
        <v>41741</v>
      </c>
      <c r="AA207" s="36" t="str">
        <f t="shared" si="62"/>
        <v>Nacional</v>
      </c>
      <c r="AB207" s="36">
        <f t="shared" si="62"/>
        <v>8.4780092592592338E-3</v>
      </c>
      <c r="AC207" s="36">
        <f t="shared" si="62"/>
        <v>5.4976851851852001E-3</v>
      </c>
      <c r="AD207" s="36">
        <f t="shared" si="62"/>
        <v>1.3975694444444433E-2</v>
      </c>
      <c r="AE207" s="36" t="str">
        <f t="shared" si="62"/>
        <v>ER4</v>
      </c>
      <c r="AF207" s="36">
        <f t="shared" si="62"/>
        <v>50</v>
      </c>
      <c r="AG207" s="36" t="str">
        <f t="shared" si="62"/>
        <v>TIJ</v>
      </c>
      <c r="AI207">
        <v>193</v>
      </c>
      <c r="AJ207" s="77" t="str">
        <f t="shared" si="64"/>
        <v>MEXICO AEREO</v>
      </c>
      <c r="AK207" s="63">
        <v>2185</v>
      </c>
      <c r="AL207" s="64">
        <v>0.8979166666666667</v>
      </c>
      <c r="AM207" s="65">
        <v>0.90208333333333324</v>
      </c>
      <c r="AN207" s="66">
        <v>4.1666666666665408E-3</v>
      </c>
      <c r="AO207" s="65">
        <v>0.90486111111111101</v>
      </c>
      <c r="AP207" s="66">
        <v>2.7777777777777679E-3</v>
      </c>
      <c r="AQ207" s="67">
        <v>41791</v>
      </c>
      <c r="AR207" s="68" t="s">
        <v>19</v>
      </c>
      <c r="AS207" s="69">
        <v>8.8768115942028988E-3</v>
      </c>
      <c r="AT207" s="70">
        <v>7.6388888888888982E-3</v>
      </c>
      <c r="AU207" s="70">
        <v>1.6515700483091797E-2</v>
      </c>
      <c r="AV207" s="71" t="s">
        <v>20</v>
      </c>
      <c r="AW207" s="71">
        <v>50</v>
      </c>
      <c r="AX207" s="72" t="s">
        <v>27</v>
      </c>
    </row>
    <row r="208" spans="1:50" x14ac:dyDescent="0.25">
      <c r="A208">
        <v>194</v>
      </c>
      <c r="B208" s="36" t="str">
        <f t="shared" si="55"/>
        <v>MEXICO AEREO</v>
      </c>
      <c r="C208" s="36">
        <f t="shared" si="55"/>
        <v>2012</v>
      </c>
      <c r="D208" s="74">
        <v>0.69861111111111107</v>
      </c>
      <c r="E208" s="74">
        <v>0.7055555555555556</v>
      </c>
      <c r="F208" s="75">
        <v>6.9444444444445308E-3</v>
      </c>
      <c r="G208" s="74">
        <v>0.71180555555555547</v>
      </c>
      <c r="H208" s="75">
        <v>6.2499999999998668E-3</v>
      </c>
      <c r="I208" s="76">
        <v>41717</v>
      </c>
      <c r="J208" s="36" t="str">
        <f t="shared" si="65"/>
        <v>Nacional</v>
      </c>
      <c r="K208" s="36">
        <f t="shared" si="65"/>
        <v>5.2777777777777927E-3</v>
      </c>
      <c r="L208" s="36">
        <f t="shared" si="65"/>
        <v>4.3749999999999848E-3</v>
      </c>
      <c r="M208" s="36">
        <f t="shared" si="65"/>
        <v>9.6527777777777775E-3</v>
      </c>
      <c r="N208" s="36" t="str">
        <f t="shared" si="65"/>
        <v>ER4</v>
      </c>
      <c r="O208" s="36">
        <f t="shared" si="65"/>
        <v>50</v>
      </c>
      <c r="P208" s="36" t="str">
        <f t="shared" si="65"/>
        <v>PVR</v>
      </c>
      <c r="R208">
        <v>194</v>
      </c>
      <c r="S208" s="36" t="str">
        <f t="shared" si="46"/>
        <v>MEXICO AEREO</v>
      </c>
      <c r="T208" s="36">
        <f t="shared" si="46"/>
        <v>2185</v>
      </c>
      <c r="U208" s="73">
        <v>0.90972222222222221</v>
      </c>
      <c r="V208" s="74">
        <v>0.91875000000000007</v>
      </c>
      <c r="W208" s="75">
        <v>9.0277777777778567E-3</v>
      </c>
      <c r="X208" s="74">
        <v>0.9243055555555556</v>
      </c>
      <c r="Y208" s="75">
        <v>5.5555555555555358E-3</v>
      </c>
      <c r="Z208" s="76">
        <v>41743</v>
      </c>
      <c r="AA208" s="36" t="str">
        <f t="shared" si="62"/>
        <v>Nacional</v>
      </c>
      <c r="AB208" s="36">
        <f t="shared" si="62"/>
        <v>8.4780092592592338E-3</v>
      </c>
      <c r="AC208" s="36">
        <f t="shared" si="62"/>
        <v>5.4976851851852001E-3</v>
      </c>
      <c r="AD208" s="36">
        <f t="shared" si="62"/>
        <v>1.3975694444444433E-2</v>
      </c>
      <c r="AE208" s="36" t="str">
        <f t="shared" si="62"/>
        <v>ER4</v>
      </c>
      <c r="AF208" s="36">
        <f t="shared" si="62"/>
        <v>50</v>
      </c>
      <c r="AG208" s="36" t="str">
        <f t="shared" si="62"/>
        <v>TIJ</v>
      </c>
      <c r="AI208">
        <v>194</v>
      </c>
      <c r="AJ208" s="77" t="str">
        <f t="shared" si="64"/>
        <v>MEXICO AEREO</v>
      </c>
      <c r="AK208" s="77">
        <f t="shared" si="64"/>
        <v>2185</v>
      </c>
      <c r="AL208" s="78">
        <v>0.89930555555555547</v>
      </c>
      <c r="AM208" s="79">
        <v>0.90555555555555556</v>
      </c>
      <c r="AN208" s="80">
        <v>6.2500000000000888E-3</v>
      </c>
      <c r="AO208" s="79">
        <v>0.91041666666666676</v>
      </c>
      <c r="AP208" s="80">
        <v>4.8611111111112049E-3</v>
      </c>
      <c r="AQ208" s="81">
        <v>41792</v>
      </c>
      <c r="AR208" s="77" t="str">
        <f t="shared" ref="AR208:AX229" si="66">AR207</f>
        <v>Nacional</v>
      </c>
      <c r="AS208" s="77">
        <f t="shared" si="66"/>
        <v>8.8768115942028988E-3</v>
      </c>
      <c r="AT208" s="77">
        <f t="shared" si="66"/>
        <v>7.6388888888888982E-3</v>
      </c>
      <c r="AU208" s="77">
        <f t="shared" si="66"/>
        <v>1.6515700483091797E-2</v>
      </c>
      <c r="AV208" s="77" t="str">
        <f t="shared" si="66"/>
        <v>ER4</v>
      </c>
      <c r="AW208" s="77">
        <f t="shared" si="66"/>
        <v>50</v>
      </c>
      <c r="AX208" s="77" t="str">
        <f t="shared" si="66"/>
        <v>HMO</v>
      </c>
    </row>
    <row r="209" spans="1:50" x14ac:dyDescent="0.25">
      <c r="A209">
        <v>195</v>
      </c>
      <c r="B209" s="36" t="str">
        <f t="shared" si="55"/>
        <v>MEXICO AEREO</v>
      </c>
      <c r="C209" s="36">
        <f t="shared" si="55"/>
        <v>2012</v>
      </c>
      <c r="D209" s="74">
        <v>0.69791666666666663</v>
      </c>
      <c r="E209" s="74">
        <v>0.70208333333333339</v>
      </c>
      <c r="F209" s="75">
        <v>4.1666666666667629E-3</v>
      </c>
      <c r="G209" s="74">
        <v>0.70763888888888893</v>
      </c>
      <c r="H209" s="75">
        <v>5.5555555555555358E-3</v>
      </c>
      <c r="I209" s="76">
        <v>41718</v>
      </c>
      <c r="J209" s="36" t="str">
        <f t="shared" si="65"/>
        <v>Nacional</v>
      </c>
      <c r="K209" s="36">
        <f t="shared" si="65"/>
        <v>5.2777777777777927E-3</v>
      </c>
      <c r="L209" s="36">
        <f t="shared" si="65"/>
        <v>4.3749999999999848E-3</v>
      </c>
      <c r="M209" s="36">
        <f t="shared" si="65"/>
        <v>9.6527777777777775E-3</v>
      </c>
      <c r="N209" s="36" t="str">
        <f t="shared" si="65"/>
        <v>ER4</v>
      </c>
      <c r="O209" s="36">
        <f t="shared" si="65"/>
        <v>50</v>
      </c>
      <c r="P209" s="36" t="str">
        <f t="shared" si="65"/>
        <v>PVR</v>
      </c>
      <c r="R209">
        <v>195</v>
      </c>
      <c r="S209" s="36" t="str">
        <f t="shared" si="46"/>
        <v>MEXICO AEREO</v>
      </c>
      <c r="T209" s="36">
        <f t="shared" si="46"/>
        <v>2185</v>
      </c>
      <c r="U209" s="73">
        <v>0.91666666666666663</v>
      </c>
      <c r="V209" s="74">
        <v>0.92569444444444438</v>
      </c>
      <c r="W209" s="75">
        <v>9.0277777777777457E-3</v>
      </c>
      <c r="X209" s="74">
        <v>0.92708333333333337</v>
      </c>
      <c r="Y209" s="75">
        <v>1.388888888888995E-3</v>
      </c>
      <c r="Z209" s="76">
        <v>41745</v>
      </c>
      <c r="AA209" s="36" t="str">
        <f t="shared" si="62"/>
        <v>Nacional</v>
      </c>
      <c r="AB209" s="36">
        <f t="shared" si="62"/>
        <v>8.4780092592592338E-3</v>
      </c>
      <c r="AC209" s="36">
        <f t="shared" si="62"/>
        <v>5.4976851851852001E-3</v>
      </c>
      <c r="AD209" s="36">
        <f t="shared" si="62"/>
        <v>1.3975694444444433E-2</v>
      </c>
      <c r="AE209" s="36" t="str">
        <f t="shared" si="62"/>
        <v>ER4</v>
      </c>
      <c r="AF209" s="36">
        <f t="shared" si="62"/>
        <v>50</v>
      </c>
      <c r="AG209" s="36" t="str">
        <f t="shared" si="62"/>
        <v>TIJ</v>
      </c>
      <c r="AI209">
        <v>195</v>
      </c>
      <c r="AJ209" s="77" t="str">
        <f t="shared" si="64"/>
        <v>MEXICO AEREO</v>
      </c>
      <c r="AK209" s="77">
        <f t="shared" si="64"/>
        <v>2185</v>
      </c>
      <c r="AL209" s="78">
        <v>0.90486111111111101</v>
      </c>
      <c r="AM209" s="79">
        <v>0.91319444444444453</v>
      </c>
      <c r="AN209" s="80">
        <v>8.3333333333335258E-3</v>
      </c>
      <c r="AO209" s="79">
        <v>0.9159722222222223</v>
      </c>
      <c r="AP209" s="80">
        <v>2.7777777777777679E-3</v>
      </c>
      <c r="AQ209" s="81">
        <v>41793</v>
      </c>
      <c r="AR209" s="77" t="str">
        <f t="shared" si="66"/>
        <v>Nacional</v>
      </c>
      <c r="AS209" s="77">
        <f t="shared" si="66"/>
        <v>8.8768115942028988E-3</v>
      </c>
      <c r="AT209" s="77">
        <f t="shared" si="66"/>
        <v>7.6388888888888982E-3</v>
      </c>
      <c r="AU209" s="77">
        <f t="shared" si="66"/>
        <v>1.6515700483091797E-2</v>
      </c>
      <c r="AV209" s="77" t="str">
        <f t="shared" si="66"/>
        <v>ER4</v>
      </c>
      <c r="AW209" s="77">
        <f t="shared" si="66"/>
        <v>50</v>
      </c>
      <c r="AX209" s="77" t="str">
        <f t="shared" si="66"/>
        <v>HMO</v>
      </c>
    </row>
    <row r="210" spans="1:50" x14ac:dyDescent="0.25">
      <c r="A210">
        <v>196</v>
      </c>
      <c r="B210" s="36" t="str">
        <f t="shared" si="55"/>
        <v>MEXICO AEREO</v>
      </c>
      <c r="C210" s="36">
        <f t="shared" si="55"/>
        <v>2012</v>
      </c>
      <c r="D210" s="74">
        <v>0.70486111111111116</v>
      </c>
      <c r="E210" s="74">
        <v>0.71388888888888891</v>
      </c>
      <c r="F210" s="75">
        <v>9.0277777777777457E-3</v>
      </c>
      <c r="G210" s="74">
        <v>0.71875</v>
      </c>
      <c r="H210" s="75">
        <v>4.8611111111110938E-3</v>
      </c>
      <c r="I210" s="76">
        <v>41720</v>
      </c>
      <c r="J210" s="36" t="str">
        <f t="shared" si="65"/>
        <v>Nacional</v>
      </c>
      <c r="K210" s="36">
        <f t="shared" si="65"/>
        <v>5.2777777777777927E-3</v>
      </c>
      <c r="L210" s="36">
        <f t="shared" si="65"/>
        <v>4.3749999999999848E-3</v>
      </c>
      <c r="M210" s="36">
        <f t="shared" si="65"/>
        <v>9.6527777777777775E-3</v>
      </c>
      <c r="N210" s="36" t="str">
        <f t="shared" si="65"/>
        <v>ER4</v>
      </c>
      <c r="O210" s="36">
        <f t="shared" si="65"/>
        <v>50</v>
      </c>
      <c r="P210" s="36" t="str">
        <f t="shared" si="65"/>
        <v>PVR</v>
      </c>
      <c r="R210">
        <v>196</v>
      </c>
      <c r="S210" s="36" t="str">
        <f t="shared" si="46"/>
        <v>MEXICO AEREO</v>
      </c>
      <c r="T210" s="36">
        <f t="shared" si="46"/>
        <v>2185</v>
      </c>
      <c r="U210" s="73">
        <v>0.98055555555555562</v>
      </c>
      <c r="V210" s="74">
        <v>0.98749999999999993</v>
      </c>
      <c r="W210" s="75">
        <v>6.9444444444443088E-3</v>
      </c>
      <c r="X210" s="74">
        <v>0.99305555555555547</v>
      </c>
      <c r="Y210" s="75">
        <v>5.5555555555555358E-3</v>
      </c>
      <c r="Z210" s="76">
        <v>41744</v>
      </c>
      <c r="AA210" s="36" t="str">
        <f t="shared" si="62"/>
        <v>Nacional</v>
      </c>
      <c r="AB210" s="36">
        <f t="shared" si="62"/>
        <v>8.4780092592592338E-3</v>
      </c>
      <c r="AC210" s="36">
        <f t="shared" si="62"/>
        <v>5.4976851851852001E-3</v>
      </c>
      <c r="AD210" s="36">
        <f t="shared" si="62"/>
        <v>1.3975694444444433E-2</v>
      </c>
      <c r="AE210" s="36" t="str">
        <f t="shared" si="62"/>
        <v>ER4</v>
      </c>
      <c r="AF210" s="36">
        <f t="shared" si="62"/>
        <v>50</v>
      </c>
      <c r="AG210" s="36" t="str">
        <f t="shared" si="62"/>
        <v>TIJ</v>
      </c>
      <c r="AI210">
        <v>196</v>
      </c>
      <c r="AJ210" s="77" t="str">
        <f t="shared" si="64"/>
        <v>MEXICO AEREO</v>
      </c>
      <c r="AK210" s="77">
        <f t="shared" si="64"/>
        <v>2185</v>
      </c>
      <c r="AL210" s="78">
        <v>0.90138888888888891</v>
      </c>
      <c r="AM210" s="79">
        <v>0.90833333333333333</v>
      </c>
      <c r="AN210" s="80">
        <v>6.9444444444444198E-3</v>
      </c>
      <c r="AO210" s="79">
        <v>0.91319444444444453</v>
      </c>
      <c r="AP210" s="80">
        <v>4.8611111111112049E-3</v>
      </c>
      <c r="AQ210" s="81">
        <v>41794</v>
      </c>
      <c r="AR210" s="77" t="str">
        <f t="shared" si="66"/>
        <v>Nacional</v>
      </c>
      <c r="AS210" s="77">
        <f t="shared" si="66"/>
        <v>8.8768115942028988E-3</v>
      </c>
      <c r="AT210" s="77">
        <f t="shared" si="66"/>
        <v>7.6388888888888982E-3</v>
      </c>
      <c r="AU210" s="77">
        <f t="shared" si="66"/>
        <v>1.6515700483091797E-2</v>
      </c>
      <c r="AV210" s="77" t="str">
        <f t="shared" si="66"/>
        <v>ER4</v>
      </c>
      <c r="AW210" s="77">
        <f t="shared" si="66"/>
        <v>50</v>
      </c>
      <c r="AX210" s="77" t="str">
        <f t="shared" si="66"/>
        <v>HMO</v>
      </c>
    </row>
    <row r="211" spans="1:50" x14ac:dyDescent="0.25">
      <c r="A211">
        <v>197</v>
      </c>
      <c r="B211" s="36" t="str">
        <f t="shared" si="55"/>
        <v>MEXICO AEREO</v>
      </c>
      <c r="C211" s="36">
        <f t="shared" si="55"/>
        <v>2012</v>
      </c>
      <c r="D211" s="74">
        <v>0.70624999999999993</v>
      </c>
      <c r="E211" s="74">
        <v>0.71319444444444446</v>
      </c>
      <c r="F211" s="75">
        <v>6.9444444444445308E-3</v>
      </c>
      <c r="G211" s="74">
        <v>0.71527777777777779</v>
      </c>
      <c r="H211" s="75">
        <v>2.0833333333333259E-3</v>
      </c>
      <c r="I211" s="76">
        <v>41721</v>
      </c>
      <c r="J211" s="36" t="str">
        <f t="shared" si="65"/>
        <v>Nacional</v>
      </c>
      <c r="K211" s="36">
        <f t="shared" si="65"/>
        <v>5.2777777777777927E-3</v>
      </c>
      <c r="L211" s="36">
        <f t="shared" si="65"/>
        <v>4.3749999999999848E-3</v>
      </c>
      <c r="M211" s="36">
        <f t="shared" si="65"/>
        <v>9.6527777777777775E-3</v>
      </c>
      <c r="N211" s="36" t="str">
        <f t="shared" si="65"/>
        <v>ER4</v>
      </c>
      <c r="O211" s="36">
        <f t="shared" si="65"/>
        <v>50</v>
      </c>
      <c r="P211" s="36" t="str">
        <f t="shared" si="65"/>
        <v>PVR</v>
      </c>
      <c r="R211">
        <v>197</v>
      </c>
      <c r="S211" s="36" t="str">
        <f t="shared" si="46"/>
        <v>MEXICO AEREO</v>
      </c>
      <c r="T211" s="36">
        <f t="shared" si="46"/>
        <v>2185</v>
      </c>
      <c r="U211" s="73">
        <v>0.8979166666666667</v>
      </c>
      <c r="V211" s="74">
        <v>0.91388888888888886</v>
      </c>
      <c r="W211" s="75">
        <v>1.5972222222222165E-2</v>
      </c>
      <c r="X211" s="74">
        <v>0.92222222222222217</v>
      </c>
      <c r="Y211" s="75">
        <v>8.3333333333333037E-3</v>
      </c>
      <c r="Z211" s="76">
        <v>41746</v>
      </c>
      <c r="AA211" s="36" t="str">
        <f t="shared" si="62"/>
        <v>Nacional</v>
      </c>
      <c r="AB211" s="36">
        <f t="shared" si="62"/>
        <v>8.4780092592592338E-3</v>
      </c>
      <c r="AC211" s="36">
        <f t="shared" si="62"/>
        <v>5.4976851851852001E-3</v>
      </c>
      <c r="AD211" s="36">
        <f t="shared" si="62"/>
        <v>1.3975694444444433E-2</v>
      </c>
      <c r="AE211" s="36" t="str">
        <f t="shared" si="62"/>
        <v>ER4</v>
      </c>
      <c r="AF211" s="36">
        <f t="shared" si="62"/>
        <v>50</v>
      </c>
      <c r="AG211" s="36" t="str">
        <f t="shared" si="62"/>
        <v>TIJ</v>
      </c>
      <c r="AI211">
        <v>197</v>
      </c>
      <c r="AJ211" s="77" t="str">
        <f t="shared" si="64"/>
        <v>MEXICO AEREO</v>
      </c>
      <c r="AK211" s="77">
        <f t="shared" si="64"/>
        <v>2185</v>
      </c>
      <c r="AL211" s="78">
        <v>0.89722222222222225</v>
      </c>
      <c r="AM211" s="79">
        <v>0.91111111111111109</v>
      </c>
      <c r="AN211" s="80">
        <v>1.388888888888884E-2</v>
      </c>
      <c r="AO211" s="79">
        <v>0.9145833333333333</v>
      </c>
      <c r="AP211" s="80">
        <v>3.4722222222222099E-3</v>
      </c>
      <c r="AQ211" s="81">
        <v>41795</v>
      </c>
      <c r="AR211" s="77" t="str">
        <f t="shared" si="66"/>
        <v>Nacional</v>
      </c>
      <c r="AS211" s="77">
        <f t="shared" si="66"/>
        <v>8.8768115942028988E-3</v>
      </c>
      <c r="AT211" s="77">
        <f t="shared" si="66"/>
        <v>7.6388888888888982E-3</v>
      </c>
      <c r="AU211" s="77">
        <f t="shared" si="66"/>
        <v>1.6515700483091797E-2</v>
      </c>
      <c r="AV211" s="77" t="str">
        <f t="shared" si="66"/>
        <v>ER4</v>
      </c>
      <c r="AW211" s="77">
        <f t="shared" si="66"/>
        <v>50</v>
      </c>
      <c r="AX211" s="77" t="str">
        <f t="shared" si="66"/>
        <v>HMO</v>
      </c>
    </row>
    <row r="212" spans="1:50" x14ac:dyDescent="0.25">
      <c r="A212">
        <v>198</v>
      </c>
      <c r="B212" s="36" t="str">
        <f t="shared" si="55"/>
        <v>MEXICO AEREO</v>
      </c>
      <c r="C212" s="36">
        <f t="shared" si="55"/>
        <v>2012</v>
      </c>
      <c r="D212" s="74">
        <v>0.70208333333333339</v>
      </c>
      <c r="E212" s="74">
        <v>0.70416666666666661</v>
      </c>
      <c r="F212" s="75">
        <v>2.0833333333332149E-3</v>
      </c>
      <c r="G212" s="74">
        <v>0.70763888888888893</v>
      </c>
      <c r="H212" s="75">
        <v>3.4722222222223209E-3</v>
      </c>
      <c r="I212" s="76">
        <v>41722</v>
      </c>
      <c r="J212" s="36" t="str">
        <f t="shared" si="65"/>
        <v>Nacional</v>
      </c>
      <c r="K212" s="36">
        <f t="shared" si="65"/>
        <v>5.2777777777777927E-3</v>
      </c>
      <c r="L212" s="36">
        <f t="shared" si="65"/>
        <v>4.3749999999999848E-3</v>
      </c>
      <c r="M212" s="36">
        <f t="shared" si="65"/>
        <v>9.6527777777777775E-3</v>
      </c>
      <c r="N212" s="36" t="str">
        <f t="shared" si="65"/>
        <v>ER4</v>
      </c>
      <c r="O212" s="36">
        <f t="shared" si="65"/>
        <v>50</v>
      </c>
      <c r="P212" s="36" t="str">
        <f t="shared" si="65"/>
        <v>PVR</v>
      </c>
      <c r="R212">
        <v>198</v>
      </c>
      <c r="S212" s="36" t="str">
        <f t="shared" ref="S212:T220" si="67">S211</f>
        <v>MEXICO AEREO</v>
      </c>
      <c r="T212" s="36">
        <f t="shared" si="67"/>
        <v>2185</v>
      </c>
      <c r="U212" s="73">
        <v>0.89166666666666661</v>
      </c>
      <c r="V212" s="74">
        <v>0.89722222222222225</v>
      </c>
      <c r="W212" s="75">
        <v>5.5555555555556468E-3</v>
      </c>
      <c r="X212" s="74">
        <v>0.90138888888888891</v>
      </c>
      <c r="Y212" s="75">
        <v>4.1666666666666519E-3</v>
      </c>
      <c r="Z212" s="76">
        <v>41749</v>
      </c>
      <c r="AA212" s="36" t="str">
        <f t="shared" si="62"/>
        <v>Nacional</v>
      </c>
      <c r="AB212" s="36">
        <f t="shared" si="62"/>
        <v>8.4780092592592338E-3</v>
      </c>
      <c r="AC212" s="36">
        <f t="shared" si="62"/>
        <v>5.4976851851852001E-3</v>
      </c>
      <c r="AD212" s="36">
        <f t="shared" si="62"/>
        <v>1.3975694444444433E-2</v>
      </c>
      <c r="AE212" s="36" t="str">
        <f t="shared" si="62"/>
        <v>ER4</v>
      </c>
      <c r="AF212" s="36">
        <f t="shared" si="62"/>
        <v>50</v>
      </c>
      <c r="AG212" s="36" t="str">
        <f t="shared" si="62"/>
        <v>TIJ</v>
      </c>
      <c r="AI212">
        <v>198</v>
      </c>
      <c r="AJ212" s="77" t="str">
        <f t="shared" si="64"/>
        <v>MEXICO AEREO</v>
      </c>
      <c r="AK212" s="77">
        <f t="shared" si="64"/>
        <v>2185</v>
      </c>
      <c r="AL212" s="78">
        <v>0.85902777777777783</v>
      </c>
      <c r="AM212" s="79">
        <v>0.90416666666666667</v>
      </c>
      <c r="AN212" s="80">
        <v>4.513888888888884E-2</v>
      </c>
      <c r="AO212" s="79">
        <v>0.91041666666666676</v>
      </c>
      <c r="AP212" s="80">
        <v>6.2500000000000888E-3</v>
      </c>
      <c r="AQ212" s="81">
        <v>41796</v>
      </c>
      <c r="AR212" s="77" t="str">
        <f t="shared" si="66"/>
        <v>Nacional</v>
      </c>
      <c r="AS212" s="77">
        <f t="shared" si="66"/>
        <v>8.8768115942028988E-3</v>
      </c>
      <c r="AT212" s="77">
        <f t="shared" si="66"/>
        <v>7.6388888888888982E-3</v>
      </c>
      <c r="AU212" s="77">
        <f t="shared" si="66"/>
        <v>1.6515700483091797E-2</v>
      </c>
      <c r="AV212" s="77" t="str">
        <f t="shared" si="66"/>
        <v>ER4</v>
      </c>
      <c r="AW212" s="77">
        <f t="shared" si="66"/>
        <v>50</v>
      </c>
      <c r="AX212" s="77" t="str">
        <f t="shared" si="66"/>
        <v>HMO</v>
      </c>
    </row>
    <row r="213" spans="1:50" x14ac:dyDescent="0.25">
      <c r="A213">
        <v>199</v>
      </c>
      <c r="B213" s="36" t="str">
        <f t="shared" si="55"/>
        <v>MEXICO AEREO</v>
      </c>
      <c r="C213" s="36">
        <f t="shared" si="55"/>
        <v>2012</v>
      </c>
      <c r="D213" s="74">
        <v>0.73125000000000007</v>
      </c>
      <c r="E213" s="74">
        <v>0.73958333333333337</v>
      </c>
      <c r="F213" s="75">
        <v>8.3333333333333037E-3</v>
      </c>
      <c r="G213" s="74">
        <v>0.74513888888888891</v>
      </c>
      <c r="H213" s="75">
        <v>5.5555555555555358E-3</v>
      </c>
      <c r="I213" s="76">
        <v>41725</v>
      </c>
      <c r="J213" s="36" t="str">
        <f t="shared" si="65"/>
        <v>Nacional</v>
      </c>
      <c r="K213" s="36">
        <f t="shared" si="65"/>
        <v>5.2777777777777927E-3</v>
      </c>
      <c r="L213" s="36">
        <f t="shared" si="65"/>
        <v>4.3749999999999848E-3</v>
      </c>
      <c r="M213" s="36">
        <f t="shared" si="65"/>
        <v>9.6527777777777775E-3</v>
      </c>
      <c r="N213" s="36" t="str">
        <f t="shared" si="65"/>
        <v>ER4</v>
      </c>
      <c r="O213" s="36">
        <f t="shared" si="65"/>
        <v>50</v>
      </c>
      <c r="P213" s="36" t="str">
        <f t="shared" si="65"/>
        <v>PVR</v>
      </c>
      <c r="R213">
        <v>199</v>
      </c>
      <c r="S213" s="36" t="str">
        <f t="shared" si="67"/>
        <v>MEXICO AEREO</v>
      </c>
      <c r="T213" s="36">
        <f t="shared" si="67"/>
        <v>2185</v>
      </c>
      <c r="U213" s="73">
        <v>0.9</v>
      </c>
      <c r="V213" s="74">
        <v>0.90902777777777777</v>
      </c>
      <c r="W213" s="75">
        <v>9.0277777777777457E-3</v>
      </c>
      <c r="X213" s="74">
        <v>0.91041666666666676</v>
      </c>
      <c r="Y213" s="75">
        <v>1.388888888888995E-3</v>
      </c>
      <c r="Z213" s="76">
        <v>41749</v>
      </c>
      <c r="AA213" s="36" t="str">
        <f t="shared" si="62"/>
        <v>Nacional</v>
      </c>
      <c r="AB213" s="36">
        <f t="shared" si="62"/>
        <v>8.4780092592592338E-3</v>
      </c>
      <c r="AC213" s="36">
        <f t="shared" si="62"/>
        <v>5.4976851851852001E-3</v>
      </c>
      <c r="AD213" s="36">
        <f t="shared" si="62"/>
        <v>1.3975694444444433E-2</v>
      </c>
      <c r="AE213" s="36" t="str">
        <f t="shared" si="62"/>
        <v>ER4</v>
      </c>
      <c r="AF213" s="36">
        <f t="shared" si="62"/>
        <v>50</v>
      </c>
      <c r="AG213" s="36" t="str">
        <f t="shared" si="62"/>
        <v>TIJ</v>
      </c>
      <c r="AI213">
        <v>199</v>
      </c>
      <c r="AJ213" s="77" t="str">
        <f t="shared" si="64"/>
        <v>MEXICO AEREO</v>
      </c>
      <c r="AK213" s="77">
        <f t="shared" si="64"/>
        <v>2185</v>
      </c>
      <c r="AL213" s="78">
        <v>0.90625</v>
      </c>
      <c r="AM213" s="79">
        <v>0.91180555555555554</v>
      </c>
      <c r="AN213" s="80">
        <v>5.5555555555555358E-3</v>
      </c>
      <c r="AO213" s="79">
        <v>0.9145833333333333</v>
      </c>
      <c r="AP213" s="80">
        <v>2.7777777777777679E-3</v>
      </c>
      <c r="AQ213" s="81">
        <v>41797</v>
      </c>
      <c r="AR213" s="77" t="str">
        <f t="shared" si="66"/>
        <v>Nacional</v>
      </c>
      <c r="AS213" s="77">
        <f t="shared" si="66"/>
        <v>8.8768115942028988E-3</v>
      </c>
      <c r="AT213" s="77">
        <f t="shared" si="66"/>
        <v>7.6388888888888982E-3</v>
      </c>
      <c r="AU213" s="77">
        <f t="shared" si="66"/>
        <v>1.6515700483091797E-2</v>
      </c>
      <c r="AV213" s="77" t="str">
        <f t="shared" si="66"/>
        <v>ER4</v>
      </c>
      <c r="AW213" s="77">
        <f t="shared" si="66"/>
        <v>50</v>
      </c>
      <c r="AX213" s="77" t="str">
        <f t="shared" si="66"/>
        <v>HMO</v>
      </c>
    </row>
    <row r="214" spans="1:50" x14ac:dyDescent="0.25">
      <c r="A214">
        <v>200</v>
      </c>
      <c r="B214" s="36" t="str">
        <f t="shared" si="55"/>
        <v>MEXICO AEREO</v>
      </c>
      <c r="C214" s="36">
        <f t="shared" si="55"/>
        <v>2012</v>
      </c>
      <c r="D214" s="74">
        <v>0.7284722222222223</v>
      </c>
      <c r="E214" s="74">
        <v>0.73333333333333339</v>
      </c>
      <c r="F214" s="75">
        <v>4.8611111111110938E-3</v>
      </c>
      <c r="G214" s="74">
        <v>0.73541666666666661</v>
      </c>
      <c r="H214" s="75">
        <v>2.0833333333332149E-3</v>
      </c>
      <c r="I214" s="76">
        <v>41725</v>
      </c>
      <c r="J214" s="36" t="str">
        <f t="shared" si="65"/>
        <v>Nacional</v>
      </c>
      <c r="K214" s="36">
        <f t="shared" si="65"/>
        <v>5.2777777777777927E-3</v>
      </c>
      <c r="L214" s="36">
        <f t="shared" si="65"/>
        <v>4.3749999999999848E-3</v>
      </c>
      <c r="M214" s="36">
        <f t="shared" si="65"/>
        <v>9.6527777777777775E-3</v>
      </c>
      <c r="N214" s="36" t="str">
        <f t="shared" si="65"/>
        <v>ER4</v>
      </c>
      <c r="O214" s="36">
        <f t="shared" si="65"/>
        <v>50</v>
      </c>
      <c r="P214" s="36" t="str">
        <f t="shared" si="65"/>
        <v>PVR</v>
      </c>
      <c r="R214">
        <v>200</v>
      </c>
      <c r="S214" s="36" t="str">
        <f t="shared" si="67"/>
        <v>MEXICO AEREO</v>
      </c>
      <c r="T214" s="36">
        <f t="shared" si="67"/>
        <v>2185</v>
      </c>
      <c r="U214" s="73">
        <v>0.375</v>
      </c>
      <c r="V214" s="74">
        <v>0.38194444444444442</v>
      </c>
      <c r="W214" s="75">
        <v>6.9444444444444198E-3</v>
      </c>
      <c r="X214" s="74">
        <v>0.38541666666666669</v>
      </c>
      <c r="Y214" s="75">
        <v>3.4722222222222654E-3</v>
      </c>
      <c r="Z214" s="76">
        <v>41750</v>
      </c>
      <c r="AA214" s="36" t="str">
        <f t="shared" si="62"/>
        <v>Nacional</v>
      </c>
      <c r="AB214" s="36">
        <f t="shared" si="62"/>
        <v>8.4780092592592338E-3</v>
      </c>
      <c r="AC214" s="36">
        <f t="shared" si="62"/>
        <v>5.4976851851852001E-3</v>
      </c>
      <c r="AD214" s="36">
        <f t="shared" si="62"/>
        <v>1.3975694444444433E-2</v>
      </c>
      <c r="AE214" s="36" t="str">
        <f t="shared" si="62"/>
        <v>ER4</v>
      </c>
      <c r="AF214" s="36">
        <f t="shared" si="62"/>
        <v>50</v>
      </c>
      <c r="AG214" s="36" t="str">
        <f t="shared" si="62"/>
        <v>TIJ</v>
      </c>
      <c r="AI214">
        <v>200</v>
      </c>
      <c r="AJ214" s="77" t="str">
        <f t="shared" si="64"/>
        <v>MEXICO AEREO</v>
      </c>
      <c r="AK214" s="77">
        <f t="shared" si="64"/>
        <v>2185</v>
      </c>
      <c r="AL214" s="78">
        <v>0.90347222222222223</v>
      </c>
      <c r="AM214" s="79">
        <v>0.90694444444444444</v>
      </c>
      <c r="AN214" s="80">
        <v>3.4722222222222099E-3</v>
      </c>
      <c r="AO214" s="79">
        <v>0.91041666666666676</v>
      </c>
      <c r="AP214" s="80">
        <v>3.4722222222223209E-3</v>
      </c>
      <c r="AQ214" s="81">
        <v>41798</v>
      </c>
      <c r="AR214" s="77" t="str">
        <f t="shared" si="66"/>
        <v>Nacional</v>
      </c>
      <c r="AS214" s="77">
        <f t="shared" si="66"/>
        <v>8.8768115942028988E-3</v>
      </c>
      <c r="AT214" s="77">
        <f t="shared" si="66"/>
        <v>7.6388888888888982E-3</v>
      </c>
      <c r="AU214" s="77">
        <f t="shared" si="66"/>
        <v>1.6515700483091797E-2</v>
      </c>
      <c r="AV214" s="77" t="str">
        <f t="shared" si="66"/>
        <v>ER4</v>
      </c>
      <c r="AW214" s="77">
        <f t="shared" si="66"/>
        <v>50</v>
      </c>
      <c r="AX214" s="77" t="str">
        <f t="shared" si="66"/>
        <v>HMO</v>
      </c>
    </row>
    <row r="215" spans="1:50" ht="15.75" thickBot="1" x14ac:dyDescent="0.3">
      <c r="A215">
        <v>201</v>
      </c>
      <c r="B215" s="36" t="str">
        <f t="shared" si="55"/>
        <v>MEXICO AEREO</v>
      </c>
      <c r="C215" s="36">
        <f t="shared" si="55"/>
        <v>2012</v>
      </c>
      <c r="D215" s="84">
        <v>0.69374999999999998</v>
      </c>
      <c r="E215" s="84">
        <v>0.6958333333333333</v>
      </c>
      <c r="F215" s="85">
        <v>2.0833333333333259E-3</v>
      </c>
      <c r="G215" s="84">
        <v>0.69930555555555562</v>
      </c>
      <c r="H215" s="85">
        <v>3.4722222222223209E-3</v>
      </c>
      <c r="I215" s="86">
        <v>41729</v>
      </c>
      <c r="J215" s="36" t="str">
        <f t="shared" si="65"/>
        <v>Nacional</v>
      </c>
      <c r="K215" s="36">
        <f t="shared" si="65"/>
        <v>5.2777777777777927E-3</v>
      </c>
      <c r="L215" s="36">
        <f t="shared" si="65"/>
        <v>4.3749999999999848E-3</v>
      </c>
      <c r="M215" s="36">
        <f t="shared" si="65"/>
        <v>9.6527777777777775E-3</v>
      </c>
      <c r="N215" s="36" t="str">
        <f t="shared" si="65"/>
        <v>ER4</v>
      </c>
      <c r="O215" s="36">
        <f t="shared" si="65"/>
        <v>50</v>
      </c>
      <c r="P215" s="36" t="str">
        <f t="shared" si="65"/>
        <v>PVR</v>
      </c>
      <c r="R215">
        <v>201</v>
      </c>
      <c r="S215" s="36" t="str">
        <f t="shared" si="67"/>
        <v>MEXICO AEREO</v>
      </c>
      <c r="T215" s="36">
        <f t="shared" si="67"/>
        <v>2185</v>
      </c>
      <c r="U215" s="73">
        <v>0.89722222222222225</v>
      </c>
      <c r="V215" s="74">
        <v>0.90833333333333333</v>
      </c>
      <c r="W215" s="75">
        <v>1.1111111111111072E-2</v>
      </c>
      <c r="X215" s="74">
        <v>0.91111111111111109</v>
      </c>
      <c r="Y215" s="75">
        <v>2.7777777777777679E-3</v>
      </c>
      <c r="Z215" s="76">
        <v>41751</v>
      </c>
      <c r="AA215" s="36" t="str">
        <f t="shared" si="62"/>
        <v>Nacional</v>
      </c>
      <c r="AB215" s="36">
        <f t="shared" si="62"/>
        <v>8.4780092592592338E-3</v>
      </c>
      <c r="AC215" s="36">
        <f t="shared" si="62"/>
        <v>5.4976851851852001E-3</v>
      </c>
      <c r="AD215" s="36">
        <f t="shared" si="62"/>
        <v>1.3975694444444433E-2</v>
      </c>
      <c r="AE215" s="36" t="str">
        <f t="shared" si="62"/>
        <v>ER4</v>
      </c>
      <c r="AF215" s="36">
        <f t="shared" si="62"/>
        <v>50</v>
      </c>
      <c r="AG215" s="36" t="str">
        <f t="shared" si="62"/>
        <v>TIJ</v>
      </c>
      <c r="AI215">
        <v>201</v>
      </c>
      <c r="AJ215" s="77" t="str">
        <f t="shared" si="64"/>
        <v>MEXICO AEREO</v>
      </c>
      <c r="AK215" s="77">
        <f t="shared" si="64"/>
        <v>2185</v>
      </c>
      <c r="AL215" s="78">
        <v>0.90972222222222221</v>
      </c>
      <c r="AM215" s="79">
        <v>0.92013888888888884</v>
      </c>
      <c r="AN215" s="80">
        <v>1.041666666666663E-2</v>
      </c>
      <c r="AO215" s="79">
        <v>0.92569444444444438</v>
      </c>
      <c r="AP215" s="80">
        <v>5.5555555555555358E-3</v>
      </c>
      <c r="AQ215" s="81">
        <v>41799</v>
      </c>
      <c r="AR215" s="77" t="str">
        <f t="shared" si="66"/>
        <v>Nacional</v>
      </c>
      <c r="AS215" s="77">
        <f t="shared" si="66"/>
        <v>8.8768115942028988E-3</v>
      </c>
      <c r="AT215" s="77">
        <f t="shared" si="66"/>
        <v>7.6388888888888982E-3</v>
      </c>
      <c r="AU215" s="77">
        <f t="shared" si="66"/>
        <v>1.6515700483091797E-2</v>
      </c>
      <c r="AV215" s="77" t="str">
        <f t="shared" si="66"/>
        <v>ER4</v>
      </c>
      <c r="AW215" s="77">
        <f t="shared" si="66"/>
        <v>50</v>
      </c>
      <c r="AX215" s="77" t="str">
        <f t="shared" si="66"/>
        <v>HMO</v>
      </c>
    </row>
    <row r="216" spans="1:50" x14ac:dyDescent="0.25">
      <c r="A216">
        <v>202</v>
      </c>
      <c r="B216" s="36" t="str">
        <f t="shared" si="55"/>
        <v>MEXICO AEREO</v>
      </c>
      <c r="C216" s="88">
        <v>2011</v>
      </c>
      <c r="D216" s="57">
        <v>0.58124999999999993</v>
      </c>
      <c r="E216" s="57">
        <v>0.58680555555555558</v>
      </c>
      <c r="F216" s="58">
        <v>5.5555555555556468E-3</v>
      </c>
      <c r="G216" s="57">
        <v>0.58958333333333335</v>
      </c>
      <c r="H216" s="58">
        <v>2.7777777777777679E-3</v>
      </c>
      <c r="I216" s="59">
        <v>41715</v>
      </c>
      <c r="J216" s="108" t="s">
        <v>19</v>
      </c>
      <c r="K216" s="61">
        <v>5.8641975308641892E-3</v>
      </c>
      <c r="L216" s="61">
        <v>5.2469135802469076E-3</v>
      </c>
      <c r="M216" s="89">
        <v>1.1111111111111096E-2</v>
      </c>
      <c r="N216" s="90" t="s">
        <v>20</v>
      </c>
      <c r="O216" s="91">
        <v>50</v>
      </c>
      <c r="P216" s="92" t="s">
        <v>36</v>
      </c>
      <c r="R216">
        <v>202</v>
      </c>
      <c r="S216" s="36" t="str">
        <f t="shared" si="67"/>
        <v>MEXICO AEREO</v>
      </c>
      <c r="T216" s="36">
        <f t="shared" si="67"/>
        <v>2185</v>
      </c>
      <c r="U216" s="73">
        <v>0.91666666666666663</v>
      </c>
      <c r="V216" s="74">
        <v>0.92013888888888884</v>
      </c>
      <c r="W216" s="75">
        <v>3.4722222222222099E-3</v>
      </c>
      <c r="X216" s="74">
        <v>0.9243055555555556</v>
      </c>
      <c r="Y216" s="75">
        <v>4.1666666666667629E-3</v>
      </c>
      <c r="Z216" s="76">
        <v>41753</v>
      </c>
      <c r="AA216" s="36" t="str">
        <f t="shared" si="62"/>
        <v>Nacional</v>
      </c>
      <c r="AB216" s="36">
        <f t="shared" si="62"/>
        <v>8.4780092592592338E-3</v>
      </c>
      <c r="AC216" s="36">
        <f t="shared" si="62"/>
        <v>5.4976851851852001E-3</v>
      </c>
      <c r="AD216" s="36">
        <f t="shared" si="62"/>
        <v>1.3975694444444433E-2</v>
      </c>
      <c r="AE216" s="36" t="str">
        <f t="shared" si="62"/>
        <v>ER4</v>
      </c>
      <c r="AF216" s="36">
        <f t="shared" si="62"/>
        <v>50</v>
      </c>
      <c r="AG216" s="36" t="str">
        <f t="shared" si="62"/>
        <v>TIJ</v>
      </c>
      <c r="AI216">
        <v>202</v>
      </c>
      <c r="AJ216" s="77" t="str">
        <f t="shared" si="64"/>
        <v>MEXICO AEREO</v>
      </c>
      <c r="AK216" s="77">
        <f t="shared" si="64"/>
        <v>2185</v>
      </c>
      <c r="AL216" s="78">
        <v>0.48402777777777778</v>
      </c>
      <c r="AM216" s="79">
        <v>0.48958333333333331</v>
      </c>
      <c r="AN216" s="80">
        <v>5.5555555555555358E-3</v>
      </c>
      <c r="AO216" s="79">
        <v>0.49513888888888885</v>
      </c>
      <c r="AP216" s="80">
        <v>5.5555555555555358E-3</v>
      </c>
      <c r="AQ216" s="81">
        <v>41800</v>
      </c>
      <c r="AR216" s="77" t="str">
        <f t="shared" si="66"/>
        <v>Nacional</v>
      </c>
      <c r="AS216" s="77">
        <f t="shared" si="66"/>
        <v>8.8768115942028988E-3</v>
      </c>
      <c r="AT216" s="77">
        <f t="shared" si="66"/>
        <v>7.6388888888888982E-3</v>
      </c>
      <c r="AU216" s="77">
        <f t="shared" si="66"/>
        <v>1.6515700483091797E-2</v>
      </c>
      <c r="AV216" s="77" t="str">
        <f t="shared" si="66"/>
        <v>ER4</v>
      </c>
      <c r="AW216" s="77">
        <f t="shared" si="66"/>
        <v>50</v>
      </c>
      <c r="AX216" s="77" t="str">
        <f t="shared" si="66"/>
        <v>HMO</v>
      </c>
    </row>
    <row r="217" spans="1:50" x14ac:dyDescent="0.25">
      <c r="A217">
        <v>203</v>
      </c>
      <c r="B217" s="36" t="str">
        <f t="shared" si="55"/>
        <v>MEXICO AEREO</v>
      </c>
      <c r="C217" s="36">
        <f t="shared" si="55"/>
        <v>2011</v>
      </c>
      <c r="D217" s="74">
        <v>0.57916666666666672</v>
      </c>
      <c r="E217" s="74">
        <v>0.57986111111111105</v>
      </c>
      <c r="F217" s="75">
        <v>6.9444444444433095E-4</v>
      </c>
      <c r="G217" s="74">
        <v>0.5854166666666667</v>
      </c>
      <c r="H217" s="75">
        <v>5.5555555555556468E-3</v>
      </c>
      <c r="I217" s="76">
        <v>41716</v>
      </c>
      <c r="J217" s="36" t="str">
        <f t="shared" ref="J217:P224" si="68">J216</f>
        <v>Nacional</v>
      </c>
      <c r="K217" s="36">
        <f t="shared" si="68"/>
        <v>5.8641975308641892E-3</v>
      </c>
      <c r="L217" s="36">
        <f t="shared" si="68"/>
        <v>5.2469135802469076E-3</v>
      </c>
      <c r="M217" s="36">
        <f t="shared" si="68"/>
        <v>1.1111111111111096E-2</v>
      </c>
      <c r="N217" s="36" t="str">
        <f t="shared" si="68"/>
        <v>ER4</v>
      </c>
      <c r="O217" s="36">
        <f t="shared" si="68"/>
        <v>50</v>
      </c>
      <c r="P217" s="36" t="str">
        <f t="shared" si="68"/>
        <v>CJS</v>
      </c>
      <c r="R217">
        <v>203</v>
      </c>
      <c r="S217" s="36" t="str">
        <f t="shared" si="67"/>
        <v>MEXICO AEREO</v>
      </c>
      <c r="T217" s="36">
        <f t="shared" si="67"/>
        <v>2185</v>
      </c>
      <c r="U217" s="73">
        <v>0.9</v>
      </c>
      <c r="V217" s="74">
        <v>0.90902777777777777</v>
      </c>
      <c r="W217" s="75">
        <v>9.0277777777777457E-3</v>
      </c>
      <c r="X217" s="74">
        <v>0.93472222222222223</v>
      </c>
      <c r="Y217" s="75">
        <v>2.5694444444444464E-2</v>
      </c>
      <c r="Z217" s="76">
        <v>41755</v>
      </c>
      <c r="AA217" s="36" t="str">
        <f t="shared" si="62"/>
        <v>Nacional</v>
      </c>
      <c r="AB217" s="36">
        <f t="shared" si="62"/>
        <v>8.4780092592592338E-3</v>
      </c>
      <c r="AC217" s="36">
        <f t="shared" si="62"/>
        <v>5.4976851851852001E-3</v>
      </c>
      <c r="AD217" s="36">
        <f t="shared" si="62"/>
        <v>1.3975694444444433E-2</v>
      </c>
      <c r="AE217" s="36" t="str">
        <f t="shared" si="62"/>
        <v>ER4</v>
      </c>
      <c r="AF217" s="36">
        <f t="shared" si="62"/>
        <v>50</v>
      </c>
      <c r="AG217" s="36" t="str">
        <f t="shared" si="62"/>
        <v>TIJ</v>
      </c>
      <c r="AI217">
        <v>203</v>
      </c>
      <c r="AJ217" s="77" t="str">
        <f t="shared" si="64"/>
        <v>MEXICO AEREO</v>
      </c>
      <c r="AK217" s="77">
        <f t="shared" si="64"/>
        <v>2185</v>
      </c>
      <c r="AL217" s="78">
        <v>0.52708333333333335</v>
      </c>
      <c r="AM217" s="79">
        <v>0.53333333333333333</v>
      </c>
      <c r="AN217" s="80">
        <v>6.2499999999999778E-3</v>
      </c>
      <c r="AO217" s="79">
        <v>0.54791666666666672</v>
      </c>
      <c r="AP217" s="80">
        <v>1.4583333333333393E-2</v>
      </c>
      <c r="AQ217" s="81">
        <v>41801</v>
      </c>
      <c r="AR217" s="77" t="str">
        <f t="shared" si="66"/>
        <v>Nacional</v>
      </c>
      <c r="AS217" s="77">
        <f t="shared" si="66"/>
        <v>8.8768115942028988E-3</v>
      </c>
      <c r="AT217" s="77">
        <f t="shared" si="66"/>
        <v>7.6388888888888982E-3</v>
      </c>
      <c r="AU217" s="77">
        <f t="shared" si="66"/>
        <v>1.6515700483091797E-2</v>
      </c>
      <c r="AV217" s="77" t="str">
        <f t="shared" si="66"/>
        <v>ER4</v>
      </c>
      <c r="AW217" s="77">
        <f t="shared" si="66"/>
        <v>50</v>
      </c>
      <c r="AX217" s="77" t="str">
        <f t="shared" si="66"/>
        <v>HMO</v>
      </c>
    </row>
    <row r="218" spans="1:50" x14ac:dyDescent="0.25">
      <c r="A218">
        <v>204</v>
      </c>
      <c r="B218" s="36" t="str">
        <f t="shared" si="55"/>
        <v>MEXICO AEREO</v>
      </c>
      <c r="C218" s="36">
        <f t="shared" si="55"/>
        <v>2011</v>
      </c>
      <c r="D218" s="74">
        <v>0.58888888888888891</v>
      </c>
      <c r="E218" s="74">
        <v>0.59791666666666665</v>
      </c>
      <c r="F218" s="75">
        <v>9.0277777777777457E-3</v>
      </c>
      <c r="G218" s="74">
        <v>0.60416666666666663</v>
      </c>
      <c r="H218" s="75">
        <v>6.2499999999999778E-3</v>
      </c>
      <c r="I218" s="76">
        <v>41717</v>
      </c>
      <c r="J218" s="36" t="str">
        <f t="shared" si="68"/>
        <v>Nacional</v>
      </c>
      <c r="K218" s="36">
        <f t="shared" si="68"/>
        <v>5.8641975308641892E-3</v>
      </c>
      <c r="L218" s="36">
        <f t="shared" si="68"/>
        <v>5.2469135802469076E-3</v>
      </c>
      <c r="M218" s="36">
        <f t="shared" si="68"/>
        <v>1.1111111111111096E-2</v>
      </c>
      <c r="N218" s="36" t="str">
        <f t="shared" si="68"/>
        <v>ER4</v>
      </c>
      <c r="O218" s="36">
        <f t="shared" si="68"/>
        <v>50</v>
      </c>
      <c r="P218" s="36" t="str">
        <f t="shared" si="68"/>
        <v>CJS</v>
      </c>
      <c r="R218">
        <v>204</v>
      </c>
      <c r="S218" s="36" t="str">
        <f t="shared" si="67"/>
        <v>MEXICO AEREO</v>
      </c>
      <c r="T218" s="36">
        <f t="shared" si="67"/>
        <v>2185</v>
      </c>
      <c r="U218" s="73">
        <v>0.91111111111111109</v>
      </c>
      <c r="V218" s="74">
        <v>0.91805555555555562</v>
      </c>
      <c r="W218" s="75">
        <v>6.9444444444445308E-3</v>
      </c>
      <c r="X218" s="74">
        <v>0.92291666666666661</v>
      </c>
      <c r="Y218" s="75">
        <v>4.8611111111109828E-3</v>
      </c>
      <c r="Z218" s="76">
        <v>41757</v>
      </c>
      <c r="AA218" s="36" t="str">
        <f t="shared" si="62"/>
        <v>Nacional</v>
      </c>
      <c r="AB218" s="36">
        <f t="shared" si="62"/>
        <v>8.4780092592592338E-3</v>
      </c>
      <c r="AC218" s="36">
        <f t="shared" si="62"/>
        <v>5.4976851851852001E-3</v>
      </c>
      <c r="AD218" s="36">
        <f t="shared" si="62"/>
        <v>1.3975694444444433E-2</v>
      </c>
      <c r="AE218" s="36" t="str">
        <f t="shared" si="62"/>
        <v>ER4</v>
      </c>
      <c r="AF218" s="36">
        <f t="shared" si="62"/>
        <v>50</v>
      </c>
      <c r="AG218" s="36" t="str">
        <f t="shared" si="62"/>
        <v>TIJ</v>
      </c>
      <c r="AI218">
        <v>204</v>
      </c>
      <c r="AJ218" s="77" t="str">
        <f t="shared" si="64"/>
        <v>MEXICO AEREO</v>
      </c>
      <c r="AK218" s="77">
        <f t="shared" si="64"/>
        <v>2185</v>
      </c>
      <c r="AL218" s="78">
        <v>0.57777777777777783</v>
      </c>
      <c r="AM218" s="79">
        <v>0.5854166666666667</v>
      </c>
      <c r="AN218" s="80">
        <v>7.6388888888888618E-3</v>
      </c>
      <c r="AO218" s="79">
        <v>0.59513888888888888</v>
      </c>
      <c r="AP218" s="80">
        <v>9.7222222222221877E-3</v>
      </c>
      <c r="AQ218" s="81">
        <v>41802</v>
      </c>
      <c r="AR218" s="77" t="str">
        <f t="shared" si="66"/>
        <v>Nacional</v>
      </c>
      <c r="AS218" s="77">
        <f t="shared" si="66"/>
        <v>8.8768115942028988E-3</v>
      </c>
      <c r="AT218" s="77">
        <f t="shared" si="66"/>
        <v>7.6388888888888982E-3</v>
      </c>
      <c r="AU218" s="77">
        <f t="shared" si="66"/>
        <v>1.6515700483091797E-2</v>
      </c>
      <c r="AV218" s="77" t="str">
        <f t="shared" si="66"/>
        <v>ER4</v>
      </c>
      <c r="AW218" s="77">
        <f t="shared" si="66"/>
        <v>50</v>
      </c>
      <c r="AX218" s="77" t="str">
        <f t="shared" si="66"/>
        <v>HMO</v>
      </c>
    </row>
    <row r="219" spans="1:50" x14ac:dyDescent="0.25">
      <c r="A219">
        <v>205</v>
      </c>
      <c r="B219" s="36" t="str">
        <f t="shared" si="55"/>
        <v>MEXICO AEREO</v>
      </c>
      <c r="C219" s="36">
        <f t="shared" si="55"/>
        <v>2011</v>
      </c>
      <c r="D219" s="74">
        <v>0.59166666666666667</v>
      </c>
      <c r="E219" s="74">
        <v>0.59583333333333333</v>
      </c>
      <c r="F219" s="75">
        <v>4.1666666666666519E-3</v>
      </c>
      <c r="G219" s="74">
        <v>0.6020833333333333</v>
      </c>
      <c r="H219" s="75">
        <v>6.2499999999999778E-3</v>
      </c>
      <c r="I219" s="76">
        <v>41718</v>
      </c>
      <c r="J219" s="36" t="str">
        <f t="shared" si="68"/>
        <v>Nacional</v>
      </c>
      <c r="K219" s="36">
        <f t="shared" si="68"/>
        <v>5.8641975308641892E-3</v>
      </c>
      <c r="L219" s="36">
        <f t="shared" si="68"/>
        <v>5.2469135802469076E-3</v>
      </c>
      <c r="M219" s="36">
        <f t="shared" si="68"/>
        <v>1.1111111111111096E-2</v>
      </c>
      <c r="N219" s="36" t="str">
        <f t="shared" si="68"/>
        <v>ER4</v>
      </c>
      <c r="O219" s="36">
        <f t="shared" si="68"/>
        <v>50</v>
      </c>
      <c r="P219" s="36" t="str">
        <f t="shared" si="68"/>
        <v>CJS</v>
      </c>
      <c r="R219">
        <v>205</v>
      </c>
      <c r="S219" s="36" t="str">
        <f t="shared" si="67"/>
        <v>MEXICO AEREO</v>
      </c>
      <c r="T219" s="36">
        <f t="shared" si="67"/>
        <v>2185</v>
      </c>
      <c r="U219" s="73">
        <v>0.90347222222222223</v>
      </c>
      <c r="V219" s="74">
        <v>0.91111111111111109</v>
      </c>
      <c r="W219" s="75">
        <v>7.6388888888888618E-3</v>
      </c>
      <c r="X219" s="74">
        <v>0.91527777777777775</v>
      </c>
      <c r="Y219" s="75">
        <v>4.1666666666666519E-3</v>
      </c>
      <c r="Z219" s="76">
        <v>41759</v>
      </c>
      <c r="AA219" s="36" t="str">
        <f t="shared" si="62"/>
        <v>Nacional</v>
      </c>
      <c r="AB219" s="36">
        <f t="shared" si="62"/>
        <v>8.4780092592592338E-3</v>
      </c>
      <c r="AC219" s="36">
        <f t="shared" si="62"/>
        <v>5.4976851851852001E-3</v>
      </c>
      <c r="AD219" s="36">
        <f t="shared" si="62"/>
        <v>1.3975694444444433E-2</v>
      </c>
      <c r="AE219" s="36" t="str">
        <f t="shared" si="62"/>
        <v>ER4</v>
      </c>
      <c r="AF219" s="36">
        <f t="shared" si="62"/>
        <v>50</v>
      </c>
      <c r="AG219" s="36" t="str">
        <f t="shared" si="62"/>
        <v>TIJ</v>
      </c>
      <c r="AI219">
        <v>205</v>
      </c>
      <c r="AJ219" s="77" t="str">
        <f t="shared" si="64"/>
        <v>MEXICO AEREO</v>
      </c>
      <c r="AK219" s="77">
        <f t="shared" si="64"/>
        <v>2185</v>
      </c>
      <c r="AL219" s="78">
        <v>0.4548611111111111</v>
      </c>
      <c r="AM219" s="79">
        <v>0.45902777777777781</v>
      </c>
      <c r="AN219" s="80">
        <v>4.1666666666667074E-3</v>
      </c>
      <c r="AO219" s="79">
        <v>0.46111111111111108</v>
      </c>
      <c r="AP219" s="80">
        <v>2.0833333333332704E-3</v>
      </c>
      <c r="AQ219" s="81">
        <v>41803</v>
      </c>
      <c r="AR219" s="77" t="str">
        <f t="shared" si="66"/>
        <v>Nacional</v>
      </c>
      <c r="AS219" s="77">
        <f t="shared" si="66"/>
        <v>8.8768115942028988E-3</v>
      </c>
      <c r="AT219" s="77">
        <f t="shared" si="66"/>
        <v>7.6388888888888982E-3</v>
      </c>
      <c r="AU219" s="77">
        <f t="shared" si="66"/>
        <v>1.6515700483091797E-2</v>
      </c>
      <c r="AV219" s="77" t="str">
        <f t="shared" si="66"/>
        <v>ER4</v>
      </c>
      <c r="AW219" s="77">
        <f t="shared" si="66"/>
        <v>50</v>
      </c>
      <c r="AX219" s="77" t="str">
        <f t="shared" si="66"/>
        <v>HMO</v>
      </c>
    </row>
    <row r="220" spans="1:50" ht="15.75" thickBot="1" x14ac:dyDescent="0.3">
      <c r="A220">
        <v>206</v>
      </c>
      <c r="B220" s="36" t="str">
        <f t="shared" si="55"/>
        <v>MEXICO AEREO</v>
      </c>
      <c r="C220" s="36">
        <f t="shared" si="55"/>
        <v>2011</v>
      </c>
      <c r="D220" s="74">
        <v>0.59027777777777779</v>
      </c>
      <c r="E220" s="74">
        <v>0.59722222222222221</v>
      </c>
      <c r="F220" s="75">
        <v>6.9444444444444198E-3</v>
      </c>
      <c r="G220" s="74">
        <v>0.60277777777777775</v>
      </c>
      <c r="H220" s="75">
        <v>5.5555555555555358E-3</v>
      </c>
      <c r="I220" s="76">
        <v>41720</v>
      </c>
      <c r="J220" s="36" t="str">
        <f t="shared" si="68"/>
        <v>Nacional</v>
      </c>
      <c r="K220" s="36">
        <f t="shared" si="68"/>
        <v>5.8641975308641892E-3</v>
      </c>
      <c r="L220" s="36">
        <f t="shared" si="68"/>
        <v>5.2469135802469076E-3</v>
      </c>
      <c r="M220" s="36">
        <f t="shared" si="68"/>
        <v>1.1111111111111096E-2</v>
      </c>
      <c r="N220" s="36" t="str">
        <f t="shared" si="68"/>
        <v>ER4</v>
      </c>
      <c r="O220" s="36">
        <f t="shared" si="68"/>
        <v>50</v>
      </c>
      <c r="P220" s="36" t="str">
        <f t="shared" si="68"/>
        <v>CJS</v>
      </c>
      <c r="R220">
        <v>206</v>
      </c>
      <c r="S220" s="36" t="str">
        <f t="shared" si="67"/>
        <v>MEXICO AEREO</v>
      </c>
      <c r="T220" s="36">
        <f t="shared" si="67"/>
        <v>2185</v>
      </c>
      <c r="U220" s="83">
        <v>0.91527777777777775</v>
      </c>
      <c r="V220" s="84">
        <v>0.9194444444444444</v>
      </c>
      <c r="W220" s="85">
        <v>4.1666666666666519E-3</v>
      </c>
      <c r="X220" s="84">
        <v>0.92361111111111116</v>
      </c>
      <c r="Y220" s="85">
        <v>4.1666666666667629E-3</v>
      </c>
      <c r="Z220" s="86">
        <v>41759</v>
      </c>
      <c r="AA220" s="36" t="str">
        <f t="shared" si="62"/>
        <v>Nacional</v>
      </c>
      <c r="AB220" s="36">
        <f t="shared" si="62"/>
        <v>8.4780092592592338E-3</v>
      </c>
      <c r="AC220" s="36">
        <f t="shared" si="62"/>
        <v>5.4976851851852001E-3</v>
      </c>
      <c r="AD220" s="36">
        <f t="shared" si="62"/>
        <v>1.3975694444444433E-2</v>
      </c>
      <c r="AE220" s="36" t="str">
        <f t="shared" si="62"/>
        <v>ER4</v>
      </c>
      <c r="AF220" s="36">
        <f t="shared" si="62"/>
        <v>50</v>
      </c>
      <c r="AG220" s="36" t="str">
        <f t="shared" si="62"/>
        <v>TIJ</v>
      </c>
      <c r="AI220">
        <v>206</v>
      </c>
      <c r="AJ220" s="77" t="str">
        <f t="shared" si="64"/>
        <v>MEXICO AEREO</v>
      </c>
      <c r="AK220" s="77">
        <f t="shared" si="64"/>
        <v>2185</v>
      </c>
      <c r="AL220" s="78">
        <v>0.71666666666666667</v>
      </c>
      <c r="AM220" s="79">
        <v>0.72430555555555554</v>
      </c>
      <c r="AN220" s="80">
        <v>7.6388888888888618E-3</v>
      </c>
      <c r="AO220" s="79">
        <v>0.72916666666666663</v>
      </c>
      <c r="AP220" s="80">
        <v>4.8611111111110938E-3</v>
      </c>
      <c r="AQ220" s="81">
        <v>41804</v>
      </c>
      <c r="AR220" s="77" t="str">
        <f t="shared" si="66"/>
        <v>Nacional</v>
      </c>
      <c r="AS220" s="77">
        <f t="shared" si="66"/>
        <v>8.8768115942028988E-3</v>
      </c>
      <c r="AT220" s="77">
        <f t="shared" si="66"/>
        <v>7.6388888888888982E-3</v>
      </c>
      <c r="AU220" s="77">
        <f t="shared" si="66"/>
        <v>1.6515700483091797E-2</v>
      </c>
      <c r="AV220" s="77" t="str">
        <f t="shared" si="66"/>
        <v>ER4</v>
      </c>
      <c r="AW220" s="77">
        <f t="shared" si="66"/>
        <v>50</v>
      </c>
      <c r="AX220" s="77" t="str">
        <f t="shared" si="66"/>
        <v>HMO</v>
      </c>
    </row>
    <row r="221" spans="1:50" x14ac:dyDescent="0.25">
      <c r="A221">
        <v>207</v>
      </c>
      <c r="B221" s="36" t="str">
        <f t="shared" si="55"/>
        <v>MEXICO AEREO</v>
      </c>
      <c r="C221" s="36">
        <f t="shared" si="55"/>
        <v>2011</v>
      </c>
      <c r="D221" s="74">
        <v>0.61527777777777781</v>
      </c>
      <c r="E221" s="74">
        <v>0.62986111111111109</v>
      </c>
      <c r="F221" s="75">
        <v>1.4583333333333282E-2</v>
      </c>
      <c r="G221" s="74">
        <v>0.63541666666666663</v>
      </c>
      <c r="H221" s="75">
        <v>5.5555555555555358E-3</v>
      </c>
      <c r="I221" s="76">
        <v>41722</v>
      </c>
      <c r="J221" s="36" t="str">
        <f t="shared" si="68"/>
        <v>Nacional</v>
      </c>
      <c r="K221" s="36">
        <f t="shared" si="68"/>
        <v>5.8641975308641892E-3</v>
      </c>
      <c r="L221" s="36">
        <f t="shared" si="68"/>
        <v>5.2469135802469076E-3</v>
      </c>
      <c r="M221" s="36">
        <f t="shared" si="68"/>
        <v>1.1111111111111096E-2</v>
      </c>
      <c r="N221" s="36" t="str">
        <f t="shared" si="68"/>
        <v>ER4</v>
      </c>
      <c r="O221" s="36">
        <f t="shared" si="68"/>
        <v>50</v>
      </c>
      <c r="P221" s="36" t="str">
        <f t="shared" si="68"/>
        <v>CJS</v>
      </c>
      <c r="R221">
        <v>207</v>
      </c>
      <c r="S221" s="45" t="s">
        <v>18</v>
      </c>
      <c r="T221" s="55">
        <v>2184</v>
      </c>
      <c r="U221" s="56">
        <v>0.33958333333333335</v>
      </c>
      <c r="V221" s="57">
        <v>0.34097222222222223</v>
      </c>
      <c r="W221" s="58">
        <v>1.388888888888884E-3</v>
      </c>
      <c r="X221" s="57">
        <v>0.34513888888888888</v>
      </c>
      <c r="Y221" s="58">
        <v>4.1666666666666519E-3</v>
      </c>
      <c r="Z221" s="59">
        <v>41730</v>
      </c>
      <c r="AA221" s="60" t="s">
        <v>19</v>
      </c>
      <c r="AB221" s="61">
        <v>4.5524691358024777E-3</v>
      </c>
      <c r="AC221" s="61">
        <v>5.5401234567901171E-3</v>
      </c>
      <c r="AD221" s="62">
        <v>1.0092592592592594E-2</v>
      </c>
      <c r="AE221" s="132" t="s">
        <v>20</v>
      </c>
      <c r="AF221" s="132">
        <v>50</v>
      </c>
      <c r="AG221" s="132" t="s">
        <v>37</v>
      </c>
      <c r="AI221">
        <v>207</v>
      </c>
      <c r="AJ221" s="77" t="str">
        <f t="shared" si="64"/>
        <v>MEXICO AEREO</v>
      </c>
      <c r="AK221" s="77">
        <f t="shared" si="64"/>
        <v>2185</v>
      </c>
      <c r="AL221" s="78">
        <v>0.73611111111111116</v>
      </c>
      <c r="AM221" s="79">
        <v>0.74652777777777779</v>
      </c>
      <c r="AN221" s="80">
        <v>1.041666666666663E-2</v>
      </c>
      <c r="AO221" s="79">
        <v>0.75</v>
      </c>
      <c r="AP221" s="80">
        <v>3.4722222222222099E-3</v>
      </c>
      <c r="AQ221" s="81">
        <v>41805</v>
      </c>
      <c r="AR221" s="77" t="str">
        <f t="shared" si="66"/>
        <v>Nacional</v>
      </c>
      <c r="AS221" s="77">
        <f t="shared" si="66"/>
        <v>8.8768115942028988E-3</v>
      </c>
      <c r="AT221" s="77">
        <f t="shared" si="66"/>
        <v>7.6388888888888982E-3</v>
      </c>
      <c r="AU221" s="77">
        <f t="shared" si="66"/>
        <v>1.6515700483091797E-2</v>
      </c>
      <c r="AV221" s="77" t="str">
        <f t="shared" si="66"/>
        <v>ER4</v>
      </c>
      <c r="AW221" s="77">
        <f t="shared" si="66"/>
        <v>50</v>
      </c>
      <c r="AX221" s="77" t="str">
        <f t="shared" si="66"/>
        <v>HMO</v>
      </c>
    </row>
    <row r="222" spans="1:50" x14ac:dyDescent="0.25">
      <c r="A222">
        <v>208</v>
      </c>
      <c r="B222" s="36" t="str">
        <f t="shared" si="55"/>
        <v>MEXICO AEREO</v>
      </c>
      <c r="C222" s="36">
        <f t="shared" si="55"/>
        <v>2011</v>
      </c>
      <c r="D222" s="74">
        <v>0.58124999999999993</v>
      </c>
      <c r="E222" s="74">
        <v>0.58333333333333337</v>
      </c>
      <c r="F222" s="75">
        <v>2.083333333333437E-3</v>
      </c>
      <c r="G222" s="74">
        <v>0.59166666666666667</v>
      </c>
      <c r="H222" s="75">
        <v>8.3333333333333037E-3</v>
      </c>
      <c r="I222" s="76">
        <v>41726</v>
      </c>
      <c r="J222" s="36" t="str">
        <f t="shared" si="68"/>
        <v>Nacional</v>
      </c>
      <c r="K222" s="36">
        <f t="shared" si="68"/>
        <v>5.8641975308641892E-3</v>
      </c>
      <c r="L222" s="36">
        <f t="shared" si="68"/>
        <v>5.2469135802469076E-3</v>
      </c>
      <c r="M222" s="36">
        <f t="shared" si="68"/>
        <v>1.1111111111111096E-2</v>
      </c>
      <c r="N222" s="36" t="str">
        <f t="shared" si="68"/>
        <v>ER4</v>
      </c>
      <c r="O222" s="36">
        <f t="shared" si="68"/>
        <v>50</v>
      </c>
      <c r="P222" s="36" t="str">
        <f t="shared" si="68"/>
        <v>CJS</v>
      </c>
      <c r="R222">
        <v>208</v>
      </c>
      <c r="S222" s="36" t="str">
        <f t="shared" ref="S222:T275" si="69">S221</f>
        <v>MEXICO AEREO</v>
      </c>
      <c r="T222" s="36">
        <f t="shared" si="69"/>
        <v>2184</v>
      </c>
      <c r="U222" s="73">
        <v>0.35138888888888892</v>
      </c>
      <c r="V222" s="74">
        <v>0.3576388888888889</v>
      </c>
      <c r="W222" s="75">
        <v>6.2499999999999778E-3</v>
      </c>
      <c r="X222" s="74">
        <v>0.3611111111111111</v>
      </c>
      <c r="Y222" s="75">
        <v>3.4722222222222099E-3</v>
      </c>
      <c r="Z222" s="76">
        <v>41731</v>
      </c>
      <c r="AA222" s="36" t="str">
        <f t="shared" ref="AA222:AG238" si="70">AA221</f>
        <v>Nacional</v>
      </c>
      <c r="AB222" s="36">
        <f t="shared" si="70"/>
        <v>4.5524691358024777E-3</v>
      </c>
      <c r="AC222" s="36">
        <f t="shared" si="70"/>
        <v>5.5401234567901171E-3</v>
      </c>
      <c r="AD222" s="36">
        <f t="shared" si="70"/>
        <v>1.0092592592592594E-2</v>
      </c>
      <c r="AE222" s="36" t="str">
        <f t="shared" si="70"/>
        <v>ER4</v>
      </c>
      <c r="AF222" s="36">
        <f t="shared" si="70"/>
        <v>50</v>
      </c>
      <c r="AG222" s="36" t="str">
        <f t="shared" si="70"/>
        <v>MTV</v>
      </c>
      <c r="AI222">
        <v>208</v>
      </c>
      <c r="AJ222" s="77" t="str">
        <f t="shared" si="64"/>
        <v>MEXICO AEREO</v>
      </c>
      <c r="AK222" s="77">
        <f t="shared" si="64"/>
        <v>2185</v>
      </c>
      <c r="AL222" s="78">
        <v>0.91111111111111109</v>
      </c>
      <c r="AM222" s="79">
        <v>0.92152777777777783</v>
      </c>
      <c r="AN222" s="80">
        <v>1.0416666666666741E-2</v>
      </c>
      <c r="AO222" s="79">
        <v>0.93680555555555556</v>
      </c>
      <c r="AP222" s="80">
        <v>1.5277777777777724E-2</v>
      </c>
      <c r="AQ222" s="81">
        <v>41806</v>
      </c>
      <c r="AR222" s="77" t="str">
        <f t="shared" si="66"/>
        <v>Nacional</v>
      </c>
      <c r="AS222" s="77">
        <f t="shared" si="66"/>
        <v>8.8768115942028988E-3</v>
      </c>
      <c r="AT222" s="77">
        <f t="shared" si="66"/>
        <v>7.6388888888888982E-3</v>
      </c>
      <c r="AU222" s="77">
        <f t="shared" si="66"/>
        <v>1.6515700483091797E-2</v>
      </c>
      <c r="AV222" s="77" t="str">
        <f t="shared" si="66"/>
        <v>ER4</v>
      </c>
      <c r="AW222" s="77">
        <f t="shared" si="66"/>
        <v>50</v>
      </c>
      <c r="AX222" s="77" t="str">
        <f t="shared" si="66"/>
        <v>HMO</v>
      </c>
    </row>
    <row r="223" spans="1:50" x14ac:dyDescent="0.25">
      <c r="A223">
        <v>209</v>
      </c>
      <c r="B223" s="36" t="str">
        <f t="shared" si="55"/>
        <v>MEXICO AEREO</v>
      </c>
      <c r="C223" s="36">
        <f t="shared" si="55"/>
        <v>2011</v>
      </c>
      <c r="D223" s="74">
        <v>0.5854166666666667</v>
      </c>
      <c r="E223" s="74">
        <v>0.59166666666666667</v>
      </c>
      <c r="F223" s="75">
        <v>6.2499999999999778E-3</v>
      </c>
      <c r="G223" s="74">
        <v>0.59583333333333333</v>
      </c>
      <c r="H223" s="75">
        <v>4.1666666666666519E-3</v>
      </c>
      <c r="I223" s="76">
        <v>41727</v>
      </c>
      <c r="J223" s="36" t="str">
        <f t="shared" si="68"/>
        <v>Nacional</v>
      </c>
      <c r="K223" s="36">
        <f t="shared" si="68"/>
        <v>5.8641975308641892E-3</v>
      </c>
      <c r="L223" s="36">
        <f t="shared" si="68"/>
        <v>5.2469135802469076E-3</v>
      </c>
      <c r="M223" s="36">
        <f t="shared" si="68"/>
        <v>1.1111111111111096E-2</v>
      </c>
      <c r="N223" s="36" t="str">
        <f t="shared" si="68"/>
        <v>ER4</v>
      </c>
      <c r="O223" s="36">
        <f t="shared" si="68"/>
        <v>50</v>
      </c>
      <c r="P223" s="36" t="str">
        <f t="shared" si="68"/>
        <v>CJS</v>
      </c>
      <c r="R223">
        <v>209</v>
      </c>
      <c r="S223" s="36" t="str">
        <f t="shared" si="69"/>
        <v>MEXICO AEREO</v>
      </c>
      <c r="T223" s="36">
        <f t="shared" si="69"/>
        <v>2184</v>
      </c>
      <c r="U223" s="73">
        <v>0.3430555555555555</v>
      </c>
      <c r="V223" s="74">
        <v>0.34513888888888888</v>
      </c>
      <c r="W223" s="75">
        <v>2.0833333333333814E-3</v>
      </c>
      <c r="X223" s="74">
        <v>0.34722222222222227</v>
      </c>
      <c r="Y223" s="75">
        <v>2.0833333333333814E-3</v>
      </c>
      <c r="Z223" s="76">
        <v>41733</v>
      </c>
      <c r="AA223" s="36" t="str">
        <f t="shared" si="70"/>
        <v>Nacional</v>
      </c>
      <c r="AB223" s="36">
        <f t="shared" si="70"/>
        <v>4.5524691358024777E-3</v>
      </c>
      <c r="AC223" s="36">
        <f t="shared" si="70"/>
        <v>5.5401234567901171E-3</v>
      </c>
      <c r="AD223" s="36">
        <f t="shared" si="70"/>
        <v>1.0092592592592594E-2</v>
      </c>
      <c r="AE223" s="36" t="str">
        <f t="shared" si="70"/>
        <v>ER4</v>
      </c>
      <c r="AF223" s="36">
        <f t="shared" si="70"/>
        <v>50</v>
      </c>
      <c r="AG223" s="36" t="str">
        <f t="shared" si="70"/>
        <v>MTV</v>
      </c>
      <c r="AI223">
        <v>209</v>
      </c>
      <c r="AJ223" s="77" t="str">
        <f t="shared" si="64"/>
        <v>MEXICO AEREO</v>
      </c>
      <c r="AK223" s="77">
        <f t="shared" si="64"/>
        <v>2185</v>
      </c>
      <c r="AL223" s="78">
        <v>0.68611111111111101</v>
      </c>
      <c r="AM223" s="79">
        <v>0.6958333333333333</v>
      </c>
      <c r="AN223" s="80">
        <v>9.7222222222222987E-3</v>
      </c>
      <c r="AO223" s="79">
        <v>0.71805555555555556</v>
      </c>
      <c r="AP223" s="80">
        <v>2.2222222222222254E-2</v>
      </c>
      <c r="AQ223" s="81">
        <v>41807</v>
      </c>
      <c r="AR223" s="77" t="str">
        <f t="shared" si="66"/>
        <v>Nacional</v>
      </c>
      <c r="AS223" s="77">
        <f t="shared" si="66"/>
        <v>8.8768115942028988E-3</v>
      </c>
      <c r="AT223" s="77">
        <f t="shared" si="66"/>
        <v>7.6388888888888982E-3</v>
      </c>
      <c r="AU223" s="77">
        <f t="shared" si="66"/>
        <v>1.6515700483091797E-2</v>
      </c>
      <c r="AV223" s="77" t="str">
        <f t="shared" si="66"/>
        <v>ER4</v>
      </c>
      <c r="AW223" s="77">
        <f t="shared" si="66"/>
        <v>50</v>
      </c>
      <c r="AX223" s="77" t="str">
        <f t="shared" si="66"/>
        <v>HMO</v>
      </c>
    </row>
    <row r="224" spans="1:50" ht="15.75" thickBot="1" x14ac:dyDescent="0.3">
      <c r="A224">
        <v>210</v>
      </c>
      <c r="B224" s="36" t="str">
        <f t="shared" si="55"/>
        <v>MEXICO AEREO</v>
      </c>
      <c r="C224" s="36">
        <f t="shared" si="55"/>
        <v>2011</v>
      </c>
      <c r="D224" s="84">
        <v>0.58333333333333337</v>
      </c>
      <c r="E224" s="84">
        <v>0.58680555555555558</v>
      </c>
      <c r="F224" s="85">
        <v>3.4722222222222099E-3</v>
      </c>
      <c r="G224" s="84">
        <v>0.58958333333333335</v>
      </c>
      <c r="H224" s="85">
        <v>2.7777777777777679E-3</v>
      </c>
      <c r="I224" s="86">
        <v>41729</v>
      </c>
      <c r="J224" s="36" t="str">
        <f t="shared" si="68"/>
        <v>Nacional</v>
      </c>
      <c r="K224" s="36">
        <f t="shared" si="68"/>
        <v>5.8641975308641892E-3</v>
      </c>
      <c r="L224" s="36">
        <f t="shared" si="68"/>
        <v>5.2469135802469076E-3</v>
      </c>
      <c r="M224" s="36">
        <f t="shared" si="68"/>
        <v>1.1111111111111096E-2</v>
      </c>
      <c r="N224" s="36" t="str">
        <f t="shared" si="68"/>
        <v>ER4</v>
      </c>
      <c r="O224" s="36">
        <f t="shared" si="68"/>
        <v>50</v>
      </c>
      <c r="P224" s="36" t="str">
        <f t="shared" si="68"/>
        <v>CJS</v>
      </c>
      <c r="R224">
        <v>210</v>
      </c>
      <c r="S224" s="36" t="str">
        <f t="shared" si="69"/>
        <v>MEXICO AEREO</v>
      </c>
      <c r="T224" s="36">
        <f t="shared" si="69"/>
        <v>2184</v>
      </c>
      <c r="U224" s="73">
        <v>0.47569444444444442</v>
      </c>
      <c r="V224" s="74">
        <v>0.48194444444444445</v>
      </c>
      <c r="W224" s="75">
        <v>6.2500000000000333E-3</v>
      </c>
      <c r="X224" s="74">
        <v>0.50666666666666671</v>
      </c>
      <c r="Y224" s="75">
        <v>2.4722222222222257E-2</v>
      </c>
      <c r="Z224" s="76">
        <v>41736</v>
      </c>
      <c r="AA224" s="36" t="str">
        <f t="shared" si="70"/>
        <v>Nacional</v>
      </c>
      <c r="AB224" s="36">
        <f t="shared" si="70"/>
        <v>4.5524691358024777E-3</v>
      </c>
      <c r="AC224" s="36">
        <f t="shared" si="70"/>
        <v>5.5401234567901171E-3</v>
      </c>
      <c r="AD224" s="36">
        <f t="shared" si="70"/>
        <v>1.0092592592592594E-2</v>
      </c>
      <c r="AE224" s="36" t="str">
        <f t="shared" si="70"/>
        <v>ER4</v>
      </c>
      <c r="AF224" s="36">
        <f t="shared" si="70"/>
        <v>50</v>
      </c>
      <c r="AG224" s="36" t="str">
        <f t="shared" si="70"/>
        <v>MTV</v>
      </c>
      <c r="AI224">
        <v>210</v>
      </c>
      <c r="AJ224" s="77" t="str">
        <f t="shared" si="64"/>
        <v>MEXICO AEREO</v>
      </c>
      <c r="AK224" s="77">
        <f t="shared" si="64"/>
        <v>2185</v>
      </c>
      <c r="AL224" s="78">
        <v>0.99930555555555556</v>
      </c>
      <c r="AM224" s="79">
        <v>1.0069444444444444</v>
      </c>
      <c r="AN224" s="80">
        <v>7.6388888888888618E-3</v>
      </c>
      <c r="AO224" s="79">
        <v>1.0131944444444445</v>
      </c>
      <c r="AP224" s="80">
        <v>6.2500000000000888E-3</v>
      </c>
      <c r="AQ224" s="81">
        <v>41808</v>
      </c>
      <c r="AR224" s="77" t="str">
        <f t="shared" si="66"/>
        <v>Nacional</v>
      </c>
      <c r="AS224" s="77">
        <f t="shared" si="66"/>
        <v>8.8768115942028988E-3</v>
      </c>
      <c r="AT224" s="77">
        <f t="shared" si="66"/>
        <v>7.6388888888888982E-3</v>
      </c>
      <c r="AU224" s="77">
        <f t="shared" si="66"/>
        <v>1.6515700483091797E-2</v>
      </c>
      <c r="AV224" s="77" t="str">
        <f t="shared" si="66"/>
        <v>ER4</v>
      </c>
      <c r="AW224" s="77">
        <f t="shared" si="66"/>
        <v>50</v>
      </c>
      <c r="AX224" s="77" t="str">
        <f t="shared" si="66"/>
        <v>HMO</v>
      </c>
    </row>
    <row r="225" spans="1:50" ht="15.75" thickBot="1" x14ac:dyDescent="0.3">
      <c r="A225">
        <v>211</v>
      </c>
      <c r="B225" s="36" t="str">
        <f t="shared" si="55"/>
        <v>MEXICO AEREO</v>
      </c>
      <c r="C225" s="46">
        <v>2010</v>
      </c>
      <c r="D225" s="47">
        <v>0.63055555555555554</v>
      </c>
      <c r="E225" s="47">
        <v>0.63541666666666663</v>
      </c>
      <c r="F225" s="48">
        <v>4.8611111111110938E-3</v>
      </c>
      <c r="G225" s="47">
        <v>0.64027777777777783</v>
      </c>
      <c r="H225" s="48">
        <v>4.8611111111112049E-3</v>
      </c>
      <c r="I225" s="49">
        <v>41725</v>
      </c>
      <c r="J225" s="50" t="s">
        <v>19</v>
      </c>
      <c r="K225" s="47">
        <v>4.8611111111110938E-3</v>
      </c>
      <c r="L225" s="47">
        <v>4.8611111111112049E-3</v>
      </c>
      <c r="M225" s="51">
        <v>9.7222222222222987E-3</v>
      </c>
      <c r="N225" s="52" t="s">
        <v>20</v>
      </c>
      <c r="O225" s="53">
        <v>50</v>
      </c>
      <c r="P225" s="54" t="s">
        <v>38</v>
      </c>
      <c r="R225">
        <v>211</v>
      </c>
      <c r="S225" s="36" t="str">
        <f t="shared" si="69"/>
        <v>MEXICO AEREO</v>
      </c>
      <c r="T225" s="36">
        <f t="shared" si="69"/>
        <v>2184</v>
      </c>
      <c r="U225" s="73">
        <v>0.375</v>
      </c>
      <c r="V225" s="74">
        <v>0.37708333333333338</v>
      </c>
      <c r="W225" s="75">
        <v>2.0833333333333814E-3</v>
      </c>
      <c r="X225" s="74">
        <v>0.38194444444444442</v>
      </c>
      <c r="Y225" s="75">
        <v>4.8611111111110383E-3</v>
      </c>
      <c r="Z225" s="76">
        <v>41737</v>
      </c>
      <c r="AA225" s="36" t="str">
        <f t="shared" si="70"/>
        <v>Nacional</v>
      </c>
      <c r="AB225" s="36">
        <f t="shared" si="70"/>
        <v>4.5524691358024777E-3</v>
      </c>
      <c r="AC225" s="36">
        <f t="shared" si="70"/>
        <v>5.5401234567901171E-3</v>
      </c>
      <c r="AD225" s="36">
        <f t="shared" si="70"/>
        <v>1.0092592592592594E-2</v>
      </c>
      <c r="AE225" s="36" t="str">
        <f t="shared" si="70"/>
        <v>ER4</v>
      </c>
      <c r="AF225" s="36">
        <f t="shared" si="70"/>
        <v>50</v>
      </c>
      <c r="AG225" s="36" t="str">
        <f t="shared" si="70"/>
        <v>MTV</v>
      </c>
      <c r="AI225">
        <v>211</v>
      </c>
      <c r="AJ225" s="77" t="str">
        <f t="shared" si="64"/>
        <v>MEXICO AEREO</v>
      </c>
      <c r="AK225" s="77">
        <f t="shared" si="64"/>
        <v>2185</v>
      </c>
      <c r="AL225" s="78">
        <v>0.92222222222222217</v>
      </c>
      <c r="AM225" s="79">
        <v>0.92569444444444438</v>
      </c>
      <c r="AN225" s="80">
        <v>3.4722222222222099E-3</v>
      </c>
      <c r="AO225" s="79">
        <v>0.95694444444444438</v>
      </c>
      <c r="AP225" s="80">
        <v>3.125E-2</v>
      </c>
      <c r="AQ225" s="81">
        <v>41809</v>
      </c>
      <c r="AR225" s="77" t="str">
        <f t="shared" si="66"/>
        <v>Nacional</v>
      </c>
      <c r="AS225" s="77">
        <f t="shared" si="66"/>
        <v>8.8768115942028988E-3</v>
      </c>
      <c r="AT225" s="77">
        <f t="shared" si="66"/>
        <v>7.6388888888888982E-3</v>
      </c>
      <c r="AU225" s="77">
        <f t="shared" si="66"/>
        <v>1.6515700483091797E-2</v>
      </c>
      <c r="AV225" s="77" t="str">
        <f t="shared" si="66"/>
        <v>ER4</v>
      </c>
      <c r="AW225" s="77">
        <f t="shared" si="66"/>
        <v>50</v>
      </c>
      <c r="AX225" s="77" t="str">
        <f t="shared" si="66"/>
        <v>HMO</v>
      </c>
    </row>
    <row r="226" spans="1:50" ht="15.75" thickBot="1" x14ac:dyDescent="0.3">
      <c r="A226">
        <v>212</v>
      </c>
      <c r="B226" s="36" t="str">
        <f t="shared" si="55"/>
        <v>MEXICO AEREO</v>
      </c>
      <c r="C226" s="46">
        <v>1114</v>
      </c>
      <c r="D226" s="47">
        <v>0.8833333333333333</v>
      </c>
      <c r="E226" s="47">
        <v>0.88680555555555562</v>
      </c>
      <c r="F226" s="48">
        <v>3.4722222222223209E-3</v>
      </c>
      <c r="G226" s="47">
        <v>0.8930555555555556</v>
      </c>
      <c r="H226" s="48">
        <v>6.2499999999999778E-3</v>
      </c>
      <c r="I226" s="49">
        <v>41724</v>
      </c>
      <c r="J226" s="50" t="s">
        <v>19</v>
      </c>
      <c r="K226" s="47">
        <v>3.4722222222223209E-3</v>
      </c>
      <c r="L226" s="47">
        <v>6.2499999999999778E-3</v>
      </c>
      <c r="M226" s="51">
        <v>9.7222222222222987E-3</v>
      </c>
      <c r="N226" s="52" t="s">
        <v>39</v>
      </c>
      <c r="O226" s="53">
        <v>189</v>
      </c>
      <c r="P226" s="54" t="s">
        <v>21</v>
      </c>
      <c r="R226">
        <v>212</v>
      </c>
      <c r="S226" s="36" t="str">
        <f t="shared" si="69"/>
        <v>MEXICO AEREO</v>
      </c>
      <c r="T226" s="36">
        <f t="shared" si="69"/>
        <v>2184</v>
      </c>
      <c r="U226" s="73">
        <v>0.3840277777777778</v>
      </c>
      <c r="V226" s="74">
        <v>0.3888888888888889</v>
      </c>
      <c r="W226" s="75">
        <v>4.8611111111110938E-3</v>
      </c>
      <c r="X226" s="74">
        <v>0.39374999999999999</v>
      </c>
      <c r="Y226" s="75">
        <v>4.8611111111110938E-3</v>
      </c>
      <c r="Z226" s="76">
        <v>41738</v>
      </c>
      <c r="AA226" s="36" t="str">
        <f t="shared" si="70"/>
        <v>Nacional</v>
      </c>
      <c r="AB226" s="36">
        <f t="shared" si="70"/>
        <v>4.5524691358024777E-3</v>
      </c>
      <c r="AC226" s="36">
        <f t="shared" si="70"/>
        <v>5.5401234567901171E-3</v>
      </c>
      <c r="AD226" s="36">
        <f t="shared" si="70"/>
        <v>1.0092592592592594E-2</v>
      </c>
      <c r="AE226" s="36" t="str">
        <f t="shared" si="70"/>
        <v>ER4</v>
      </c>
      <c r="AF226" s="36">
        <f t="shared" si="70"/>
        <v>50</v>
      </c>
      <c r="AG226" s="36" t="str">
        <f t="shared" si="70"/>
        <v>MTV</v>
      </c>
      <c r="AI226">
        <v>212</v>
      </c>
      <c r="AJ226" s="77" t="str">
        <f t="shared" si="64"/>
        <v>MEXICO AEREO</v>
      </c>
      <c r="AK226" s="77">
        <f t="shared" si="64"/>
        <v>2185</v>
      </c>
      <c r="AL226" s="78">
        <v>0.91249999999999998</v>
      </c>
      <c r="AM226" s="79">
        <v>0.92222222222222217</v>
      </c>
      <c r="AN226" s="80">
        <v>9.7222222222221877E-3</v>
      </c>
      <c r="AO226" s="79">
        <v>0.92499999999999993</v>
      </c>
      <c r="AP226" s="80">
        <v>2.7777777777777679E-3</v>
      </c>
      <c r="AQ226" s="81">
        <v>41810</v>
      </c>
      <c r="AR226" s="77" t="str">
        <f t="shared" si="66"/>
        <v>Nacional</v>
      </c>
      <c r="AS226" s="77">
        <f t="shared" si="66"/>
        <v>8.8768115942028988E-3</v>
      </c>
      <c r="AT226" s="77">
        <f t="shared" si="66"/>
        <v>7.6388888888888982E-3</v>
      </c>
      <c r="AU226" s="77">
        <f t="shared" si="66"/>
        <v>1.6515700483091797E-2</v>
      </c>
      <c r="AV226" s="77" t="str">
        <f t="shared" si="66"/>
        <v>ER4</v>
      </c>
      <c r="AW226" s="77">
        <f t="shared" si="66"/>
        <v>50</v>
      </c>
      <c r="AX226" s="77" t="str">
        <f t="shared" si="66"/>
        <v>HMO</v>
      </c>
    </row>
    <row r="227" spans="1:50" ht="15.75" thickBot="1" x14ac:dyDescent="0.3">
      <c r="A227">
        <v>213</v>
      </c>
      <c r="B227" s="36" t="str">
        <f t="shared" si="55"/>
        <v>MEXICO AEREO</v>
      </c>
      <c r="C227" s="46" t="s">
        <v>31</v>
      </c>
      <c r="D227" s="47">
        <v>0.88611111111111107</v>
      </c>
      <c r="E227" s="47">
        <v>0.89097222222222217</v>
      </c>
      <c r="F227" s="48">
        <v>4.8611111111110938E-3</v>
      </c>
      <c r="G227" s="47">
        <v>0.90069444444444446</v>
      </c>
      <c r="H227" s="48">
        <v>9.7222222222222987E-3</v>
      </c>
      <c r="I227" s="49">
        <v>41721</v>
      </c>
      <c r="J227" s="50" t="s">
        <v>19</v>
      </c>
      <c r="K227" s="47">
        <v>4.8611111111110938E-3</v>
      </c>
      <c r="L227" s="47">
        <v>9.7222222222222987E-3</v>
      </c>
      <c r="M227" s="51">
        <v>1.4583333333333393E-2</v>
      </c>
      <c r="N227" s="82" t="s">
        <v>25</v>
      </c>
      <c r="O227" s="36">
        <f t="shared" ref="O227:P227" si="71">O226</f>
        <v>189</v>
      </c>
      <c r="P227" s="36" t="str">
        <f t="shared" si="71"/>
        <v>MEX</v>
      </c>
      <c r="R227">
        <v>213</v>
      </c>
      <c r="S227" s="36" t="str">
        <f t="shared" si="69"/>
        <v>MEXICO AEREO</v>
      </c>
      <c r="T227" s="36">
        <f t="shared" si="69"/>
        <v>2184</v>
      </c>
      <c r="U227" s="73">
        <v>0.39027777777777778</v>
      </c>
      <c r="V227" s="74">
        <v>0.39652777777777781</v>
      </c>
      <c r="W227" s="75">
        <v>6.2500000000000333E-3</v>
      </c>
      <c r="X227" s="74">
        <v>0.39930555555555558</v>
      </c>
      <c r="Y227" s="75">
        <v>2.7777777777777679E-3</v>
      </c>
      <c r="Z227" s="76">
        <v>41739</v>
      </c>
      <c r="AA227" s="36" t="str">
        <f t="shared" si="70"/>
        <v>Nacional</v>
      </c>
      <c r="AB227" s="36">
        <f t="shared" si="70"/>
        <v>4.5524691358024777E-3</v>
      </c>
      <c r="AC227" s="36">
        <f t="shared" si="70"/>
        <v>5.5401234567901171E-3</v>
      </c>
      <c r="AD227" s="36">
        <f t="shared" si="70"/>
        <v>1.0092592592592594E-2</v>
      </c>
      <c r="AE227" s="36" t="str">
        <f t="shared" si="70"/>
        <v>ER4</v>
      </c>
      <c r="AF227" s="36">
        <f t="shared" si="70"/>
        <v>50</v>
      </c>
      <c r="AG227" s="36" t="str">
        <f t="shared" si="70"/>
        <v>MTV</v>
      </c>
      <c r="AI227">
        <v>213</v>
      </c>
      <c r="AJ227" s="77" t="str">
        <f t="shared" si="64"/>
        <v>MEXICO AEREO</v>
      </c>
      <c r="AK227" s="77">
        <f t="shared" si="64"/>
        <v>2185</v>
      </c>
      <c r="AL227" s="78">
        <v>0.90694444444444444</v>
      </c>
      <c r="AM227" s="79">
        <v>0.91111111111111109</v>
      </c>
      <c r="AN227" s="80">
        <v>4.1666666666666519E-3</v>
      </c>
      <c r="AO227" s="79">
        <v>0.91666666666666663</v>
      </c>
      <c r="AP227" s="80">
        <v>5.5555555555555358E-3</v>
      </c>
      <c r="AQ227" s="81">
        <v>41811</v>
      </c>
      <c r="AR227" s="77" t="str">
        <f t="shared" si="66"/>
        <v>Nacional</v>
      </c>
      <c r="AS227" s="77">
        <f t="shared" si="66"/>
        <v>8.8768115942028988E-3</v>
      </c>
      <c r="AT227" s="77">
        <f t="shared" si="66"/>
        <v>7.6388888888888982E-3</v>
      </c>
      <c r="AU227" s="77">
        <f t="shared" si="66"/>
        <v>1.6515700483091797E-2</v>
      </c>
      <c r="AV227" s="77" t="str">
        <f t="shared" si="66"/>
        <v>ER4</v>
      </c>
      <c r="AW227" s="77">
        <f t="shared" si="66"/>
        <v>50</v>
      </c>
      <c r="AX227" s="77" t="str">
        <f t="shared" si="66"/>
        <v>HMO</v>
      </c>
    </row>
    <row r="228" spans="1:50" x14ac:dyDescent="0.25">
      <c r="A228">
        <v>214</v>
      </c>
      <c r="B228" s="45" t="s">
        <v>18</v>
      </c>
      <c r="C228" s="88">
        <v>785</v>
      </c>
      <c r="D228" s="57">
        <v>0.21597222222222223</v>
      </c>
      <c r="E228" s="57">
        <v>0.23263888888888887</v>
      </c>
      <c r="F228" s="58">
        <v>1.6666666666666635E-2</v>
      </c>
      <c r="G228" s="57">
        <v>0.24930555555555556</v>
      </c>
      <c r="H228" s="58">
        <v>1.6666666666666691E-2</v>
      </c>
      <c r="I228" s="59">
        <v>41713</v>
      </c>
      <c r="J228" s="108" t="s">
        <v>22</v>
      </c>
      <c r="K228" s="61">
        <v>1.2748015873015869E-2</v>
      </c>
      <c r="L228" s="61">
        <v>2.4652777777777773E-2</v>
      </c>
      <c r="M228" s="89">
        <v>3.7400793650793643E-2</v>
      </c>
      <c r="N228" s="90" t="s">
        <v>39</v>
      </c>
      <c r="O228" s="91">
        <v>189</v>
      </c>
      <c r="P228" s="92" t="s">
        <v>40</v>
      </c>
      <c r="R228">
        <v>214</v>
      </c>
      <c r="S228" s="36" t="str">
        <f t="shared" si="69"/>
        <v>MEXICO AEREO</v>
      </c>
      <c r="T228" s="36">
        <f t="shared" si="69"/>
        <v>2184</v>
      </c>
      <c r="U228" s="73">
        <v>0.37291666666666662</v>
      </c>
      <c r="V228" s="74">
        <v>0.38055555555555554</v>
      </c>
      <c r="W228" s="75">
        <v>7.6388888888889173E-3</v>
      </c>
      <c r="X228" s="74">
        <v>0.38194444444444442</v>
      </c>
      <c r="Y228" s="75">
        <v>1.388888888888884E-3</v>
      </c>
      <c r="Z228" s="76">
        <v>41741</v>
      </c>
      <c r="AA228" s="36" t="str">
        <f t="shared" si="70"/>
        <v>Nacional</v>
      </c>
      <c r="AB228" s="36">
        <f t="shared" si="70"/>
        <v>4.5524691358024777E-3</v>
      </c>
      <c r="AC228" s="36">
        <f t="shared" si="70"/>
        <v>5.5401234567901171E-3</v>
      </c>
      <c r="AD228" s="36">
        <f t="shared" si="70"/>
        <v>1.0092592592592594E-2</v>
      </c>
      <c r="AE228" s="36" t="str">
        <f t="shared" si="70"/>
        <v>ER4</v>
      </c>
      <c r="AF228" s="36">
        <f t="shared" si="70"/>
        <v>50</v>
      </c>
      <c r="AG228" s="36" t="str">
        <f t="shared" si="70"/>
        <v>MTV</v>
      </c>
      <c r="AI228">
        <v>214</v>
      </c>
      <c r="AJ228" s="77" t="str">
        <f t="shared" si="64"/>
        <v>MEXICO AEREO</v>
      </c>
      <c r="AK228" s="77">
        <f t="shared" si="64"/>
        <v>2185</v>
      </c>
      <c r="AL228" s="78">
        <v>0.91249999999999998</v>
      </c>
      <c r="AM228" s="79">
        <v>0.91875000000000007</v>
      </c>
      <c r="AN228" s="80">
        <v>6.2500000000000888E-3</v>
      </c>
      <c r="AO228" s="79">
        <v>0.92291666666666661</v>
      </c>
      <c r="AP228" s="80">
        <v>4.1666666666665408E-3</v>
      </c>
      <c r="AQ228" s="81">
        <v>41812</v>
      </c>
      <c r="AR228" s="77" t="str">
        <f t="shared" si="66"/>
        <v>Nacional</v>
      </c>
      <c r="AS228" s="77">
        <f t="shared" si="66"/>
        <v>8.8768115942028988E-3</v>
      </c>
      <c r="AT228" s="77">
        <f t="shared" si="66"/>
        <v>7.6388888888888982E-3</v>
      </c>
      <c r="AU228" s="77">
        <f t="shared" si="66"/>
        <v>1.6515700483091797E-2</v>
      </c>
      <c r="AV228" s="77" t="str">
        <f t="shared" si="66"/>
        <v>ER4</v>
      </c>
      <c r="AW228" s="77">
        <f t="shared" si="66"/>
        <v>50</v>
      </c>
      <c r="AX228" s="77" t="str">
        <f t="shared" si="66"/>
        <v>HMO</v>
      </c>
    </row>
    <row r="229" spans="1:50" ht="15.75" thickBot="1" x14ac:dyDescent="0.3">
      <c r="A229">
        <v>215</v>
      </c>
      <c r="B229" s="36" t="str">
        <f t="shared" ref="B229:C284" si="72">B228</f>
        <v>MEXICO AEREO</v>
      </c>
      <c r="C229" s="36">
        <f t="shared" si="72"/>
        <v>785</v>
      </c>
      <c r="D229" s="74">
        <v>0.21666666666666667</v>
      </c>
      <c r="E229" s="74">
        <v>0.22638888888888889</v>
      </c>
      <c r="F229" s="75">
        <v>9.7222222222222154E-3</v>
      </c>
      <c r="G229" s="74">
        <v>0.24097222222222223</v>
      </c>
      <c r="H229" s="75">
        <v>1.4583333333333337E-2</v>
      </c>
      <c r="I229" s="76">
        <v>41715</v>
      </c>
      <c r="J229" s="36" t="str">
        <f t="shared" ref="J229:P241" si="73">J228</f>
        <v>Internacional</v>
      </c>
      <c r="K229" s="36">
        <f t="shared" si="73"/>
        <v>1.2748015873015869E-2</v>
      </c>
      <c r="L229" s="36">
        <f t="shared" si="73"/>
        <v>2.4652777777777773E-2</v>
      </c>
      <c r="M229" s="36">
        <f t="shared" si="73"/>
        <v>3.7400793650793643E-2</v>
      </c>
      <c r="N229" s="36" t="str">
        <f t="shared" si="73"/>
        <v>B737-800</v>
      </c>
      <c r="O229" s="36">
        <f t="shared" si="73"/>
        <v>189</v>
      </c>
      <c r="P229" s="36" t="str">
        <f t="shared" si="73"/>
        <v>LAX</v>
      </c>
      <c r="R229">
        <v>215</v>
      </c>
      <c r="S229" s="36" t="str">
        <f t="shared" si="69"/>
        <v>MEXICO AEREO</v>
      </c>
      <c r="T229" s="36">
        <f t="shared" si="69"/>
        <v>2184</v>
      </c>
      <c r="U229" s="73">
        <v>0.33958333333333335</v>
      </c>
      <c r="V229" s="74">
        <v>0.34097222222222223</v>
      </c>
      <c r="W229" s="75">
        <v>1.388888888888884E-3</v>
      </c>
      <c r="X229" s="74">
        <v>0.34513888888888888</v>
      </c>
      <c r="Y229" s="75">
        <v>4.1666666666666519E-3</v>
      </c>
      <c r="Z229" s="76">
        <v>41742</v>
      </c>
      <c r="AA229" s="36" t="str">
        <f t="shared" si="70"/>
        <v>Nacional</v>
      </c>
      <c r="AB229" s="36">
        <f t="shared" si="70"/>
        <v>4.5524691358024777E-3</v>
      </c>
      <c r="AC229" s="36">
        <f t="shared" si="70"/>
        <v>5.5401234567901171E-3</v>
      </c>
      <c r="AD229" s="36">
        <f t="shared" si="70"/>
        <v>1.0092592592592594E-2</v>
      </c>
      <c r="AE229" s="36" t="str">
        <f t="shared" si="70"/>
        <v>ER4</v>
      </c>
      <c r="AF229" s="36">
        <f t="shared" si="70"/>
        <v>50</v>
      </c>
      <c r="AG229" s="36" t="str">
        <f t="shared" si="70"/>
        <v>MTV</v>
      </c>
      <c r="AI229">
        <v>215</v>
      </c>
      <c r="AJ229" s="77" t="str">
        <f t="shared" si="64"/>
        <v>MEXICO AEREO</v>
      </c>
      <c r="AK229" s="77">
        <f t="shared" si="64"/>
        <v>2185</v>
      </c>
      <c r="AL229" s="94">
        <v>0.90277777777777779</v>
      </c>
      <c r="AM229" s="95">
        <v>0.90972222222222221</v>
      </c>
      <c r="AN229" s="96">
        <v>6.9444444444444198E-3</v>
      </c>
      <c r="AO229" s="95">
        <v>0.92083333333333339</v>
      </c>
      <c r="AP229" s="96">
        <v>1.1111111111111183E-2</v>
      </c>
      <c r="AQ229" s="97">
        <v>41813</v>
      </c>
      <c r="AR229" s="77" t="str">
        <f t="shared" si="66"/>
        <v>Nacional</v>
      </c>
      <c r="AS229" s="77">
        <f t="shared" si="66"/>
        <v>8.8768115942028988E-3</v>
      </c>
      <c r="AT229" s="77">
        <f t="shared" si="66"/>
        <v>7.6388888888888982E-3</v>
      </c>
      <c r="AU229" s="77">
        <f t="shared" si="66"/>
        <v>1.6515700483091797E-2</v>
      </c>
      <c r="AV229" s="77" t="str">
        <f t="shared" si="66"/>
        <v>ER4</v>
      </c>
      <c r="AW229" s="77">
        <f t="shared" si="66"/>
        <v>50</v>
      </c>
      <c r="AX229" s="77" t="str">
        <f t="shared" si="66"/>
        <v>HMO</v>
      </c>
    </row>
    <row r="230" spans="1:50" x14ac:dyDescent="0.25">
      <c r="A230">
        <v>216</v>
      </c>
      <c r="B230" s="36" t="str">
        <f t="shared" si="72"/>
        <v>MEXICO AEREO</v>
      </c>
      <c r="C230" s="36">
        <f t="shared" si="72"/>
        <v>785</v>
      </c>
      <c r="D230" s="74">
        <v>0.22430555555555556</v>
      </c>
      <c r="E230" s="74">
        <v>0.22569444444444445</v>
      </c>
      <c r="F230" s="75">
        <v>1.388888888888884E-3</v>
      </c>
      <c r="G230" s="74">
        <v>0.25</v>
      </c>
      <c r="H230" s="75">
        <v>2.4305555555555552E-2</v>
      </c>
      <c r="I230" s="76">
        <v>41716</v>
      </c>
      <c r="J230" s="36" t="str">
        <f t="shared" si="73"/>
        <v>Internacional</v>
      </c>
      <c r="K230" s="36">
        <f t="shared" si="73"/>
        <v>1.2748015873015869E-2</v>
      </c>
      <c r="L230" s="36">
        <f t="shared" si="73"/>
        <v>2.4652777777777773E-2</v>
      </c>
      <c r="M230" s="36">
        <f t="shared" si="73"/>
        <v>3.7400793650793643E-2</v>
      </c>
      <c r="N230" s="36" t="str">
        <f t="shared" si="73"/>
        <v>B737-800</v>
      </c>
      <c r="O230" s="36">
        <f t="shared" si="73"/>
        <v>189</v>
      </c>
      <c r="P230" s="36" t="str">
        <f t="shared" si="73"/>
        <v>LAX</v>
      </c>
      <c r="R230">
        <v>216</v>
      </c>
      <c r="S230" s="36" t="str">
        <f t="shared" si="69"/>
        <v>MEXICO AEREO</v>
      </c>
      <c r="T230" s="36">
        <f t="shared" si="69"/>
        <v>2184</v>
      </c>
      <c r="U230" s="73">
        <v>0.375</v>
      </c>
      <c r="V230" s="74">
        <v>0.38194444444444442</v>
      </c>
      <c r="W230" s="75">
        <v>6.9444444444444198E-3</v>
      </c>
      <c r="X230" s="74">
        <v>0.3888888888888889</v>
      </c>
      <c r="Y230" s="75">
        <v>6.9444444444444753E-3</v>
      </c>
      <c r="Z230" s="76">
        <v>41743</v>
      </c>
      <c r="AA230" s="36" t="str">
        <f t="shared" si="70"/>
        <v>Nacional</v>
      </c>
      <c r="AB230" s="36">
        <f t="shared" si="70"/>
        <v>4.5524691358024777E-3</v>
      </c>
      <c r="AC230" s="36">
        <f t="shared" si="70"/>
        <v>5.5401234567901171E-3</v>
      </c>
      <c r="AD230" s="36">
        <f t="shared" si="70"/>
        <v>1.0092592592592594E-2</v>
      </c>
      <c r="AE230" s="36" t="str">
        <f t="shared" si="70"/>
        <v>ER4</v>
      </c>
      <c r="AF230" s="36">
        <f t="shared" si="70"/>
        <v>50</v>
      </c>
      <c r="AG230" s="36" t="str">
        <f t="shared" si="70"/>
        <v>MTV</v>
      </c>
      <c r="AI230">
        <v>216</v>
      </c>
      <c r="AJ230" s="77" t="str">
        <f t="shared" si="64"/>
        <v>MEXICO AEREO</v>
      </c>
      <c r="AK230" s="63">
        <v>2184</v>
      </c>
      <c r="AL230" s="64">
        <v>0.37222222222222223</v>
      </c>
      <c r="AM230" s="65">
        <v>0.37638888888888888</v>
      </c>
      <c r="AN230" s="66">
        <v>4.1666666666666519E-3</v>
      </c>
      <c r="AO230" s="65">
        <v>0.37986111111111115</v>
      </c>
      <c r="AP230" s="66">
        <v>3.4722222222222654E-3</v>
      </c>
      <c r="AQ230" s="67">
        <v>41792</v>
      </c>
      <c r="AR230" s="68" t="s">
        <v>22</v>
      </c>
      <c r="AS230" s="69">
        <v>8.4967320261437797E-3</v>
      </c>
      <c r="AT230" s="70">
        <v>7.843137254901952E-3</v>
      </c>
      <c r="AU230" s="70">
        <v>1.6339869281045732E-2</v>
      </c>
      <c r="AV230" s="71" t="s">
        <v>20</v>
      </c>
      <c r="AW230" s="71">
        <v>50</v>
      </c>
      <c r="AX230" s="72" t="s">
        <v>28</v>
      </c>
    </row>
    <row r="231" spans="1:50" x14ac:dyDescent="0.25">
      <c r="A231">
        <v>217</v>
      </c>
      <c r="B231" s="36" t="str">
        <f t="shared" si="72"/>
        <v>MEXICO AEREO</v>
      </c>
      <c r="C231" s="36">
        <f t="shared" si="72"/>
        <v>785</v>
      </c>
      <c r="D231" s="74">
        <v>0.16874999999999998</v>
      </c>
      <c r="E231" s="74">
        <v>0.21249999999999999</v>
      </c>
      <c r="F231" s="75">
        <v>4.3750000000000011E-2</v>
      </c>
      <c r="G231" s="74">
        <v>0.23958333333333334</v>
      </c>
      <c r="H231" s="75">
        <v>2.7083333333333348E-2</v>
      </c>
      <c r="I231" s="76">
        <v>41717</v>
      </c>
      <c r="J231" s="36" t="str">
        <f t="shared" si="73"/>
        <v>Internacional</v>
      </c>
      <c r="K231" s="36">
        <f t="shared" si="73"/>
        <v>1.2748015873015869E-2</v>
      </c>
      <c r="L231" s="36">
        <f t="shared" si="73"/>
        <v>2.4652777777777773E-2</v>
      </c>
      <c r="M231" s="36">
        <f t="shared" si="73"/>
        <v>3.7400793650793643E-2</v>
      </c>
      <c r="N231" s="36" t="str">
        <f t="shared" si="73"/>
        <v>B737-800</v>
      </c>
      <c r="O231" s="36">
        <f t="shared" si="73"/>
        <v>189</v>
      </c>
      <c r="P231" s="36" t="str">
        <f t="shared" si="73"/>
        <v>LAX</v>
      </c>
      <c r="R231">
        <v>217</v>
      </c>
      <c r="S231" s="36" t="str">
        <f t="shared" si="69"/>
        <v>MEXICO AEREO</v>
      </c>
      <c r="T231" s="36">
        <f t="shared" si="69"/>
        <v>2184</v>
      </c>
      <c r="U231" s="73">
        <v>0.3743055555555555</v>
      </c>
      <c r="V231" s="74">
        <v>0.37916666666666665</v>
      </c>
      <c r="W231" s="75">
        <v>4.8611111111111494E-3</v>
      </c>
      <c r="X231" s="74">
        <v>0.38472222222222219</v>
      </c>
      <c r="Y231" s="75">
        <v>5.5555555555555358E-3</v>
      </c>
      <c r="Z231" s="76">
        <v>41744</v>
      </c>
      <c r="AA231" s="36" t="str">
        <f t="shared" si="70"/>
        <v>Nacional</v>
      </c>
      <c r="AB231" s="36">
        <f t="shared" si="70"/>
        <v>4.5524691358024777E-3</v>
      </c>
      <c r="AC231" s="36">
        <f t="shared" si="70"/>
        <v>5.5401234567901171E-3</v>
      </c>
      <c r="AD231" s="36">
        <f t="shared" si="70"/>
        <v>1.0092592592592594E-2</v>
      </c>
      <c r="AE231" s="36" t="str">
        <f t="shared" si="70"/>
        <v>ER4</v>
      </c>
      <c r="AF231" s="36">
        <f t="shared" si="70"/>
        <v>50</v>
      </c>
      <c r="AG231" s="36" t="str">
        <f t="shared" si="70"/>
        <v>MTV</v>
      </c>
      <c r="AI231">
        <v>217</v>
      </c>
      <c r="AJ231" s="77" t="str">
        <f t="shared" si="64"/>
        <v>MEXICO AEREO</v>
      </c>
      <c r="AK231" s="77">
        <f t="shared" si="64"/>
        <v>2184</v>
      </c>
      <c r="AL231" s="78">
        <v>0.36041666666666666</v>
      </c>
      <c r="AM231" s="79">
        <v>0.36527777777777781</v>
      </c>
      <c r="AN231" s="80">
        <v>4.8611111111111494E-3</v>
      </c>
      <c r="AO231" s="79">
        <v>0.36805555555555558</v>
      </c>
      <c r="AP231" s="80">
        <v>2.7777777777777679E-3</v>
      </c>
      <c r="AQ231" s="81">
        <v>41793</v>
      </c>
      <c r="AR231" s="77" t="str">
        <f t="shared" ref="AR231:AX246" si="74">AR230</f>
        <v>Internacional</v>
      </c>
      <c r="AS231" s="77">
        <f t="shared" si="74"/>
        <v>8.4967320261437797E-3</v>
      </c>
      <c r="AT231" s="77">
        <f t="shared" si="74"/>
        <v>7.843137254901952E-3</v>
      </c>
      <c r="AU231" s="77">
        <f t="shared" si="74"/>
        <v>1.6339869281045732E-2</v>
      </c>
      <c r="AV231" s="77" t="str">
        <f t="shared" si="74"/>
        <v>ER4</v>
      </c>
      <c r="AW231" s="77">
        <f t="shared" si="74"/>
        <v>50</v>
      </c>
      <c r="AX231" s="77" t="str">
        <f t="shared" si="74"/>
        <v>MTY</v>
      </c>
    </row>
    <row r="232" spans="1:50" x14ac:dyDescent="0.25">
      <c r="A232">
        <v>218</v>
      </c>
      <c r="B232" s="36" t="str">
        <f t="shared" si="72"/>
        <v>MEXICO AEREO</v>
      </c>
      <c r="C232" s="36">
        <f t="shared" si="72"/>
        <v>785</v>
      </c>
      <c r="D232" s="74">
        <v>0.20694444444444446</v>
      </c>
      <c r="E232" s="74">
        <v>0.21388888888888891</v>
      </c>
      <c r="F232" s="75">
        <v>6.9444444444444475E-3</v>
      </c>
      <c r="G232" s="74">
        <v>0.22430555555555556</v>
      </c>
      <c r="H232" s="75">
        <v>1.0416666666666657E-2</v>
      </c>
      <c r="I232" s="76">
        <v>41719</v>
      </c>
      <c r="J232" s="36" t="str">
        <f t="shared" si="73"/>
        <v>Internacional</v>
      </c>
      <c r="K232" s="36">
        <f t="shared" si="73"/>
        <v>1.2748015873015869E-2</v>
      </c>
      <c r="L232" s="36">
        <f t="shared" si="73"/>
        <v>2.4652777777777773E-2</v>
      </c>
      <c r="M232" s="36">
        <f t="shared" si="73"/>
        <v>3.7400793650793643E-2</v>
      </c>
      <c r="N232" s="36" t="str">
        <f t="shared" si="73"/>
        <v>B737-800</v>
      </c>
      <c r="O232" s="36">
        <f t="shared" si="73"/>
        <v>189</v>
      </c>
      <c r="P232" s="36" t="str">
        <f t="shared" si="73"/>
        <v>LAX</v>
      </c>
      <c r="R232">
        <v>218</v>
      </c>
      <c r="S232" s="36" t="str">
        <f t="shared" si="69"/>
        <v>MEXICO AEREO</v>
      </c>
      <c r="T232" s="36">
        <f t="shared" si="69"/>
        <v>2184</v>
      </c>
      <c r="U232" s="73">
        <v>0.3756944444444445</v>
      </c>
      <c r="V232" s="74">
        <v>0.3833333333333333</v>
      </c>
      <c r="W232" s="75">
        <v>7.6388888888888062E-3</v>
      </c>
      <c r="X232" s="74">
        <v>0.38611111111111113</v>
      </c>
      <c r="Y232" s="75">
        <v>2.7777777777778234E-3</v>
      </c>
      <c r="Z232" s="76">
        <v>41745</v>
      </c>
      <c r="AA232" s="36" t="str">
        <f t="shared" si="70"/>
        <v>Nacional</v>
      </c>
      <c r="AB232" s="36">
        <f t="shared" si="70"/>
        <v>4.5524691358024777E-3</v>
      </c>
      <c r="AC232" s="36">
        <f t="shared" si="70"/>
        <v>5.5401234567901171E-3</v>
      </c>
      <c r="AD232" s="36">
        <f t="shared" si="70"/>
        <v>1.0092592592592594E-2</v>
      </c>
      <c r="AE232" s="36" t="str">
        <f t="shared" si="70"/>
        <v>ER4</v>
      </c>
      <c r="AF232" s="36">
        <f t="shared" si="70"/>
        <v>50</v>
      </c>
      <c r="AG232" s="36" t="str">
        <f t="shared" si="70"/>
        <v>MTV</v>
      </c>
      <c r="AI232">
        <v>218</v>
      </c>
      <c r="AJ232" s="77" t="str">
        <f t="shared" si="64"/>
        <v>MEXICO AEREO</v>
      </c>
      <c r="AK232" s="77">
        <f t="shared" si="64"/>
        <v>2184</v>
      </c>
      <c r="AL232" s="78">
        <v>0.3611111111111111</v>
      </c>
      <c r="AM232" s="79">
        <v>0.36458333333333331</v>
      </c>
      <c r="AN232" s="80">
        <v>3.4722222222222099E-3</v>
      </c>
      <c r="AO232" s="79">
        <v>0.36944444444444446</v>
      </c>
      <c r="AP232" s="80">
        <v>4.8611111111111494E-3</v>
      </c>
      <c r="AQ232" s="81">
        <v>41794</v>
      </c>
      <c r="AR232" s="77" t="str">
        <f t="shared" si="74"/>
        <v>Internacional</v>
      </c>
      <c r="AS232" s="77">
        <f t="shared" si="74"/>
        <v>8.4967320261437797E-3</v>
      </c>
      <c r="AT232" s="77">
        <f t="shared" si="74"/>
        <v>7.843137254901952E-3</v>
      </c>
      <c r="AU232" s="77">
        <f t="shared" si="74"/>
        <v>1.6339869281045732E-2</v>
      </c>
      <c r="AV232" s="77" t="str">
        <f t="shared" si="74"/>
        <v>ER4</v>
      </c>
      <c r="AW232" s="77">
        <f t="shared" si="74"/>
        <v>50</v>
      </c>
      <c r="AX232" s="77" t="str">
        <f t="shared" si="74"/>
        <v>MTY</v>
      </c>
    </row>
    <row r="233" spans="1:50" x14ac:dyDescent="0.25">
      <c r="A233">
        <v>219</v>
      </c>
      <c r="B233" s="36" t="str">
        <f t="shared" si="72"/>
        <v>MEXICO AEREO</v>
      </c>
      <c r="C233" s="36">
        <f t="shared" si="72"/>
        <v>785</v>
      </c>
      <c r="D233" s="74">
        <v>0.20625000000000002</v>
      </c>
      <c r="E233" s="74">
        <v>0.21944444444444444</v>
      </c>
      <c r="F233" s="75">
        <v>1.3194444444444425E-2</v>
      </c>
      <c r="G233" s="74">
        <v>0.25138888888888888</v>
      </c>
      <c r="H233" s="75">
        <v>3.1944444444444442E-2</v>
      </c>
      <c r="I233" s="76">
        <v>41719</v>
      </c>
      <c r="J233" s="36" t="str">
        <f t="shared" si="73"/>
        <v>Internacional</v>
      </c>
      <c r="K233" s="36">
        <f t="shared" si="73"/>
        <v>1.2748015873015869E-2</v>
      </c>
      <c r="L233" s="36">
        <f t="shared" si="73"/>
        <v>2.4652777777777773E-2</v>
      </c>
      <c r="M233" s="36">
        <f t="shared" si="73"/>
        <v>3.7400793650793643E-2</v>
      </c>
      <c r="N233" s="36" t="str">
        <f t="shared" si="73"/>
        <v>B737-800</v>
      </c>
      <c r="O233" s="36">
        <f t="shared" si="73"/>
        <v>189</v>
      </c>
      <c r="P233" s="36" t="str">
        <f t="shared" si="73"/>
        <v>LAX</v>
      </c>
      <c r="R233">
        <v>219</v>
      </c>
      <c r="S233" s="36" t="str">
        <f t="shared" si="69"/>
        <v>MEXICO AEREO</v>
      </c>
      <c r="T233" s="36">
        <f t="shared" si="69"/>
        <v>2184</v>
      </c>
      <c r="U233" s="73">
        <v>0.37083333333333335</v>
      </c>
      <c r="V233" s="74">
        <v>0.375</v>
      </c>
      <c r="W233" s="75">
        <v>4.1666666666666519E-3</v>
      </c>
      <c r="X233" s="74">
        <v>0.37916666666666665</v>
      </c>
      <c r="Y233" s="75">
        <v>4.1666666666666519E-3</v>
      </c>
      <c r="Z233" s="76">
        <v>41748</v>
      </c>
      <c r="AA233" s="36" t="str">
        <f t="shared" si="70"/>
        <v>Nacional</v>
      </c>
      <c r="AB233" s="36">
        <f t="shared" si="70"/>
        <v>4.5524691358024777E-3</v>
      </c>
      <c r="AC233" s="36">
        <f t="shared" si="70"/>
        <v>5.5401234567901171E-3</v>
      </c>
      <c r="AD233" s="36">
        <f t="shared" si="70"/>
        <v>1.0092592592592594E-2</v>
      </c>
      <c r="AE233" s="36" t="str">
        <f t="shared" si="70"/>
        <v>ER4</v>
      </c>
      <c r="AF233" s="36">
        <f t="shared" si="70"/>
        <v>50</v>
      </c>
      <c r="AG233" s="36" t="str">
        <f t="shared" si="70"/>
        <v>MTV</v>
      </c>
      <c r="AI233">
        <v>219</v>
      </c>
      <c r="AJ233" s="77" t="str">
        <f t="shared" si="64"/>
        <v>MEXICO AEREO</v>
      </c>
      <c r="AK233" s="77">
        <f t="shared" si="64"/>
        <v>2184</v>
      </c>
      <c r="AL233" s="78">
        <v>0.36319444444444443</v>
      </c>
      <c r="AM233" s="79">
        <v>0.36805555555555558</v>
      </c>
      <c r="AN233" s="80">
        <v>4.8611111111111494E-3</v>
      </c>
      <c r="AO233" s="79">
        <v>0.37291666666666662</v>
      </c>
      <c r="AP233" s="80">
        <v>4.8611111111110383E-3</v>
      </c>
      <c r="AQ233" s="81">
        <v>41795</v>
      </c>
      <c r="AR233" s="77" t="str">
        <f t="shared" si="74"/>
        <v>Internacional</v>
      </c>
      <c r="AS233" s="77">
        <f t="shared" si="74"/>
        <v>8.4967320261437797E-3</v>
      </c>
      <c r="AT233" s="77">
        <f t="shared" si="74"/>
        <v>7.843137254901952E-3</v>
      </c>
      <c r="AU233" s="77">
        <f t="shared" si="74"/>
        <v>1.6339869281045732E-2</v>
      </c>
      <c r="AV233" s="77" t="str">
        <f t="shared" si="74"/>
        <v>ER4</v>
      </c>
      <c r="AW233" s="77">
        <f t="shared" si="74"/>
        <v>50</v>
      </c>
      <c r="AX233" s="77" t="str">
        <f t="shared" si="74"/>
        <v>MTY</v>
      </c>
    </row>
    <row r="234" spans="1:50" x14ac:dyDescent="0.25">
      <c r="A234">
        <v>220</v>
      </c>
      <c r="B234" s="36" t="str">
        <f t="shared" si="72"/>
        <v>MEXICO AEREO</v>
      </c>
      <c r="C234" s="36">
        <f t="shared" si="72"/>
        <v>785</v>
      </c>
      <c r="D234" s="74">
        <v>0.21111111111111111</v>
      </c>
      <c r="E234" s="74">
        <v>0.22361111111111109</v>
      </c>
      <c r="F234" s="75">
        <v>1.2499999999999983E-2</v>
      </c>
      <c r="G234" s="74">
        <v>0.24583333333333335</v>
      </c>
      <c r="H234" s="75">
        <v>2.2222222222222254E-2</v>
      </c>
      <c r="I234" s="76">
        <v>41721</v>
      </c>
      <c r="J234" s="36" t="str">
        <f t="shared" si="73"/>
        <v>Internacional</v>
      </c>
      <c r="K234" s="36">
        <f t="shared" si="73"/>
        <v>1.2748015873015869E-2</v>
      </c>
      <c r="L234" s="36">
        <f t="shared" si="73"/>
        <v>2.4652777777777773E-2</v>
      </c>
      <c r="M234" s="36">
        <f t="shared" si="73"/>
        <v>3.7400793650793643E-2</v>
      </c>
      <c r="N234" s="36" t="str">
        <f t="shared" si="73"/>
        <v>B737-800</v>
      </c>
      <c r="O234" s="36">
        <f t="shared" si="73"/>
        <v>189</v>
      </c>
      <c r="P234" s="36" t="str">
        <f t="shared" si="73"/>
        <v>LAX</v>
      </c>
      <c r="R234">
        <v>220</v>
      </c>
      <c r="S234" s="36" t="str">
        <f t="shared" si="69"/>
        <v>MEXICO AEREO</v>
      </c>
      <c r="T234" s="36">
        <f t="shared" si="69"/>
        <v>2184</v>
      </c>
      <c r="U234" s="73">
        <v>0.38819444444444445</v>
      </c>
      <c r="V234" s="74">
        <v>0.39305555555555555</v>
      </c>
      <c r="W234" s="75">
        <v>4.8611111111110938E-3</v>
      </c>
      <c r="X234" s="74">
        <v>0.39999999999999997</v>
      </c>
      <c r="Y234" s="75">
        <v>6.9444444444444198E-3</v>
      </c>
      <c r="Z234" s="76">
        <v>41751</v>
      </c>
      <c r="AA234" s="36" t="str">
        <f t="shared" si="70"/>
        <v>Nacional</v>
      </c>
      <c r="AB234" s="36">
        <f t="shared" si="70"/>
        <v>4.5524691358024777E-3</v>
      </c>
      <c r="AC234" s="36">
        <f t="shared" si="70"/>
        <v>5.5401234567901171E-3</v>
      </c>
      <c r="AD234" s="36">
        <f t="shared" si="70"/>
        <v>1.0092592592592594E-2</v>
      </c>
      <c r="AE234" s="36" t="str">
        <f t="shared" si="70"/>
        <v>ER4</v>
      </c>
      <c r="AF234" s="36">
        <f t="shared" si="70"/>
        <v>50</v>
      </c>
      <c r="AG234" s="36" t="str">
        <f t="shared" si="70"/>
        <v>MTV</v>
      </c>
      <c r="AI234">
        <v>220</v>
      </c>
      <c r="AJ234" s="77" t="str">
        <f t="shared" si="64"/>
        <v>MEXICO AEREO</v>
      </c>
      <c r="AK234" s="77">
        <f t="shared" si="64"/>
        <v>2184</v>
      </c>
      <c r="AL234" s="78">
        <v>0.35486111111111113</v>
      </c>
      <c r="AM234" s="79">
        <v>0.3611111111111111</v>
      </c>
      <c r="AN234" s="80">
        <v>6.2499999999999778E-3</v>
      </c>
      <c r="AO234" s="79">
        <v>0.36736111111111108</v>
      </c>
      <c r="AP234" s="80">
        <v>6.2499999999999778E-3</v>
      </c>
      <c r="AQ234" s="81">
        <v>41796</v>
      </c>
      <c r="AR234" s="77" t="str">
        <f t="shared" si="74"/>
        <v>Internacional</v>
      </c>
      <c r="AS234" s="77">
        <f t="shared" si="74"/>
        <v>8.4967320261437797E-3</v>
      </c>
      <c r="AT234" s="77">
        <f t="shared" si="74"/>
        <v>7.843137254901952E-3</v>
      </c>
      <c r="AU234" s="77">
        <f t="shared" si="74"/>
        <v>1.6339869281045732E-2</v>
      </c>
      <c r="AV234" s="77" t="str">
        <f t="shared" si="74"/>
        <v>ER4</v>
      </c>
      <c r="AW234" s="77">
        <f t="shared" si="74"/>
        <v>50</v>
      </c>
      <c r="AX234" s="77" t="str">
        <f t="shared" si="74"/>
        <v>MTY</v>
      </c>
    </row>
    <row r="235" spans="1:50" x14ac:dyDescent="0.25">
      <c r="A235">
        <v>221</v>
      </c>
      <c r="B235" s="36" t="str">
        <f t="shared" si="72"/>
        <v>MEXICO AEREO</v>
      </c>
      <c r="C235" s="36">
        <f t="shared" si="72"/>
        <v>785</v>
      </c>
      <c r="D235" s="74">
        <v>0.20902777777777778</v>
      </c>
      <c r="E235" s="74">
        <v>0.21944444444444444</v>
      </c>
      <c r="F235" s="75">
        <v>1.0416666666666657E-2</v>
      </c>
      <c r="G235" s="74">
        <v>0.24861111111111112</v>
      </c>
      <c r="H235" s="75">
        <v>2.9166666666666674E-2</v>
      </c>
      <c r="I235" s="76">
        <v>41721</v>
      </c>
      <c r="J235" s="36" t="str">
        <f t="shared" si="73"/>
        <v>Internacional</v>
      </c>
      <c r="K235" s="36">
        <f t="shared" si="73"/>
        <v>1.2748015873015869E-2</v>
      </c>
      <c r="L235" s="36">
        <f t="shared" si="73"/>
        <v>2.4652777777777773E-2</v>
      </c>
      <c r="M235" s="36">
        <f t="shared" si="73"/>
        <v>3.7400793650793643E-2</v>
      </c>
      <c r="N235" s="36" t="str">
        <f t="shared" si="73"/>
        <v>B737-800</v>
      </c>
      <c r="O235" s="36">
        <f t="shared" si="73"/>
        <v>189</v>
      </c>
      <c r="P235" s="36" t="str">
        <f t="shared" si="73"/>
        <v>LAX</v>
      </c>
      <c r="R235">
        <v>221</v>
      </c>
      <c r="S235" s="36" t="str">
        <f t="shared" si="69"/>
        <v>MEXICO AEREO</v>
      </c>
      <c r="T235" s="36">
        <f t="shared" si="69"/>
        <v>2184</v>
      </c>
      <c r="U235" s="73">
        <v>0.37777777777777777</v>
      </c>
      <c r="V235" s="74">
        <v>0.38263888888888892</v>
      </c>
      <c r="W235" s="75">
        <v>4.8611111111111494E-3</v>
      </c>
      <c r="X235" s="74">
        <v>0.38541666666666669</v>
      </c>
      <c r="Y235" s="75">
        <v>2.7777777777777679E-3</v>
      </c>
      <c r="Z235" s="76">
        <v>41754</v>
      </c>
      <c r="AA235" s="36" t="str">
        <f t="shared" si="70"/>
        <v>Nacional</v>
      </c>
      <c r="AB235" s="36">
        <f t="shared" si="70"/>
        <v>4.5524691358024777E-3</v>
      </c>
      <c r="AC235" s="36">
        <f t="shared" si="70"/>
        <v>5.5401234567901171E-3</v>
      </c>
      <c r="AD235" s="36">
        <f t="shared" si="70"/>
        <v>1.0092592592592594E-2</v>
      </c>
      <c r="AE235" s="36" t="str">
        <f t="shared" si="70"/>
        <v>ER4</v>
      </c>
      <c r="AF235" s="36">
        <f t="shared" si="70"/>
        <v>50</v>
      </c>
      <c r="AG235" s="36" t="str">
        <f t="shared" si="70"/>
        <v>MTV</v>
      </c>
      <c r="AI235">
        <v>221</v>
      </c>
      <c r="AJ235" s="77" t="str">
        <f t="shared" si="64"/>
        <v>MEXICO AEREO</v>
      </c>
      <c r="AK235" s="77">
        <f t="shared" si="64"/>
        <v>2184</v>
      </c>
      <c r="AL235" s="78">
        <v>0.94444444444444453</v>
      </c>
      <c r="AM235" s="79">
        <v>0.94791666666666663</v>
      </c>
      <c r="AN235" s="80">
        <v>3.4722222222220989E-3</v>
      </c>
      <c r="AO235" s="79">
        <v>0.9590277777777777</v>
      </c>
      <c r="AP235" s="80">
        <v>1.1111111111111072E-2</v>
      </c>
      <c r="AQ235" s="81">
        <v>41801</v>
      </c>
      <c r="AR235" s="77" t="str">
        <f t="shared" si="74"/>
        <v>Internacional</v>
      </c>
      <c r="AS235" s="77">
        <f t="shared" si="74"/>
        <v>8.4967320261437797E-3</v>
      </c>
      <c r="AT235" s="77">
        <f t="shared" si="74"/>
        <v>7.843137254901952E-3</v>
      </c>
      <c r="AU235" s="77">
        <f t="shared" si="74"/>
        <v>1.6339869281045732E-2</v>
      </c>
      <c r="AV235" s="77" t="str">
        <f t="shared" si="74"/>
        <v>ER4</v>
      </c>
      <c r="AW235" s="77">
        <f t="shared" si="74"/>
        <v>50</v>
      </c>
      <c r="AX235" s="77" t="str">
        <f t="shared" si="74"/>
        <v>MTY</v>
      </c>
    </row>
    <row r="236" spans="1:50" x14ac:dyDescent="0.25">
      <c r="A236">
        <v>222</v>
      </c>
      <c r="B236" s="36" t="str">
        <f t="shared" si="72"/>
        <v>MEXICO AEREO</v>
      </c>
      <c r="C236" s="36">
        <f t="shared" si="72"/>
        <v>785</v>
      </c>
      <c r="D236" s="74">
        <v>0.25416666666666665</v>
      </c>
      <c r="E236" s="74">
        <v>0.26319444444444445</v>
      </c>
      <c r="F236" s="75">
        <v>9.0277777777778012E-3</v>
      </c>
      <c r="G236" s="74">
        <v>0.27499999999999997</v>
      </c>
      <c r="H236" s="75">
        <v>1.1805555555555514E-2</v>
      </c>
      <c r="I236" s="76">
        <v>41723</v>
      </c>
      <c r="J236" s="36" t="str">
        <f t="shared" si="73"/>
        <v>Internacional</v>
      </c>
      <c r="K236" s="36">
        <f t="shared" si="73"/>
        <v>1.2748015873015869E-2</v>
      </c>
      <c r="L236" s="36">
        <f t="shared" si="73"/>
        <v>2.4652777777777773E-2</v>
      </c>
      <c r="M236" s="36">
        <f t="shared" si="73"/>
        <v>3.7400793650793643E-2</v>
      </c>
      <c r="N236" s="36" t="str">
        <f t="shared" si="73"/>
        <v>B737-800</v>
      </c>
      <c r="O236" s="36">
        <f t="shared" si="73"/>
        <v>189</v>
      </c>
      <c r="P236" s="36" t="str">
        <f t="shared" si="73"/>
        <v>LAX</v>
      </c>
      <c r="R236">
        <v>222</v>
      </c>
      <c r="S236" s="36" t="str">
        <f t="shared" si="69"/>
        <v>MEXICO AEREO</v>
      </c>
      <c r="T236" s="36">
        <f t="shared" si="69"/>
        <v>2184</v>
      </c>
      <c r="U236" s="73">
        <v>0.38472222222222219</v>
      </c>
      <c r="V236" s="74">
        <v>0.39097222222222222</v>
      </c>
      <c r="W236" s="75">
        <v>6.2500000000000333E-3</v>
      </c>
      <c r="X236" s="74">
        <v>0.39305555555555555</v>
      </c>
      <c r="Y236" s="75">
        <v>2.0833333333333259E-3</v>
      </c>
      <c r="Z236" s="76">
        <v>41757</v>
      </c>
      <c r="AA236" s="36" t="str">
        <f t="shared" si="70"/>
        <v>Nacional</v>
      </c>
      <c r="AB236" s="36">
        <f t="shared" si="70"/>
        <v>4.5524691358024777E-3</v>
      </c>
      <c r="AC236" s="36">
        <f t="shared" si="70"/>
        <v>5.5401234567901171E-3</v>
      </c>
      <c r="AD236" s="36">
        <f t="shared" si="70"/>
        <v>1.0092592592592594E-2</v>
      </c>
      <c r="AE236" s="36" t="str">
        <f t="shared" si="70"/>
        <v>ER4</v>
      </c>
      <c r="AF236" s="36">
        <f t="shared" si="70"/>
        <v>50</v>
      </c>
      <c r="AG236" s="36" t="str">
        <f t="shared" si="70"/>
        <v>MTV</v>
      </c>
      <c r="AI236">
        <v>222</v>
      </c>
      <c r="AJ236" s="77" t="str">
        <f t="shared" si="64"/>
        <v>MEXICO AEREO</v>
      </c>
      <c r="AK236" s="77">
        <f t="shared" si="64"/>
        <v>2184</v>
      </c>
      <c r="AL236" s="78">
        <v>0.96180555555555547</v>
      </c>
      <c r="AM236" s="79">
        <v>0.97083333333333333</v>
      </c>
      <c r="AN236" s="80">
        <v>9.0277777777778567E-3</v>
      </c>
      <c r="AO236" s="79">
        <v>0.97222222222222221</v>
      </c>
      <c r="AP236" s="80">
        <v>1.388888888888884E-3</v>
      </c>
      <c r="AQ236" s="81">
        <v>41801</v>
      </c>
      <c r="AR236" s="77" t="str">
        <f t="shared" si="74"/>
        <v>Internacional</v>
      </c>
      <c r="AS236" s="77">
        <f t="shared" si="74"/>
        <v>8.4967320261437797E-3</v>
      </c>
      <c r="AT236" s="77">
        <f t="shared" si="74"/>
        <v>7.843137254901952E-3</v>
      </c>
      <c r="AU236" s="77">
        <f t="shared" si="74"/>
        <v>1.6339869281045732E-2</v>
      </c>
      <c r="AV236" s="77" t="str">
        <f t="shared" si="74"/>
        <v>ER4</v>
      </c>
      <c r="AW236" s="77">
        <f t="shared" si="74"/>
        <v>50</v>
      </c>
      <c r="AX236" s="77" t="str">
        <f t="shared" si="74"/>
        <v>MTY</v>
      </c>
    </row>
    <row r="237" spans="1:50" x14ac:dyDescent="0.25">
      <c r="A237">
        <v>223</v>
      </c>
      <c r="B237" s="36" t="str">
        <f t="shared" si="72"/>
        <v>MEXICO AEREO</v>
      </c>
      <c r="C237" s="36">
        <f t="shared" si="72"/>
        <v>785</v>
      </c>
      <c r="D237" s="74">
        <v>0.19652777777777777</v>
      </c>
      <c r="E237" s="74">
        <v>0.20416666666666669</v>
      </c>
      <c r="F237" s="75">
        <v>7.6388888888889173E-3</v>
      </c>
      <c r="G237" s="74">
        <v>0.23541666666666669</v>
      </c>
      <c r="H237" s="75">
        <v>3.125E-2</v>
      </c>
      <c r="I237" s="76">
        <v>41724</v>
      </c>
      <c r="J237" s="36" t="str">
        <f t="shared" si="73"/>
        <v>Internacional</v>
      </c>
      <c r="K237" s="36">
        <f t="shared" si="73"/>
        <v>1.2748015873015869E-2</v>
      </c>
      <c r="L237" s="36">
        <f t="shared" si="73"/>
        <v>2.4652777777777773E-2</v>
      </c>
      <c r="M237" s="36">
        <f t="shared" si="73"/>
        <v>3.7400793650793643E-2</v>
      </c>
      <c r="N237" s="36" t="str">
        <f t="shared" si="73"/>
        <v>B737-800</v>
      </c>
      <c r="O237" s="36">
        <f t="shared" si="73"/>
        <v>189</v>
      </c>
      <c r="P237" s="36" t="str">
        <f t="shared" si="73"/>
        <v>LAX</v>
      </c>
      <c r="R237">
        <v>223</v>
      </c>
      <c r="S237" s="36" t="str">
        <f t="shared" si="69"/>
        <v>MEXICO AEREO</v>
      </c>
      <c r="T237" s="36">
        <f t="shared" si="69"/>
        <v>2184</v>
      </c>
      <c r="U237" s="73">
        <v>0.38541666666666669</v>
      </c>
      <c r="V237" s="74">
        <v>0.3888888888888889</v>
      </c>
      <c r="W237" s="75">
        <v>3.4722222222222099E-3</v>
      </c>
      <c r="X237" s="74">
        <v>0.39513888888888887</v>
      </c>
      <c r="Y237" s="75">
        <v>6.2499999999999778E-3</v>
      </c>
      <c r="Z237" s="76">
        <v>41758</v>
      </c>
      <c r="AA237" s="36" t="str">
        <f t="shared" si="70"/>
        <v>Nacional</v>
      </c>
      <c r="AB237" s="36">
        <f t="shared" si="70"/>
        <v>4.5524691358024777E-3</v>
      </c>
      <c r="AC237" s="36">
        <f t="shared" si="70"/>
        <v>5.5401234567901171E-3</v>
      </c>
      <c r="AD237" s="36">
        <f t="shared" si="70"/>
        <v>1.0092592592592594E-2</v>
      </c>
      <c r="AE237" s="36" t="str">
        <f t="shared" si="70"/>
        <v>ER4</v>
      </c>
      <c r="AF237" s="36">
        <f t="shared" si="70"/>
        <v>50</v>
      </c>
      <c r="AG237" s="36" t="str">
        <f t="shared" si="70"/>
        <v>MTV</v>
      </c>
      <c r="AI237">
        <v>223</v>
      </c>
      <c r="AJ237" s="77" t="str">
        <f t="shared" si="64"/>
        <v>MEXICO AEREO</v>
      </c>
      <c r="AK237" s="77">
        <f t="shared" si="64"/>
        <v>2184</v>
      </c>
      <c r="AL237" s="78">
        <v>0.25069444444444444</v>
      </c>
      <c r="AM237" s="79">
        <v>0.25555555555555559</v>
      </c>
      <c r="AN237" s="80">
        <v>4.8611111111111494E-3</v>
      </c>
      <c r="AO237" s="79">
        <v>0.26250000000000001</v>
      </c>
      <c r="AP237" s="80">
        <v>6.9444444444444198E-3</v>
      </c>
      <c r="AQ237" s="81">
        <v>41802</v>
      </c>
      <c r="AR237" s="77" t="str">
        <f t="shared" si="74"/>
        <v>Internacional</v>
      </c>
      <c r="AS237" s="77">
        <f t="shared" si="74"/>
        <v>8.4967320261437797E-3</v>
      </c>
      <c r="AT237" s="77">
        <f t="shared" si="74"/>
        <v>7.843137254901952E-3</v>
      </c>
      <c r="AU237" s="77">
        <f t="shared" si="74"/>
        <v>1.6339869281045732E-2</v>
      </c>
      <c r="AV237" s="77" t="str">
        <f t="shared" si="74"/>
        <v>ER4</v>
      </c>
      <c r="AW237" s="77">
        <f t="shared" si="74"/>
        <v>50</v>
      </c>
      <c r="AX237" s="77" t="str">
        <f t="shared" si="74"/>
        <v>MTY</v>
      </c>
    </row>
    <row r="238" spans="1:50" ht="15.75" thickBot="1" x14ac:dyDescent="0.3">
      <c r="A238">
        <v>224</v>
      </c>
      <c r="B238" s="36" t="str">
        <f t="shared" si="72"/>
        <v>MEXICO AEREO</v>
      </c>
      <c r="C238" s="36">
        <f t="shared" si="72"/>
        <v>785</v>
      </c>
      <c r="D238" s="74">
        <v>0.2076388888888889</v>
      </c>
      <c r="E238" s="74">
        <v>0.22083333333333333</v>
      </c>
      <c r="F238" s="75">
        <v>1.3194444444444425E-2</v>
      </c>
      <c r="G238" s="74">
        <v>0.25486111111111109</v>
      </c>
      <c r="H238" s="75">
        <v>3.4027777777777768E-2</v>
      </c>
      <c r="I238" s="76">
        <v>41724</v>
      </c>
      <c r="J238" s="36" t="str">
        <f t="shared" si="73"/>
        <v>Internacional</v>
      </c>
      <c r="K238" s="36">
        <f t="shared" si="73"/>
        <v>1.2748015873015869E-2</v>
      </c>
      <c r="L238" s="36">
        <f t="shared" si="73"/>
        <v>2.4652777777777773E-2</v>
      </c>
      <c r="M238" s="36">
        <f t="shared" si="73"/>
        <v>3.7400793650793643E-2</v>
      </c>
      <c r="N238" s="36" t="str">
        <f t="shared" si="73"/>
        <v>B737-800</v>
      </c>
      <c r="O238" s="36">
        <f t="shared" si="73"/>
        <v>189</v>
      </c>
      <c r="P238" s="36" t="str">
        <f t="shared" si="73"/>
        <v>LAX</v>
      </c>
      <c r="R238">
        <v>224</v>
      </c>
      <c r="S238" s="36" t="str">
        <f t="shared" si="69"/>
        <v>MEXICO AEREO</v>
      </c>
      <c r="T238" s="36">
        <f t="shared" si="69"/>
        <v>2184</v>
      </c>
      <c r="U238" s="83">
        <v>0.34652777777777777</v>
      </c>
      <c r="V238" s="84">
        <v>0.34722222222222227</v>
      </c>
      <c r="W238" s="85">
        <v>6.9444444444449749E-4</v>
      </c>
      <c r="X238" s="84">
        <v>0.35694444444444445</v>
      </c>
      <c r="Y238" s="85">
        <v>9.7222222222221877E-3</v>
      </c>
      <c r="Z238" s="86">
        <v>41732</v>
      </c>
      <c r="AA238" s="36" t="str">
        <f t="shared" si="70"/>
        <v>Nacional</v>
      </c>
      <c r="AB238" s="36">
        <f t="shared" si="70"/>
        <v>4.5524691358024777E-3</v>
      </c>
      <c r="AC238" s="36">
        <f t="shared" si="70"/>
        <v>5.5401234567901171E-3</v>
      </c>
      <c r="AD238" s="36">
        <f t="shared" si="70"/>
        <v>1.0092592592592594E-2</v>
      </c>
      <c r="AE238" s="36" t="str">
        <f t="shared" si="70"/>
        <v>ER4</v>
      </c>
      <c r="AF238" s="36">
        <f t="shared" si="70"/>
        <v>50</v>
      </c>
      <c r="AG238" s="36" t="str">
        <f t="shared" si="70"/>
        <v>MTV</v>
      </c>
      <c r="AI238">
        <v>224</v>
      </c>
      <c r="AJ238" s="77" t="str">
        <f t="shared" si="64"/>
        <v>MEXICO AEREO</v>
      </c>
      <c r="AK238" s="77">
        <f t="shared" si="64"/>
        <v>2184</v>
      </c>
      <c r="AL238" s="78">
        <v>0.68472222222222223</v>
      </c>
      <c r="AM238" s="79">
        <v>0.70347222222222217</v>
      </c>
      <c r="AN238" s="80">
        <v>1.8749999999999933E-2</v>
      </c>
      <c r="AO238" s="79">
        <v>0.70833333333333337</v>
      </c>
      <c r="AP238" s="80">
        <v>4.8611111111112049E-3</v>
      </c>
      <c r="AQ238" s="81">
        <v>41803</v>
      </c>
      <c r="AR238" s="77" t="str">
        <f t="shared" si="74"/>
        <v>Internacional</v>
      </c>
      <c r="AS238" s="77">
        <f t="shared" si="74"/>
        <v>8.4967320261437797E-3</v>
      </c>
      <c r="AT238" s="77">
        <f t="shared" si="74"/>
        <v>7.843137254901952E-3</v>
      </c>
      <c r="AU238" s="77">
        <f t="shared" si="74"/>
        <v>1.6339869281045732E-2</v>
      </c>
      <c r="AV238" s="77" t="str">
        <f t="shared" si="74"/>
        <v>ER4</v>
      </c>
      <c r="AW238" s="77">
        <f t="shared" si="74"/>
        <v>50</v>
      </c>
      <c r="AX238" s="77" t="str">
        <f t="shared" si="74"/>
        <v>MTY</v>
      </c>
    </row>
    <row r="239" spans="1:50" x14ac:dyDescent="0.25">
      <c r="A239">
        <v>225</v>
      </c>
      <c r="B239" s="36" t="str">
        <f t="shared" si="72"/>
        <v>MEXICO AEREO</v>
      </c>
      <c r="C239" s="36">
        <f t="shared" si="72"/>
        <v>785</v>
      </c>
      <c r="D239" s="74">
        <v>0.21458333333333335</v>
      </c>
      <c r="E239" s="74">
        <v>0.22569444444444445</v>
      </c>
      <c r="F239" s="75">
        <v>1.1111111111111099E-2</v>
      </c>
      <c r="G239" s="74">
        <v>0.26250000000000001</v>
      </c>
      <c r="H239" s="75">
        <v>3.6805555555555564E-2</v>
      </c>
      <c r="I239" s="76">
        <v>41725</v>
      </c>
      <c r="J239" s="36" t="str">
        <f t="shared" si="73"/>
        <v>Internacional</v>
      </c>
      <c r="K239" s="36">
        <f t="shared" si="73"/>
        <v>1.2748015873015869E-2</v>
      </c>
      <c r="L239" s="36">
        <f t="shared" si="73"/>
        <v>2.4652777777777773E-2</v>
      </c>
      <c r="M239" s="36">
        <f t="shared" si="73"/>
        <v>3.7400793650793643E-2</v>
      </c>
      <c r="N239" s="36" t="str">
        <f t="shared" si="73"/>
        <v>B737-800</v>
      </c>
      <c r="O239" s="36">
        <f t="shared" si="73"/>
        <v>189</v>
      </c>
      <c r="P239" s="36" t="str">
        <f t="shared" si="73"/>
        <v>LAX</v>
      </c>
      <c r="R239">
        <v>225</v>
      </c>
      <c r="S239" s="36" t="str">
        <f t="shared" si="69"/>
        <v>MEXICO AEREO</v>
      </c>
      <c r="T239" s="55">
        <v>2127</v>
      </c>
      <c r="U239" s="56">
        <v>0.90833333333333333</v>
      </c>
      <c r="V239" s="57">
        <v>0.91666666666666663</v>
      </c>
      <c r="W239" s="58">
        <v>8.3333333333333037E-3</v>
      </c>
      <c r="X239" s="57">
        <v>0.92013888888888884</v>
      </c>
      <c r="Y239" s="58">
        <v>3.4722222222222099E-3</v>
      </c>
      <c r="Z239" s="59">
        <v>41736</v>
      </c>
      <c r="AA239" s="60" t="s">
        <v>19</v>
      </c>
      <c r="AB239" s="61">
        <v>1.0455246913580265E-2</v>
      </c>
      <c r="AC239" s="61">
        <v>5.0925925925925869E-3</v>
      </c>
      <c r="AD239" s="62">
        <v>1.5547839506172851E-2</v>
      </c>
      <c r="AE239" s="132" t="s">
        <v>20</v>
      </c>
      <c r="AF239" s="133">
        <v>50</v>
      </c>
      <c r="AG239" s="132" t="s">
        <v>35</v>
      </c>
      <c r="AI239">
        <v>225</v>
      </c>
      <c r="AJ239" s="77" t="str">
        <f t="shared" si="64"/>
        <v>MEXICO AEREO</v>
      </c>
      <c r="AK239" s="77">
        <f t="shared" si="64"/>
        <v>2184</v>
      </c>
      <c r="AL239" s="78">
        <v>0.83819444444444446</v>
      </c>
      <c r="AM239" s="79">
        <v>0.84652777777777777</v>
      </c>
      <c r="AN239" s="80">
        <v>8.3333333333333037E-3</v>
      </c>
      <c r="AO239" s="79">
        <v>0.85625000000000007</v>
      </c>
      <c r="AP239" s="80">
        <v>9.7222222222222987E-3</v>
      </c>
      <c r="AQ239" s="81">
        <v>41804</v>
      </c>
      <c r="AR239" s="77" t="str">
        <f t="shared" si="74"/>
        <v>Internacional</v>
      </c>
      <c r="AS239" s="77">
        <f t="shared" si="74"/>
        <v>8.4967320261437797E-3</v>
      </c>
      <c r="AT239" s="77">
        <f t="shared" si="74"/>
        <v>7.843137254901952E-3</v>
      </c>
      <c r="AU239" s="77">
        <f t="shared" si="74"/>
        <v>1.6339869281045732E-2</v>
      </c>
      <c r="AV239" s="77" t="str">
        <f t="shared" si="74"/>
        <v>ER4</v>
      </c>
      <c r="AW239" s="77">
        <f t="shared" si="74"/>
        <v>50</v>
      </c>
      <c r="AX239" s="77" t="str">
        <f t="shared" si="74"/>
        <v>MTY</v>
      </c>
    </row>
    <row r="240" spans="1:50" x14ac:dyDescent="0.25">
      <c r="A240">
        <v>226</v>
      </c>
      <c r="B240" s="36" t="str">
        <f t="shared" si="72"/>
        <v>MEXICO AEREO</v>
      </c>
      <c r="C240" s="36">
        <f t="shared" si="72"/>
        <v>785</v>
      </c>
      <c r="D240" s="74">
        <v>0.19930555555555554</v>
      </c>
      <c r="E240" s="74">
        <v>0.21180555555555555</v>
      </c>
      <c r="F240" s="75">
        <v>1.2500000000000011E-2</v>
      </c>
      <c r="G240" s="74">
        <v>0.23472222222222219</v>
      </c>
      <c r="H240" s="75">
        <v>2.2916666666666641E-2</v>
      </c>
      <c r="I240" s="76">
        <v>41727</v>
      </c>
      <c r="J240" s="36" t="str">
        <f t="shared" si="73"/>
        <v>Internacional</v>
      </c>
      <c r="K240" s="36">
        <f t="shared" si="73"/>
        <v>1.2748015873015869E-2</v>
      </c>
      <c r="L240" s="36">
        <f t="shared" si="73"/>
        <v>2.4652777777777773E-2</v>
      </c>
      <c r="M240" s="36">
        <f t="shared" si="73"/>
        <v>3.7400793650793643E-2</v>
      </c>
      <c r="N240" s="36" t="str">
        <f t="shared" si="73"/>
        <v>B737-800</v>
      </c>
      <c r="O240" s="36">
        <f t="shared" si="73"/>
        <v>189</v>
      </c>
      <c r="P240" s="36" t="str">
        <f t="shared" si="73"/>
        <v>LAX</v>
      </c>
      <c r="R240">
        <v>226</v>
      </c>
      <c r="S240" s="36" t="str">
        <f t="shared" si="69"/>
        <v>MEXICO AEREO</v>
      </c>
      <c r="T240" s="36">
        <f t="shared" si="69"/>
        <v>2127</v>
      </c>
      <c r="U240" s="73">
        <v>0.91527777777777775</v>
      </c>
      <c r="V240" s="74">
        <v>0.92013888888888884</v>
      </c>
      <c r="W240" s="75">
        <v>4.8611111111110938E-3</v>
      </c>
      <c r="X240" s="74">
        <v>0.92361111111111116</v>
      </c>
      <c r="Y240" s="75">
        <v>3.4722222222223209E-3</v>
      </c>
      <c r="Z240" s="76">
        <v>41736</v>
      </c>
      <c r="AA240" s="36" t="str">
        <f t="shared" ref="AA240:AG256" si="75">AA239</f>
        <v>Nacional</v>
      </c>
      <c r="AB240" s="36">
        <f t="shared" si="75"/>
        <v>1.0455246913580265E-2</v>
      </c>
      <c r="AC240" s="36">
        <f t="shared" si="75"/>
        <v>5.0925925925925869E-3</v>
      </c>
      <c r="AD240" s="36">
        <f t="shared" si="75"/>
        <v>1.5547839506172851E-2</v>
      </c>
      <c r="AE240" s="36" t="str">
        <f t="shared" si="75"/>
        <v>ER4</v>
      </c>
      <c r="AF240" s="36">
        <f t="shared" si="75"/>
        <v>50</v>
      </c>
      <c r="AG240" s="36" t="str">
        <f t="shared" si="75"/>
        <v>CUL</v>
      </c>
      <c r="AI240">
        <v>226</v>
      </c>
      <c r="AJ240" s="77" t="str">
        <f t="shared" si="64"/>
        <v>MEXICO AEREO</v>
      </c>
      <c r="AK240" s="77">
        <f t="shared" si="64"/>
        <v>2184</v>
      </c>
      <c r="AL240" s="78">
        <v>0.82777777777777783</v>
      </c>
      <c r="AM240" s="79">
        <v>0.83888888888888891</v>
      </c>
      <c r="AN240" s="80">
        <v>1.1111111111111072E-2</v>
      </c>
      <c r="AO240" s="79">
        <v>0.84930555555555554</v>
      </c>
      <c r="AP240" s="80">
        <v>1.041666666666663E-2</v>
      </c>
      <c r="AQ240" s="81">
        <v>41806</v>
      </c>
      <c r="AR240" s="77" t="str">
        <f t="shared" si="74"/>
        <v>Internacional</v>
      </c>
      <c r="AS240" s="77">
        <f t="shared" si="74"/>
        <v>8.4967320261437797E-3</v>
      </c>
      <c r="AT240" s="77">
        <f t="shared" si="74"/>
        <v>7.843137254901952E-3</v>
      </c>
      <c r="AU240" s="77">
        <f t="shared" si="74"/>
        <v>1.6339869281045732E-2</v>
      </c>
      <c r="AV240" s="77" t="str">
        <f t="shared" si="74"/>
        <v>ER4</v>
      </c>
      <c r="AW240" s="77">
        <f t="shared" si="74"/>
        <v>50</v>
      </c>
      <c r="AX240" s="77" t="str">
        <f t="shared" si="74"/>
        <v>MTY</v>
      </c>
    </row>
    <row r="241" spans="1:50" ht="15.75" thickBot="1" x14ac:dyDescent="0.3">
      <c r="A241">
        <v>227</v>
      </c>
      <c r="B241" s="36" t="str">
        <f t="shared" si="72"/>
        <v>MEXICO AEREO</v>
      </c>
      <c r="C241" s="36">
        <f t="shared" si="72"/>
        <v>785</v>
      </c>
      <c r="D241" s="84">
        <v>0.20625000000000002</v>
      </c>
      <c r="E241" s="84">
        <v>0.21666666666666667</v>
      </c>
      <c r="F241" s="85">
        <v>1.0416666666666657E-2</v>
      </c>
      <c r="G241" s="84">
        <v>0.24861111111111112</v>
      </c>
      <c r="H241" s="85">
        <v>3.1944444444444442E-2</v>
      </c>
      <c r="I241" s="86">
        <v>41728</v>
      </c>
      <c r="J241" s="36" t="str">
        <f t="shared" si="73"/>
        <v>Internacional</v>
      </c>
      <c r="K241" s="36">
        <f t="shared" si="73"/>
        <v>1.2748015873015869E-2</v>
      </c>
      <c r="L241" s="36">
        <f t="shared" si="73"/>
        <v>2.4652777777777773E-2</v>
      </c>
      <c r="M241" s="36">
        <f t="shared" si="73"/>
        <v>3.7400793650793643E-2</v>
      </c>
      <c r="N241" s="36" t="str">
        <f t="shared" si="73"/>
        <v>B737-800</v>
      </c>
      <c r="O241" s="36">
        <f t="shared" si="73"/>
        <v>189</v>
      </c>
      <c r="P241" s="36" t="str">
        <f t="shared" si="73"/>
        <v>LAX</v>
      </c>
      <c r="R241">
        <v>227</v>
      </c>
      <c r="S241" s="36" t="str">
        <f t="shared" si="69"/>
        <v>MEXICO AEREO</v>
      </c>
      <c r="T241" s="36">
        <f t="shared" si="69"/>
        <v>2127</v>
      </c>
      <c r="U241" s="73">
        <v>0.93402777777777779</v>
      </c>
      <c r="V241" s="74">
        <v>0.94236111111111109</v>
      </c>
      <c r="W241" s="75">
        <v>8.3333333333333037E-3</v>
      </c>
      <c r="X241" s="74">
        <v>0.94652777777777775</v>
      </c>
      <c r="Y241" s="75">
        <v>4.1666666666666519E-3</v>
      </c>
      <c r="Z241" s="76">
        <v>41738</v>
      </c>
      <c r="AA241" s="36" t="str">
        <f t="shared" si="75"/>
        <v>Nacional</v>
      </c>
      <c r="AB241" s="36">
        <f t="shared" si="75"/>
        <v>1.0455246913580265E-2</v>
      </c>
      <c r="AC241" s="36">
        <f t="shared" si="75"/>
        <v>5.0925925925925869E-3</v>
      </c>
      <c r="AD241" s="36">
        <f t="shared" si="75"/>
        <v>1.5547839506172851E-2</v>
      </c>
      <c r="AE241" s="36" t="str">
        <f t="shared" si="75"/>
        <v>ER4</v>
      </c>
      <c r="AF241" s="36">
        <f t="shared" si="75"/>
        <v>50</v>
      </c>
      <c r="AG241" s="36" t="str">
        <f t="shared" si="75"/>
        <v>CUL</v>
      </c>
      <c r="AI241">
        <v>227</v>
      </c>
      <c r="AJ241" s="77" t="str">
        <f t="shared" si="64"/>
        <v>MEXICO AEREO</v>
      </c>
      <c r="AK241" s="77">
        <f t="shared" si="64"/>
        <v>2184</v>
      </c>
      <c r="AL241" s="78">
        <v>0.90972222222222221</v>
      </c>
      <c r="AM241" s="79">
        <v>0.92222222222222217</v>
      </c>
      <c r="AN241" s="80">
        <v>1.2499999999999956E-2</v>
      </c>
      <c r="AO241" s="79">
        <v>0.93541666666666667</v>
      </c>
      <c r="AP241" s="80">
        <v>1.3194444444444509E-2</v>
      </c>
      <c r="AQ241" s="81">
        <v>41807</v>
      </c>
      <c r="AR241" s="77" t="str">
        <f t="shared" si="74"/>
        <v>Internacional</v>
      </c>
      <c r="AS241" s="77">
        <f t="shared" si="74"/>
        <v>8.4967320261437797E-3</v>
      </c>
      <c r="AT241" s="77">
        <f t="shared" si="74"/>
        <v>7.843137254901952E-3</v>
      </c>
      <c r="AU241" s="77">
        <f t="shared" si="74"/>
        <v>1.6339869281045732E-2</v>
      </c>
      <c r="AV241" s="77" t="str">
        <f t="shared" si="74"/>
        <v>ER4</v>
      </c>
      <c r="AW241" s="77">
        <f t="shared" si="74"/>
        <v>50</v>
      </c>
      <c r="AX241" s="77" t="str">
        <f t="shared" si="74"/>
        <v>MTY</v>
      </c>
    </row>
    <row r="242" spans="1:50" x14ac:dyDescent="0.25">
      <c r="A242">
        <v>228</v>
      </c>
      <c r="B242" s="36" t="str">
        <f t="shared" si="72"/>
        <v>MEXICO AEREO</v>
      </c>
      <c r="C242" s="88">
        <v>783</v>
      </c>
      <c r="D242" s="57">
        <v>0.6791666666666667</v>
      </c>
      <c r="E242" s="57">
        <v>0.68819444444444444</v>
      </c>
      <c r="F242" s="58">
        <v>9.0277777777777457E-3</v>
      </c>
      <c r="G242" s="57">
        <v>0.70347222222222217</v>
      </c>
      <c r="H242" s="58">
        <v>1.5277777777777724E-2</v>
      </c>
      <c r="I242" s="59">
        <v>41717</v>
      </c>
      <c r="J242" s="108" t="s">
        <v>22</v>
      </c>
      <c r="K242" s="61">
        <v>1.122685185185184E-2</v>
      </c>
      <c r="L242" s="61">
        <v>1.7534722222222226E-2</v>
      </c>
      <c r="M242" s="89">
        <v>2.8761574074074064E-2</v>
      </c>
      <c r="N242" s="90" t="s">
        <v>39</v>
      </c>
      <c r="O242" s="91">
        <v>189</v>
      </c>
      <c r="P242" s="92" t="s">
        <v>40</v>
      </c>
      <c r="R242">
        <v>228</v>
      </c>
      <c r="S242" s="36" t="str">
        <f t="shared" si="69"/>
        <v>MEXICO AEREO</v>
      </c>
      <c r="T242" s="36">
        <f t="shared" si="69"/>
        <v>2127</v>
      </c>
      <c r="U242" s="73">
        <v>0.98611111111111116</v>
      </c>
      <c r="V242" s="74">
        <v>0.99097222222222225</v>
      </c>
      <c r="W242" s="75">
        <v>4.8611111111110938E-3</v>
      </c>
      <c r="X242" s="74">
        <v>0.99236111111111114</v>
      </c>
      <c r="Y242" s="75">
        <v>1.388888888888884E-3</v>
      </c>
      <c r="Z242" s="76">
        <v>41739</v>
      </c>
      <c r="AA242" s="36" t="str">
        <f t="shared" si="75"/>
        <v>Nacional</v>
      </c>
      <c r="AB242" s="36">
        <f t="shared" si="75"/>
        <v>1.0455246913580265E-2</v>
      </c>
      <c r="AC242" s="36">
        <f t="shared" si="75"/>
        <v>5.0925925925925869E-3</v>
      </c>
      <c r="AD242" s="36">
        <f t="shared" si="75"/>
        <v>1.5547839506172851E-2</v>
      </c>
      <c r="AE242" s="36" t="str">
        <f t="shared" si="75"/>
        <v>ER4</v>
      </c>
      <c r="AF242" s="36">
        <f t="shared" si="75"/>
        <v>50</v>
      </c>
      <c r="AG242" s="36" t="str">
        <f t="shared" si="75"/>
        <v>CUL</v>
      </c>
      <c r="AI242">
        <v>228</v>
      </c>
      <c r="AJ242" s="77" t="str">
        <f t="shared" si="64"/>
        <v>MEXICO AEREO</v>
      </c>
      <c r="AK242" s="77">
        <f t="shared" si="64"/>
        <v>2184</v>
      </c>
      <c r="AL242" s="78">
        <v>0.36805555555555558</v>
      </c>
      <c r="AM242" s="79">
        <v>0.3756944444444445</v>
      </c>
      <c r="AN242" s="80">
        <v>7.6388888888889173E-3</v>
      </c>
      <c r="AO242" s="79">
        <v>0.38194444444444442</v>
      </c>
      <c r="AP242" s="80">
        <v>6.2499999999999223E-3</v>
      </c>
      <c r="AQ242" s="81">
        <v>41808</v>
      </c>
      <c r="AR242" s="77" t="str">
        <f t="shared" si="74"/>
        <v>Internacional</v>
      </c>
      <c r="AS242" s="77">
        <f t="shared" si="74"/>
        <v>8.4967320261437797E-3</v>
      </c>
      <c r="AT242" s="77">
        <f t="shared" si="74"/>
        <v>7.843137254901952E-3</v>
      </c>
      <c r="AU242" s="77">
        <f t="shared" si="74"/>
        <v>1.6339869281045732E-2</v>
      </c>
      <c r="AV242" s="77" t="str">
        <f t="shared" si="74"/>
        <v>ER4</v>
      </c>
      <c r="AW242" s="77">
        <f t="shared" si="74"/>
        <v>50</v>
      </c>
      <c r="AX242" s="77" t="str">
        <f t="shared" si="74"/>
        <v>MTY</v>
      </c>
    </row>
    <row r="243" spans="1:50" x14ac:dyDescent="0.25">
      <c r="A243">
        <v>229</v>
      </c>
      <c r="B243" s="36" t="str">
        <f t="shared" si="72"/>
        <v>MEXICO AEREO</v>
      </c>
      <c r="C243" s="36">
        <f t="shared" si="72"/>
        <v>783</v>
      </c>
      <c r="D243" s="74">
        <v>0.68333333333333324</v>
      </c>
      <c r="E243" s="74">
        <v>0.69444444444444453</v>
      </c>
      <c r="F243" s="75">
        <v>1.1111111111111294E-2</v>
      </c>
      <c r="G243" s="74">
        <v>0.71527777777777779</v>
      </c>
      <c r="H243" s="75">
        <v>2.0833333333333259E-2</v>
      </c>
      <c r="I243" s="76">
        <v>41718</v>
      </c>
      <c r="J243" s="36" t="str">
        <f t="shared" ref="J243:P253" si="76">J242</f>
        <v>Internacional</v>
      </c>
      <c r="K243" s="36">
        <f t="shared" si="76"/>
        <v>1.122685185185184E-2</v>
      </c>
      <c r="L243" s="36">
        <f t="shared" si="76"/>
        <v>1.7534722222222226E-2</v>
      </c>
      <c r="M243" s="36">
        <f t="shared" si="76"/>
        <v>2.8761574074074064E-2</v>
      </c>
      <c r="N243" s="36" t="str">
        <f t="shared" si="76"/>
        <v>B737-800</v>
      </c>
      <c r="O243" s="36">
        <f t="shared" si="76"/>
        <v>189</v>
      </c>
      <c r="P243" s="36" t="str">
        <f t="shared" si="76"/>
        <v>LAX</v>
      </c>
      <c r="R243">
        <v>229</v>
      </c>
      <c r="S243" s="36" t="str">
        <f t="shared" si="69"/>
        <v>MEXICO AEREO</v>
      </c>
      <c r="T243" s="36">
        <f t="shared" si="69"/>
        <v>2127</v>
      </c>
      <c r="U243" s="73">
        <v>0.91249999999999998</v>
      </c>
      <c r="V243" s="74">
        <v>0.92361111111111116</v>
      </c>
      <c r="W243" s="75">
        <v>1.1111111111111183E-2</v>
      </c>
      <c r="X243" s="74">
        <v>0.92569444444444438</v>
      </c>
      <c r="Y243" s="75">
        <v>2.0833333333332149E-3</v>
      </c>
      <c r="Z243" s="76">
        <v>41740</v>
      </c>
      <c r="AA243" s="36" t="str">
        <f t="shared" si="75"/>
        <v>Nacional</v>
      </c>
      <c r="AB243" s="36">
        <f t="shared" si="75"/>
        <v>1.0455246913580265E-2</v>
      </c>
      <c r="AC243" s="36">
        <f t="shared" si="75"/>
        <v>5.0925925925925869E-3</v>
      </c>
      <c r="AD243" s="36">
        <f t="shared" si="75"/>
        <v>1.5547839506172851E-2</v>
      </c>
      <c r="AE243" s="36" t="str">
        <f t="shared" si="75"/>
        <v>ER4</v>
      </c>
      <c r="AF243" s="36">
        <f t="shared" si="75"/>
        <v>50</v>
      </c>
      <c r="AG243" s="36" t="str">
        <f t="shared" si="75"/>
        <v>CUL</v>
      </c>
      <c r="AI243">
        <v>229</v>
      </c>
      <c r="AJ243" s="77" t="str">
        <f t="shared" si="64"/>
        <v>MEXICO AEREO</v>
      </c>
      <c r="AK243" s="77">
        <f t="shared" si="64"/>
        <v>2184</v>
      </c>
      <c r="AL243" s="78">
        <v>0.37361111111111112</v>
      </c>
      <c r="AM243" s="79">
        <v>0.37916666666666665</v>
      </c>
      <c r="AN243" s="80">
        <v>5.5555555555555358E-3</v>
      </c>
      <c r="AO243" s="79">
        <v>0.38750000000000001</v>
      </c>
      <c r="AP243" s="80">
        <v>8.3333333333333592E-3</v>
      </c>
      <c r="AQ243" s="81">
        <v>41809</v>
      </c>
      <c r="AR243" s="77" t="str">
        <f t="shared" si="74"/>
        <v>Internacional</v>
      </c>
      <c r="AS243" s="77">
        <f t="shared" si="74"/>
        <v>8.4967320261437797E-3</v>
      </c>
      <c r="AT243" s="77">
        <f t="shared" si="74"/>
        <v>7.843137254901952E-3</v>
      </c>
      <c r="AU243" s="77">
        <f t="shared" si="74"/>
        <v>1.6339869281045732E-2</v>
      </c>
      <c r="AV243" s="77" t="str">
        <f t="shared" si="74"/>
        <v>ER4</v>
      </c>
      <c r="AW243" s="77">
        <f t="shared" si="74"/>
        <v>50</v>
      </c>
      <c r="AX243" s="77" t="str">
        <f t="shared" si="74"/>
        <v>MTY</v>
      </c>
    </row>
    <row r="244" spans="1:50" x14ac:dyDescent="0.25">
      <c r="A244">
        <v>230</v>
      </c>
      <c r="B244" s="36" t="str">
        <f t="shared" si="72"/>
        <v>MEXICO AEREO</v>
      </c>
      <c r="C244" s="36">
        <f t="shared" si="72"/>
        <v>783</v>
      </c>
      <c r="D244" s="74">
        <v>0.68263888888888891</v>
      </c>
      <c r="E244" s="74">
        <v>0.69027777777777777</v>
      </c>
      <c r="F244" s="75">
        <v>7.6388888888888618E-3</v>
      </c>
      <c r="G244" s="74">
        <v>0.70694444444444438</v>
      </c>
      <c r="H244" s="75">
        <v>1.6666666666666607E-2</v>
      </c>
      <c r="I244" s="76">
        <v>41720</v>
      </c>
      <c r="J244" s="36" t="str">
        <f t="shared" si="76"/>
        <v>Internacional</v>
      </c>
      <c r="K244" s="36">
        <f t="shared" si="76"/>
        <v>1.122685185185184E-2</v>
      </c>
      <c r="L244" s="36">
        <f t="shared" si="76"/>
        <v>1.7534722222222226E-2</v>
      </c>
      <c r="M244" s="36">
        <f t="shared" si="76"/>
        <v>2.8761574074074064E-2</v>
      </c>
      <c r="N244" s="36" t="str">
        <f t="shared" si="76"/>
        <v>B737-800</v>
      </c>
      <c r="O244" s="36">
        <f t="shared" si="76"/>
        <v>189</v>
      </c>
      <c r="P244" s="36" t="str">
        <f t="shared" si="76"/>
        <v>LAX</v>
      </c>
      <c r="R244">
        <v>230</v>
      </c>
      <c r="S244" s="36" t="str">
        <f t="shared" si="69"/>
        <v>MEXICO AEREO</v>
      </c>
      <c r="T244" s="36">
        <f t="shared" si="69"/>
        <v>2127</v>
      </c>
      <c r="U244" s="73">
        <v>0.90763888888888899</v>
      </c>
      <c r="V244" s="74">
        <v>0.91388888888888886</v>
      </c>
      <c r="W244" s="75">
        <v>6.2499999999998668E-3</v>
      </c>
      <c r="X244" s="74">
        <v>0.91805555555555562</v>
      </c>
      <c r="Y244" s="75">
        <v>4.1666666666667629E-3</v>
      </c>
      <c r="Z244" s="76">
        <v>41743</v>
      </c>
      <c r="AA244" s="36" t="str">
        <f t="shared" si="75"/>
        <v>Nacional</v>
      </c>
      <c r="AB244" s="36">
        <f t="shared" si="75"/>
        <v>1.0455246913580265E-2</v>
      </c>
      <c r="AC244" s="36">
        <f t="shared" si="75"/>
        <v>5.0925925925925869E-3</v>
      </c>
      <c r="AD244" s="36">
        <f t="shared" si="75"/>
        <v>1.5547839506172851E-2</v>
      </c>
      <c r="AE244" s="36" t="str">
        <f t="shared" si="75"/>
        <v>ER4</v>
      </c>
      <c r="AF244" s="36">
        <f t="shared" si="75"/>
        <v>50</v>
      </c>
      <c r="AG244" s="36" t="str">
        <f t="shared" si="75"/>
        <v>CUL</v>
      </c>
      <c r="AI244">
        <v>230</v>
      </c>
      <c r="AJ244" s="77" t="str">
        <f t="shared" si="64"/>
        <v>MEXICO AEREO</v>
      </c>
      <c r="AK244" s="77">
        <f t="shared" si="64"/>
        <v>2184</v>
      </c>
      <c r="AL244" s="78">
        <v>0.37708333333333338</v>
      </c>
      <c r="AM244" s="79">
        <v>0.37986111111111115</v>
      </c>
      <c r="AN244" s="80">
        <v>2.7777777777777679E-3</v>
      </c>
      <c r="AO244" s="79">
        <v>0.41180555555555554</v>
      </c>
      <c r="AP244" s="80">
        <v>3.1944444444444386E-2</v>
      </c>
      <c r="AQ244" s="81">
        <v>41810</v>
      </c>
      <c r="AR244" s="77" t="str">
        <f t="shared" si="74"/>
        <v>Internacional</v>
      </c>
      <c r="AS244" s="77">
        <f t="shared" si="74"/>
        <v>8.4967320261437797E-3</v>
      </c>
      <c r="AT244" s="77">
        <f t="shared" si="74"/>
        <v>7.843137254901952E-3</v>
      </c>
      <c r="AU244" s="77">
        <f t="shared" si="74"/>
        <v>1.6339869281045732E-2</v>
      </c>
      <c r="AV244" s="77" t="str">
        <f t="shared" si="74"/>
        <v>ER4</v>
      </c>
      <c r="AW244" s="77">
        <f t="shared" si="74"/>
        <v>50</v>
      </c>
      <c r="AX244" s="77" t="str">
        <f t="shared" si="74"/>
        <v>MTY</v>
      </c>
    </row>
    <row r="245" spans="1:50" x14ac:dyDescent="0.25">
      <c r="A245">
        <v>231</v>
      </c>
      <c r="B245" s="36" t="str">
        <f t="shared" si="72"/>
        <v>MEXICO AEREO</v>
      </c>
      <c r="C245" s="36">
        <f t="shared" si="72"/>
        <v>783</v>
      </c>
      <c r="D245" s="74">
        <v>0.6791666666666667</v>
      </c>
      <c r="E245" s="74">
        <v>0.69791666666666663</v>
      </c>
      <c r="F245" s="75">
        <v>1.8749999999999933E-2</v>
      </c>
      <c r="G245" s="74">
        <v>0.71180555555555547</v>
      </c>
      <c r="H245" s="75">
        <v>1.388888888888884E-2</v>
      </c>
      <c r="I245" s="76">
        <v>41721</v>
      </c>
      <c r="J245" s="36" t="str">
        <f t="shared" si="76"/>
        <v>Internacional</v>
      </c>
      <c r="K245" s="36">
        <f t="shared" si="76"/>
        <v>1.122685185185184E-2</v>
      </c>
      <c r="L245" s="36">
        <f t="shared" si="76"/>
        <v>1.7534722222222226E-2</v>
      </c>
      <c r="M245" s="36">
        <f t="shared" si="76"/>
        <v>2.8761574074074064E-2</v>
      </c>
      <c r="N245" s="36" t="str">
        <f t="shared" si="76"/>
        <v>B737-800</v>
      </c>
      <c r="O245" s="36">
        <f t="shared" si="76"/>
        <v>189</v>
      </c>
      <c r="P245" s="36" t="str">
        <f t="shared" si="76"/>
        <v>LAX</v>
      </c>
      <c r="R245">
        <v>231</v>
      </c>
      <c r="S245" s="36" t="str">
        <f t="shared" si="69"/>
        <v>MEXICO AEREO</v>
      </c>
      <c r="T245" s="36">
        <f t="shared" si="69"/>
        <v>2127</v>
      </c>
      <c r="U245" s="73">
        <v>0.94236111111111109</v>
      </c>
      <c r="V245" s="74">
        <v>0.94444444444444453</v>
      </c>
      <c r="W245" s="75">
        <v>2.083333333333437E-3</v>
      </c>
      <c r="X245" s="74">
        <v>0.97638888888888886</v>
      </c>
      <c r="Y245" s="75">
        <v>3.1944444444444331E-2</v>
      </c>
      <c r="Z245" s="76">
        <v>41745</v>
      </c>
      <c r="AA245" s="36" t="str">
        <f t="shared" si="75"/>
        <v>Nacional</v>
      </c>
      <c r="AB245" s="36">
        <f t="shared" si="75"/>
        <v>1.0455246913580265E-2</v>
      </c>
      <c r="AC245" s="36">
        <f t="shared" si="75"/>
        <v>5.0925925925925869E-3</v>
      </c>
      <c r="AD245" s="36">
        <f t="shared" si="75"/>
        <v>1.5547839506172851E-2</v>
      </c>
      <c r="AE245" s="36" t="str">
        <f t="shared" si="75"/>
        <v>ER4</v>
      </c>
      <c r="AF245" s="36">
        <f t="shared" si="75"/>
        <v>50</v>
      </c>
      <c r="AG245" s="36" t="str">
        <f t="shared" si="75"/>
        <v>CUL</v>
      </c>
      <c r="AI245">
        <v>231</v>
      </c>
      <c r="AJ245" s="77" t="str">
        <f t="shared" si="64"/>
        <v>MEXICO AEREO</v>
      </c>
      <c r="AK245" s="77">
        <f t="shared" si="64"/>
        <v>2184</v>
      </c>
      <c r="AL245" s="78">
        <v>0.3756944444444445</v>
      </c>
      <c r="AM245" s="79">
        <v>0.37986111111111115</v>
      </c>
      <c r="AN245" s="80">
        <v>4.1666666666666519E-3</v>
      </c>
      <c r="AO245" s="79">
        <v>0.3833333333333333</v>
      </c>
      <c r="AP245" s="80">
        <v>3.4722222222221544E-3</v>
      </c>
      <c r="AQ245" s="81">
        <v>41811</v>
      </c>
      <c r="AR245" s="77" t="str">
        <f t="shared" si="74"/>
        <v>Internacional</v>
      </c>
      <c r="AS245" s="77">
        <f t="shared" si="74"/>
        <v>8.4967320261437797E-3</v>
      </c>
      <c r="AT245" s="77">
        <f t="shared" si="74"/>
        <v>7.843137254901952E-3</v>
      </c>
      <c r="AU245" s="77">
        <f t="shared" si="74"/>
        <v>1.6339869281045732E-2</v>
      </c>
      <c r="AV245" s="77" t="str">
        <f t="shared" si="74"/>
        <v>ER4</v>
      </c>
      <c r="AW245" s="77">
        <f t="shared" si="74"/>
        <v>50</v>
      </c>
      <c r="AX245" s="77" t="str">
        <f t="shared" si="74"/>
        <v>MTY</v>
      </c>
    </row>
    <row r="246" spans="1:50" ht="15.75" thickBot="1" x14ac:dyDescent="0.3">
      <c r="A246">
        <v>232</v>
      </c>
      <c r="B246" s="36" t="str">
        <f t="shared" si="72"/>
        <v>MEXICO AEREO</v>
      </c>
      <c r="C246" s="36">
        <f t="shared" si="72"/>
        <v>783</v>
      </c>
      <c r="D246" s="74">
        <v>0.68958333333333333</v>
      </c>
      <c r="E246" s="74">
        <v>0.70000000000000007</v>
      </c>
      <c r="F246" s="75">
        <v>1.0416666666666741E-2</v>
      </c>
      <c r="G246" s="74">
        <v>0.72152777777777777</v>
      </c>
      <c r="H246" s="75">
        <v>2.1527777777777701E-2</v>
      </c>
      <c r="I246" s="76">
        <v>41722</v>
      </c>
      <c r="J246" s="36" t="str">
        <f t="shared" si="76"/>
        <v>Internacional</v>
      </c>
      <c r="K246" s="36">
        <f t="shared" si="76"/>
        <v>1.122685185185184E-2</v>
      </c>
      <c r="L246" s="36">
        <f t="shared" si="76"/>
        <v>1.7534722222222226E-2</v>
      </c>
      <c r="M246" s="36">
        <f t="shared" si="76"/>
        <v>2.8761574074074064E-2</v>
      </c>
      <c r="N246" s="36" t="str">
        <f t="shared" si="76"/>
        <v>B737-800</v>
      </c>
      <c r="O246" s="36">
        <f t="shared" si="76"/>
        <v>189</v>
      </c>
      <c r="P246" s="36" t="str">
        <f t="shared" si="76"/>
        <v>LAX</v>
      </c>
      <c r="R246">
        <v>232</v>
      </c>
      <c r="S246" s="36" t="str">
        <f t="shared" si="69"/>
        <v>MEXICO AEREO</v>
      </c>
      <c r="T246" s="36">
        <f t="shared" si="69"/>
        <v>2127</v>
      </c>
      <c r="U246" s="73">
        <v>0.89236111111111116</v>
      </c>
      <c r="V246" s="74">
        <v>0.90277777777777779</v>
      </c>
      <c r="W246" s="75">
        <v>1.041666666666663E-2</v>
      </c>
      <c r="X246" s="74">
        <v>0.90694444444444444</v>
      </c>
      <c r="Y246" s="75">
        <v>4.1666666666666519E-3</v>
      </c>
      <c r="Z246" s="76">
        <v>41744</v>
      </c>
      <c r="AA246" s="36" t="str">
        <f t="shared" si="75"/>
        <v>Nacional</v>
      </c>
      <c r="AB246" s="36">
        <f t="shared" si="75"/>
        <v>1.0455246913580265E-2</v>
      </c>
      <c r="AC246" s="36">
        <f t="shared" si="75"/>
        <v>5.0925925925925869E-3</v>
      </c>
      <c r="AD246" s="36">
        <f t="shared" si="75"/>
        <v>1.5547839506172851E-2</v>
      </c>
      <c r="AE246" s="36" t="str">
        <f t="shared" si="75"/>
        <v>ER4</v>
      </c>
      <c r="AF246" s="36">
        <f t="shared" si="75"/>
        <v>50</v>
      </c>
      <c r="AG246" s="36" t="str">
        <f t="shared" si="75"/>
        <v>CUL</v>
      </c>
      <c r="AI246">
        <v>232</v>
      </c>
      <c r="AJ246" s="77" t="str">
        <f t="shared" si="64"/>
        <v>MEXICO AEREO</v>
      </c>
      <c r="AK246" s="77">
        <f t="shared" si="64"/>
        <v>2184</v>
      </c>
      <c r="AL246" s="94">
        <v>0.33680555555555558</v>
      </c>
      <c r="AM246" s="95">
        <v>0.36944444444444446</v>
      </c>
      <c r="AN246" s="96">
        <v>3.2638888888888884E-2</v>
      </c>
      <c r="AO246" s="95">
        <v>0.37291666666666662</v>
      </c>
      <c r="AP246" s="96">
        <v>3.4722222222221544E-3</v>
      </c>
      <c r="AQ246" s="97">
        <v>41813</v>
      </c>
      <c r="AR246" s="77" t="str">
        <f t="shared" si="74"/>
        <v>Internacional</v>
      </c>
      <c r="AS246" s="77">
        <f t="shared" si="74"/>
        <v>8.4967320261437797E-3</v>
      </c>
      <c r="AT246" s="77">
        <f t="shared" si="74"/>
        <v>7.843137254901952E-3</v>
      </c>
      <c r="AU246" s="77">
        <f t="shared" si="74"/>
        <v>1.6339869281045732E-2</v>
      </c>
      <c r="AV246" s="77" t="str">
        <f t="shared" si="74"/>
        <v>ER4</v>
      </c>
      <c r="AW246" s="77">
        <f t="shared" si="74"/>
        <v>50</v>
      </c>
      <c r="AX246" s="77" t="str">
        <f t="shared" si="74"/>
        <v>MTY</v>
      </c>
    </row>
    <row r="247" spans="1:50" x14ac:dyDescent="0.25">
      <c r="A247">
        <v>233</v>
      </c>
      <c r="B247" s="36" t="str">
        <f t="shared" si="72"/>
        <v>MEXICO AEREO</v>
      </c>
      <c r="C247" s="36">
        <f t="shared" si="72"/>
        <v>783</v>
      </c>
      <c r="D247" s="74">
        <v>0.68125000000000002</v>
      </c>
      <c r="E247" s="74">
        <v>0.69513888888888886</v>
      </c>
      <c r="F247" s="75">
        <v>1.388888888888884E-2</v>
      </c>
      <c r="G247" s="74">
        <v>0.70972222222222225</v>
      </c>
      <c r="H247" s="75">
        <v>1.4583333333333393E-2</v>
      </c>
      <c r="I247" s="76">
        <v>41723</v>
      </c>
      <c r="J247" s="36" t="str">
        <f t="shared" si="76"/>
        <v>Internacional</v>
      </c>
      <c r="K247" s="36">
        <f t="shared" si="76"/>
        <v>1.122685185185184E-2</v>
      </c>
      <c r="L247" s="36">
        <f t="shared" si="76"/>
        <v>1.7534722222222226E-2</v>
      </c>
      <c r="M247" s="36">
        <f t="shared" si="76"/>
        <v>2.8761574074074064E-2</v>
      </c>
      <c r="N247" s="36" t="str">
        <f t="shared" si="76"/>
        <v>B737-800</v>
      </c>
      <c r="O247" s="36">
        <f t="shared" si="76"/>
        <v>189</v>
      </c>
      <c r="P247" s="36" t="str">
        <f t="shared" si="76"/>
        <v>LAX</v>
      </c>
      <c r="R247">
        <v>233</v>
      </c>
      <c r="S247" s="36" t="str">
        <f t="shared" si="69"/>
        <v>MEXICO AEREO</v>
      </c>
      <c r="T247" s="36">
        <f t="shared" si="69"/>
        <v>2127</v>
      </c>
      <c r="U247" s="73">
        <v>0.91805555555555562</v>
      </c>
      <c r="V247" s="74">
        <v>0.92847222222222225</v>
      </c>
      <c r="W247" s="75">
        <v>1.041666666666663E-2</v>
      </c>
      <c r="X247" s="74">
        <v>0.93194444444444446</v>
      </c>
      <c r="Y247" s="75">
        <v>3.4722222222222099E-3</v>
      </c>
      <c r="Z247" s="76">
        <v>41746</v>
      </c>
      <c r="AA247" s="36" t="str">
        <f t="shared" si="75"/>
        <v>Nacional</v>
      </c>
      <c r="AB247" s="36">
        <f t="shared" si="75"/>
        <v>1.0455246913580265E-2</v>
      </c>
      <c r="AC247" s="36">
        <f t="shared" si="75"/>
        <v>5.0925925925925869E-3</v>
      </c>
      <c r="AD247" s="36">
        <f t="shared" si="75"/>
        <v>1.5547839506172851E-2</v>
      </c>
      <c r="AE247" s="36" t="str">
        <f t="shared" si="75"/>
        <v>ER4</v>
      </c>
      <c r="AF247" s="36">
        <f t="shared" si="75"/>
        <v>50</v>
      </c>
      <c r="AG247" s="36" t="str">
        <f t="shared" si="75"/>
        <v>CUL</v>
      </c>
      <c r="AI247">
        <v>233</v>
      </c>
      <c r="AJ247" s="63" t="s">
        <v>18</v>
      </c>
      <c r="AK247" s="63">
        <v>2127</v>
      </c>
      <c r="AL247" s="64">
        <v>0.9194444444444444</v>
      </c>
      <c r="AM247" s="65">
        <v>0.92847222222222225</v>
      </c>
      <c r="AN247" s="66">
        <v>9.0277777777778567E-3</v>
      </c>
      <c r="AO247" s="65">
        <v>0.93055555555555547</v>
      </c>
      <c r="AP247" s="66">
        <v>2.0833333333332149E-3</v>
      </c>
      <c r="AQ247" s="67">
        <v>41791</v>
      </c>
      <c r="AR247" s="68" t="s">
        <v>19</v>
      </c>
      <c r="AS247" s="69">
        <v>8.7752525252525315E-3</v>
      </c>
      <c r="AT247" s="70">
        <v>5.4608585858585863E-3</v>
      </c>
      <c r="AU247" s="70">
        <v>1.4236111111111118E-2</v>
      </c>
      <c r="AV247" s="71" t="s">
        <v>20</v>
      </c>
      <c r="AW247" s="71">
        <v>50</v>
      </c>
      <c r="AX247" s="72" t="s">
        <v>35</v>
      </c>
    </row>
    <row r="248" spans="1:50" x14ac:dyDescent="0.25">
      <c r="A248">
        <v>234</v>
      </c>
      <c r="B248" s="36" t="str">
        <f t="shared" si="72"/>
        <v>MEXICO AEREO</v>
      </c>
      <c r="C248" s="36">
        <f t="shared" si="72"/>
        <v>783</v>
      </c>
      <c r="D248" s="74">
        <v>0.66041666666666665</v>
      </c>
      <c r="E248" s="74">
        <v>0.67291666666666661</v>
      </c>
      <c r="F248" s="75">
        <v>1.2499999999999956E-2</v>
      </c>
      <c r="G248" s="74">
        <v>0.69166666666666676</v>
      </c>
      <c r="H248" s="75">
        <v>1.8750000000000155E-2</v>
      </c>
      <c r="I248" s="76">
        <v>41725</v>
      </c>
      <c r="J248" s="36" t="str">
        <f t="shared" si="76"/>
        <v>Internacional</v>
      </c>
      <c r="K248" s="36">
        <f t="shared" si="76"/>
        <v>1.122685185185184E-2</v>
      </c>
      <c r="L248" s="36">
        <f t="shared" si="76"/>
        <v>1.7534722222222226E-2</v>
      </c>
      <c r="M248" s="36">
        <f t="shared" si="76"/>
        <v>2.8761574074074064E-2</v>
      </c>
      <c r="N248" s="36" t="str">
        <f t="shared" si="76"/>
        <v>B737-800</v>
      </c>
      <c r="O248" s="36">
        <f t="shared" si="76"/>
        <v>189</v>
      </c>
      <c r="P248" s="36" t="str">
        <f t="shared" si="76"/>
        <v>LAX</v>
      </c>
      <c r="R248">
        <v>234</v>
      </c>
      <c r="S248" s="36" t="str">
        <f t="shared" si="69"/>
        <v>MEXICO AEREO</v>
      </c>
      <c r="T248" s="36">
        <f t="shared" si="69"/>
        <v>2127</v>
      </c>
      <c r="U248" s="73">
        <v>0.91666666666666663</v>
      </c>
      <c r="V248" s="74">
        <v>0.9243055555555556</v>
      </c>
      <c r="W248" s="75">
        <v>7.6388888888889728E-3</v>
      </c>
      <c r="X248" s="74">
        <v>0.93055555555555547</v>
      </c>
      <c r="Y248" s="75">
        <v>6.2499999999998668E-3</v>
      </c>
      <c r="Z248" s="76">
        <v>41749</v>
      </c>
      <c r="AA248" s="36" t="str">
        <f t="shared" si="75"/>
        <v>Nacional</v>
      </c>
      <c r="AB248" s="36">
        <f t="shared" si="75"/>
        <v>1.0455246913580265E-2</v>
      </c>
      <c r="AC248" s="36">
        <f t="shared" si="75"/>
        <v>5.0925925925925869E-3</v>
      </c>
      <c r="AD248" s="36">
        <f t="shared" si="75"/>
        <v>1.5547839506172851E-2</v>
      </c>
      <c r="AE248" s="36" t="str">
        <f t="shared" si="75"/>
        <v>ER4</v>
      </c>
      <c r="AF248" s="36">
        <f t="shared" si="75"/>
        <v>50</v>
      </c>
      <c r="AG248" s="36" t="str">
        <f t="shared" si="75"/>
        <v>CUL</v>
      </c>
      <c r="AI248">
        <v>234</v>
      </c>
      <c r="AJ248" s="77" t="str">
        <f t="shared" ref="AJ248:AK295" si="77">AJ247</f>
        <v>MEXICO AEREO</v>
      </c>
      <c r="AK248" s="77">
        <f t="shared" si="77"/>
        <v>2127</v>
      </c>
      <c r="AL248" s="78">
        <v>0.92499999999999993</v>
      </c>
      <c r="AM248" s="79">
        <v>0.93333333333333324</v>
      </c>
      <c r="AN248" s="80">
        <v>8.3333333333333037E-3</v>
      </c>
      <c r="AO248" s="79">
        <v>0.93819444444444444</v>
      </c>
      <c r="AP248" s="80">
        <v>4.8611111111112049E-3</v>
      </c>
      <c r="AQ248" s="81">
        <v>41792</v>
      </c>
      <c r="AR248" s="77" t="str">
        <f t="shared" ref="AR248:AX268" si="78">AR247</f>
        <v>Nacional</v>
      </c>
      <c r="AS248" s="77">
        <f t="shared" si="78"/>
        <v>8.7752525252525315E-3</v>
      </c>
      <c r="AT248" s="77">
        <f t="shared" si="78"/>
        <v>5.4608585858585863E-3</v>
      </c>
      <c r="AU248" s="77">
        <f t="shared" si="78"/>
        <v>1.4236111111111118E-2</v>
      </c>
      <c r="AV248" s="77" t="str">
        <f t="shared" si="78"/>
        <v>ER4</v>
      </c>
      <c r="AW248" s="77">
        <f t="shared" si="78"/>
        <v>50</v>
      </c>
      <c r="AX248" s="77" t="str">
        <f t="shared" si="78"/>
        <v>CUL</v>
      </c>
    </row>
    <row r="249" spans="1:50" x14ac:dyDescent="0.25">
      <c r="A249">
        <v>235</v>
      </c>
      <c r="B249" s="36" t="str">
        <f t="shared" si="72"/>
        <v>MEXICO AEREO</v>
      </c>
      <c r="C249" s="36">
        <f t="shared" si="72"/>
        <v>783</v>
      </c>
      <c r="D249" s="74">
        <v>0.6743055555555556</v>
      </c>
      <c r="E249" s="74">
        <v>0.68472222222222223</v>
      </c>
      <c r="F249" s="75">
        <v>1.041666666666663E-2</v>
      </c>
      <c r="G249" s="74">
        <v>0.72083333333333333</v>
      </c>
      <c r="H249" s="75">
        <v>3.6111111111111094E-2</v>
      </c>
      <c r="I249" s="76">
        <v>41726</v>
      </c>
      <c r="J249" s="36" t="str">
        <f t="shared" si="76"/>
        <v>Internacional</v>
      </c>
      <c r="K249" s="36">
        <f t="shared" si="76"/>
        <v>1.122685185185184E-2</v>
      </c>
      <c r="L249" s="36">
        <f t="shared" si="76"/>
        <v>1.7534722222222226E-2</v>
      </c>
      <c r="M249" s="36">
        <f t="shared" si="76"/>
        <v>2.8761574074074064E-2</v>
      </c>
      <c r="N249" s="36" t="str">
        <f t="shared" si="76"/>
        <v>B737-800</v>
      </c>
      <c r="O249" s="36">
        <f t="shared" si="76"/>
        <v>189</v>
      </c>
      <c r="P249" s="36" t="str">
        <f t="shared" si="76"/>
        <v>LAX</v>
      </c>
      <c r="R249">
        <v>235</v>
      </c>
      <c r="S249" s="36" t="str">
        <f t="shared" si="69"/>
        <v>MEXICO AEREO</v>
      </c>
      <c r="T249" s="36">
        <f t="shared" si="69"/>
        <v>2127</v>
      </c>
      <c r="U249" s="73">
        <v>0.9194444444444444</v>
      </c>
      <c r="V249" s="74">
        <v>0.92986111111111114</v>
      </c>
      <c r="W249" s="75">
        <v>1.0416666666666741E-2</v>
      </c>
      <c r="X249" s="74">
        <v>0.93125000000000002</v>
      </c>
      <c r="Y249" s="75">
        <v>1.388888888888884E-3</v>
      </c>
      <c r="Z249" s="76">
        <v>41749</v>
      </c>
      <c r="AA249" s="36" t="str">
        <f t="shared" si="75"/>
        <v>Nacional</v>
      </c>
      <c r="AB249" s="36">
        <f t="shared" si="75"/>
        <v>1.0455246913580265E-2</v>
      </c>
      <c r="AC249" s="36">
        <f t="shared" si="75"/>
        <v>5.0925925925925869E-3</v>
      </c>
      <c r="AD249" s="36">
        <f t="shared" si="75"/>
        <v>1.5547839506172851E-2</v>
      </c>
      <c r="AE249" s="36" t="str">
        <f t="shared" si="75"/>
        <v>ER4</v>
      </c>
      <c r="AF249" s="36">
        <f t="shared" si="75"/>
        <v>50</v>
      </c>
      <c r="AG249" s="36" t="str">
        <f t="shared" si="75"/>
        <v>CUL</v>
      </c>
      <c r="AI249">
        <v>235</v>
      </c>
      <c r="AJ249" s="77" t="str">
        <f t="shared" si="77"/>
        <v>MEXICO AEREO</v>
      </c>
      <c r="AK249" s="77">
        <f t="shared" si="77"/>
        <v>2127</v>
      </c>
      <c r="AL249" s="78">
        <v>0.91319444444444453</v>
      </c>
      <c r="AM249" s="79">
        <v>0.92361111111111116</v>
      </c>
      <c r="AN249" s="80">
        <v>1.041666666666663E-2</v>
      </c>
      <c r="AO249" s="79">
        <v>0.92638888888888893</v>
      </c>
      <c r="AP249" s="80">
        <v>2.7777777777777679E-3</v>
      </c>
      <c r="AQ249" s="81">
        <v>41793</v>
      </c>
      <c r="AR249" s="77" t="str">
        <f t="shared" si="78"/>
        <v>Nacional</v>
      </c>
      <c r="AS249" s="77">
        <f t="shared" si="78"/>
        <v>8.7752525252525315E-3</v>
      </c>
      <c r="AT249" s="77">
        <f t="shared" si="78"/>
        <v>5.4608585858585863E-3</v>
      </c>
      <c r="AU249" s="77">
        <f t="shared" si="78"/>
        <v>1.4236111111111118E-2</v>
      </c>
      <c r="AV249" s="77" t="str">
        <f t="shared" si="78"/>
        <v>ER4</v>
      </c>
      <c r="AW249" s="77">
        <f t="shared" si="78"/>
        <v>50</v>
      </c>
      <c r="AX249" s="77" t="str">
        <f t="shared" si="78"/>
        <v>CUL</v>
      </c>
    </row>
    <row r="250" spans="1:50" x14ac:dyDescent="0.25">
      <c r="A250">
        <v>236</v>
      </c>
      <c r="B250" s="36" t="str">
        <f t="shared" si="72"/>
        <v>MEXICO AEREO</v>
      </c>
      <c r="C250" s="36">
        <f t="shared" si="72"/>
        <v>783</v>
      </c>
      <c r="D250" s="74">
        <v>0.68194444444444446</v>
      </c>
      <c r="E250" s="74">
        <v>0.69305555555555554</v>
      </c>
      <c r="F250" s="75">
        <v>1.1111111111111072E-2</v>
      </c>
      <c r="G250" s="74">
        <v>0.70694444444444438</v>
      </c>
      <c r="H250" s="75">
        <v>1.388888888888884E-2</v>
      </c>
      <c r="I250" s="76">
        <v>41727</v>
      </c>
      <c r="J250" s="36" t="str">
        <f t="shared" si="76"/>
        <v>Internacional</v>
      </c>
      <c r="K250" s="36">
        <f t="shared" si="76"/>
        <v>1.122685185185184E-2</v>
      </c>
      <c r="L250" s="36">
        <f t="shared" si="76"/>
        <v>1.7534722222222226E-2</v>
      </c>
      <c r="M250" s="36">
        <f t="shared" si="76"/>
        <v>2.8761574074074064E-2</v>
      </c>
      <c r="N250" s="36" t="str">
        <f t="shared" si="76"/>
        <v>B737-800</v>
      </c>
      <c r="O250" s="36">
        <f t="shared" si="76"/>
        <v>189</v>
      </c>
      <c r="P250" s="36" t="str">
        <f t="shared" si="76"/>
        <v>LAX</v>
      </c>
      <c r="R250">
        <v>236</v>
      </c>
      <c r="S250" s="36" t="str">
        <f t="shared" si="69"/>
        <v>MEXICO AEREO</v>
      </c>
      <c r="T250" s="36">
        <f t="shared" si="69"/>
        <v>2127</v>
      </c>
      <c r="U250" s="73">
        <v>0.91319444444444453</v>
      </c>
      <c r="V250" s="74">
        <v>0.92083333333333339</v>
      </c>
      <c r="W250" s="75">
        <v>7.6388888888888618E-3</v>
      </c>
      <c r="X250" s="74">
        <v>0.9243055555555556</v>
      </c>
      <c r="Y250" s="75">
        <v>3.4722222222222099E-3</v>
      </c>
      <c r="Z250" s="76">
        <v>41751</v>
      </c>
      <c r="AA250" s="36" t="str">
        <f t="shared" si="75"/>
        <v>Nacional</v>
      </c>
      <c r="AB250" s="36">
        <f t="shared" si="75"/>
        <v>1.0455246913580265E-2</v>
      </c>
      <c r="AC250" s="36">
        <f t="shared" si="75"/>
        <v>5.0925925925925869E-3</v>
      </c>
      <c r="AD250" s="36">
        <f t="shared" si="75"/>
        <v>1.5547839506172851E-2</v>
      </c>
      <c r="AE250" s="36" t="str">
        <f t="shared" si="75"/>
        <v>ER4</v>
      </c>
      <c r="AF250" s="36">
        <f t="shared" si="75"/>
        <v>50</v>
      </c>
      <c r="AG250" s="36" t="str">
        <f t="shared" si="75"/>
        <v>CUL</v>
      </c>
      <c r="AI250">
        <v>236</v>
      </c>
      <c r="AJ250" s="77" t="str">
        <f t="shared" si="77"/>
        <v>MEXICO AEREO</v>
      </c>
      <c r="AK250" s="77">
        <f t="shared" si="77"/>
        <v>2127</v>
      </c>
      <c r="AL250" s="78">
        <v>0.93055555555555547</v>
      </c>
      <c r="AM250" s="79">
        <v>0.9375</v>
      </c>
      <c r="AN250" s="80">
        <v>6.9444444444445308E-3</v>
      </c>
      <c r="AO250" s="79">
        <v>0.94444444444444453</v>
      </c>
      <c r="AP250" s="80">
        <v>6.9444444444445308E-3</v>
      </c>
      <c r="AQ250" s="81">
        <v>41794</v>
      </c>
      <c r="AR250" s="77" t="str">
        <f t="shared" si="78"/>
        <v>Nacional</v>
      </c>
      <c r="AS250" s="77">
        <f t="shared" si="78"/>
        <v>8.7752525252525315E-3</v>
      </c>
      <c r="AT250" s="77">
        <f t="shared" si="78"/>
        <v>5.4608585858585863E-3</v>
      </c>
      <c r="AU250" s="77">
        <f t="shared" si="78"/>
        <v>1.4236111111111118E-2</v>
      </c>
      <c r="AV250" s="77" t="str">
        <f t="shared" si="78"/>
        <v>ER4</v>
      </c>
      <c r="AW250" s="77">
        <f t="shared" si="78"/>
        <v>50</v>
      </c>
      <c r="AX250" s="77" t="str">
        <f t="shared" si="78"/>
        <v>CUL</v>
      </c>
    </row>
    <row r="251" spans="1:50" x14ac:dyDescent="0.25">
      <c r="A251">
        <v>237</v>
      </c>
      <c r="B251" s="36" t="str">
        <f t="shared" si="72"/>
        <v>MEXICO AEREO</v>
      </c>
      <c r="C251" s="36">
        <f t="shared" si="72"/>
        <v>783</v>
      </c>
      <c r="D251" s="74">
        <v>0.7090277777777777</v>
      </c>
      <c r="E251" s="74">
        <v>0.71736111111111101</v>
      </c>
      <c r="F251" s="75">
        <v>8.3333333333333037E-3</v>
      </c>
      <c r="G251" s="74">
        <v>0.72291666666666676</v>
      </c>
      <c r="H251" s="75">
        <v>5.5555555555557579E-3</v>
      </c>
      <c r="I251" s="76">
        <v>41728</v>
      </c>
      <c r="J251" s="36" t="str">
        <f t="shared" si="76"/>
        <v>Internacional</v>
      </c>
      <c r="K251" s="36">
        <f t="shared" si="76"/>
        <v>1.122685185185184E-2</v>
      </c>
      <c r="L251" s="36">
        <f t="shared" si="76"/>
        <v>1.7534722222222226E-2</v>
      </c>
      <c r="M251" s="36">
        <f t="shared" si="76"/>
        <v>2.8761574074074064E-2</v>
      </c>
      <c r="N251" s="36" t="str">
        <f t="shared" si="76"/>
        <v>B737-800</v>
      </c>
      <c r="O251" s="36">
        <f t="shared" si="76"/>
        <v>189</v>
      </c>
      <c r="P251" s="36" t="str">
        <f t="shared" si="76"/>
        <v>LAX</v>
      </c>
      <c r="R251">
        <v>237</v>
      </c>
      <c r="S251" s="36" t="str">
        <f t="shared" si="69"/>
        <v>MEXICO AEREO</v>
      </c>
      <c r="T251" s="36">
        <f t="shared" si="69"/>
        <v>2127</v>
      </c>
      <c r="U251" s="73">
        <v>0.84930555555555554</v>
      </c>
      <c r="V251" s="74">
        <v>0.91319444444444453</v>
      </c>
      <c r="W251" s="75">
        <v>6.3888888888888995E-2</v>
      </c>
      <c r="X251" s="74">
        <v>0.92083333333333339</v>
      </c>
      <c r="Y251" s="75">
        <v>7.6388888888888618E-3</v>
      </c>
      <c r="Z251" s="76">
        <v>41751</v>
      </c>
      <c r="AA251" s="36" t="str">
        <f t="shared" si="75"/>
        <v>Nacional</v>
      </c>
      <c r="AB251" s="36">
        <f t="shared" si="75"/>
        <v>1.0455246913580265E-2</v>
      </c>
      <c r="AC251" s="36">
        <f t="shared" si="75"/>
        <v>5.0925925925925869E-3</v>
      </c>
      <c r="AD251" s="36">
        <f t="shared" si="75"/>
        <v>1.5547839506172851E-2</v>
      </c>
      <c r="AE251" s="36" t="str">
        <f t="shared" si="75"/>
        <v>ER4</v>
      </c>
      <c r="AF251" s="36">
        <f t="shared" si="75"/>
        <v>50</v>
      </c>
      <c r="AG251" s="36" t="str">
        <f t="shared" si="75"/>
        <v>CUL</v>
      </c>
      <c r="AI251">
        <v>237</v>
      </c>
      <c r="AJ251" s="77" t="str">
        <f t="shared" si="77"/>
        <v>MEXICO AEREO</v>
      </c>
      <c r="AK251" s="77">
        <f t="shared" si="77"/>
        <v>2127</v>
      </c>
      <c r="AL251" s="78">
        <v>0.95694444444444438</v>
      </c>
      <c r="AM251" s="79">
        <v>0.96875</v>
      </c>
      <c r="AN251" s="80">
        <v>1.1805555555555625E-2</v>
      </c>
      <c r="AO251" s="79">
        <v>0.97013888888888899</v>
      </c>
      <c r="AP251" s="80">
        <v>1.388888888888995E-3</v>
      </c>
      <c r="AQ251" s="81">
        <v>41795</v>
      </c>
      <c r="AR251" s="77" t="str">
        <f t="shared" si="78"/>
        <v>Nacional</v>
      </c>
      <c r="AS251" s="77">
        <f t="shared" si="78"/>
        <v>8.7752525252525315E-3</v>
      </c>
      <c r="AT251" s="77">
        <f t="shared" si="78"/>
        <v>5.4608585858585863E-3</v>
      </c>
      <c r="AU251" s="77">
        <f t="shared" si="78"/>
        <v>1.4236111111111118E-2</v>
      </c>
      <c r="AV251" s="77" t="str">
        <f t="shared" si="78"/>
        <v>ER4</v>
      </c>
      <c r="AW251" s="77">
        <f t="shared" si="78"/>
        <v>50</v>
      </c>
      <c r="AX251" s="77" t="str">
        <f t="shared" si="78"/>
        <v>CUL</v>
      </c>
    </row>
    <row r="252" spans="1:50" x14ac:dyDescent="0.25">
      <c r="A252">
        <v>238</v>
      </c>
      <c r="B252" s="36" t="str">
        <f t="shared" si="72"/>
        <v>MEXICO AEREO</v>
      </c>
      <c r="C252" s="36">
        <f t="shared" si="72"/>
        <v>783</v>
      </c>
      <c r="D252" s="74">
        <v>0.66805555555555562</v>
      </c>
      <c r="E252" s="74">
        <v>0.67847222222222225</v>
      </c>
      <c r="F252" s="75">
        <v>1.041666666666663E-2</v>
      </c>
      <c r="G252" s="74">
        <v>0.69236111111111109</v>
      </c>
      <c r="H252" s="75">
        <v>1.388888888888884E-2</v>
      </c>
      <c r="I252" s="76">
        <v>41729</v>
      </c>
      <c r="J252" s="36" t="str">
        <f t="shared" si="76"/>
        <v>Internacional</v>
      </c>
      <c r="K252" s="36">
        <f t="shared" si="76"/>
        <v>1.122685185185184E-2</v>
      </c>
      <c r="L252" s="36">
        <f t="shared" si="76"/>
        <v>1.7534722222222226E-2</v>
      </c>
      <c r="M252" s="36">
        <f t="shared" si="76"/>
        <v>2.8761574074074064E-2</v>
      </c>
      <c r="N252" s="36" t="str">
        <f t="shared" si="76"/>
        <v>B737-800</v>
      </c>
      <c r="O252" s="36">
        <f t="shared" si="76"/>
        <v>189</v>
      </c>
      <c r="P252" s="36" t="str">
        <f t="shared" si="76"/>
        <v>LAX</v>
      </c>
      <c r="R252">
        <v>238</v>
      </c>
      <c r="S252" s="36" t="str">
        <f t="shared" si="69"/>
        <v>MEXICO AEREO</v>
      </c>
      <c r="T252" s="36">
        <f t="shared" si="69"/>
        <v>2127</v>
      </c>
      <c r="U252" s="73">
        <v>0.91666666666666663</v>
      </c>
      <c r="V252" s="74">
        <v>0.9194444444444444</v>
      </c>
      <c r="W252" s="75">
        <v>2.7777777777777679E-3</v>
      </c>
      <c r="X252" s="74">
        <v>0.92361111111111116</v>
      </c>
      <c r="Y252" s="75">
        <v>4.1666666666667629E-3</v>
      </c>
      <c r="Z252" s="76">
        <v>41753</v>
      </c>
      <c r="AA252" s="36" t="str">
        <f t="shared" si="75"/>
        <v>Nacional</v>
      </c>
      <c r="AB252" s="36">
        <f t="shared" si="75"/>
        <v>1.0455246913580265E-2</v>
      </c>
      <c r="AC252" s="36">
        <f t="shared" si="75"/>
        <v>5.0925925925925869E-3</v>
      </c>
      <c r="AD252" s="36">
        <f t="shared" si="75"/>
        <v>1.5547839506172851E-2</v>
      </c>
      <c r="AE252" s="36" t="str">
        <f t="shared" si="75"/>
        <v>ER4</v>
      </c>
      <c r="AF252" s="36">
        <f t="shared" si="75"/>
        <v>50</v>
      </c>
      <c r="AG252" s="36" t="str">
        <f t="shared" si="75"/>
        <v>CUL</v>
      </c>
      <c r="AI252">
        <v>238</v>
      </c>
      <c r="AJ252" s="77" t="str">
        <f t="shared" si="77"/>
        <v>MEXICO AEREO</v>
      </c>
      <c r="AK252" s="77">
        <f t="shared" si="77"/>
        <v>2127</v>
      </c>
      <c r="AL252" s="78">
        <v>0.92361111111111116</v>
      </c>
      <c r="AM252" s="79">
        <v>0.93402777777777779</v>
      </c>
      <c r="AN252" s="80">
        <v>1.041666666666663E-2</v>
      </c>
      <c r="AO252" s="79">
        <v>0.93888888888888899</v>
      </c>
      <c r="AP252" s="80">
        <v>4.8611111111112049E-3</v>
      </c>
      <c r="AQ252" s="81">
        <v>41796</v>
      </c>
      <c r="AR252" s="77" t="str">
        <f t="shared" si="78"/>
        <v>Nacional</v>
      </c>
      <c r="AS252" s="77">
        <f t="shared" si="78"/>
        <v>8.7752525252525315E-3</v>
      </c>
      <c r="AT252" s="77">
        <f t="shared" si="78"/>
        <v>5.4608585858585863E-3</v>
      </c>
      <c r="AU252" s="77">
        <f t="shared" si="78"/>
        <v>1.4236111111111118E-2</v>
      </c>
      <c r="AV252" s="77" t="str">
        <f t="shared" si="78"/>
        <v>ER4</v>
      </c>
      <c r="AW252" s="77">
        <f t="shared" si="78"/>
        <v>50</v>
      </c>
      <c r="AX252" s="77" t="str">
        <f t="shared" si="78"/>
        <v>CUL</v>
      </c>
    </row>
    <row r="253" spans="1:50" ht="15.75" thickBot="1" x14ac:dyDescent="0.3">
      <c r="A253">
        <v>239</v>
      </c>
      <c r="B253" s="36" t="str">
        <f t="shared" si="72"/>
        <v>MEXICO AEREO</v>
      </c>
      <c r="C253" s="36">
        <f t="shared" si="72"/>
        <v>783</v>
      </c>
      <c r="D253" s="84">
        <v>0.71388888888888891</v>
      </c>
      <c r="E253" s="84">
        <v>0.72499999999999998</v>
      </c>
      <c r="F253" s="85">
        <v>1.1111111111111072E-2</v>
      </c>
      <c r="G253" s="84">
        <v>0.74444444444444446</v>
      </c>
      <c r="H253" s="85">
        <v>1.9444444444444486E-2</v>
      </c>
      <c r="I253" s="86">
        <v>41714</v>
      </c>
      <c r="J253" s="36" t="str">
        <f t="shared" si="76"/>
        <v>Internacional</v>
      </c>
      <c r="K253" s="36">
        <f t="shared" si="76"/>
        <v>1.122685185185184E-2</v>
      </c>
      <c r="L253" s="36">
        <f t="shared" si="76"/>
        <v>1.7534722222222226E-2</v>
      </c>
      <c r="M253" s="36">
        <f t="shared" si="76"/>
        <v>2.8761574074074064E-2</v>
      </c>
      <c r="N253" s="36" t="str">
        <f t="shared" si="76"/>
        <v>B737-800</v>
      </c>
      <c r="O253" s="36">
        <f t="shared" si="76"/>
        <v>189</v>
      </c>
      <c r="P253" s="36" t="str">
        <f t="shared" si="76"/>
        <v>LAX</v>
      </c>
      <c r="R253">
        <v>239</v>
      </c>
      <c r="S253" s="36" t="str">
        <f t="shared" si="69"/>
        <v>MEXICO AEREO</v>
      </c>
      <c r="T253" s="36">
        <f t="shared" si="69"/>
        <v>2127</v>
      </c>
      <c r="U253" s="73">
        <v>0.91180555555555554</v>
      </c>
      <c r="V253" s="74">
        <v>0.91805555555555562</v>
      </c>
      <c r="W253" s="75">
        <v>6.2500000000000888E-3</v>
      </c>
      <c r="X253" s="74">
        <v>0.92152777777777783</v>
      </c>
      <c r="Y253" s="75">
        <v>3.4722222222222099E-3</v>
      </c>
      <c r="Z253" s="76">
        <v>41755</v>
      </c>
      <c r="AA253" s="36" t="str">
        <f t="shared" si="75"/>
        <v>Nacional</v>
      </c>
      <c r="AB253" s="36">
        <f t="shared" si="75"/>
        <v>1.0455246913580265E-2</v>
      </c>
      <c r="AC253" s="36">
        <f t="shared" si="75"/>
        <v>5.0925925925925869E-3</v>
      </c>
      <c r="AD253" s="36">
        <f t="shared" si="75"/>
        <v>1.5547839506172851E-2</v>
      </c>
      <c r="AE253" s="36" t="str">
        <f t="shared" si="75"/>
        <v>ER4</v>
      </c>
      <c r="AF253" s="36">
        <f t="shared" si="75"/>
        <v>50</v>
      </c>
      <c r="AG253" s="36" t="str">
        <f t="shared" si="75"/>
        <v>CUL</v>
      </c>
      <c r="AI253">
        <v>239</v>
      </c>
      <c r="AJ253" s="77" t="str">
        <f t="shared" si="77"/>
        <v>MEXICO AEREO</v>
      </c>
      <c r="AK253" s="77">
        <f t="shared" si="77"/>
        <v>2127</v>
      </c>
      <c r="AL253" s="78">
        <v>0.96180555555555547</v>
      </c>
      <c r="AM253" s="79">
        <v>0.97569444444444453</v>
      </c>
      <c r="AN253" s="80">
        <v>1.3888888888889062E-2</v>
      </c>
      <c r="AO253" s="79">
        <v>0.9784722222222223</v>
      </c>
      <c r="AP253" s="80">
        <v>2.7777777777777679E-3</v>
      </c>
      <c r="AQ253" s="81">
        <v>41797</v>
      </c>
      <c r="AR253" s="77" t="str">
        <f t="shared" si="78"/>
        <v>Nacional</v>
      </c>
      <c r="AS253" s="77">
        <f t="shared" si="78"/>
        <v>8.7752525252525315E-3</v>
      </c>
      <c r="AT253" s="77">
        <f t="shared" si="78"/>
        <v>5.4608585858585863E-3</v>
      </c>
      <c r="AU253" s="77">
        <f t="shared" si="78"/>
        <v>1.4236111111111118E-2</v>
      </c>
      <c r="AV253" s="77" t="str">
        <f t="shared" si="78"/>
        <v>ER4</v>
      </c>
      <c r="AW253" s="77">
        <f t="shared" si="78"/>
        <v>50</v>
      </c>
      <c r="AX253" s="77" t="str">
        <f t="shared" si="78"/>
        <v>CUL</v>
      </c>
    </row>
    <row r="254" spans="1:50" x14ac:dyDescent="0.25">
      <c r="A254">
        <v>240</v>
      </c>
      <c r="B254" s="36" t="str">
        <f t="shared" si="72"/>
        <v>MEXICO AEREO</v>
      </c>
      <c r="C254" s="88">
        <v>781</v>
      </c>
      <c r="D254" s="57">
        <v>0.21388888888888891</v>
      </c>
      <c r="E254" s="57">
        <v>0.21875</v>
      </c>
      <c r="F254" s="58">
        <v>4.8611111111110938E-3</v>
      </c>
      <c r="G254" s="57">
        <v>0.24166666666666667</v>
      </c>
      <c r="H254" s="58">
        <v>2.2916666666666669E-2</v>
      </c>
      <c r="I254" s="59">
        <v>41713</v>
      </c>
      <c r="J254" s="108" t="s">
        <v>22</v>
      </c>
      <c r="K254" s="61">
        <v>8.958333333333332E-3</v>
      </c>
      <c r="L254" s="61">
        <v>2.7986111111111107E-2</v>
      </c>
      <c r="M254" s="89">
        <v>3.6944444444444439E-2</v>
      </c>
      <c r="N254" s="90" t="s">
        <v>39</v>
      </c>
      <c r="O254" s="91">
        <v>189</v>
      </c>
      <c r="P254" s="92" t="s">
        <v>41</v>
      </c>
      <c r="R254">
        <v>240</v>
      </c>
      <c r="S254" s="36" t="str">
        <f t="shared" si="69"/>
        <v>MEXICO AEREO</v>
      </c>
      <c r="T254" s="36">
        <f t="shared" si="69"/>
        <v>2127</v>
      </c>
      <c r="U254" s="73">
        <v>0.98541666666666661</v>
      </c>
      <c r="V254" s="74">
        <v>0.98888888888888893</v>
      </c>
      <c r="W254" s="75">
        <v>3.4722222222223209E-3</v>
      </c>
      <c r="X254" s="74">
        <v>0.99097222222222225</v>
      </c>
      <c r="Y254" s="75">
        <v>2.0833333333333259E-3</v>
      </c>
      <c r="Z254" s="76">
        <v>41757</v>
      </c>
      <c r="AA254" s="36" t="str">
        <f t="shared" si="75"/>
        <v>Nacional</v>
      </c>
      <c r="AB254" s="36">
        <f t="shared" si="75"/>
        <v>1.0455246913580265E-2</v>
      </c>
      <c r="AC254" s="36">
        <f t="shared" si="75"/>
        <v>5.0925925925925869E-3</v>
      </c>
      <c r="AD254" s="36">
        <f t="shared" si="75"/>
        <v>1.5547839506172851E-2</v>
      </c>
      <c r="AE254" s="36" t="str">
        <f t="shared" si="75"/>
        <v>ER4</v>
      </c>
      <c r="AF254" s="36">
        <f t="shared" si="75"/>
        <v>50</v>
      </c>
      <c r="AG254" s="36" t="str">
        <f t="shared" si="75"/>
        <v>CUL</v>
      </c>
      <c r="AI254">
        <v>240</v>
      </c>
      <c r="AJ254" s="77" t="str">
        <f t="shared" si="77"/>
        <v>MEXICO AEREO</v>
      </c>
      <c r="AK254" s="77">
        <f t="shared" si="77"/>
        <v>2127</v>
      </c>
      <c r="AL254" s="78">
        <v>0.9145833333333333</v>
      </c>
      <c r="AM254" s="79">
        <v>0.91875000000000007</v>
      </c>
      <c r="AN254" s="80">
        <v>4.1666666666667629E-3</v>
      </c>
      <c r="AO254" s="79">
        <v>0.92083333333333339</v>
      </c>
      <c r="AP254" s="80">
        <v>2.0833333333333259E-3</v>
      </c>
      <c r="AQ254" s="81">
        <v>41798</v>
      </c>
      <c r="AR254" s="77" t="str">
        <f t="shared" si="78"/>
        <v>Nacional</v>
      </c>
      <c r="AS254" s="77">
        <f t="shared" si="78"/>
        <v>8.7752525252525315E-3</v>
      </c>
      <c r="AT254" s="77">
        <f t="shared" si="78"/>
        <v>5.4608585858585863E-3</v>
      </c>
      <c r="AU254" s="77">
        <f t="shared" si="78"/>
        <v>1.4236111111111118E-2</v>
      </c>
      <c r="AV254" s="77" t="str">
        <f t="shared" si="78"/>
        <v>ER4</v>
      </c>
      <c r="AW254" s="77">
        <f t="shared" si="78"/>
        <v>50</v>
      </c>
      <c r="AX254" s="77" t="str">
        <f t="shared" si="78"/>
        <v>CUL</v>
      </c>
    </row>
    <row r="255" spans="1:50" x14ac:dyDescent="0.25">
      <c r="A255">
        <v>241</v>
      </c>
      <c r="B255" s="36" t="str">
        <f t="shared" si="72"/>
        <v>MEXICO AEREO</v>
      </c>
      <c r="C255" s="36">
        <f t="shared" si="72"/>
        <v>781</v>
      </c>
      <c r="D255" s="74">
        <v>0.21805555555555556</v>
      </c>
      <c r="E255" s="74">
        <v>0.22916666666666666</v>
      </c>
      <c r="F255" s="75">
        <v>1.1111111111111099E-2</v>
      </c>
      <c r="G255" s="74">
        <v>0.26458333333333334</v>
      </c>
      <c r="H255" s="75">
        <v>3.541666666666668E-2</v>
      </c>
      <c r="I255" s="76">
        <v>41716</v>
      </c>
      <c r="J255" s="36" t="str">
        <f t="shared" ref="J255:P263" si="79">J254</f>
        <v>Internacional</v>
      </c>
      <c r="K255" s="36">
        <f t="shared" si="79"/>
        <v>8.958333333333332E-3</v>
      </c>
      <c r="L255" s="36">
        <f t="shared" si="79"/>
        <v>2.7986111111111107E-2</v>
      </c>
      <c r="M255" s="36">
        <f t="shared" si="79"/>
        <v>3.6944444444444439E-2</v>
      </c>
      <c r="N255" s="36" t="str">
        <f t="shared" si="79"/>
        <v>B737-800</v>
      </c>
      <c r="O255" s="36">
        <f t="shared" si="79"/>
        <v>189</v>
      </c>
      <c r="P255" s="36" t="str">
        <f t="shared" si="79"/>
        <v>ONT</v>
      </c>
      <c r="R255">
        <v>241</v>
      </c>
      <c r="S255" s="36" t="str">
        <f t="shared" si="69"/>
        <v>MEXICO AEREO</v>
      </c>
      <c r="T255" s="36">
        <f t="shared" si="69"/>
        <v>2127</v>
      </c>
      <c r="U255" s="73">
        <v>0.95138888888888884</v>
      </c>
      <c r="V255" s="74">
        <v>0.9604166666666667</v>
      </c>
      <c r="W255" s="75">
        <v>9.0277777777778567E-3</v>
      </c>
      <c r="X255" s="74">
        <v>0.96250000000000002</v>
      </c>
      <c r="Y255" s="75">
        <v>2.0833333333333259E-3</v>
      </c>
      <c r="Z255" s="76">
        <v>41759</v>
      </c>
      <c r="AA255" s="36" t="str">
        <f t="shared" si="75"/>
        <v>Nacional</v>
      </c>
      <c r="AB255" s="36">
        <f t="shared" si="75"/>
        <v>1.0455246913580265E-2</v>
      </c>
      <c r="AC255" s="36">
        <f t="shared" si="75"/>
        <v>5.0925925925925869E-3</v>
      </c>
      <c r="AD255" s="36">
        <f t="shared" si="75"/>
        <v>1.5547839506172851E-2</v>
      </c>
      <c r="AE255" s="36" t="str">
        <f t="shared" si="75"/>
        <v>ER4</v>
      </c>
      <c r="AF255" s="36">
        <f t="shared" si="75"/>
        <v>50</v>
      </c>
      <c r="AG255" s="36" t="str">
        <f t="shared" si="75"/>
        <v>CUL</v>
      </c>
      <c r="AI255">
        <v>241</v>
      </c>
      <c r="AJ255" s="77" t="str">
        <f t="shared" si="77"/>
        <v>MEXICO AEREO</v>
      </c>
      <c r="AK255" s="77">
        <f t="shared" si="77"/>
        <v>2127</v>
      </c>
      <c r="AL255" s="78">
        <v>0.92361111111111116</v>
      </c>
      <c r="AM255" s="79">
        <v>0.9291666666666667</v>
      </c>
      <c r="AN255" s="80">
        <v>5.5555555555555358E-3</v>
      </c>
      <c r="AO255" s="79">
        <v>0.93611111111111101</v>
      </c>
      <c r="AP255" s="80">
        <v>6.9444444444443088E-3</v>
      </c>
      <c r="AQ255" s="81">
        <v>41799</v>
      </c>
      <c r="AR255" s="77" t="str">
        <f t="shared" si="78"/>
        <v>Nacional</v>
      </c>
      <c r="AS255" s="77">
        <f t="shared" si="78"/>
        <v>8.7752525252525315E-3</v>
      </c>
      <c r="AT255" s="77">
        <f t="shared" si="78"/>
        <v>5.4608585858585863E-3</v>
      </c>
      <c r="AU255" s="77">
        <f t="shared" si="78"/>
        <v>1.4236111111111118E-2</v>
      </c>
      <c r="AV255" s="77" t="str">
        <f t="shared" si="78"/>
        <v>ER4</v>
      </c>
      <c r="AW255" s="77">
        <f t="shared" si="78"/>
        <v>50</v>
      </c>
      <c r="AX255" s="77" t="str">
        <f t="shared" si="78"/>
        <v>CUL</v>
      </c>
    </row>
    <row r="256" spans="1:50" ht="15.75" thickBot="1" x14ac:dyDescent="0.3">
      <c r="A256">
        <v>242</v>
      </c>
      <c r="B256" s="36" t="str">
        <f t="shared" si="72"/>
        <v>MEXICO AEREO</v>
      </c>
      <c r="C256" s="36">
        <f t="shared" si="72"/>
        <v>781</v>
      </c>
      <c r="D256" s="74">
        <v>0.20694444444444446</v>
      </c>
      <c r="E256" s="74">
        <v>0.21180555555555555</v>
      </c>
      <c r="F256" s="75">
        <v>4.8611111111110938E-3</v>
      </c>
      <c r="G256" s="74">
        <v>0.22152777777777777</v>
      </c>
      <c r="H256" s="75">
        <v>9.7222222222222154E-3</v>
      </c>
      <c r="I256" s="76">
        <v>41719</v>
      </c>
      <c r="J256" s="36" t="str">
        <f t="shared" si="79"/>
        <v>Internacional</v>
      </c>
      <c r="K256" s="36">
        <f t="shared" si="79"/>
        <v>8.958333333333332E-3</v>
      </c>
      <c r="L256" s="36">
        <f t="shared" si="79"/>
        <v>2.7986111111111107E-2</v>
      </c>
      <c r="M256" s="36">
        <f t="shared" si="79"/>
        <v>3.6944444444444439E-2</v>
      </c>
      <c r="N256" s="36" t="str">
        <f t="shared" si="79"/>
        <v>B737-800</v>
      </c>
      <c r="O256" s="36">
        <f t="shared" si="79"/>
        <v>189</v>
      </c>
      <c r="P256" s="36" t="str">
        <f t="shared" si="79"/>
        <v>ONT</v>
      </c>
      <c r="R256">
        <v>242</v>
      </c>
      <c r="S256" s="36" t="str">
        <f t="shared" si="69"/>
        <v>MEXICO AEREO</v>
      </c>
      <c r="T256" s="36">
        <f t="shared" si="69"/>
        <v>2127</v>
      </c>
      <c r="U256" s="83">
        <v>0.97777777777777775</v>
      </c>
      <c r="V256" s="84">
        <v>0.98819444444444438</v>
      </c>
      <c r="W256" s="85">
        <v>1.041666666666663E-2</v>
      </c>
      <c r="X256" s="84">
        <v>0.99097222222222225</v>
      </c>
      <c r="Y256" s="85">
        <v>2.7777777777778789E-3</v>
      </c>
      <c r="Z256" s="86">
        <v>41759</v>
      </c>
      <c r="AA256" s="36" t="str">
        <f t="shared" si="75"/>
        <v>Nacional</v>
      </c>
      <c r="AB256" s="36">
        <f t="shared" si="75"/>
        <v>1.0455246913580265E-2</v>
      </c>
      <c r="AC256" s="36">
        <f t="shared" si="75"/>
        <v>5.0925925925925869E-3</v>
      </c>
      <c r="AD256" s="36">
        <f t="shared" si="75"/>
        <v>1.5547839506172851E-2</v>
      </c>
      <c r="AE256" s="36" t="str">
        <f t="shared" si="75"/>
        <v>ER4</v>
      </c>
      <c r="AF256" s="36">
        <f t="shared" si="75"/>
        <v>50</v>
      </c>
      <c r="AG256" s="36" t="str">
        <f t="shared" si="75"/>
        <v>CUL</v>
      </c>
      <c r="AI256">
        <v>242</v>
      </c>
      <c r="AJ256" s="77" t="str">
        <f t="shared" si="77"/>
        <v>MEXICO AEREO</v>
      </c>
      <c r="AK256" s="77">
        <f t="shared" si="77"/>
        <v>2127</v>
      </c>
      <c r="AL256" s="78">
        <v>0.4770833333333333</v>
      </c>
      <c r="AM256" s="79">
        <v>0.48402777777777778</v>
      </c>
      <c r="AN256" s="80">
        <v>6.9444444444444753E-3</v>
      </c>
      <c r="AO256" s="79">
        <v>0.48749999999999999</v>
      </c>
      <c r="AP256" s="80">
        <v>3.4722222222222099E-3</v>
      </c>
      <c r="AQ256" s="81">
        <v>41800</v>
      </c>
      <c r="AR256" s="77" t="str">
        <f t="shared" si="78"/>
        <v>Nacional</v>
      </c>
      <c r="AS256" s="77">
        <f t="shared" si="78"/>
        <v>8.7752525252525315E-3</v>
      </c>
      <c r="AT256" s="77">
        <f t="shared" si="78"/>
        <v>5.4608585858585863E-3</v>
      </c>
      <c r="AU256" s="77">
        <f t="shared" si="78"/>
        <v>1.4236111111111118E-2</v>
      </c>
      <c r="AV256" s="77" t="str">
        <f t="shared" si="78"/>
        <v>ER4</v>
      </c>
      <c r="AW256" s="77">
        <f t="shared" si="78"/>
        <v>50</v>
      </c>
      <c r="AX256" s="77" t="str">
        <f t="shared" si="78"/>
        <v>CUL</v>
      </c>
    </row>
    <row r="257" spans="1:50" x14ac:dyDescent="0.25">
      <c r="A257">
        <v>243</v>
      </c>
      <c r="B257" s="36" t="str">
        <f t="shared" si="72"/>
        <v>MEXICO AEREO</v>
      </c>
      <c r="C257" s="36">
        <f t="shared" si="72"/>
        <v>781</v>
      </c>
      <c r="D257" s="74">
        <v>0.19722222222222222</v>
      </c>
      <c r="E257" s="74">
        <v>0.20486111111111113</v>
      </c>
      <c r="F257" s="75">
        <v>7.6388888888889173E-3</v>
      </c>
      <c r="G257" s="74">
        <v>0.24305555555555555</v>
      </c>
      <c r="H257" s="75">
        <v>3.819444444444442E-2</v>
      </c>
      <c r="I257" s="76">
        <v>41719</v>
      </c>
      <c r="J257" s="36" t="str">
        <f t="shared" si="79"/>
        <v>Internacional</v>
      </c>
      <c r="K257" s="36">
        <f t="shared" si="79"/>
        <v>8.958333333333332E-3</v>
      </c>
      <c r="L257" s="36">
        <f t="shared" si="79"/>
        <v>2.7986111111111107E-2</v>
      </c>
      <c r="M257" s="36">
        <f t="shared" si="79"/>
        <v>3.6944444444444439E-2</v>
      </c>
      <c r="N257" s="36" t="str">
        <f t="shared" si="79"/>
        <v>B737-800</v>
      </c>
      <c r="O257" s="36">
        <f t="shared" si="79"/>
        <v>189</v>
      </c>
      <c r="P257" s="36" t="str">
        <f t="shared" si="79"/>
        <v>ONT</v>
      </c>
      <c r="R257">
        <v>243</v>
      </c>
      <c r="S257" s="36" t="str">
        <f t="shared" si="69"/>
        <v>MEXICO AEREO</v>
      </c>
      <c r="T257" s="55">
        <v>2125</v>
      </c>
      <c r="U257" s="56">
        <v>0.41944444444444445</v>
      </c>
      <c r="V257" s="57">
        <v>0.4284722222222222</v>
      </c>
      <c r="W257" s="58">
        <v>9.0277777777777457E-3</v>
      </c>
      <c r="X257" s="57">
        <v>0.43333333333333335</v>
      </c>
      <c r="Y257" s="58">
        <v>4.8611111111111494E-3</v>
      </c>
      <c r="Z257" s="59">
        <v>41737</v>
      </c>
      <c r="AA257" s="60" t="s">
        <v>19</v>
      </c>
      <c r="AB257" s="61">
        <v>8.2870370370370476E-3</v>
      </c>
      <c r="AC257" s="61">
        <v>5.7407407407407355E-3</v>
      </c>
      <c r="AD257" s="61">
        <v>1.4027777777777783E-2</v>
      </c>
      <c r="AE257" s="109" t="s">
        <v>20</v>
      </c>
      <c r="AF257" s="109">
        <v>50</v>
      </c>
      <c r="AG257" s="109" t="s">
        <v>35</v>
      </c>
      <c r="AI257">
        <v>243</v>
      </c>
      <c r="AJ257" s="77" t="str">
        <f t="shared" si="77"/>
        <v>MEXICO AEREO</v>
      </c>
      <c r="AK257" s="77">
        <f t="shared" si="77"/>
        <v>2127</v>
      </c>
      <c r="AL257" s="78">
        <v>0.56041666666666667</v>
      </c>
      <c r="AM257" s="79">
        <v>0.56944444444444442</v>
      </c>
      <c r="AN257" s="80">
        <v>9.0277777777777457E-3</v>
      </c>
      <c r="AO257" s="79">
        <v>0.57708333333333328</v>
      </c>
      <c r="AP257" s="80">
        <v>7.6388888888888618E-3</v>
      </c>
      <c r="AQ257" s="81">
        <v>41801</v>
      </c>
      <c r="AR257" s="77" t="str">
        <f t="shared" si="78"/>
        <v>Nacional</v>
      </c>
      <c r="AS257" s="77">
        <f t="shared" si="78"/>
        <v>8.7752525252525315E-3</v>
      </c>
      <c r="AT257" s="77">
        <f t="shared" si="78"/>
        <v>5.4608585858585863E-3</v>
      </c>
      <c r="AU257" s="77">
        <f t="shared" si="78"/>
        <v>1.4236111111111118E-2</v>
      </c>
      <c r="AV257" s="77" t="str">
        <f t="shared" si="78"/>
        <v>ER4</v>
      </c>
      <c r="AW257" s="77">
        <f t="shared" si="78"/>
        <v>50</v>
      </c>
      <c r="AX257" s="77" t="str">
        <f t="shared" si="78"/>
        <v>CUL</v>
      </c>
    </row>
    <row r="258" spans="1:50" x14ac:dyDescent="0.25">
      <c r="A258">
        <v>244</v>
      </c>
      <c r="B258" s="36" t="str">
        <f t="shared" si="72"/>
        <v>MEXICO AEREO</v>
      </c>
      <c r="C258" s="36">
        <f t="shared" si="72"/>
        <v>781</v>
      </c>
      <c r="D258" s="74">
        <v>0.18958333333333333</v>
      </c>
      <c r="E258" s="74">
        <v>0.20555555555555557</v>
      </c>
      <c r="F258" s="75">
        <v>1.5972222222222249E-2</v>
      </c>
      <c r="G258" s="74">
        <v>0.23333333333333331</v>
      </c>
      <c r="H258" s="75">
        <v>2.7777777777777735E-2</v>
      </c>
      <c r="I258" s="76">
        <v>41721</v>
      </c>
      <c r="J258" s="36" t="str">
        <f t="shared" si="79"/>
        <v>Internacional</v>
      </c>
      <c r="K258" s="36">
        <f t="shared" si="79"/>
        <v>8.958333333333332E-3</v>
      </c>
      <c r="L258" s="36">
        <f t="shared" si="79"/>
        <v>2.7986111111111107E-2</v>
      </c>
      <c r="M258" s="36">
        <f t="shared" si="79"/>
        <v>3.6944444444444439E-2</v>
      </c>
      <c r="N258" s="36" t="str">
        <f t="shared" si="79"/>
        <v>B737-800</v>
      </c>
      <c r="O258" s="36">
        <f t="shared" si="79"/>
        <v>189</v>
      </c>
      <c r="P258" s="36" t="str">
        <f t="shared" si="79"/>
        <v>ONT</v>
      </c>
      <c r="R258">
        <v>244</v>
      </c>
      <c r="S258" s="36" t="str">
        <f t="shared" si="69"/>
        <v>MEXICO AEREO</v>
      </c>
      <c r="T258" s="36">
        <f t="shared" si="69"/>
        <v>2125</v>
      </c>
      <c r="U258" s="73">
        <v>0.42986111111111108</v>
      </c>
      <c r="V258" s="74">
        <v>0.43194444444444446</v>
      </c>
      <c r="W258" s="75">
        <v>2.0833333333333814E-3</v>
      </c>
      <c r="X258" s="74">
        <v>0.43472222222222223</v>
      </c>
      <c r="Y258" s="75">
        <v>2.7777777777777679E-3</v>
      </c>
      <c r="Z258" s="76">
        <v>41739</v>
      </c>
      <c r="AA258" s="36" t="str">
        <f t="shared" ref="AA258:AG271" si="80">AA257</f>
        <v>Nacional</v>
      </c>
      <c r="AB258" s="36">
        <f t="shared" si="80"/>
        <v>8.2870370370370476E-3</v>
      </c>
      <c r="AC258" s="36">
        <f t="shared" si="80"/>
        <v>5.7407407407407355E-3</v>
      </c>
      <c r="AD258" s="36">
        <f t="shared" si="80"/>
        <v>1.4027777777777783E-2</v>
      </c>
      <c r="AE258" s="36" t="str">
        <f t="shared" si="80"/>
        <v>ER4</v>
      </c>
      <c r="AF258" s="36">
        <f t="shared" si="80"/>
        <v>50</v>
      </c>
      <c r="AG258" s="36" t="str">
        <f t="shared" si="80"/>
        <v>CUL</v>
      </c>
      <c r="AI258">
        <v>244</v>
      </c>
      <c r="AJ258" s="77" t="str">
        <f t="shared" si="77"/>
        <v>MEXICO AEREO</v>
      </c>
      <c r="AK258" s="77">
        <f t="shared" si="77"/>
        <v>2127</v>
      </c>
      <c r="AL258" s="78">
        <v>0.57638888888888895</v>
      </c>
      <c r="AM258" s="79">
        <v>0.5805555555555556</v>
      </c>
      <c r="AN258" s="80">
        <v>4.1666666666666519E-3</v>
      </c>
      <c r="AO258" s="79">
        <v>0.59236111111111112</v>
      </c>
      <c r="AP258" s="80">
        <v>1.1805555555555514E-2</v>
      </c>
      <c r="AQ258" s="81">
        <v>41802</v>
      </c>
      <c r="AR258" s="77" t="str">
        <f t="shared" si="78"/>
        <v>Nacional</v>
      </c>
      <c r="AS258" s="77">
        <f t="shared" si="78"/>
        <v>8.7752525252525315E-3</v>
      </c>
      <c r="AT258" s="77">
        <f t="shared" si="78"/>
        <v>5.4608585858585863E-3</v>
      </c>
      <c r="AU258" s="77">
        <f t="shared" si="78"/>
        <v>1.4236111111111118E-2</v>
      </c>
      <c r="AV258" s="77" t="str">
        <f t="shared" si="78"/>
        <v>ER4</v>
      </c>
      <c r="AW258" s="77">
        <f t="shared" si="78"/>
        <v>50</v>
      </c>
      <c r="AX258" s="77" t="str">
        <f t="shared" si="78"/>
        <v>CUL</v>
      </c>
    </row>
    <row r="259" spans="1:50" x14ac:dyDescent="0.25">
      <c r="A259">
        <v>245</v>
      </c>
      <c r="B259" s="36" t="str">
        <f t="shared" si="72"/>
        <v>MEXICO AEREO</v>
      </c>
      <c r="C259" s="36">
        <f t="shared" si="72"/>
        <v>781</v>
      </c>
      <c r="D259" s="74">
        <v>0.21458333333333335</v>
      </c>
      <c r="E259" s="74">
        <v>0.22222222222222221</v>
      </c>
      <c r="F259" s="75">
        <v>7.6388888888888618E-3</v>
      </c>
      <c r="G259" s="74">
        <v>0.25208333333333333</v>
      </c>
      <c r="H259" s="75">
        <v>2.9861111111111116E-2</v>
      </c>
      <c r="I259" s="76">
        <v>41721</v>
      </c>
      <c r="J259" s="36" t="str">
        <f t="shared" si="79"/>
        <v>Internacional</v>
      </c>
      <c r="K259" s="36">
        <f t="shared" si="79"/>
        <v>8.958333333333332E-3</v>
      </c>
      <c r="L259" s="36">
        <f t="shared" si="79"/>
        <v>2.7986111111111107E-2</v>
      </c>
      <c r="M259" s="36">
        <f t="shared" si="79"/>
        <v>3.6944444444444439E-2</v>
      </c>
      <c r="N259" s="36" t="str">
        <f t="shared" si="79"/>
        <v>B737-800</v>
      </c>
      <c r="O259" s="36">
        <f t="shared" si="79"/>
        <v>189</v>
      </c>
      <c r="P259" s="36" t="str">
        <f t="shared" si="79"/>
        <v>ONT</v>
      </c>
      <c r="R259">
        <v>245</v>
      </c>
      <c r="S259" s="36" t="str">
        <f t="shared" si="69"/>
        <v>MEXICO AEREO</v>
      </c>
      <c r="T259" s="36">
        <f t="shared" si="69"/>
        <v>2125</v>
      </c>
      <c r="U259" s="73">
        <v>0.4055555555555555</v>
      </c>
      <c r="V259" s="74">
        <v>0.41319444444444442</v>
      </c>
      <c r="W259" s="75">
        <v>7.6388888888889173E-3</v>
      </c>
      <c r="X259" s="74">
        <v>0.42569444444444443</v>
      </c>
      <c r="Y259" s="75">
        <v>1.2500000000000011E-2</v>
      </c>
      <c r="Z259" s="76">
        <v>41745</v>
      </c>
      <c r="AA259" s="36" t="str">
        <f t="shared" si="80"/>
        <v>Nacional</v>
      </c>
      <c r="AB259" s="36">
        <f t="shared" si="80"/>
        <v>8.2870370370370476E-3</v>
      </c>
      <c r="AC259" s="36">
        <f t="shared" si="80"/>
        <v>5.7407407407407355E-3</v>
      </c>
      <c r="AD259" s="36">
        <f t="shared" si="80"/>
        <v>1.4027777777777783E-2</v>
      </c>
      <c r="AE259" s="36" t="str">
        <f t="shared" si="80"/>
        <v>ER4</v>
      </c>
      <c r="AF259" s="36">
        <f t="shared" si="80"/>
        <v>50</v>
      </c>
      <c r="AG259" s="36" t="str">
        <f t="shared" si="80"/>
        <v>CUL</v>
      </c>
      <c r="AI259">
        <v>245</v>
      </c>
      <c r="AJ259" s="77" t="str">
        <f t="shared" si="77"/>
        <v>MEXICO AEREO</v>
      </c>
      <c r="AK259" s="77">
        <f t="shared" si="77"/>
        <v>2127</v>
      </c>
      <c r="AL259" s="78">
        <v>0.86597222222222225</v>
      </c>
      <c r="AM259" s="79">
        <v>0.87361111111111101</v>
      </c>
      <c r="AN259" s="80">
        <v>7.6388888888887507E-3</v>
      </c>
      <c r="AO259" s="79">
        <v>0.87847222222222221</v>
      </c>
      <c r="AP259" s="80">
        <v>4.8611111111112049E-3</v>
      </c>
      <c r="AQ259" s="81">
        <v>41803</v>
      </c>
      <c r="AR259" s="77" t="str">
        <f t="shared" si="78"/>
        <v>Nacional</v>
      </c>
      <c r="AS259" s="77">
        <f t="shared" si="78"/>
        <v>8.7752525252525315E-3</v>
      </c>
      <c r="AT259" s="77">
        <f t="shared" si="78"/>
        <v>5.4608585858585863E-3</v>
      </c>
      <c r="AU259" s="77">
        <f t="shared" si="78"/>
        <v>1.4236111111111118E-2</v>
      </c>
      <c r="AV259" s="77" t="str">
        <f t="shared" si="78"/>
        <v>ER4</v>
      </c>
      <c r="AW259" s="77">
        <f t="shared" si="78"/>
        <v>50</v>
      </c>
      <c r="AX259" s="77" t="str">
        <f t="shared" si="78"/>
        <v>CUL</v>
      </c>
    </row>
    <row r="260" spans="1:50" x14ac:dyDescent="0.25">
      <c r="A260">
        <v>246</v>
      </c>
      <c r="B260" s="36" t="str">
        <f t="shared" si="72"/>
        <v>MEXICO AEREO</v>
      </c>
      <c r="C260" s="36">
        <f t="shared" si="72"/>
        <v>781</v>
      </c>
      <c r="D260" s="74">
        <v>0.20347222222222219</v>
      </c>
      <c r="E260" s="74">
        <v>0.21388888888888891</v>
      </c>
      <c r="F260" s="75">
        <v>1.0416666666666713E-2</v>
      </c>
      <c r="G260" s="74">
        <v>0.24305555555555555</v>
      </c>
      <c r="H260" s="75">
        <v>2.9166666666666646E-2</v>
      </c>
      <c r="I260" s="76">
        <v>41724</v>
      </c>
      <c r="J260" s="36" t="str">
        <f t="shared" si="79"/>
        <v>Internacional</v>
      </c>
      <c r="K260" s="36">
        <f t="shared" si="79"/>
        <v>8.958333333333332E-3</v>
      </c>
      <c r="L260" s="36">
        <f t="shared" si="79"/>
        <v>2.7986111111111107E-2</v>
      </c>
      <c r="M260" s="36">
        <f t="shared" si="79"/>
        <v>3.6944444444444439E-2</v>
      </c>
      <c r="N260" s="36" t="str">
        <f t="shared" si="79"/>
        <v>B737-800</v>
      </c>
      <c r="O260" s="36">
        <f t="shared" si="79"/>
        <v>189</v>
      </c>
      <c r="P260" s="36" t="str">
        <f t="shared" si="79"/>
        <v>ONT</v>
      </c>
      <c r="R260">
        <v>246</v>
      </c>
      <c r="S260" s="36" t="str">
        <f t="shared" si="69"/>
        <v>MEXICO AEREO</v>
      </c>
      <c r="T260" s="36">
        <f t="shared" si="69"/>
        <v>2125</v>
      </c>
      <c r="U260" s="73">
        <v>0.41180555555555554</v>
      </c>
      <c r="V260" s="74">
        <v>0.44444444444444442</v>
      </c>
      <c r="W260" s="75">
        <v>3.2638888888888884E-2</v>
      </c>
      <c r="X260" s="74">
        <v>0.45</v>
      </c>
      <c r="Y260" s="75">
        <v>5.5555555555555913E-3</v>
      </c>
      <c r="Z260" s="76">
        <v>41746</v>
      </c>
      <c r="AA260" s="36" t="str">
        <f t="shared" si="80"/>
        <v>Nacional</v>
      </c>
      <c r="AB260" s="36">
        <f t="shared" si="80"/>
        <v>8.2870370370370476E-3</v>
      </c>
      <c r="AC260" s="36">
        <f t="shared" si="80"/>
        <v>5.7407407407407355E-3</v>
      </c>
      <c r="AD260" s="36">
        <f t="shared" si="80"/>
        <v>1.4027777777777783E-2</v>
      </c>
      <c r="AE260" s="36" t="str">
        <f t="shared" si="80"/>
        <v>ER4</v>
      </c>
      <c r="AF260" s="36">
        <f t="shared" si="80"/>
        <v>50</v>
      </c>
      <c r="AG260" s="36" t="str">
        <f t="shared" si="80"/>
        <v>CUL</v>
      </c>
      <c r="AI260">
        <v>246</v>
      </c>
      <c r="AJ260" s="77" t="str">
        <f t="shared" si="77"/>
        <v>MEXICO AEREO</v>
      </c>
      <c r="AK260" s="77">
        <f t="shared" si="77"/>
        <v>2127</v>
      </c>
      <c r="AL260" s="78">
        <v>0.76666666666666661</v>
      </c>
      <c r="AM260" s="79">
        <v>0.77638888888888891</v>
      </c>
      <c r="AN260" s="80">
        <v>9.7222222222222987E-3</v>
      </c>
      <c r="AO260" s="79">
        <v>0.78472222222222221</v>
      </c>
      <c r="AP260" s="80">
        <v>8.3333333333333037E-3</v>
      </c>
      <c r="AQ260" s="81">
        <v>41804</v>
      </c>
      <c r="AR260" s="77" t="str">
        <f t="shared" si="78"/>
        <v>Nacional</v>
      </c>
      <c r="AS260" s="77">
        <f t="shared" si="78"/>
        <v>8.7752525252525315E-3</v>
      </c>
      <c r="AT260" s="77">
        <f t="shared" si="78"/>
        <v>5.4608585858585863E-3</v>
      </c>
      <c r="AU260" s="77">
        <f t="shared" si="78"/>
        <v>1.4236111111111118E-2</v>
      </c>
      <c r="AV260" s="77" t="str">
        <f t="shared" si="78"/>
        <v>ER4</v>
      </c>
      <c r="AW260" s="77">
        <f t="shared" si="78"/>
        <v>50</v>
      </c>
      <c r="AX260" s="77" t="str">
        <f t="shared" si="78"/>
        <v>CUL</v>
      </c>
    </row>
    <row r="261" spans="1:50" x14ac:dyDescent="0.25">
      <c r="A261">
        <v>247</v>
      </c>
      <c r="B261" s="36" t="str">
        <f t="shared" si="72"/>
        <v>MEXICO AEREO</v>
      </c>
      <c r="C261" s="36">
        <f t="shared" si="72"/>
        <v>781</v>
      </c>
      <c r="D261" s="74">
        <v>0.20277777777777781</v>
      </c>
      <c r="E261" s="74">
        <v>0.21388888888888891</v>
      </c>
      <c r="F261" s="75">
        <v>1.1111111111111099E-2</v>
      </c>
      <c r="G261" s="74">
        <v>0.24861111111111112</v>
      </c>
      <c r="H261" s="75">
        <v>3.472222222222221E-2</v>
      </c>
      <c r="I261" s="76">
        <v>41725</v>
      </c>
      <c r="J261" s="36" t="str">
        <f t="shared" si="79"/>
        <v>Internacional</v>
      </c>
      <c r="K261" s="36">
        <f t="shared" si="79"/>
        <v>8.958333333333332E-3</v>
      </c>
      <c r="L261" s="36">
        <f t="shared" si="79"/>
        <v>2.7986111111111107E-2</v>
      </c>
      <c r="M261" s="36">
        <f t="shared" si="79"/>
        <v>3.6944444444444439E-2</v>
      </c>
      <c r="N261" s="36" t="str">
        <f t="shared" si="79"/>
        <v>B737-800</v>
      </c>
      <c r="O261" s="36">
        <f t="shared" si="79"/>
        <v>189</v>
      </c>
      <c r="P261" s="36" t="str">
        <f t="shared" si="79"/>
        <v>ONT</v>
      </c>
      <c r="R261">
        <v>247</v>
      </c>
      <c r="S261" s="36" t="str">
        <f t="shared" si="69"/>
        <v>MEXICO AEREO</v>
      </c>
      <c r="T261" s="36">
        <f t="shared" si="69"/>
        <v>2125</v>
      </c>
      <c r="U261" s="73">
        <v>0.41875000000000001</v>
      </c>
      <c r="V261" s="74">
        <v>0.42638888888888887</v>
      </c>
      <c r="W261" s="75">
        <v>7.6388888888888618E-3</v>
      </c>
      <c r="X261" s="74">
        <v>0.43055555555555558</v>
      </c>
      <c r="Y261" s="75">
        <v>4.1666666666667074E-3</v>
      </c>
      <c r="Z261" s="76">
        <v>41747</v>
      </c>
      <c r="AA261" s="36" t="str">
        <f t="shared" si="80"/>
        <v>Nacional</v>
      </c>
      <c r="AB261" s="36">
        <f t="shared" si="80"/>
        <v>8.2870370370370476E-3</v>
      </c>
      <c r="AC261" s="36">
        <f t="shared" si="80"/>
        <v>5.7407407407407355E-3</v>
      </c>
      <c r="AD261" s="36">
        <f t="shared" si="80"/>
        <v>1.4027777777777783E-2</v>
      </c>
      <c r="AE261" s="36" t="str">
        <f t="shared" si="80"/>
        <v>ER4</v>
      </c>
      <c r="AF261" s="36">
        <f t="shared" si="80"/>
        <v>50</v>
      </c>
      <c r="AG261" s="36" t="str">
        <f t="shared" si="80"/>
        <v>CUL</v>
      </c>
      <c r="AI261">
        <v>247</v>
      </c>
      <c r="AJ261" s="77" t="str">
        <f t="shared" si="77"/>
        <v>MEXICO AEREO</v>
      </c>
      <c r="AK261" s="77">
        <f t="shared" si="77"/>
        <v>2127</v>
      </c>
      <c r="AL261" s="78">
        <v>0.71527777777777779</v>
      </c>
      <c r="AM261" s="79">
        <v>0.72916666666666663</v>
      </c>
      <c r="AN261" s="80">
        <v>1.388888888888884E-2</v>
      </c>
      <c r="AO261" s="79">
        <v>0.73263888888888884</v>
      </c>
      <c r="AP261" s="80">
        <v>3.4722222222222099E-3</v>
      </c>
      <c r="AQ261" s="81">
        <v>41805</v>
      </c>
      <c r="AR261" s="77" t="str">
        <f t="shared" si="78"/>
        <v>Nacional</v>
      </c>
      <c r="AS261" s="77">
        <f t="shared" si="78"/>
        <v>8.7752525252525315E-3</v>
      </c>
      <c r="AT261" s="77">
        <f t="shared" si="78"/>
        <v>5.4608585858585863E-3</v>
      </c>
      <c r="AU261" s="77">
        <f t="shared" si="78"/>
        <v>1.4236111111111118E-2</v>
      </c>
      <c r="AV261" s="77" t="str">
        <f t="shared" si="78"/>
        <v>ER4</v>
      </c>
      <c r="AW261" s="77">
        <f t="shared" si="78"/>
        <v>50</v>
      </c>
      <c r="AX261" s="77" t="str">
        <f t="shared" si="78"/>
        <v>CUL</v>
      </c>
    </row>
    <row r="262" spans="1:50" x14ac:dyDescent="0.25">
      <c r="A262">
        <v>248</v>
      </c>
      <c r="B262" s="36" t="str">
        <f t="shared" si="72"/>
        <v>MEXICO AEREO</v>
      </c>
      <c r="C262" s="36">
        <f t="shared" si="72"/>
        <v>781</v>
      </c>
      <c r="D262" s="74">
        <v>0.19236111111111112</v>
      </c>
      <c r="E262" s="74">
        <v>0.19791666666666666</v>
      </c>
      <c r="F262" s="75">
        <v>5.5555555555555358E-3</v>
      </c>
      <c r="G262" s="74">
        <v>0.22638888888888889</v>
      </c>
      <c r="H262" s="75">
        <v>2.8472222222222232E-2</v>
      </c>
      <c r="I262" s="76">
        <v>41727</v>
      </c>
      <c r="J262" s="36" t="str">
        <f t="shared" si="79"/>
        <v>Internacional</v>
      </c>
      <c r="K262" s="36">
        <f t="shared" si="79"/>
        <v>8.958333333333332E-3</v>
      </c>
      <c r="L262" s="36">
        <f t="shared" si="79"/>
        <v>2.7986111111111107E-2</v>
      </c>
      <c r="M262" s="36">
        <f t="shared" si="79"/>
        <v>3.6944444444444439E-2</v>
      </c>
      <c r="N262" s="36" t="str">
        <f t="shared" si="79"/>
        <v>B737-800</v>
      </c>
      <c r="O262" s="36">
        <f t="shared" si="79"/>
        <v>189</v>
      </c>
      <c r="P262" s="36" t="str">
        <f t="shared" si="79"/>
        <v>ONT</v>
      </c>
      <c r="R262">
        <v>248</v>
      </c>
      <c r="S262" s="36" t="str">
        <f t="shared" si="69"/>
        <v>MEXICO AEREO</v>
      </c>
      <c r="T262" s="36">
        <f t="shared" si="69"/>
        <v>2125</v>
      </c>
      <c r="U262" s="73">
        <v>0.42291666666666666</v>
      </c>
      <c r="V262" s="74">
        <v>0.4291666666666667</v>
      </c>
      <c r="W262" s="75">
        <v>6.2500000000000333E-3</v>
      </c>
      <c r="X262" s="74">
        <v>0.43472222222222223</v>
      </c>
      <c r="Y262" s="75">
        <v>5.5555555555555358E-3</v>
      </c>
      <c r="Z262" s="76">
        <v>41748</v>
      </c>
      <c r="AA262" s="36" t="str">
        <f t="shared" si="80"/>
        <v>Nacional</v>
      </c>
      <c r="AB262" s="36">
        <f t="shared" si="80"/>
        <v>8.2870370370370476E-3</v>
      </c>
      <c r="AC262" s="36">
        <f t="shared" si="80"/>
        <v>5.7407407407407355E-3</v>
      </c>
      <c r="AD262" s="36">
        <f t="shared" si="80"/>
        <v>1.4027777777777783E-2</v>
      </c>
      <c r="AE262" s="36" t="str">
        <f t="shared" si="80"/>
        <v>ER4</v>
      </c>
      <c r="AF262" s="36">
        <f t="shared" si="80"/>
        <v>50</v>
      </c>
      <c r="AG262" s="36" t="str">
        <f t="shared" si="80"/>
        <v>CUL</v>
      </c>
      <c r="AI262">
        <v>248</v>
      </c>
      <c r="AJ262" s="77" t="str">
        <f t="shared" si="77"/>
        <v>MEXICO AEREO</v>
      </c>
      <c r="AK262" s="77">
        <f t="shared" si="77"/>
        <v>2127</v>
      </c>
      <c r="AL262" s="78">
        <v>0.90902777777777777</v>
      </c>
      <c r="AM262" s="79">
        <v>0.92222222222222217</v>
      </c>
      <c r="AN262" s="80">
        <v>1.3194444444444398E-2</v>
      </c>
      <c r="AO262" s="79">
        <v>0.93819444444444444</v>
      </c>
      <c r="AP262" s="80">
        <v>1.5972222222222276E-2</v>
      </c>
      <c r="AQ262" s="81">
        <v>41806</v>
      </c>
      <c r="AR262" s="77" t="str">
        <f t="shared" si="78"/>
        <v>Nacional</v>
      </c>
      <c r="AS262" s="77">
        <f t="shared" si="78"/>
        <v>8.7752525252525315E-3</v>
      </c>
      <c r="AT262" s="77">
        <f t="shared" si="78"/>
        <v>5.4608585858585863E-3</v>
      </c>
      <c r="AU262" s="77">
        <f t="shared" si="78"/>
        <v>1.4236111111111118E-2</v>
      </c>
      <c r="AV262" s="77" t="str">
        <f t="shared" si="78"/>
        <v>ER4</v>
      </c>
      <c r="AW262" s="77">
        <f t="shared" si="78"/>
        <v>50</v>
      </c>
      <c r="AX262" s="77" t="str">
        <f t="shared" si="78"/>
        <v>CUL</v>
      </c>
    </row>
    <row r="263" spans="1:50" ht="15.75" thickBot="1" x14ac:dyDescent="0.3">
      <c r="A263">
        <v>249</v>
      </c>
      <c r="B263" s="36" t="str">
        <f t="shared" si="72"/>
        <v>MEXICO AEREO</v>
      </c>
      <c r="C263" s="36">
        <f t="shared" si="72"/>
        <v>781</v>
      </c>
      <c r="D263" s="84">
        <v>0.21180555555555555</v>
      </c>
      <c r="E263" s="84">
        <v>0.22222222222222221</v>
      </c>
      <c r="F263" s="85">
        <v>1.0416666666666657E-2</v>
      </c>
      <c r="G263" s="84">
        <v>0.24583333333333335</v>
      </c>
      <c r="H263" s="85">
        <v>2.3611111111111138E-2</v>
      </c>
      <c r="I263" s="86">
        <v>41728</v>
      </c>
      <c r="J263" s="36" t="str">
        <f t="shared" si="79"/>
        <v>Internacional</v>
      </c>
      <c r="K263" s="36">
        <f t="shared" si="79"/>
        <v>8.958333333333332E-3</v>
      </c>
      <c r="L263" s="36">
        <f t="shared" si="79"/>
        <v>2.7986111111111107E-2</v>
      </c>
      <c r="M263" s="36">
        <f t="shared" si="79"/>
        <v>3.6944444444444439E-2</v>
      </c>
      <c r="N263" s="36" t="str">
        <f t="shared" si="79"/>
        <v>B737-800</v>
      </c>
      <c r="O263" s="36">
        <f t="shared" si="79"/>
        <v>189</v>
      </c>
      <c r="P263" s="36" t="str">
        <f t="shared" si="79"/>
        <v>ONT</v>
      </c>
      <c r="R263">
        <v>249</v>
      </c>
      <c r="S263" s="36" t="str">
        <f t="shared" si="69"/>
        <v>MEXICO AEREO</v>
      </c>
      <c r="T263" s="36">
        <f t="shared" si="69"/>
        <v>2125</v>
      </c>
      <c r="U263" s="73">
        <v>0.42638888888888887</v>
      </c>
      <c r="V263" s="74">
        <v>0.42708333333333331</v>
      </c>
      <c r="W263" s="75">
        <v>6.9444444444444198E-4</v>
      </c>
      <c r="X263" s="74">
        <v>0.42986111111111108</v>
      </c>
      <c r="Y263" s="75">
        <v>2.7777777777777679E-3</v>
      </c>
      <c r="Z263" s="76">
        <v>41749</v>
      </c>
      <c r="AA263" s="36" t="str">
        <f t="shared" si="80"/>
        <v>Nacional</v>
      </c>
      <c r="AB263" s="36">
        <f t="shared" si="80"/>
        <v>8.2870370370370476E-3</v>
      </c>
      <c r="AC263" s="36">
        <f t="shared" si="80"/>
        <v>5.7407407407407355E-3</v>
      </c>
      <c r="AD263" s="36">
        <f t="shared" si="80"/>
        <v>1.4027777777777783E-2</v>
      </c>
      <c r="AE263" s="36" t="str">
        <f t="shared" si="80"/>
        <v>ER4</v>
      </c>
      <c r="AF263" s="36">
        <f t="shared" si="80"/>
        <v>50</v>
      </c>
      <c r="AG263" s="36" t="str">
        <f t="shared" si="80"/>
        <v>CUL</v>
      </c>
      <c r="AI263">
        <v>249</v>
      </c>
      <c r="AJ263" s="77" t="str">
        <f t="shared" si="77"/>
        <v>MEXICO AEREO</v>
      </c>
      <c r="AK263" s="77">
        <f t="shared" si="77"/>
        <v>2127</v>
      </c>
      <c r="AL263" s="78">
        <v>0.66805555555555562</v>
      </c>
      <c r="AM263" s="79">
        <v>0.67638888888888893</v>
      </c>
      <c r="AN263" s="80">
        <v>8.3333333333333037E-3</v>
      </c>
      <c r="AO263" s="79">
        <v>0.68263888888888891</v>
      </c>
      <c r="AP263" s="80">
        <v>6.2499999999999778E-3</v>
      </c>
      <c r="AQ263" s="81">
        <v>41807</v>
      </c>
      <c r="AR263" s="77" t="str">
        <f t="shared" si="78"/>
        <v>Nacional</v>
      </c>
      <c r="AS263" s="77">
        <f t="shared" si="78"/>
        <v>8.7752525252525315E-3</v>
      </c>
      <c r="AT263" s="77">
        <f t="shared" si="78"/>
        <v>5.4608585858585863E-3</v>
      </c>
      <c r="AU263" s="77">
        <f t="shared" si="78"/>
        <v>1.4236111111111118E-2</v>
      </c>
      <c r="AV263" s="77" t="str">
        <f t="shared" si="78"/>
        <v>ER4</v>
      </c>
      <c r="AW263" s="77">
        <f t="shared" si="78"/>
        <v>50</v>
      </c>
      <c r="AX263" s="77" t="str">
        <f t="shared" si="78"/>
        <v>CUL</v>
      </c>
    </row>
    <row r="264" spans="1:50" x14ac:dyDescent="0.25">
      <c r="A264">
        <v>250</v>
      </c>
      <c r="B264" s="36" t="str">
        <f t="shared" si="72"/>
        <v>MEXICO AEREO</v>
      </c>
      <c r="C264" s="88">
        <v>779</v>
      </c>
      <c r="D264" s="57">
        <v>0.70208333333333339</v>
      </c>
      <c r="E264" s="57">
        <v>0.70416666666666661</v>
      </c>
      <c r="F264" s="58">
        <v>2.0833333333332149E-3</v>
      </c>
      <c r="G264" s="57">
        <v>0.70624999999999993</v>
      </c>
      <c r="H264" s="58">
        <v>2.0833333333333259E-3</v>
      </c>
      <c r="I264" s="59">
        <v>41714</v>
      </c>
      <c r="J264" s="108" t="s">
        <v>19</v>
      </c>
      <c r="K264" s="61">
        <v>6.7129629629629579E-3</v>
      </c>
      <c r="L264" s="61">
        <v>4.1666666666666519E-3</v>
      </c>
      <c r="M264" s="89">
        <v>1.0879629629629611E-2</v>
      </c>
      <c r="N264" s="90" t="s">
        <v>39</v>
      </c>
      <c r="O264" s="91">
        <v>189</v>
      </c>
      <c r="P264" s="92" t="s">
        <v>35</v>
      </c>
      <c r="R264">
        <v>250</v>
      </c>
      <c r="S264" s="36" t="str">
        <f t="shared" si="69"/>
        <v>MEXICO AEREO</v>
      </c>
      <c r="T264" s="36">
        <f t="shared" si="69"/>
        <v>2125</v>
      </c>
      <c r="U264" s="73">
        <v>0.4236111111111111</v>
      </c>
      <c r="V264" s="74">
        <v>0.43194444444444446</v>
      </c>
      <c r="W264" s="75">
        <v>8.3333333333333592E-3</v>
      </c>
      <c r="X264" s="74">
        <v>0.44791666666666669</v>
      </c>
      <c r="Y264" s="75">
        <v>1.5972222222222221E-2</v>
      </c>
      <c r="Z264" s="76">
        <v>41750</v>
      </c>
      <c r="AA264" s="36" t="str">
        <f t="shared" si="80"/>
        <v>Nacional</v>
      </c>
      <c r="AB264" s="36">
        <f t="shared" si="80"/>
        <v>8.2870370370370476E-3</v>
      </c>
      <c r="AC264" s="36">
        <f t="shared" si="80"/>
        <v>5.7407407407407355E-3</v>
      </c>
      <c r="AD264" s="36">
        <f t="shared" si="80"/>
        <v>1.4027777777777783E-2</v>
      </c>
      <c r="AE264" s="36" t="str">
        <f t="shared" si="80"/>
        <v>ER4</v>
      </c>
      <c r="AF264" s="36">
        <f t="shared" si="80"/>
        <v>50</v>
      </c>
      <c r="AG264" s="36" t="str">
        <f t="shared" si="80"/>
        <v>CUL</v>
      </c>
      <c r="AI264">
        <v>250</v>
      </c>
      <c r="AJ264" s="77" t="str">
        <f t="shared" si="77"/>
        <v>MEXICO AEREO</v>
      </c>
      <c r="AK264" s="77">
        <f t="shared" si="77"/>
        <v>2127</v>
      </c>
      <c r="AL264" s="78">
        <v>0.90972222222222221</v>
      </c>
      <c r="AM264" s="79">
        <v>0.92013888888888884</v>
      </c>
      <c r="AN264" s="80">
        <v>1.041666666666663E-2</v>
      </c>
      <c r="AO264" s="79">
        <v>0.92499999999999993</v>
      </c>
      <c r="AP264" s="80">
        <v>4.8611111111110938E-3</v>
      </c>
      <c r="AQ264" s="81">
        <v>41808</v>
      </c>
      <c r="AR264" s="77" t="str">
        <f t="shared" si="78"/>
        <v>Nacional</v>
      </c>
      <c r="AS264" s="77">
        <f t="shared" si="78"/>
        <v>8.7752525252525315E-3</v>
      </c>
      <c r="AT264" s="77">
        <f t="shared" si="78"/>
        <v>5.4608585858585863E-3</v>
      </c>
      <c r="AU264" s="77">
        <f t="shared" si="78"/>
        <v>1.4236111111111118E-2</v>
      </c>
      <c r="AV264" s="77" t="str">
        <f t="shared" si="78"/>
        <v>ER4</v>
      </c>
      <c r="AW264" s="77">
        <f t="shared" si="78"/>
        <v>50</v>
      </c>
      <c r="AX264" s="77" t="str">
        <f t="shared" si="78"/>
        <v>CUL</v>
      </c>
    </row>
    <row r="265" spans="1:50" x14ac:dyDescent="0.25">
      <c r="A265">
        <v>251</v>
      </c>
      <c r="B265" s="36" t="str">
        <f t="shared" si="72"/>
        <v>MEXICO AEREO</v>
      </c>
      <c r="C265" s="36">
        <f t="shared" si="72"/>
        <v>779</v>
      </c>
      <c r="D265" s="74">
        <v>0.71180555555555547</v>
      </c>
      <c r="E265" s="74">
        <v>0.71666666666666667</v>
      </c>
      <c r="F265" s="75">
        <v>4.8611111111112049E-3</v>
      </c>
      <c r="G265" s="74">
        <v>0.72083333333333333</v>
      </c>
      <c r="H265" s="75">
        <v>4.1666666666666519E-3</v>
      </c>
      <c r="I265" s="76">
        <v>41715</v>
      </c>
      <c r="J265" s="36" t="str">
        <f t="shared" ref="J265:P275" si="81">J264</f>
        <v>Nacional</v>
      </c>
      <c r="K265" s="36">
        <f t="shared" si="81"/>
        <v>6.7129629629629579E-3</v>
      </c>
      <c r="L265" s="36">
        <f t="shared" si="81"/>
        <v>4.1666666666666519E-3</v>
      </c>
      <c r="M265" s="36">
        <f t="shared" si="81"/>
        <v>1.0879629629629611E-2</v>
      </c>
      <c r="N265" s="36" t="str">
        <f t="shared" si="81"/>
        <v>B737-800</v>
      </c>
      <c r="O265" s="36">
        <f t="shared" si="81"/>
        <v>189</v>
      </c>
      <c r="P265" s="36" t="str">
        <f t="shared" si="81"/>
        <v>CUL</v>
      </c>
      <c r="R265">
        <v>251</v>
      </c>
      <c r="S265" s="36" t="str">
        <f t="shared" si="69"/>
        <v>MEXICO AEREO</v>
      </c>
      <c r="T265" s="36">
        <f t="shared" si="69"/>
        <v>2125</v>
      </c>
      <c r="U265" s="73">
        <v>0.42430555555555555</v>
      </c>
      <c r="V265" s="74">
        <v>0.43333333333333335</v>
      </c>
      <c r="W265" s="75">
        <v>9.0277777777778012E-3</v>
      </c>
      <c r="X265" s="74">
        <v>0.43541666666666662</v>
      </c>
      <c r="Y265" s="75">
        <v>2.0833333333332704E-3</v>
      </c>
      <c r="Z265" s="76">
        <v>41751</v>
      </c>
      <c r="AA265" s="36" t="str">
        <f t="shared" si="80"/>
        <v>Nacional</v>
      </c>
      <c r="AB265" s="36">
        <f t="shared" si="80"/>
        <v>8.2870370370370476E-3</v>
      </c>
      <c r="AC265" s="36">
        <f t="shared" si="80"/>
        <v>5.7407407407407355E-3</v>
      </c>
      <c r="AD265" s="36">
        <f t="shared" si="80"/>
        <v>1.4027777777777783E-2</v>
      </c>
      <c r="AE265" s="36" t="str">
        <f t="shared" si="80"/>
        <v>ER4</v>
      </c>
      <c r="AF265" s="36">
        <f t="shared" si="80"/>
        <v>50</v>
      </c>
      <c r="AG265" s="36" t="str">
        <f t="shared" si="80"/>
        <v>CUL</v>
      </c>
      <c r="AI265">
        <v>251</v>
      </c>
      <c r="AJ265" s="77" t="str">
        <f t="shared" si="77"/>
        <v>MEXICO AEREO</v>
      </c>
      <c r="AK265" s="77">
        <f t="shared" si="77"/>
        <v>2127</v>
      </c>
      <c r="AL265" s="78">
        <v>0.92361111111111116</v>
      </c>
      <c r="AM265" s="79">
        <v>0.9291666666666667</v>
      </c>
      <c r="AN265" s="80">
        <v>5.5555555555555358E-3</v>
      </c>
      <c r="AO265" s="79">
        <v>0.93194444444444446</v>
      </c>
      <c r="AP265" s="80">
        <v>2.7777777777777679E-3</v>
      </c>
      <c r="AQ265" s="81">
        <v>41809</v>
      </c>
      <c r="AR265" s="77" t="str">
        <f t="shared" si="78"/>
        <v>Nacional</v>
      </c>
      <c r="AS265" s="77">
        <f t="shared" si="78"/>
        <v>8.7752525252525315E-3</v>
      </c>
      <c r="AT265" s="77">
        <f t="shared" si="78"/>
        <v>5.4608585858585863E-3</v>
      </c>
      <c r="AU265" s="77">
        <f t="shared" si="78"/>
        <v>1.4236111111111118E-2</v>
      </c>
      <c r="AV265" s="77" t="str">
        <f t="shared" si="78"/>
        <v>ER4</v>
      </c>
      <c r="AW265" s="77">
        <f t="shared" si="78"/>
        <v>50</v>
      </c>
      <c r="AX265" s="77" t="str">
        <f t="shared" si="78"/>
        <v>CUL</v>
      </c>
    </row>
    <row r="266" spans="1:50" x14ac:dyDescent="0.25">
      <c r="A266">
        <v>252</v>
      </c>
      <c r="B266" s="36" t="str">
        <f t="shared" si="72"/>
        <v>MEXICO AEREO</v>
      </c>
      <c r="C266" s="36">
        <f t="shared" si="72"/>
        <v>779</v>
      </c>
      <c r="D266" s="74">
        <v>0.70416666666666661</v>
      </c>
      <c r="E266" s="74">
        <v>0.71319444444444446</v>
      </c>
      <c r="F266" s="75">
        <v>9.0277777777778567E-3</v>
      </c>
      <c r="G266" s="74">
        <v>0.71875</v>
      </c>
      <c r="H266" s="75">
        <v>5.5555555555555358E-3</v>
      </c>
      <c r="I266" s="76">
        <v>41716</v>
      </c>
      <c r="J266" s="36" t="str">
        <f t="shared" si="81"/>
        <v>Nacional</v>
      </c>
      <c r="K266" s="36">
        <f t="shared" si="81"/>
        <v>6.7129629629629579E-3</v>
      </c>
      <c r="L266" s="36">
        <f t="shared" si="81"/>
        <v>4.1666666666666519E-3</v>
      </c>
      <c r="M266" s="36">
        <f t="shared" si="81"/>
        <v>1.0879629629629611E-2</v>
      </c>
      <c r="N266" s="36" t="str">
        <f t="shared" si="81"/>
        <v>B737-800</v>
      </c>
      <c r="O266" s="36">
        <f t="shared" si="81"/>
        <v>189</v>
      </c>
      <c r="P266" s="36" t="str">
        <f t="shared" si="81"/>
        <v>CUL</v>
      </c>
      <c r="R266">
        <v>252</v>
      </c>
      <c r="S266" s="36" t="str">
        <f t="shared" si="69"/>
        <v>MEXICO AEREO</v>
      </c>
      <c r="T266" s="36">
        <f t="shared" si="69"/>
        <v>2125</v>
      </c>
      <c r="U266" s="73">
        <v>0.42638888888888887</v>
      </c>
      <c r="V266" s="74">
        <v>0.43055555555555558</v>
      </c>
      <c r="W266" s="75">
        <v>4.1666666666667074E-3</v>
      </c>
      <c r="X266" s="74">
        <v>0.4375</v>
      </c>
      <c r="Y266" s="75">
        <v>6.9444444444444198E-3</v>
      </c>
      <c r="Z266" s="76">
        <v>41753</v>
      </c>
      <c r="AA266" s="36" t="str">
        <f t="shared" si="80"/>
        <v>Nacional</v>
      </c>
      <c r="AB266" s="36">
        <f t="shared" si="80"/>
        <v>8.2870370370370476E-3</v>
      </c>
      <c r="AC266" s="36">
        <f t="shared" si="80"/>
        <v>5.7407407407407355E-3</v>
      </c>
      <c r="AD266" s="36">
        <f t="shared" si="80"/>
        <v>1.4027777777777783E-2</v>
      </c>
      <c r="AE266" s="36" t="str">
        <f t="shared" si="80"/>
        <v>ER4</v>
      </c>
      <c r="AF266" s="36">
        <f t="shared" si="80"/>
        <v>50</v>
      </c>
      <c r="AG266" s="36" t="str">
        <f t="shared" si="80"/>
        <v>CUL</v>
      </c>
      <c r="AI266">
        <v>252</v>
      </c>
      <c r="AJ266" s="77" t="str">
        <f t="shared" si="77"/>
        <v>MEXICO AEREO</v>
      </c>
      <c r="AK266" s="77">
        <f t="shared" si="77"/>
        <v>2127</v>
      </c>
      <c r="AL266" s="78">
        <v>0.9159722222222223</v>
      </c>
      <c r="AM266" s="79">
        <v>0.92361111111111116</v>
      </c>
      <c r="AN266" s="80">
        <v>7.6388888888888618E-3</v>
      </c>
      <c r="AO266" s="79">
        <v>0.92708333333333337</v>
      </c>
      <c r="AP266" s="80">
        <v>3.4722222222222099E-3</v>
      </c>
      <c r="AQ266" s="81">
        <v>41811</v>
      </c>
      <c r="AR266" s="77" t="str">
        <f t="shared" si="78"/>
        <v>Nacional</v>
      </c>
      <c r="AS266" s="77">
        <f t="shared" si="78"/>
        <v>8.7752525252525315E-3</v>
      </c>
      <c r="AT266" s="77">
        <f t="shared" si="78"/>
        <v>5.4608585858585863E-3</v>
      </c>
      <c r="AU266" s="77">
        <f t="shared" si="78"/>
        <v>1.4236111111111118E-2</v>
      </c>
      <c r="AV266" s="77" t="str">
        <f t="shared" si="78"/>
        <v>ER4</v>
      </c>
      <c r="AW266" s="77">
        <f t="shared" si="78"/>
        <v>50</v>
      </c>
      <c r="AX266" s="77" t="str">
        <f t="shared" si="78"/>
        <v>CUL</v>
      </c>
    </row>
    <row r="267" spans="1:50" x14ac:dyDescent="0.25">
      <c r="A267">
        <v>253</v>
      </c>
      <c r="B267" s="36" t="str">
        <f t="shared" si="72"/>
        <v>MEXICO AEREO</v>
      </c>
      <c r="C267" s="36">
        <f t="shared" si="72"/>
        <v>779</v>
      </c>
      <c r="D267" s="74">
        <v>0.71527777777777779</v>
      </c>
      <c r="E267" s="74">
        <v>0.72222222222222221</v>
      </c>
      <c r="F267" s="75">
        <v>6.9444444444444198E-3</v>
      </c>
      <c r="G267" s="74">
        <v>0.72777777777777775</v>
      </c>
      <c r="H267" s="75">
        <v>5.5555555555555358E-3</v>
      </c>
      <c r="I267" s="76">
        <v>41717</v>
      </c>
      <c r="J267" s="36" t="str">
        <f t="shared" si="81"/>
        <v>Nacional</v>
      </c>
      <c r="K267" s="36">
        <f t="shared" si="81"/>
        <v>6.7129629629629579E-3</v>
      </c>
      <c r="L267" s="36">
        <f t="shared" si="81"/>
        <v>4.1666666666666519E-3</v>
      </c>
      <c r="M267" s="36">
        <f t="shared" si="81"/>
        <v>1.0879629629629611E-2</v>
      </c>
      <c r="N267" s="36" t="str">
        <f t="shared" si="81"/>
        <v>B737-800</v>
      </c>
      <c r="O267" s="36">
        <f t="shared" si="81"/>
        <v>189</v>
      </c>
      <c r="P267" s="36" t="str">
        <f t="shared" si="81"/>
        <v>CUL</v>
      </c>
      <c r="R267">
        <v>253</v>
      </c>
      <c r="S267" s="36" t="str">
        <f t="shared" si="69"/>
        <v>MEXICO AEREO</v>
      </c>
      <c r="T267" s="36">
        <f t="shared" si="69"/>
        <v>2125</v>
      </c>
      <c r="U267" s="73">
        <v>0.42499999999999999</v>
      </c>
      <c r="V267" s="74">
        <v>0.43333333333333335</v>
      </c>
      <c r="W267" s="75">
        <v>8.3333333333333592E-3</v>
      </c>
      <c r="X267" s="74">
        <v>0.43958333333333338</v>
      </c>
      <c r="Y267" s="75">
        <v>6.2500000000000333E-3</v>
      </c>
      <c r="Z267" s="76">
        <v>41754</v>
      </c>
      <c r="AA267" s="36" t="str">
        <f t="shared" si="80"/>
        <v>Nacional</v>
      </c>
      <c r="AB267" s="36">
        <f t="shared" si="80"/>
        <v>8.2870370370370476E-3</v>
      </c>
      <c r="AC267" s="36">
        <f t="shared" si="80"/>
        <v>5.7407407407407355E-3</v>
      </c>
      <c r="AD267" s="36">
        <f t="shared" si="80"/>
        <v>1.4027777777777783E-2</v>
      </c>
      <c r="AE267" s="36" t="str">
        <f t="shared" si="80"/>
        <v>ER4</v>
      </c>
      <c r="AF267" s="36">
        <f t="shared" si="80"/>
        <v>50</v>
      </c>
      <c r="AG267" s="36" t="str">
        <f t="shared" si="80"/>
        <v>CUL</v>
      </c>
      <c r="AI267">
        <v>253</v>
      </c>
      <c r="AJ267" s="77" t="str">
        <f t="shared" si="77"/>
        <v>MEXICO AEREO</v>
      </c>
      <c r="AK267" s="77">
        <f t="shared" si="77"/>
        <v>2127</v>
      </c>
      <c r="AL267" s="78">
        <v>0.9145833333333333</v>
      </c>
      <c r="AM267" s="79">
        <v>0.92361111111111116</v>
      </c>
      <c r="AN267" s="80">
        <v>9.0277777777778567E-3</v>
      </c>
      <c r="AO267" s="79">
        <v>0.92499999999999993</v>
      </c>
      <c r="AP267" s="80">
        <v>1.3888888888887729E-3</v>
      </c>
      <c r="AQ267" s="81">
        <v>41812</v>
      </c>
      <c r="AR267" s="77" t="str">
        <f t="shared" si="78"/>
        <v>Nacional</v>
      </c>
      <c r="AS267" s="77">
        <f t="shared" si="78"/>
        <v>8.7752525252525315E-3</v>
      </c>
      <c r="AT267" s="77">
        <f t="shared" si="78"/>
        <v>5.4608585858585863E-3</v>
      </c>
      <c r="AU267" s="77">
        <f t="shared" si="78"/>
        <v>1.4236111111111118E-2</v>
      </c>
      <c r="AV267" s="77" t="str">
        <f t="shared" si="78"/>
        <v>ER4</v>
      </c>
      <c r="AW267" s="77">
        <f t="shared" si="78"/>
        <v>50</v>
      </c>
      <c r="AX267" s="77" t="str">
        <f t="shared" si="78"/>
        <v>CUL</v>
      </c>
    </row>
    <row r="268" spans="1:50" ht="15.75" thickBot="1" x14ac:dyDescent="0.3">
      <c r="A268">
        <v>254</v>
      </c>
      <c r="B268" s="36" t="str">
        <f t="shared" si="72"/>
        <v>MEXICO AEREO</v>
      </c>
      <c r="C268" s="36">
        <f t="shared" si="72"/>
        <v>779</v>
      </c>
      <c r="D268" s="74">
        <v>0.71805555555555556</v>
      </c>
      <c r="E268" s="74">
        <v>0.71875</v>
      </c>
      <c r="F268" s="75">
        <v>6.9444444444444198E-4</v>
      </c>
      <c r="G268" s="74">
        <v>0.72361111111111109</v>
      </c>
      <c r="H268" s="75">
        <v>4.8611111111110938E-3</v>
      </c>
      <c r="I268" s="76">
        <v>41718</v>
      </c>
      <c r="J268" s="36" t="str">
        <f t="shared" si="81"/>
        <v>Nacional</v>
      </c>
      <c r="K268" s="36">
        <f t="shared" si="81"/>
        <v>6.7129629629629579E-3</v>
      </c>
      <c r="L268" s="36">
        <f t="shared" si="81"/>
        <v>4.1666666666666519E-3</v>
      </c>
      <c r="M268" s="36">
        <f t="shared" si="81"/>
        <v>1.0879629629629611E-2</v>
      </c>
      <c r="N268" s="36" t="str">
        <f t="shared" si="81"/>
        <v>B737-800</v>
      </c>
      <c r="O268" s="36">
        <f t="shared" si="81"/>
        <v>189</v>
      </c>
      <c r="P268" s="36" t="str">
        <f t="shared" si="81"/>
        <v>CUL</v>
      </c>
      <c r="R268">
        <v>254</v>
      </c>
      <c r="S268" s="36" t="str">
        <f t="shared" si="69"/>
        <v>MEXICO AEREO</v>
      </c>
      <c r="T268" s="36">
        <f t="shared" si="69"/>
        <v>2125</v>
      </c>
      <c r="U268" s="73">
        <v>0.41944444444444445</v>
      </c>
      <c r="V268" s="74">
        <v>0.42638888888888887</v>
      </c>
      <c r="W268" s="75">
        <v>6.9444444444444198E-3</v>
      </c>
      <c r="X268" s="74">
        <v>0.43402777777777773</v>
      </c>
      <c r="Y268" s="75">
        <v>7.6388888888888618E-3</v>
      </c>
      <c r="Z268" s="76">
        <v>41756</v>
      </c>
      <c r="AA268" s="36" t="str">
        <f t="shared" si="80"/>
        <v>Nacional</v>
      </c>
      <c r="AB268" s="36">
        <f t="shared" si="80"/>
        <v>8.2870370370370476E-3</v>
      </c>
      <c r="AC268" s="36">
        <f t="shared" si="80"/>
        <v>5.7407407407407355E-3</v>
      </c>
      <c r="AD268" s="36">
        <f t="shared" si="80"/>
        <v>1.4027777777777783E-2</v>
      </c>
      <c r="AE268" s="36" t="str">
        <f t="shared" si="80"/>
        <v>ER4</v>
      </c>
      <c r="AF268" s="36">
        <f t="shared" si="80"/>
        <v>50</v>
      </c>
      <c r="AG268" s="36" t="str">
        <f t="shared" si="80"/>
        <v>CUL</v>
      </c>
      <c r="AI268">
        <v>254</v>
      </c>
      <c r="AJ268" s="77" t="str">
        <f t="shared" si="77"/>
        <v>MEXICO AEREO</v>
      </c>
      <c r="AK268" s="77">
        <f t="shared" si="77"/>
        <v>2127</v>
      </c>
      <c r="AL268" s="94">
        <v>0.90277777777777779</v>
      </c>
      <c r="AM268" s="95">
        <v>0.90972222222222221</v>
      </c>
      <c r="AN268" s="96">
        <v>6.9444444444444198E-3</v>
      </c>
      <c r="AO268" s="95">
        <v>0.92083333333333339</v>
      </c>
      <c r="AP268" s="96">
        <v>1.1111111111111183E-2</v>
      </c>
      <c r="AQ268" s="97">
        <v>41813</v>
      </c>
      <c r="AR268" s="77" t="str">
        <f t="shared" si="78"/>
        <v>Nacional</v>
      </c>
      <c r="AS268" s="77">
        <f t="shared" si="78"/>
        <v>8.7752525252525315E-3</v>
      </c>
      <c r="AT268" s="77">
        <f t="shared" si="78"/>
        <v>5.4608585858585863E-3</v>
      </c>
      <c r="AU268" s="77">
        <f t="shared" si="78"/>
        <v>1.4236111111111118E-2</v>
      </c>
      <c r="AV268" s="77" t="str">
        <f t="shared" si="78"/>
        <v>ER4</v>
      </c>
      <c r="AW268" s="77">
        <f t="shared" si="78"/>
        <v>50</v>
      </c>
      <c r="AX268" s="77" t="str">
        <f t="shared" si="78"/>
        <v>CUL</v>
      </c>
    </row>
    <row r="269" spans="1:50" x14ac:dyDescent="0.25">
      <c r="A269">
        <v>255</v>
      </c>
      <c r="B269" s="36" t="str">
        <f t="shared" si="72"/>
        <v>MEXICO AEREO</v>
      </c>
      <c r="C269" s="36">
        <f t="shared" si="72"/>
        <v>779</v>
      </c>
      <c r="D269" s="74">
        <v>0.70972222222222225</v>
      </c>
      <c r="E269" s="74">
        <v>0.71388888888888891</v>
      </c>
      <c r="F269" s="75">
        <v>4.1666666666666519E-3</v>
      </c>
      <c r="G269" s="74">
        <v>0.72222222222222221</v>
      </c>
      <c r="H269" s="75">
        <v>8.3333333333333037E-3</v>
      </c>
      <c r="I269" s="76">
        <v>41720</v>
      </c>
      <c r="J269" s="36" t="str">
        <f t="shared" si="81"/>
        <v>Nacional</v>
      </c>
      <c r="K269" s="36">
        <f t="shared" si="81"/>
        <v>6.7129629629629579E-3</v>
      </c>
      <c r="L269" s="36">
        <f t="shared" si="81"/>
        <v>4.1666666666666519E-3</v>
      </c>
      <c r="M269" s="36">
        <f t="shared" si="81"/>
        <v>1.0879629629629611E-2</v>
      </c>
      <c r="N269" s="36" t="str">
        <f t="shared" si="81"/>
        <v>B737-800</v>
      </c>
      <c r="O269" s="36">
        <f t="shared" si="81"/>
        <v>189</v>
      </c>
      <c r="P269" s="36" t="str">
        <f t="shared" si="81"/>
        <v>CUL</v>
      </c>
      <c r="R269">
        <v>255</v>
      </c>
      <c r="S269" s="36" t="str">
        <f t="shared" si="69"/>
        <v>MEXICO AEREO</v>
      </c>
      <c r="T269" s="36">
        <f t="shared" si="69"/>
        <v>2125</v>
      </c>
      <c r="U269" s="73">
        <v>0.42430555555555555</v>
      </c>
      <c r="V269" s="74">
        <v>0.42777777777777781</v>
      </c>
      <c r="W269" s="75">
        <v>3.4722222222222654E-3</v>
      </c>
      <c r="X269" s="74">
        <v>0.43402777777777773</v>
      </c>
      <c r="Y269" s="75">
        <v>6.2499999999999223E-3</v>
      </c>
      <c r="Z269" s="76">
        <v>41757</v>
      </c>
      <c r="AA269" s="36" t="str">
        <f t="shared" si="80"/>
        <v>Nacional</v>
      </c>
      <c r="AB269" s="36">
        <f t="shared" si="80"/>
        <v>8.2870370370370476E-3</v>
      </c>
      <c r="AC269" s="36">
        <f t="shared" si="80"/>
        <v>5.7407407407407355E-3</v>
      </c>
      <c r="AD269" s="36">
        <f t="shared" si="80"/>
        <v>1.4027777777777783E-2</v>
      </c>
      <c r="AE269" s="36" t="str">
        <f t="shared" si="80"/>
        <v>ER4</v>
      </c>
      <c r="AF269" s="36">
        <f t="shared" si="80"/>
        <v>50</v>
      </c>
      <c r="AG269" s="36" t="str">
        <f t="shared" si="80"/>
        <v>CUL</v>
      </c>
      <c r="AI269">
        <v>255</v>
      </c>
      <c r="AJ269" s="77" t="str">
        <f t="shared" si="77"/>
        <v>MEXICO AEREO</v>
      </c>
      <c r="AK269" s="63">
        <v>2125</v>
      </c>
      <c r="AL269" s="64">
        <v>0.42152777777777778</v>
      </c>
      <c r="AM269" s="65">
        <v>0.4284722222222222</v>
      </c>
      <c r="AN269" s="66">
        <v>6.9444444444444198E-3</v>
      </c>
      <c r="AO269" s="65">
        <v>0.42986111111111108</v>
      </c>
      <c r="AP269" s="66">
        <v>1.388888888888884E-3</v>
      </c>
      <c r="AQ269" s="67">
        <v>41791</v>
      </c>
      <c r="AR269" s="68" t="s">
        <v>19</v>
      </c>
      <c r="AS269" s="69">
        <v>6.5972222222222057E-3</v>
      </c>
      <c r="AT269" s="70">
        <v>7.0833333333333529E-3</v>
      </c>
      <c r="AU269" s="70">
        <v>1.3680555555555559E-2</v>
      </c>
      <c r="AV269" s="71" t="s">
        <v>20</v>
      </c>
      <c r="AW269" s="71">
        <v>50</v>
      </c>
      <c r="AX269" s="72" t="s">
        <v>35</v>
      </c>
    </row>
    <row r="270" spans="1:50" x14ac:dyDescent="0.25">
      <c r="A270">
        <v>256</v>
      </c>
      <c r="B270" s="36" t="str">
        <f t="shared" si="72"/>
        <v>MEXICO AEREO</v>
      </c>
      <c r="C270" s="36">
        <f t="shared" si="72"/>
        <v>779</v>
      </c>
      <c r="D270" s="74">
        <v>0.69305555555555554</v>
      </c>
      <c r="E270" s="74">
        <v>0.6972222222222223</v>
      </c>
      <c r="F270" s="75">
        <v>4.1666666666667629E-3</v>
      </c>
      <c r="G270" s="74">
        <v>0.70138888888888884</v>
      </c>
      <c r="H270" s="75">
        <v>4.1666666666665408E-3</v>
      </c>
      <c r="I270" s="76">
        <v>41721</v>
      </c>
      <c r="J270" s="36" t="str">
        <f t="shared" si="81"/>
        <v>Nacional</v>
      </c>
      <c r="K270" s="36">
        <f t="shared" si="81"/>
        <v>6.7129629629629579E-3</v>
      </c>
      <c r="L270" s="36">
        <f t="shared" si="81"/>
        <v>4.1666666666666519E-3</v>
      </c>
      <c r="M270" s="36">
        <f t="shared" si="81"/>
        <v>1.0879629629629611E-2</v>
      </c>
      <c r="N270" s="36" t="str">
        <f t="shared" si="81"/>
        <v>B737-800</v>
      </c>
      <c r="O270" s="36">
        <f t="shared" si="81"/>
        <v>189</v>
      </c>
      <c r="P270" s="36" t="str">
        <f t="shared" si="81"/>
        <v>CUL</v>
      </c>
      <c r="R270">
        <v>256</v>
      </c>
      <c r="S270" s="36" t="str">
        <f t="shared" si="69"/>
        <v>MEXICO AEREO</v>
      </c>
      <c r="T270" s="36">
        <f t="shared" si="69"/>
        <v>2125</v>
      </c>
      <c r="U270" s="73">
        <v>0.4236111111111111</v>
      </c>
      <c r="V270" s="74">
        <v>0.43611111111111112</v>
      </c>
      <c r="W270" s="75">
        <v>1.2500000000000011E-2</v>
      </c>
      <c r="X270" s="134">
        <v>0.4375</v>
      </c>
      <c r="Y270" s="75">
        <v>1.388888888888884E-3</v>
      </c>
      <c r="Z270" s="76">
        <v>41758</v>
      </c>
      <c r="AA270" s="36" t="str">
        <f t="shared" si="80"/>
        <v>Nacional</v>
      </c>
      <c r="AB270" s="36">
        <f t="shared" si="80"/>
        <v>8.2870370370370476E-3</v>
      </c>
      <c r="AC270" s="36">
        <f t="shared" si="80"/>
        <v>5.7407407407407355E-3</v>
      </c>
      <c r="AD270" s="36">
        <f t="shared" si="80"/>
        <v>1.4027777777777783E-2</v>
      </c>
      <c r="AE270" s="36" t="str">
        <f t="shared" si="80"/>
        <v>ER4</v>
      </c>
      <c r="AF270" s="36">
        <f t="shared" si="80"/>
        <v>50</v>
      </c>
      <c r="AG270" s="36" t="str">
        <f t="shared" si="80"/>
        <v>CUL</v>
      </c>
      <c r="AI270">
        <v>256</v>
      </c>
      <c r="AJ270" s="77" t="str">
        <f t="shared" si="77"/>
        <v>MEXICO AEREO</v>
      </c>
      <c r="AK270" s="77">
        <f t="shared" si="77"/>
        <v>2125</v>
      </c>
      <c r="AL270" s="78">
        <v>0.42777777777777781</v>
      </c>
      <c r="AM270" s="79">
        <v>0.43055555555555558</v>
      </c>
      <c r="AN270" s="80">
        <v>2.7777777777777679E-3</v>
      </c>
      <c r="AO270" s="79">
        <v>0.43402777777777773</v>
      </c>
      <c r="AP270" s="80">
        <v>3.4722222222221544E-3</v>
      </c>
      <c r="AQ270" s="81">
        <v>41792</v>
      </c>
      <c r="AR270" s="77" t="str">
        <f t="shared" ref="AR270:AX288" si="82">AR269</f>
        <v>Nacional</v>
      </c>
      <c r="AS270" s="77">
        <f t="shared" si="82"/>
        <v>6.5972222222222057E-3</v>
      </c>
      <c r="AT270" s="77">
        <f t="shared" si="82"/>
        <v>7.0833333333333529E-3</v>
      </c>
      <c r="AU270" s="77">
        <f t="shared" si="82"/>
        <v>1.3680555555555559E-2</v>
      </c>
      <c r="AV270" s="77" t="str">
        <f t="shared" si="82"/>
        <v>ER4</v>
      </c>
      <c r="AW270" s="77">
        <f t="shared" si="82"/>
        <v>50</v>
      </c>
      <c r="AX270" s="77" t="str">
        <f t="shared" si="82"/>
        <v>CUL</v>
      </c>
    </row>
    <row r="271" spans="1:50" ht="15.75" thickBot="1" x14ac:dyDescent="0.3">
      <c r="A271">
        <v>257</v>
      </c>
      <c r="B271" s="36" t="str">
        <f t="shared" si="72"/>
        <v>MEXICO AEREO</v>
      </c>
      <c r="C271" s="36">
        <f t="shared" si="72"/>
        <v>779</v>
      </c>
      <c r="D271" s="74">
        <v>0.70486111111111116</v>
      </c>
      <c r="E271" s="74">
        <v>0.71180555555555547</v>
      </c>
      <c r="F271" s="75">
        <v>6.9444444444443088E-3</v>
      </c>
      <c r="G271" s="74">
        <v>0.71250000000000002</v>
      </c>
      <c r="H271" s="75">
        <v>6.94444444444553E-4</v>
      </c>
      <c r="I271" s="76">
        <v>41722</v>
      </c>
      <c r="J271" s="36" t="str">
        <f t="shared" si="81"/>
        <v>Nacional</v>
      </c>
      <c r="K271" s="36">
        <f t="shared" si="81"/>
        <v>6.7129629629629579E-3</v>
      </c>
      <c r="L271" s="36">
        <f t="shared" si="81"/>
        <v>4.1666666666666519E-3</v>
      </c>
      <c r="M271" s="36">
        <f t="shared" si="81"/>
        <v>1.0879629629629611E-2</v>
      </c>
      <c r="N271" s="36" t="str">
        <f t="shared" si="81"/>
        <v>B737-800</v>
      </c>
      <c r="O271" s="36">
        <f t="shared" si="81"/>
        <v>189</v>
      </c>
      <c r="P271" s="36" t="str">
        <f t="shared" si="81"/>
        <v>CUL</v>
      </c>
      <c r="R271">
        <v>257</v>
      </c>
      <c r="S271" s="36" t="str">
        <f t="shared" si="69"/>
        <v>MEXICO AEREO</v>
      </c>
      <c r="T271" s="36">
        <f t="shared" si="69"/>
        <v>2125</v>
      </c>
      <c r="U271" s="83">
        <v>0.4375</v>
      </c>
      <c r="V271" s="84">
        <v>0.44305555555555554</v>
      </c>
      <c r="W271" s="85">
        <v>5.5555555555555358E-3</v>
      </c>
      <c r="X271" s="84">
        <v>0.44444444444444442</v>
      </c>
      <c r="Y271" s="85">
        <v>1.388888888888884E-3</v>
      </c>
      <c r="Z271" s="86">
        <v>41759</v>
      </c>
      <c r="AA271" s="36" t="str">
        <f t="shared" si="80"/>
        <v>Nacional</v>
      </c>
      <c r="AB271" s="36">
        <f t="shared" si="80"/>
        <v>8.2870370370370476E-3</v>
      </c>
      <c r="AC271" s="36">
        <f t="shared" si="80"/>
        <v>5.7407407407407355E-3</v>
      </c>
      <c r="AD271" s="36">
        <f t="shared" si="80"/>
        <v>1.4027777777777783E-2</v>
      </c>
      <c r="AE271" s="36" t="str">
        <f t="shared" si="80"/>
        <v>ER4</v>
      </c>
      <c r="AF271" s="36">
        <f t="shared" si="80"/>
        <v>50</v>
      </c>
      <c r="AG271" s="36" t="str">
        <f t="shared" si="80"/>
        <v>CUL</v>
      </c>
      <c r="AI271">
        <v>257</v>
      </c>
      <c r="AJ271" s="77" t="str">
        <f t="shared" si="77"/>
        <v>MEXICO AEREO</v>
      </c>
      <c r="AK271" s="77">
        <f t="shared" si="77"/>
        <v>2125</v>
      </c>
      <c r="AL271" s="78">
        <v>0.41805555555555557</v>
      </c>
      <c r="AM271" s="79">
        <v>0.42222222222222222</v>
      </c>
      <c r="AN271" s="80">
        <v>4.1666666666666519E-3</v>
      </c>
      <c r="AO271" s="79">
        <v>0.42708333333333331</v>
      </c>
      <c r="AP271" s="80">
        <v>4.8611111111110938E-3</v>
      </c>
      <c r="AQ271" s="81">
        <v>41793</v>
      </c>
      <c r="AR271" s="77" t="str">
        <f t="shared" si="82"/>
        <v>Nacional</v>
      </c>
      <c r="AS271" s="77">
        <f t="shared" si="82"/>
        <v>6.5972222222222057E-3</v>
      </c>
      <c r="AT271" s="77">
        <f t="shared" si="82"/>
        <v>7.0833333333333529E-3</v>
      </c>
      <c r="AU271" s="77">
        <f t="shared" si="82"/>
        <v>1.3680555555555559E-2</v>
      </c>
      <c r="AV271" s="77" t="str">
        <f t="shared" si="82"/>
        <v>ER4</v>
      </c>
      <c r="AW271" s="77">
        <f t="shared" si="82"/>
        <v>50</v>
      </c>
      <c r="AX271" s="77" t="str">
        <f t="shared" si="82"/>
        <v>CUL</v>
      </c>
    </row>
    <row r="272" spans="1:50" x14ac:dyDescent="0.25">
      <c r="A272">
        <v>258</v>
      </c>
      <c r="B272" s="36" t="str">
        <f t="shared" si="72"/>
        <v>MEXICO AEREO</v>
      </c>
      <c r="C272" s="36">
        <f t="shared" si="72"/>
        <v>779</v>
      </c>
      <c r="D272" s="74">
        <v>0.70486111111111116</v>
      </c>
      <c r="E272" s="74">
        <v>0.71527777777777779</v>
      </c>
      <c r="F272" s="75">
        <v>1.041666666666663E-2</v>
      </c>
      <c r="G272" s="74">
        <v>0.72152777777777777</v>
      </c>
      <c r="H272" s="75">
        <v>6.2499999999999778E-3</v>
      </c>
      <c r="I272" s="76">
        <v>41725</v>
      </c>
      <c r="J272" s="36" t="str">
        <f t="shared" si="81"/>
        <v>Nacional</v>
      </c>
      <c r="K272" s="36">
        <f t="shared" si="81"/>
        <v>6.7129629629629579E-3</v>
      </c>
      <c r="L272" s="36">
        <f t="shared" si="81"/>
        <v>4.1666666666666519E-3</v>
      </c>
      <c r="M272" s="36">
        <f t="shared" si="81"/>
        <v>1.0879629629629611E-2</v>
      </c>
      <c r="N272" s="36" t="str">
        <f t="shared" si="81"/>
        <v>B737-800</v>
      </c>
      <c r="O272" s="36">
        <f t="shared" si="81"/>
        <v>189</v>
      </c>
      <c r="P272" s="36" t="str">
        <f t="shared" si="81"/>
        <v>CUL</v>
      </c>
      <c r="R272">
        <v>258</v>
      </c>
      <c r="S272" s="36" t="str">
        <f t="shared" si="69"/>
        <v>MEXICO AEREO</v>
      </c>
      <c r="T272" s="55">
        <v>2122</v>
      </c>
      <c r="U272" s="56">
        <v>0.6479166666666667</v>
      </c>
      <c r="V272" s="57">
        <v>0.65</v>
      </c>
      <c r="W272" s="58">
        <v>2.0833333333333259E-3</v>
      </c>
      <c r="X272" s="57">
        <v>0.65486111111111112</v>
      </c>
      <c r="Y272" s="58">
        <v>4.8611111111110938E-3</v>
      </c>
      <c r="Z272" s="59">
        <v>41730</v>
      </c>
      <c r="AA272" s="60" t="s">
        <v>19</v>
      </c>
      <c r="AB272" s="61">
        <v>3.4722222222222099E-3</v>
      </c>
      <c r="AC272" s="61">
        <v>1.0243055555555547E-2</v>
      </c>
      <c r="AD272" s="62">
        <v>1.3715277777777757E-2</v>
      </c>
      <c r="AE272" s="109" t="s">
        <v>20</v>
      </c>
      <c r="AF272" s="109">
        <v>50</v>
      </c>
      <c r="AG272" s="109" t="s">
        <v>35</v>
      </c>
      <c r="AI272">
        <v>258</v>
      </c>
      <c r="AJ272" s="77" t="str">
        <f t="shared" si="77"/>
        <v>MEXICO AEREO</v>
      </c>
      <c r="AK272" s="77">
        <f t="shared" si="77"/>
        <v>2125</v>
      </c>
      <c r="AL272" s="78">
        <v>0.60138888888888886</v>
      </c>
      <c r="AM272" s="79">
        <v>0.60416666666666663</v>
      </c>
      <c r="AN272" s="80">
        <v>2.7777777777777679E-3</v>
      </c>
      <c r="AO272" s="79">
        <v>0.60763888888888895</v>
      </c>
      <c r="AP272" s="80">
        <v>3.4722222222223209E-3</v>
      </c>
      <c r="AQ272" s="81">
        <v>41794</v>
      </c>
      <c r="AR272" s="77" t="str">
        <f t="shared" si="82"/>
        <v>Nacional</v>
      </c>
      <c r="AS272" s="77">
        <f t="shared" si="82"/>
        <v>6.5972222222222057E-3</v>
      </c>
      <c r="AT272" s="77">
        <f t="shared" si="82"/>
        <v>7.0833333333333529E-3</v>
      </c>
      <c r="AU272" s="77">
        <f t="shared" si="82"/>
        <v>1.3680555555555559E-2</v>
      </c>
      <c r="AV272" s="77" t="str">
        <f t="shared" si="82"/>
        <v>ER4</v>
      </c>
      <c r="AW272" s="77">
        <f t="shared" si="82"/>
        <v>50</v>
      </c>
      <c r="AX272" s="77" t="str">
        <f t="shared" si="82"/>
        <v>CUL</v>
      </c>
    </row>
    <row r="273" spans="1:50" x14ac:dyDescent="0.25">
      <c r="A273">
        <v>259</v>
      </c>
      <c r="B273" s="36" t="str">
        <f t="shared" si="72"/>
        <v>MEXICO AEREO</v>
      </c>
      <c r="C273" s="36">
        <f t="shared" si="72"/>
        <v>779</v>
      </c>
      <c r="D273" s="74">
        <v>0.69930555555555562</v>
      </c>
      <c r="E273" s="74">
        <v>0.7104166666666667</v>
      </c>
      <c r="F273" s="75">
        <v>1.1111111111111072E-2</v>
      </c>
      <c r="G273" s="74">
        <v>0.71180555555555547</v>
      </c>
      <c r="H273" s="75">
        <v>1.3888888888887729E-3</v>
      </c>
      <c r="I273" s="76">
        <v>41725</v>
      </c>
      <c r="J273" s="36" t="str">
        <f t="shared" si="81"/>
        <v>Nacional</v>
      </c>
      <c r="K273" s="36">
        <f t="shared" si="81"/>
        <v>6.7129629629629579E-3</v>
      </c>
      <c r="L273" s="36">
        <f t="shared" si="81"/>
        <v>4.1666666666666519E-3</v>
      </c>
      <c r="M273" s="36">
        <f t="shared" si="81"/>
        <v>1.0879629629629611E-2</v>
      </c>
      <c r="N273" s="36" t="str">
        <f t="shared" si="81"/>
        <v>B737-800</v>
      </c>
      <c r="O273" s="36">
        <f t="shared" si="81"/>
        <v>189</v>
      </c>
      <c r="P273" s="36" t="str">
        <f t="shared" si="81"/>
        <v>CUL</v>
      </c>
      <c r="R273">
        <v>259</v>
      </c>
      <c r="S273" s="36" t="str">
        <f t="shared" si="69"/>
        <v>MEXICO AEREO</v>
      </c>
      <c r="T273" s="36">
        <f t="shared" si="69"/>
        <v>2122</v>
      </c>
      <c r="U273" s="73">
        <v>0.1451388888888889</v>
      </c>
      <c r="V273" s="74">
        <v>0.15069444444444444</v>
      </c>
      <c r="W273" s="75">
        <v>5.5555555555555358E-3</v>
      </c>
      <c r="X273" s="74">
        <v>0.17777777777777778</v>
      </c>
      <c r="Y273" s="75">
        <v>2.7083333333333348E-2</v>
      </c>
      <c r="Z273" s="76">
        <v>41732</v>
      </c>
      <c r="AA273" s="36" t="str">
        <f t="shared" ref="AA273:AG275" si="83">AA272</f>
        <v>Nacional</v>
      </c>
      <c r="AB273" s="36">
        <f t="shared" si="83"/>
        <v>3.4722222222222099E-3</v>
      </c>
      <c r="AC273" s="36">
        <f t="shared" si="83"/>
        <v>1.0243055555555547E-2</v>
      </c>
      <c r="AD273" s="36">
        <f t="shared" si="83"/>
        <v>1.3715277777777757E-2</v>
      </c>
      <c r="AE273" s="36" t="str">
        <f t="shared" si="83"/>
        <v>ER4</v>
      </c>
      <c r="AF273" s="36">
        <f t="shared" si="83"/>
        <v>50</v>
      </c>
      <c r="AG273" s="36" t="str">
        <f t="shared" si="83"/>
        <v>CUL</v>
      </c>
      <c r="AI273">
        <v>259</v>
      </c>
      <c r="AJ273" s="77" t="str">
        <f t="shared" si="77"/>
        <v>MEXICO AEREO</v>
      </c>
      <c r="AK273" s="77">
        <f t="shared" si="77"/>
        <v>2125</v>
      </c>
      <c r="AL273" s="78">
        <v>0.42986111111111108</v>
      </c>
      <c r="AM273" s="79">
        <v>0.43263888888888885</v>
      </c>
      <c r="AN273" s="80">
        <v>2.7777777777777679E-3</v>
      </c>
      <c r="AO273" s="79">
        <v>0.44097222222222227</v>
      </c>
      <c r="AP273" s="80">
        <v>8.3333333333334147E-3</v>
      </c>
      <c r="AQ273" s="81">
        <v>41795</v>
      </c>
      <c r="AR273" s="77" t="str">
        <f t="shared" si="82"/>
        <v>Nacional</v>
      </c>
      <c r="AS273" s="77">
        <f t="shared" si="82"/>
        <v>6.5972222222222057E-3</v>
      </c>
      <c r="AT273" s="77">
        <f t="shared" si="82"/>
        <v>7.0833333333333529E-3</v>
      </c>
      <c r="AU273" s="77">
        <f t="shared" si="82"/>
        <v>1.3680555555555559E-2</v>
      </c>
      <c r="AV273" s="77" t="str">
        <f t="shared" si="82"/>
        <v>ER4</v>
      </c>
      <c r="AW273" s="77">
        <f t="shared" si="82"/>
        <v>50</v>
      </c>
      <c r="AX273" s="77" t="str">
        <f t="shared" si="82"/>
        <v>CUL</v>
      </c>
    </row>
    <row r="274" spans="1:50" x14ac:dyDescent="0.25">
      <c r="A274">
        <v>260</v>
      </c>
      <c r="B274" s="36" t="str">
        <f t="shared" si="72"/>
        <v>MEXICO AEREO</v>
      </c>
      <c r="C274" s="36">
        <f t="shared" si="72"/>
        <v>779</v>
      </c>
      <c r="D274" s="74">
        <v>0.72430555555555554</v>
      </c>
      <c r="E274" s="74">
        <v>0.73402777777777783</v>
      </c>
      <c r="F274" s="75">
        <v>9.7222222222222987E-3</v>
      </c>
      <c r="G274" s="74">
        <v>0.73958333333333337</v>
      </c>
      <c r="H274" s="75">
        <v>5.5555555555555358E-3</v>
      </c>
      <c r="I274" s="76">
        <v>41726</v>
      </c>
      <c r="J274" s="36" t="str">
        <f t="shared" si="81"/>
        <v>Nacional</v>
      </c>
      <c r="K274" s="36">
        <f t="shared" si="81"/>
        <v>6.7129629629629579E-3</v>
      </c>
      <c r="L274" s="36">
        <f t="shared" si="81"/>
        <v>4.1666666666666519E-3</v>
      </c>
      <c r="M274" s="36">
        <f t="shared" si="81"/>
        <v>1.0879629629629611E-2</v>
      </c>
      <c r="N274" s="36" t="str">
        <f t="shared" si="81"/>
        <v>B737-800</v>
      </c>
      <c r="O274" s="36">
        <f t="shared" si="81"/>
        <v>189</v>
      </c>
      <c r="P274" s="36" t="str">
        <f t="shared" si="81"/>
        <v>CUL</v>
      </c>
      <c r="R274">
        <v>260</v>
      </c>
      <c r="S274" s="36" t="str">
        <f t="shared" si="69"/>
        <v>MEXICO AEREO</v>
      </c>
      <c r="T274" s="36">
        <f t="shared" si="69"/>
        <v>2122</v>
      </c>
      <c r="U274" s="73">
        <v>0.65902777777777777</v>
      </c>
      <c r="V274" s="74">
        <v>0.66388888888888886</v>
      </c>
      <c r="W274" s="75">
        <v>4.8611111111110938E-3</v>
      </c>
      <c r="X274" s="74">
        <v>0.66666666666666663</v>
      </c>
      <c r="Y274" s="75">
        <v>2.7777777777777679E-3</v>
      </c>
      <c r="Z274" s="76">
        <v>41733</v>
      </c>
      <c r="AA274" s="36" t="str">
        <f t="shared" si="83"/>
        <v>Nacional</v>
      </c>
      <c r="AB274" s="36">
        <f t="shared" si="83"/>
        <v>3.4722222222222099E-3</v>
      </c>
      <c r="AC274" s="36">
        <f t="shared" si="83"/>
        <v>1.0243055555555547E-2</v>
      </c>
      <c r="AD274" s="36">
        <f t="shared" si="83"/>
        <v>1.3715277777777757E-2</v>
      </c>
      <c r="AE274" s="36" t="str">
        <f t="shared" si="83"/>
        <v>ER4</v>
      </c>
      <c r="AF274" s="36">
        <f t="shared" si="83"/>
        <v>50</v>
      </c>
      <c r="AG274" s="36" t="str">
        <f t="shared" si="83"/>
        <v>CUL</v>
      </c>
      <c r="AI274">
        <v>260</v>
      </c>
      <c r="AJ274" s="77" t="str">
        <f t="shared" si="77"/>
        <v>MEXICO AEREO</v>
      </c>
      <c r="AK274" s="77">
        <f t="shared" si="77"/>
        <v>2125</v>
      </c>
      <c r="AL274" s="78">
        <v>0.42152777777777778</v>
      </c>
      <c r="AM274" s="79">
        <v>0.43124999999999997</v>
      </c>
      <c r="AN274" s="80">
        <v>9.7222222222221877E-3</v>
      </c>
      <c r="AO274" s="79">
        <v>0.43402777777777773</v>
      </c>
      <c r="AP274" s="80">
        <v>2.7777777777777679E-3</v>
      </c>
      <c r="AQ274" s="81">
        <v>41796</v>
      </c>
      <c r="AR274" s="77" t="str">
        <f t="shared" si="82"/>
        <v>Nacional</v>
      </c>
      <c r="AS274" s="77">
        <f t="shared" si="82"/>
        <v>6.5972222222222057E-3</v>
      </c>
      <c r="AT274" s="77">
        <f t="shared" si="82"/>
        <v>7.0833333333333529E-3</v>
      </c>
      <c r="AU274" s="77">
        <f t="shared" si="82"/>
        <v>1.3680555555555559E-2</v>
      </c>
      <c r="AV274" s="77" t="str">
        <f t="shared" si="82"/>
        <v>ER4</v>
      </c>
      <c r="AW274" s="77">
        <f t="shared" si="82"/>
        <v>50</v>
      </c>
      <c r="AX274" s="77" t="str">
        <f t="shared" si="82"/>
        <v>CUL</v>
      </c>
    </row>
    <row r="275" spans="1:50" ht="15.75" thickBot="1" x14ac:dyDescent="0.3">
      <c r="A275">
        <v>261</v>
      </c>
      <c r="B275" s="36" t="str">
        <f t="shared" si="72"/>
        <v>MEXICO AEREO</v>
      </c>
      <c r="C275" s="36">
        <f t="shared" si="72"/>
        <v>779</v>
      </c>
      <c r="D275" s="120">
        <v>0.69861111111111107</v>
      </c>
      <c r="E275" s="120">
        <v>0.7090277777777777</v>
      </c>
      <c r="F275" s="121">
        <v>1.041666666666663E-2</v>
      </c>
      <c r="G275" s="120">
        <v>0.7104166666666667</v>
      </c>
      <c r="H275" s="121">
        <v>1.388888888888995E-3</v>
      </c>
      <c r="I275" s="122">
        <v>41727</v>
      </c>
      <c r="J275" s="36" t="str">
        <f t="shared" si="81"/>
        <v>Nacional</v>
      </c>
      <c r="K275" s="36">
        <f t="shared" si="81"/>
        <v>6.7129629629629579E-3</v>
      </c>
      <c r="L275" s="36">
        <f t="shared" si="81"/>
        <v>4.1666666666666519E-3</v>
      </c>
      <c r="M275" s="36">
        <f t="shared" si="81"/>
        <v>1.0879629629629611E-2</v>
      </c>
      <c r="N275" s="36" t="str">
        <f t="shared" si="81"/>
        <v>B737-800</v>
      </c>
      <c r="O275" s="36">
        <f t="shared" si="81"/>
        <v>189</v>
      </c>
      <c r="P275" s="36" t="str">
        <f t="shared" si="81"/>
        <v>CUL</v>
      </c>
      <c r="R275">
        <v>261</v>
      </c>
      <c r="S275" s="36" t="str">
        <f t="shared" si="69"/>
        <v>MEXICO AEREO</v>
      </c>
      <c r="T275" s="36">
        <f t="shared" si="69"/>
        <v>2122</v>
      </c>
      <c r="U275" s="83">
        <v>0.66527777777777775</v>
      </c>
      <c r="V275" s="84">
        <v>0.66666666666666663</v>
      </c>
      <c r="W275" s="85">
        <v>1.388888888888884E-3</v>
      </c>
      <c r="X275" s="84">
        <v>0.67291666666666661</v>
      </c>
      <c r="Y275" s="85">
        <v>6.2499999999999778E-3</v>
      </c>
      <c r="Z275" s="86">
        <v>41735</v>
      </c>
      <c r="AA275" s="36" t="str">
        <f t="shared" si="83"/>
        <v>Nacional</v>
      </c>
      <c r="AB275" s="36">
        <f t="shared" si="83"/>
        <v>3.4722222222222099E-3</v>
      </c>
      <c r="AC275" s="36">
        <f t="shared" si="83"/>
        <v>1.0243055555555547E-2</v>
      </c>
      <c r="AD275" s="36">
        <f t="shared" si="83"/>
        <v>1.3715277777777757E-2</v>
      </c>
      <c r="AE275" s="36" t="str">
        <f t="shared" si="83"/>
        <v>ER4</v>
      </c>
      <c r="AF275" s="36">
        <f t="shared" si="83"/>
        <v>50</v>
      </c>
      <c r="AG275" s="36" t="str">
        <f t="shared" si="83"/>
        <v>CUL</v>
      </c>
      <c r="AI275">
        <v>261</v>
      </c>
      <c r="AJ275" s="77" t="str">
        <f t="shared" si="77"/>
        <v>MEXICO AEREO</v>
      </c>
      <c r="AK275" s="77">
        <f t="shared" si="77"/>
        <v>2125</v>
      </c>
      <c r="AL275" s="78">
        <v>0.42291666666666666</v>
      </c>
      <c r="AM275" s="79">
        <v>0.42708333333333331</v>
      </c>
      <c r="AN275" s="80">
        <v>4.1666666666666519E-3</v>
      </c>
      <c r="AO275" s="79">
        <v>0.4368055555555555</v>
      </c>
      <c r="AP275" s="80">
        <v>9.7222222222221877E-3</v>
      </c>
      <c r="AQ275" s="81">
        <v>41798</v>
      </c>
      <c r="AR275" s="77" t="str">
        <f t="shared" si="82"/>
        <v>Nacional</v>
      </c>
      <c r="AS275" s="77">
        <f t="shared" si="82"/>
        <v>6.5972222222222057E-3</v>
      </c>
      <c r="AT275" s="77">
        <f t="shared" si="82"/>
        <v>7.0833333333333529E-3</v>
      </c>
      <c r="AU275" s="77">
        <f t="shared" si="82"/>
        <v>1.3680555555555559E-2</v>
      </c>
      <c r="AV275" s="77" t="str">
        <f t="shared" si="82"/>
        <v>ER4</v>
      </c>
      <c r="AW275" s="77">
        <f t="shared" si="82"/>
        <v>50</v>
      </c>
      <c r="AX275" s="77" t="str">
        <f t="shared" si="82"/>
        <v>CUL</v>
      </c>
    </row>
    <row r="276" spans="1:50" x14ac:dyDescent="0.25">
      <c r="A276">
        <v>262</v>
      </c>
      <c r="B276" s="36" t="str">
        <f t="shared" si="72"/>
        <v>MEXICO AEREO</v>
      </c>
      <c r="C276" s="124">
        <v>775</v>
      </c>
      <c r="D276" s="57">
        <v>0.21805555555555556</v>
      </c>
      <c r="E276" s="57">
        <v>0.22847222222222222</v>
      </c>
      <c r="F276" s="58">
        <v>1.0416666666666657E-2</v>
      </c>
      <c r="G276" s="57">
        <v>0.24097222222222223</v>
      </c>
      <c r="H276" s="58">
        <v>1.2500000000000011E-2</v>
      </c>
      <c r="I276" s="59">
        <v>41713</v>
      </c>
      <c r="J276" s="59" t="s">
        <v>19</v>
      </c>
      <c r="K276" s="57">
        <v>8.3964646464646572E-3</v>
      </c>
      <c r="L276" s="57">
        <v>1.1300505050505049E-2</v>
      </c>
      <c r="M276" s="93">
        <v>1.9696969696969706E-2</v>
      </c>
      <c r="N276" s="90" t="s">
        <v>39</v>
      </c>
      <c r="O276" s="91">
        <v>189</v>
      </c>
      <c r="P276" s="92" t="s">
        <v>34</v>
      </c>
      <c r="R276">
        <v>262</v>
      </c>
      <c r="S276" s="45" t="s">
        <v>18</v>
      </c>
      <c r="T276" s="55">
        <v>2121</v>
      </c>
      <c r="U276" s="56">
        <v>0.86458333333333337</v>
      </c>
      <c r="V276" s="57">
        <v>0.8666666666666667</v>
      </c>
      <c r="W276" s="58">
        <v>2.0833333333333259E-3</v>
      </c>
      <c r="X276" s="57">
        <v>0.87222222222222223</v>
      </c>
      <c r="Y276" s="58">
        <v>5.5555555555555358E-3</v>
      </c>
      <c r="Z276" s="59">
        <v>41730</v>
      </c>
      <c r="AA276" s="60" t="s">
        <v>19</v>
      </c>
      <c r="AB276" s="61">
        <v>6.3888888888888658E-3</v>
      </c>
      <c r="AC276" s="61">
        <v>3.750000000000009E-3</v>
      </c>
      <c r="AD276" s="135">
        <v>1.0138888888888874E-2</v>
      </c>
      <c r="AE276" s="109" t="s">
        <v>20</v>
      </c>
      <c r="AF276" s="109">
        <v>50</v>
      </c>
      <c r="AG276" s="109" t="s">
        <v>35</v>
      </c>
      <c r="AI276">
        <v>262</v>
      </c>
      <c r="AJ276" s="77" t="str">
        <f t="shared" si="77"/>
        <v>MEXICO AEREO</v>
      </c>
      <c r="AK276" s="77">
        <f t="shared" si="77"/>
        <v>2125</v>
      </c>
      <c r="AL276" s="78">
        <v>0.42152777777777778</v>
      </c>
      <c r="AM276" s="79">
        <v>0.43055555555555558</v>
      </c>
      <c r="AN276" s="80">
        <v>9.0277777777778012E-3</v>
      </c>
      <c r="AO276" s="79">
        <v>0.43194444444444446</v>
      </c>
      <c r="AP276" s="80">
        <v>1.388888888888884E-3</v>
      </c>
      <c r="AQ276" s="81">
        <v>41799</v>
      </c>
      <c r="AR276" s="77" t="str">
        <f t="shared" si="82"/>
        <v>Nacional</v>
      </c>
      <c r="AS276" s="77">
        <f t="shared" si="82"/>
        <v>6.5972222222222057E-3</v>
      </c>
      <c r="AT276" s="77">
        <f t="shared" si="82"/>
        <v>7.0833333333333529E-3</v>
      </c>
      <c r="AU276" s="77">
        <f t="shared" si="82"/>
        <v>1.3680555555555559E-2</v>
      </c>
      <c r="AV276" s="77" t="str">
        <f t="shared" si="82"/>
        <v>ER4</v>
      </c>
      <c r="AW276" s="77">
        <f t="shared" si="82"/>
        <v>50</v>
      </c>
      <c r="AX276" s="77" t="str">
        <f t="shared" si="82"/>
        <v>CUL</v>
      </c>
    </row>
    <row r="277" spans="1:50" x14ac:dyDescent="0.25">
      <c r="A277">
        <v>263</v>
      </c>
      <c r="B277" s="36" t="str">
        <f t="shared" si="72"/>
        <v>MEXICO AEREO</v>
      </c>
      <c r="C277" s="36">
        <f t="shared" si="72"/>
        <v>775</v>
      </c>
      <c r="D277" s="74">
        <v>0.21319444444444444</v>
      </c>
      <c r="E277" s="74">
        <v>0.22152777777777777</v>
      </c>
      <c r="F277" s="75">
        <v>8.3333333333333315E-3</v>
      </c>
      <c r="G277" s="74">
        <v>0.23333333333333331</v>
      </c>
      <c r="H277" s="75">
        <v>1.1805555555555541E-2</v>
      </c>
      <c r="I277" s="76">
        <v>41715</v>
      </c>
      <c r="J277" s="36" t="str">
        <f t="shared" ref="J277:P286" si="84">J276</f>
        <v>Nacional</v>
      </c>
      <c r="K277" s="36">
        <f t="shared" si="84"/>
        <v>8.3964646464646572E-3</v>
      </c>
      <c r="L277" s="36">
        <f t="shared" si="84"/>
        <v>1.1300505050505049E-2</v>
      </c>
      <c r="M277" s="36">
        <f t="shared" si="84"/>
        <v>1.9696969696969706E-2</v>
      </c>
      <c r="N277" s="36" t="str">
        <f t="shared" si="84"/>
        <v>B737-800</v>
      </c>
      <c r="O277" s="36">
        <f t="shared" si="84"/>
        <v>189</v>
      </c>
      <c r="P277" s="36" t="str">
        <f t="shared" si="84"/>
        <v>TIJ</v>
      </c>
      <c r="R277">
        <v>263</v>
      </c>
      <c r="S277" s="36" t="str">
        <f t="shared" ref="S277:T340" si="85">S276</f>
        <v>MEXICO AEREO</v>
      </c>
      <c r="T277" s="36">
        <f t="shared" si="85"/>
        <v>2121</v>
      </c>
      <c r="U277" s="73">
        <v>0.85833333333333339</v>
      </c>
      <c r="V277" s="74">
        <v>0.86249999999999993</v>
      </c>
      <c r="W277" s="75">
        <v>4.1666666666665408E-3</v>
      </c>
      <c r="X277" s="74">
        <v>0.86597222222222225</v>
      </c>
      <c r="Y277" s="75">
        <v>3.4722222222223209E-3</v>
      </c>
      <c r="Z277" s="76">
        <v>41731</v>
      </c>
      <c r="AA277" s="36" t="str">
        <f t="shared" ref="AA277:AG280" si="86">AA276</f>
        <v>Nacional</v>
      </c>
      <c r="AB277" s="36">
        <f t="shared" si="86"/>
        <v>6.3888888888888658E-3</v>
      </c>
      <c r="AC277" s="36">
        <f t="shared" si="86"/>
        <v>3.750000000000009E-3</v>
      </c>
      <c r="AD277" s="36">
        <f t="shared" si="86"/>
        <v>1.0138888888888874E-2</v>
      </c>
      <c r="AE277" s="36" t="str">
        <f t="shared" si="86"/>
        <v>ER4</v>
      </c>
      <c r="AF277" s="36">
        <f t="shared" si="86"/>
        <v>50</v>
      </c>
      <c r="AG277" s="36" t="str">
        <f t="shared" si="86"/>
        <v>CUL</v>
      </c>
      <c r="AI277">
        <v>263</v>
      </c>
      <c r="AJ277" s="77" t="str">
        <f t="shared" si="77"/>
        <v>MEXICO AEREO</v>
      </c>
      <c r="AK277" s="77">
        <f t="shared" si="77"/>
        <v>2125</v>
      </c>
      <c r="AL277" s="78">
        <v>0.94305555555555554</v>
      </c>
      <c r="AM277" s="79">
        <v>0.95486111111111116</v>
      </c>
      <c r="AN277" s="80">
        <v>1.1805555555555625E-2</v>
      </c>
      <c r="AO277" s="79">
        <v>0.96458333333333324</v>
      </c>
      <c r="AP277" s="80">
        <v>9.7222222222220767E-3</v>
      </c>
      <c r="AQ277" s="81">
        <v>41801</v>
      </c>
      <c r="AR277" s="77" t="str">
        <f t="shared" si="82"/>
        <v>Nacional</v>
      </c>
      <c r="AS277" s="77">
        <f t="shared" si="82"/>
        <v>6.5972222222222057E-3</v>
      </c>
      <c r="AT277" s="77">
        <f t="shared" si="82"/>
        <v>7.0833333333333529E-3</v>
      </c>
      <c r="AU277" s="77">
        <f t="shared" si="82"/>
        <v>1.3680555555555559E-2</v>
      </c>
      <c r="AV277" s="77" t="str">
        <f t="shared" si="82"/>
        <v>ER4</v>
      </c>
      <c r="AW277" s="77">
        <f t="shared" si="82"/>
        <v>50</v>
      </c>
      <c r="AX277" s="77" t="str">
        <f t="shared" si="82"/>
        <v>CUL</v>
      </c>
    </row>
    <row r="278" spans="1:50" x14ac:dyDescent="0.25">
      <c r="A278">
        <v>264</v>
      </c>
      <c r="B278" s="36" t="str">
        <f t="shared" si="72"/>
        <v>MEXICO AEREO</v>
      </c>
      <c r="C278" s="36">
        <f t="shared" si="72"/>
        <v>775</v>
      </c>
      <c r="D278" s="74">
        <v>0.22013888888888888</v>
      </c>
      <c r="E278" s="74">
        <v>0.22916666666666666</v>
      </c>
      <c r="F278" s="75">
        <v>9.0277777777777735E-3</v>
      </c>
      <c r="G278" s="74">
        <v>0.24583333333333335</v>
      </c>
      <c r="H278" s="75">
        <v>1.6666666666666691E-2</v>
      </c>
      <c r="I278" s="76">
        <v>41719</v>
      </c>
      <c r="J278" s="36" t="str">
        <f t="shared" si="84"/>
        <v>Nacional</v>
      </c>
      <c r="K278" s="36">
        <f t="shared" si="84"/>
        <v>8.3964646464646572E-3</v>
      </c>
      <c r="L278" s="36">
        <f t="shared" si="84"/>
        <v>1.1300505050505049E-2</v>
      </c>
      <c r="M278" s="36">
        <f t="shared" si="84"/>
        <v>1.9696969696969706E-2</v>
      </c>
      <c r="N278" s="36" t="str">
        <f t="shared" si="84"/>
        <v>B737-800</v>
      </c>
      <c r="O278" s="36">
        <f t="shared" si="84"/>
        <v>189</v>
      </c>
      <c r="P278" s="36" t="str">
        <f t="shared" si="84"/>
        <v>TIJ</v>
      </c>
      <c r="R278">
        <v>264</v>
      </c>
      <c r="S278" s="36" t="str">
        <f t="shared" si="85"/>
        <v>MEXICO AEREO</v>
      </c>
      <c r="T278" s="36">
        <f t="shared" si="85"/>
        <v>2121</v>
      </c>
      <c r="U278" s="73">
        <v>0.85763888888888884</v>
      </c>
      <c r="V278" s="74">
        <v>0.86388888888888893</v>
      </c>
      <c r="W278" s="75">
        <v>6.2500000000000888E-3</v>
      </c>
      <c r="X278" s="74">
        <v>0.86597222222222225</v>
      </c>
      <c r="Y278" s="75">
        <v>2.0833333333333259E-3</v>
      </c>
      <c r="Z278" s="76">
        <v>41732</v>
      </c>
      <c r="AA278" s="36" t="str">
        <f t="shared" si="86"/>
        <v>Nacional</v>
      </c>
      <c r="AB278" s="36">
        <f t="shared" si="86"/>
        <v>6.3888888888888658E-3</v>
      </c>
      <c r="AC278" s="36">
        <f t="shared" si="86"/>
        <v>3.750000000000009E-3</v>
      </c>
      <c r="AD278" s="36">
        <f t="shared" si="86"/>
        <v>1.0138888888888874E-2</v>
      </c>
      <c r="AE278" s="36" t="str">
        <f t="shared" si="86"/>
        <v>ER4</v>
      </c>
      <c r="AF278" s="36">
        <f t="shared" si="86"/>
        <v>50</v>
      </c>
      <c r="AG278" s="36" t="str">
        <f t="shared" si="86"/>
        <v>CUL</v>
      </c>
      <c r="AI278">
        <v>264</v>
      </c>
      <c r="AJ278" s="77" t="str">
        <f t="shared" si="77"/>
        <v>MEXICO AEREO</v>
      </c>
      <c r="AK278" s="77">
        <f t="shared" si="77"/>
        <v>2125</v>
      </c>
      <c r="AL278" s="78">
        <v>0.5444444444444444</v>
      </c>
      <c r="AM278" s="79">
        <v>0.54583333333333328</v>
      </c>
      <c r="AN278" s="80">
        <v>1.388888888888884E-3</v>
      </c>
      <c r="AO278" s="79">
        <v>0.55069444444444449</v>
      </c>
      <c r="AP278" s="80">
        <v>4.8611111111112049E-3</v>
      </c>
      <c r="AQ278" s="81">
        <v>41801</v>
      </c>
      <c r="AR278" s="77" t="str">
        <f t="shared" si="82"/>
        <v>Nacional</v>
      </c>
      <c r="AS278" s="77">
        <f t="shared" si="82"/>
        <v>6.5972222222222057E-3</v>
      </c>
      <c r="AT278" s="77">
        <f t="shared" si="82"/>
        <v>7.0833333333333529E-3</v>
      </c>
      <c r="AU278" s="77">
        <f t="shared" si="82"/>
        <v>1.3680555555555559E-2</v>
      </c>
      <c r="AV278" s="77" t="str">
        <f t="shared" si="82"/>
        <v>ER4</v>
      </c>
      <c r="AW278" s="77">
        <f t="shared" si="82"/>
        <v>50</v>
      </c>
      <c r="AX278" s="77" t="str">
        <f t="shared" si="82"/>
        <v>CUL</v>
      </c>
    </row>
    <row r="279" spans="1:50" x14ac:dyDescent="0.25">
      <c r="A279">
        <v>265</v>
      </c>
      <c r="B279" s="36" t="str">
        <f t="shared" si="72"/>
        <v>MEXICO AEREO</v>
      </c>
      <c r="C279" s="36">
        <f t="shared" si="72"/>
        <v>775</v>
      </c>
      <c r="D279" s="74">
        <v>0.21527777777777779</v>
      </c>
      <c r="E279" s="74">
        <v>0.21875</v>
      </c>
      <c r="F279" s="75">
        <v>3.4722222222222099E-3</v>
      </c>
      <c r="G279" s="74">
        <v>0.23541666666666669</v>
      </c>
      <c r="H279" s="75">
        <v>1.6666666666666691E-2</v>
      </c>
      <c r="I279" s="76">
        <v>41721</v>
      </c>
      <c r="J279" s="36" t="str">
        <f t="shared" si="84"/>
        <v>Nacional</v>
      </c>
      <c r="K279" s="36">
        <f t="shared" si="84"/>
        <v>8.3964646464646572E-3</v>
      </c>
      <c r="L279" s="36">
        <f t="shared" si="84"/>
        <v>1.1300505050505049E-2</v>
      </c>
      <c r="M279" s="36">
        <f t="shared" si="84"/>
        <v>1.9696969696969706E-2</v>
      </c>
      <c r="N279" s="36" t="str">
        <f t="shared" si="84"/>
        <v>B737-800</v>
      </c>
      <c r="O279" s="36">
        <f t="shared" si="84"/>
        <v>189</v>
      </c>
      <c r="P279" s="36" t="str">
        <f t="shared" si="84"/>
        <v>TIJ</v>
      </c>
      <c r="R279">
        <v>265</v>
      </c>
      <c r="S279" s="36" t="str">
        <f t="shared" si="85"/>
        <v>MEXICO AEREO</v>
      </c>
      <c r="T279" s="36">
        <f t="shared" si="85"/>
        <v>2121</v>
      </c>
      <c r="U279" s="73">
        <v>0.88541666666666663</v>
      </c>
      <c r="V279" s="74">
        <v>0.90138888888888891</v>
      </c>
      <c r="W279" s="75">
        <v>1.5972222222222276E-2</v>
      </c>
      <c r="X279" s="74">
        <v>0.90486111111111101</v>
      </c>
      <c r="Y279" s="75">
        <v>3.4722222222220989E-3</v>
      </c>
      <c r="Z279" s="76">
        <v>41734</v>
      </c>
      <c r="AA279" s="36" t="str">
        <f t="shared" si="86"/>
        <v>Nacional</v>
      </c>
      <c r="AB279" s="36">
        <f t="shared" si="86"/>
        <v>6.3888888888888658E-3</v>
      </c>
      <c r="AC279" s="36">
        <f t="shared" si="86"/>
        <v>3.750000000000009E-3</v>
      </c>
      <c r="AD279" s="36">
        <f t="shared" si="86"/>
        <v>1.0138888888888874E-2</v>
      </c>
      <c r="AE279" s="36" t="str">
        <f t="shared" si="86"/>
        <v>ER4</v>
      </c>
      <c r="AF279" s="36">
        <f t="shared" si="86"/>
        <v>50</v>
      </c>
      <c r="AG279" s="36" t="str">
        <f t="shared" si="86"/>
        <v>CUL</v>
      </c>
      <c r="AI279">
        <v>265</v>
      </c>
      <c r="AJ279" s="77" t="str">
        <f t="shared" si="77"/>
        <v>MEXICO AEREO</v>
      </c>
      <c r="AK279" s="77">
        <f t="shared" si="77"/>
        <v>2125</v>
      </c>
      <c r="AL279" s="78">
        <v>0.23819444444444446</v>
      </c>
      <c r="AM279" s="79">
        <v>0.24444444444444446</v>
      </c>
      <c r="AN279" s="80">
        <v>6.2500000000000056E-3</v>
      </c>
      <c r="AO279" s="79">
        <v>0.25</v>
      </c>
      <c r="AP279" s="80">
        <v>5.5555555555555358E-3</v>
      </c>
      <c r="AQ279" s="81">
        <v>41802</v>
      </c>
      <c r="AR279" s="77" t="str">
        <f t="shared" si="82"/>
        <v>Nacional</v>
      </c>
      <c r="AS279" s="77">
        <f t="shared" si="82"/>
        <v>6.5972222222222057E-3</v>
      </c>
      <c r="AT279" s="77">
        <f t="shared" si="82"/>
        <v>7.0833333333333529E-3</v>
      </c>
      <c r="AU279" s="77">
        <f t="shared" si="82"/>
        <v>1.3680555555555559E-2</v>
      </c>
      <c r="AV279" s="77" t="str">
        <f t="shared" si="82"/>
        <v>ER4</v>
      </c>
      <c r="AW279" s="77">
        <f t="shared" si="82"/>
        <v>50</v>
      </c>
      <c r="AX279" s="77" t="str">
        <f t="shared" si="82"/>
        <v>CUL</v>
      </c>
    </row>
    <row r="280" spans="1:50" ht="15.75" thickBot="1" x14ac:dyDescent="0.3">
      <c r="A280">
        <v>266</v>
      </c>
      <c r="B280" s="36" t="str">
        <f t="shared" si="72"/>
        <v>MEXICO AEREO</v>
      </c>
      <c r="C280" s="36">
        <f t="shared" si="72"/>
        <v>775</v>
      </c>
      <c r="D280" s="74">
        <v>0.20625000000000002</v>
      </c>
      <c r="E280" s="74">
        <v>0.21597222222222223</v>
      </c>
      <c r="F280" s="75">
        <v>9.7222222222222154E-3</v>
      </c>
      <c r="G280" s="74">
        <v>0.22916666666666666</v>
      </c>
      <c r="H280" s="75">
        <v>1.3194444444444425E-2</v>
      </c>
      <c r="I280" s="76">
        <v>41722</v>
      </c>
      <c r="J280" s="36" t="str">
        <f t="shared" si="84"/>
        <v>Nacional</v>
      </c>
      <c r="K280" s="36">
        <f t="shared" si="84"/>
        <v>8.3964646464646572E-3</v>
      </c>
      <c r="L280" s="36">
        <f t="shared" si="84"/>
        <v>1.1300505050505049E-2</v>
      </c>
      <c r="M280" s="36">
        <f t="shared" si="84"/>
        <v>1.9696969696969706E-2</v>
      </c>
      <c r="N280" s="36" t="str">
        <f t="shared" si="84"/>
        <v>B737-800</v>
      </c>
      <c r="O280" s="36">
        <f t="shared" si="84"/>
        <v>189</v>
      </c>
      <c r="P280" s="36" t="str">
        <f t="shared" si="84"/>
        <v>TIJ</v>
      </c>
      <c r="R280">
        <v>266</v>
      </c>
      <c r="S280" s="36" t="str">
        <f t="shared" si="85"/>
        <v>MEXICO AEREO</v>
      </c>
      <c r="T280" s="36">
        <f t="shared" si="85"/>
        <v>2121</v>
      </c>
      <c r="U280" s="83">
        <v>0.86458333333333337</v>
      </c>
      <c r="V280" s="84">
        <v>0.86805555555555547</v>
      </c>
      <c r="W280" s="85">
        <v>3.4722222222220989E-3</v>
      </c>
      <c r="X280" s="84">
        <v>0.87222222222222223</v>
      </c>
      <c r="Y280" s="85">
        <v>4.1666666666667629E-3</v>
      </c>
      <c r="Z280" s="86">
        <v>41734</v>
      </c>
      <c r="AA280" s="36" t="str">
        <f t="shared" si="86"/>
        <v>Nacional</v>
      </c>
      <c r="AB280" s="36">
        <f t="shared" si="86"/>
        <v>6.3888888888888658E-3</v>
      </c>
      <c r="AC280" s="36">
        <f t="shared" si="86"/>
        <v>3.750000000000009E-3</v>
      </c>
      <c r="AD280" s="36">
        <f t="shared" si="86"/>
        <v>1.0138888888888874E-2</v>
      </c>
      <c r="AE280" s="36" t="str">
        <f t="shared" si="86"/>
        <v>ER4</v>
      </c>
      <c r="AF280" s="36">
        <f t="shared" si="86"/>
        <v>50</v>
      </c>
      <c r="AG280" s="36" t="str">
        <f t="shared" si="86"/>
        <v>CUL</v>
      </c>
      <c r="AI280">
        <v>266</v>
      </c>
      <c r="AJ280" s="77" t="str">
        <f t="shared" si="77"/>
        <v>MEXICO AEREO</v>
      </c>
      <c r="AK280" s="77">
        <f t="shared" si="77"/>
        <v>2125</v>
      </c>
      <c r="AL280" s="78">
        <v>0.88680555555555562</v>
      </c>
      <c r="AM280" s="79">
        <v>0.90833333333333333</v>
      </c>
      <c r="AN280" s="80">
        <v>2.1527777777777701E-2</v>
      </c>
      <c r="AO280" s="79">
        <v>0.91319444444444453</v>
      </c>
      <c r="AP280" s="80">
        <v>4.8611111111112049E-3</v>
      </c>
      <c r="AQ280" s="81">
        <v>41803</v>
      </c>
      <c r="AR280" s="77" t="str">
        <f t="shared" si="82"/>
        <v>Nacional</v>
      </c>
      <c r="AS280" s="77">
        <f t="shared" si="82"/>
        <v>6.5972222222222057E-3</v>
      </c>
      <c r="AT280" s="77">
        <f t="shared" si="82"/>
        <v>7.0833333333333529E-3</v>
      </c>
      <c r="AU280" s="77">
        <f t="shared" si="82"/>
        <v>1.3680555555555559E-2</v>
      </c>
      <c r="AV280" s="77" t="str">
        <f t="shared" si="82"/>
        <v>ER4</v>
      </c>
      <c r="AW280" s="77">
        <f t="shared" si="82"/>
        <v>50</v>
      </c>
      <c r="AX280" s="77" t="str">
        <f t="shared" si="82"/>
        <v>CUL</v>
      </c>
    </row>
    <row r="281" spans="1:50" x14ac:dyDescent="0.25">
      <c r="A281">
        <v>267</v>
      </c>
      <c r="B281" s="36" t="str">
        <f t="shared" si="72"/>
        <v>MEXICO AEREO</v>
      </c>
      <c r="C281" s="36">
        <f t="shared" si="72"/>
        <v>775</v>
      </c>
      <c r="D281" s="74">
        <v>0.21527777777777779</v>
      </c>
      <c r="E281" s="74">
        <v>0.22222222222222221</v>
      </c>
      <c r="F281" s="75">
        <v>6.9444444444444198E-3</v>
      </c>
      <c r="G281" s="74">
        <v>0.22916666666666666</v>
      </c>
      <c r="H281" s="75">
        <v>6.9444444444444475E-3</v>
      </c>
      <c r="I281" s="76">
        <v>41723</v>
      </c>
      <c r="J281" s="36" t="str">
        <f t="shared" si="84"/>
        <v>Nacional</v>
      </c>
      <c r="K281" s="36">
        <f t="shared" si="84"/>
        <v>8.3964646464646572E-3</v>
      </c>
      <c r="L281" s="36">
        <f t="shared" si="84"/>
        <v>1.1300505050505049E-2</v>
      </c>
      <c r="M281" s="36">
        <f t="shared" si="84"/>
        <v>1.9696969696969706E-2</v>
      </c>
      <c r="N281" s="36" t="str">
        <f t="shared" si="84"/>
        <v>B737-800</v>
      </c>
      <c r="O281" s="36">
        <f t="shared" si="84"/>
        <v>189</v>
      </c>
      <c r="P281" s="36" t="str">
        <f t="shared" si="84"/>
        <v>TIJ</v>
      </c>
      <c r="R281">
        <v>267</v>
      </c>
      <c r="S281" s="36" t="str">
        <f t="shared" si="85"/>
        <v>MEXICO AEREO</v>
      </c>
      <c r="T281" s="55">
        <v>2119</v>
      </c>
      <c r="U281" s="56">
        <v>0.67638888888888893</v>
      </c>
      <c r="V281" s="57">
        <v>0.68194444444444446</v>
      </c>
      <c r="W281" s="58">
        <v>5.5555555555555358E-3</v>
      </c>
      <c r="X281" s="57">
        <v>0.68402777777777779</v>
      </c>
      <c r="Y281" s="58">
        <v>2.0833333333333259E-3</v>
      </c>
      <c r="Z281" s="59">
        <v>41736</v>
      </c>
      <c r="AA281" s="60" t="s">
        <v>19</v>
      </c>
      <c r="AB281" s="61">
        <v>5.7407407407407502E-3</v>
      </c>
      <c r="AC281" s="61">
        <v>4.8148148148148126E-3</v>
      </c>
      <c r="AD281" s="62">
        <v>1.0555555555555563E-2</v>
      </c>
      <c r="AE281" s="109" t="s">
        <v>20</v>
      </c>
      <c r="AF281" s="109">
        <v>50</v>
      </c>
      <c r="AG281" s="109" t="s">
        <v>42</v>
      </c>
      <c r="AI281">
        <v>267</v>
      </c>
      <c r="AJ281" s="77" t="str">
        <f t="shared" si="77"/>
        <v>MEXICO AEREO</v>
      </c>
      <c r="AK281" s="77">
        <f t="shared" si="77"/>
        <v>2125</v>
      </c>
      <c r="AL281" s="78">
        <v>0.83750000000000002</v>
      </c>
      <c r="AM281" s="79">
        <v>0.84027777777777779</v>
      </c>
      <c r="AN281" s="80">
        <v>2.7777777777777679E-3</v>
      </c>
      <c r="AO281" s="79">
        <v>0.86875000000000002</v>
      </c>
      <c r="AP281" s="80">
        <v>2.8472222222222232E-2</v>
      </c>
      <c r="AQ281" s="81">
        <v>41804</v>
      </c>
      <c r="AR281" s="77" t="str">
        <f t="shared" si="82"/>
        <v>Nacional</v>
      </c>
      <c r="AS281" s="77">
        <f t="shared" si="82"/>
        <v>6.5972222222222057E-3</v>
      </c>
      <c r="AT281" s="77">
        <f t="shared" si="82"/>
        <v>7.0833333333333529E-3</v>
      </c>
      <c r="AU281" s="77">
        <f t="shared" si="82"/>
        <v>1.3680555555555559E-2</v>
      </c>
      <c r="AV281" s="77" t="str">
        <f t="shared" si="82"/>
        <v>ER4</v>
      </c>
      <c r="AW281" s="77">
        <f t="shared" si="82"/>
        <v>50</v>
      </c>
      <c r="AX281" s="77" t="str">
        <f t="shared" si="82"/>
        <v>CUL</v>
      </c>
    </row>
    <row r="282" spans="1:50" x14ac:dyDescent="0.25">
      <c r="A282">
        <v>268</v>
      </c>
      <c r="B282" s="36" t="str">
        <f t="shared" si="72"/>
        <v>MEXICO AEREO</v>
      </c>
      <c r="C282" s="36">
        <f t="shared" si="72"/>
        <v>775</v>
      </c>
      <c r="D282" s="74">
        <v>0.22222222222222221</v>
      </c>
      <c r="E282" s="74">
        <v>0.23611111111111113</v>
      </c>
      <c r="F282" s="75">
        <v>1.3888888888888923E-2</v>
      </c>
      <c r="G282" s="74">
        <v>0.24583333333333335</v>
      </c>
      <c r="H282" s="75">
        <v>9.7222222222222154E-3</v>
      </c>
      <c r="I282" s="76">
        <v>41724</v>
      </c>
      <c r="J282" s="36" t="str">
        <f t="shared" si="84"/>
        <v>Nacional</v>
      </c>
      <c r="K282" s="36">
        <f t="shared" si="84"/>
        <v>8.3964646464646572E-3</v>
      </c>
      <c r="L282" s="36">
        <f t="shared" si="84"/>
        <v>1.1300505050505049E-2</v>
      </c>
      <c r="M282" s="36">
        <f t="shared" si="84"/>
        <v>1.9696969696969706E-2</v>
      </c>
      <c r="N282" s="36" t="str">
        <f t="shared" si="84"/>
        <v>B737-800</v>
      </c>
      <c r="O282" s="36">
        <f t="shared" si="84"/>
        <v>189</v>
      </c>
      <c r="P282" s="36" t="str">
        <f t="shared" si="84"/>
        <v>TIJ</v>
      </c>
      <c r="R282">
        <v>268</v>
      </c>
      <c r="S282" s="36" t="str">
        <f t="shared" si="85"/>
        <v>MEXICO AEREO</v>
      </c>
      <c r="T282" s="36">
        <f t="shared" si="85"/>
        <v>2119</v>
      </c>
      <c r="U282" s="73">
        <v>0.68055555555555547</v>
      </c>
      <c r="V282" s="74">
        <v>0.68333333333333324</v>
      </c>
      <c r="W282" s="75">
        <v>2.7777777777777679E-3</v>
      </c>
      <c r="X282" s="74">
        <v>0.69166666666666676</v>
      </c>
      <c r="Y282" s="75">
        <v>8.3333333333335258E-3</v>
      </c>
      <c r="Z282" s="76">
        <v>41737</v>
      </c>
      <c r="AA282" s="36" t="str">
        <f t="shared" ref="AA282:AG295" si="87">AA281</f>
        <v>Nacional</v>
      </c>
      <c r="AB282" s="36">
        <f t="shared" si="87"/>
        <v>5.7407407407407502E-3</v>
      </c>
      <c r="AC282" s="36">
        <f t="shared" si="87"/>
        <v>4.8148148148148126E-3</v>
      </c>
      <c r="AD282" s="36">
        <f t="shared" si="87"/>
        <v>1.0555555555555563E-2</v>
      </c>
      <c r="AE282" s="36" t="str">
        <f t="shared" si="87"/>
        <v>ER4</v>
      </c>
      <c r="AF282" s="36">
        <f t="shared" si="87"/>
        <v>50</v>
      </c>
      <c r="AG282" s="36" t="str">
        <f t="shared" si="87"/>
        <v>LAP</v>
      </c>
      <c r="AI282">
        <v>268</v>
      </c>
      <c r="AJ282" s="77" t="str">
        <f t="shared" si="77"/>
        <v>MEXICO AEREO</v>
      </c>
      <c r="AK282" s="77">
        <f t="shared" si="77"/>
        <v>2125</v>
      </c>
      <c r="AL282" s="78">
        <v>0.82708333333333339</v>
      </c>
      <c r="AM282" s="79">
        <v>0.83680555555555547</v>
      </c>
      <c r="AN282" s="80">
        <v>9.7222222222220767E-3</v>
      </c>
      <c r="AO282" s="79">
        <v>0.8534722222222223</v>
      </c>
      <c r="AP282" s="80">
        <v>1.6666666666666829E-2</v>
      </c>
      <c r="AQ282" s="81">
        <v>41806</v>
      </c>
      <c r="AR282" s="77" t="str">
        <f t="shared" si="82"/>
        <v>Nacional</v>
      </c>
      <c r="AS282" s="77">
        <f t="shared" si="82"/>
        <v>6.5972222222222057E-3</v>
      </c>
      <c r="AT282" s="77">
        <f t="shared" si="82"/>
        <v>7.0833333333333529E-3</v>
      </c>
      <c r="AU282" s="77">
        <f t="shared" si="82"/>
        <v>1.3680555555555559E-2</v>
      </c>
      <c r="AV282" s="77" t="str">
        <f t="shared" si="82"/>
        <v>ER4</v>
      </c>
      <c r="AW282" s="77">
        <f t="shared" si="82"/>
        <v>50</v>
      </c>
      <c r="AX282" s="77" t="str">
        <f t="shared" si="82"/>
        <v>CUL</v>
      </c>
    </row>
    <row r="283" spans="1:50" x14ac:dyDescent="0.25">
      <c r="A283">
        <v>269</v>
      </c>
      <c r="B283" s="36" t="str">
        <f t="shared" si="72"/>
        <v>MEXICO AEREO</v>
      </c>
      <c r="C283" s="36">
        <f t="shared" si="72"/>
        <v>775</v>
      </c>
      <c r="D283" s="74">
        <v>0.22222222222222221</v>
      </c>
      <c r="E283" s="74">
        <v>0.22500000000000001</v>
      </c>
      <c r="F283" s="75">
        <v>2.7777777777777957E-3</v>
      </c>
      <c r="G283" s="74">
        <v>0.23611111111111113</v>
      </c>
      <c r="H283" s="75">
        <v>1.1111111111111127E-2</v>
      </c>
      <c r="I283" s="76">
        <v>41725</v>
      </c>
      <c r="J283" s="36" t="str">
        <f t="shared" si="84"/>
        <v>Nacional</v>
      </c>
      <c r="K283" s="36">
        <f t="shared" si="84"/>
        <v>8.3964646464646572E-3</v>
      </c>
      <c r="L283" s="36">
        <f t="shared" si="84"/>
        <v>1.1300505050505049E-2</v>
      </c>
      <c r="M283" s="36">
        <f t="shared" si="84"/>
        <v>1.9696969696969706E-2</v>
      </c>
      <c r="N283" s="36" t="str">
        <f t="shared" si="84"/>
        <v>B737-800</v>
      </c>
      <c r="O283" s="36">
        <f t="shared" si="84"/>
        <v>189</v>
      </c>
      <c r="P283" s="36" t="str">
        <f t="shared" si="84"/>
        <v>TIJ</v>
      </c>
      <c r="R283">
        <v>269</v>
      </c>
      <c r="S283" s="36" t="str">
        <f t="shared" si="85"/>
        <v>MEXICO AEREO</v>
      </c>
      <c r="T283" s="36">
        <f t="shared" si="85"/>
        <v>2119</v>
      </c>
      <c r="U283" s="73">
        <v>0.55555555555555558</v>
      </c>
      <c r="V283" s="74">
        <v>0.56597222222222221</v>
      </c>
      <c r="W283" s="75">
        <v>1.041666666666663E-2</v>
      </c>
      <c r="X283" s="74">
        <v>0.56944444444444442</v>
      </c>
      <c r="Y283" s="75">
        <v>3.4722222222222099E-3</v>
      </c>
      <c r="Z283" s="76">
        <v>41738</v>
      </c>
      <c r="AA283" s="36" t="str">
        <f t="shared" si="87"/>
        <v>Nacional</v>
      </c>
      <c r="AB283" s="36">
        <f t="shared" si="87"/>
        <v>5.7407407407407502E-3</v>
      </c>
      <c r="AC283" s="36">
        <f t="shared" si="87"/>
        <v>4.8148148148148126E-3</v>
      </c>
      <c r="AD283" s="36">
        <f t="shared" si="87"/>
        <v>1.0555555555555563E-2</v>
      </c>
      <c r="AE283" s="36" t="str">
        <f t="shared" si="87"/>
        <v>ER4</v>
      </c>
      <c r="AF283" s="36">
        <f t="shared" si="87"/>
        <v>50</v>
      </c>
      <c r="AG283" s="36" t="str">
        <f t="shared" si="87"/>
        <v>LAP</v>
      </c>
      <c r="AI283">
        <v>269</v>
      </c>
      <c r="AJ283" s="77" t="str">
        <f t="shared" si="77"/>
        <v>MEXICO AEREO</v>
      </c>
      <c r="AK283" s="77">
        <f t="shared" si="77"/>
        <v>2125</v>
      </c>
      <c r="AL283" s="78">
        <v>0.26250000000000001</v>
      </c>
      <c r="AM283" s="79">
        <v>0.27430555555555552</v>
      </c>
      <c r="AN283" s="80">
        <v>1.1805555555555514E-2</v>
      </c>
      <c r="AO283" s="79">
        <v>0.29375000000000001</v>
      </c>
      <c r="AP283" s="80">
        <v>1.9444444444444486E-2</v>
      </c>
      <c r="AQ283" s="81">
        <v>41807</v>
      </c>
      <c r="AR283" s="77" t="str">
        <f t="shared" si="82"/>
        <v>Nacional</v>
      </c>
      <c r="AS283" s="77">
        <f t="shared" si="82"/>
        <v>6.5972222222222057E-3</v>
      </c>
      <c r="AT283" s="77">
        <f t="shared" si="82"/>
        <v>7.0833333333333529E-3</v>
      </c>
      <c r="AU283" s="77">
        <f t="shared" si="82"/>
        <v>1.3680555555555559E-2</v>
      </c>
      <c r="AV283" s="77" t="str">
        <f t="shared" si="82"/>
        <v>ER4</v>
      </c>
      <c r="AW283" s="77">
        <f t="shared" si="82"/>
        <v>50</v>
      </c>
      <c r="AX283" s="77" t="str">
        <f t="shared" si="82"/>
        <v>CUL</v>
      </c>
    </row>
    <row r="284" spans="1:50" ht="15.75" thickBot="1" x14ac:dyDescent="0.3">
      <c r="A284">
        <v>270</v>
      </c>
      <c r="B284" s="36" t="str">
        <f t="shared" si="72"/>
        <v>MEXICO AEREO</v>
      </c>
      <c r="C284" s="36">
        <f t="shared" si="72"/>
        <v>775</v>
      </c>
      <c r="D284" s="74">
        <v>0.21249999999999999</v>
      </c>
      <c r="E284" s="74">
        <v>0.21805555555555556</v>
      </c>
      <c r="F284" s="75">
        <v>5.5555555555555636E-3</v>
      </c>
      <c r="G284" s="74">
        <v>0.23472222222222219</v>
      </c>
      <c r="H284" s="75">
        <v>1.6666666666666635E-2</v>
      </c>
      <c r="I284" s="76">
        <v>41726</v>
      </c>
      <c r="J284" s="36" t="str">
        <f t="shared" si="84"/>
        <v>Nacional</v>
      </c>
      <c r="K284" s="36">
        <f t="shared" si="84"/>
        <v>8.3964646464646572E-3</v>
      </c>
      <c r="L284" s="36">
        <f t="shared" si="84"/>
        <v>1.1300505050505049E-2</v>
      </c>
      <c r="M284" s="36">
        <f t="shared" si="84"/>
        <v>1.9696969696969706E-2</v>
      </c>
      <c r="N284" s="36" t="str">
        <f t="shared" si="84"/>
        <v>B737-800</v>
      </c>
      <c r="O284" s="36">
        <f t="shared" si="84"/>
        <v>189</v>
      </c>
      <c r="P284" s="36" t="str">
        <f t="shared" si="84"/>
        <v>TIJ</v>
      </c>
      <c r="R284">
        <v>270</v>
      </c>
      <c r="S284" s="36" t="str">
        <f t="shared" si="85"/>
        <v>MEXICO AEREO</v>
      </c>
      <c r="T284" s="36">
        <f t="shared" si="85"/>
        <v>2119</v>
      </c>
      <c r="U284" s="73">
        <v>0.68263888888888891</v>
      </c>
      <c r="V284" s="74">
        <v>0.68541666666666667</v>
      </c>
      <c r="W284" s="75">
        <v>2.7777777777777679E-3</v>
      </c>
      <c r="X284" s="74">
        <v>0.68958333333333333</v>
      </c>
      <c r="Y284" s="75">
        <v>4.1666666666666519E-3</v>
      </c>
      <c r="Z284" s="76">
        <v>41739</v>
      </c>
      <c r="AA284" s="36" t="str">
        <f t="shared" si="87"/>
        <v>Nacional</v>
      </c>
      <c r="AB284" s="36">
        <f t="shared" si="87"/>
        <v>5.7407407407407502E-3</v>
      </c>
      <c r="AC284" s="36">
        <f t="shared" si="87"/>
        <v>4.8148148148148126E-3</v>
      </c>
      <c r="AD284" s="36">
        <f t="shared" si="87"/>
        <v>1.0555555555555563E-2</v>
      </c>
      <c r="AE284" s="36" t="str">
        <f t="shared" si="87"/>
        <v>ER4</v>
      </c>
      <c r="AF284" s="36">
        <f t="shared" si="87"/>
        <v>50</v>
      </c>
      <c r="AG284" s="36" t="str">
        <f t="shared" si="87"/>
        <v>LAP</v>
      </c>
      <c r="AI284">
        <v>270</v>
      </c>
      <c r="AJ284" s="77" t="str">
        <f t="shared" si="77"/>
        <v>MEXICO AEREO</v>
      </c>
      <c r="AK284" s="77">
        <f t="shared" si="77"/>
        <v>2125</v>
      </c>
      <c r="AL284" s="78">
        <v>0.42708333333333331</v>
      </c>
      <c r="AM284" s="79">
        <v>0.43194444444444446</v>
      </c>
      <c r="AN284" s="80">
        <v>4.8611111111111494E-3</v>
      </c>
      <c r="AO284" s="79">
        <v>0.43611111111111112</v>
      </c>
      <c r="AP284" s="80">
        <v>4.1666666666666519E-3</v>
      </c>
      <c r="AQ284" s="81">
        <v>41808</v>
      </c>
      <c r="AR284" s="77" t="str">
        <f t="shared" si="82"/>
        <v>Nacional</v>
      </c>
      <c r="AS284" s="77">
        <f t="shared" si="82"/>
        <v>6.5972222222222057E-3</v>
      </c>
      <c r="AT284" s="77">
        <f t="shared" si="82"/>
        <v>7.0833333333333529E-3</v>
      </c>
      <c r="AU284" s="77">
        <f t="shared" si="82"/>
        <v>1.3680555555555559E-2</v>
      </c>
      <c r="AV284" s="77" t="str">
        <f t="shared" si="82"/>
        <v>ER4</v>
      </c>
      <c r="AW284" s="77">
        <f t="shared" si="82"/>
        <v>50</v>
      </c>
      <c r="AX284" s="77" t="str">
        <f t="shared" si="82"/>
        <v>CUL</v>
      </c>
    </row>
    <row r="285" spans="1:50" x14ac:dyDescent="0.25">
      <c r="A285">
        <v>271</v>
      </c>
      <c r="B285" s="123" t="s">
        <v>18</v>
      </c>
      <c r="C285" s="36">
        <f t="shared" ref="C285:C294" si="88">C284</f>
        <v>775</v>
      </c>
      <c r="D285" s="74">
        <v>0.22222222222222221</v>
      </c>
      <c r="E285" s="74">
        <v>0.23750000000000002</v>
      </c>
      <c r="F285" s="75">
        <v>1.5277777777777807E-2</v>
      </c>
      <c r="G285" s="74">
        <v>0.24305555555555555</v>
      </c>
      <c r="H285" s="75">
        <v>5.5555555555555358E-3</v>
      </c>
      <c r="I285" s="76">
        <v>41727</v>
      </c>
      <c r="J285" s="36" t="str">
        <f t="shared" si="84"/>
        <v>Nacional</v>
      </c>
      <c r="K285" s="36">
        <f t="shared" si="84"/>
        <v>8.3964646464646572E-3</v>
      </c>
      <c r="L285" s="36">
        <f t="shared" si="84"/>
        <v>1.1300505050505049E-2</v>
      </c>
      <c r="M285" s="36">
        <f t="shared" si="84"/>
        <v>1.9696969696969706E-2</v>
      </c>
      <c r="N285" s="36" t="str">
        <f t="shared" si="84"/>
        <v>B737-800</v>
      </c>
      <c r="O285" s="36">
        <f t="shared" si="84"/>
        <v>189</v>
      </c>
      <c r="P285" s="36" t="str">
        <f t="shared" si="84"/>
        <v>TIJ</v>
      </c>
      <c r="R285">
        <v>271</v>
      </c>
      <c r="S285" s="36" t="str">
        <f t="shared" si="85"/>
        <v>MEXICO AEREO</v>
      </c>
      <c r="T285" s="36">
        <f t="shared" si="85"/>
        <v>2119</v>
      </c>
      <c r="U285" s="73">
        <v>0.67847222222222225</v>
      </c>
      <c r="V285" s="74">
        <v>0.68611111111111101</v>
      </c>
      <c r="W285" s="75">
        <v>7.6388888888887507E-3</v>
      </c>
      <c r="X285" s="74">
        <v>0.68819444444444444</v>
      </c>
      <c r="Y285" s="75">
        <v>2.083333333333437E-3</v>
      </c>
      <c r="Z285" s="76">
        <v>41746</v>
      </c>
      <c r="AA285" s="36" t="str">
        <f t="shared" si="87"/>
        <v>Nacional</v>
      </c>
      <c r="AB285" s="36">
        <f t="shared" si="87"/>
        <v>5.7407407407407502E-3</v>
      </c>
      <c r="AC285" s="36">
        <f t="shared" si="87"/>
        <v>4.8148148148148126E-3</v>
      </c>
      <c r="AD285" s="36">
        <f t="shared" si="87"/>
        <v>1.0555555555555563E-2</v>
      </c>
      <c r="AE285" s="36" t="str">
        <f t="shared" si="87"/>
        <v>ER4</v>
      </c>
      <c r="AF285" s="36">
        <f t="shared" si="87"/>
        <v>50</v>
      </c>
      <c r="AG285" s="36" t="str">
        <f t="shared" si="87"/>
        <v>LAP</v>
      </c>
      <c r="AI285">
        <v>271</v>
      </c>
      <c r="AJ285" s="77" t="str">
        <f t="shared" si="77"/>
        <v>MEXICO AEREO</v>
      </c>
      <c r="AK285" s="77">
        <f t="shared" si="77"/>
        <v>2125</v>
      </c>
      <c r="AL285" s="78">
        <v>0.43124999999999997</v>
      </c>
      <c r="AM285" s="79">
        <v>0.43541666666666662</v>
      </c>
      <c r="AN285" s="80">
        <v>4.1666666666666519E-3</v>
      </c>
      <c r="AO285" s="79">
        <v>0.44027777777777777</v>
      </c>
      <c r="AP285" s="80">
        <v>4.8611111111111494E-3</v>
      </c>
      <c r="AQ285" s="81">
        <v>41809</v>
      </c>
      <c r="AR285" s="77" t="str">
        <f t="shared" si="82"/>
        <v>Nacional</v>
      </c>
      <c r="AS285" s="77">
        <f t="shared" si="82"/>
        <v>6.5972222222222057E-3</v>
      </c>
      <c r="AT285" s="77">
        <f t="shared" si="82"/>
        <v>7.0833333333333529E-3</v>
      </c>
      <c r="AU285" s="77">
        <f t="shared" si="82"/>
        <v>1.3680555555555559E-2</v>
      </c>
      <c r="AV285" s="77" t="str">
        <f t="shared" si="82"/>
        <v>ER4</v>
      </c>
      <c r="AW285" s="77">
        <f t="shared" si="82"/>
        <v>50</v>
      </c>
      <c r="AX285" s="77" t="str">
        <f t="shared" si="82"/>
        <v>CUL</v>
      </c>
    </row>
    <row r="286" spans="1:50" ht="15.75" thickBot="1" x14ac:dyDescent="0.3">
      <c r="A286">
        <v>272</v>
      </c>
      <c r="B286" s="36" t="str">
        <f t="shared" ref="B286:C343" si="89">B285</f>
        <v>MEXICO AEREO</v>
      </c>
      <c r="C286" s="36">
        <f t="shared" si="88"/>
        <v>775</v>
      </c>
      <c r="D286" s="84">
        <v>0.71180555555555547</v>
      </c>
      <c r="E286" s="84">
        <v>0.71875</v>
      </c>
      <c r="F286" s="85">
        <v>6.9444444444445308E-3</v>
      </c>
      <c r="G286" s="84">
        <v>0.72222222222222221</v>
      </c>
      <c r="H286" s="85">
        <v>3.4722222222222099E-3</v>
      </c>
      <c r="I286" s="86">
        <v>41729</v>
      </c>
      <c r="J286" s="36" t="str">
        <f t="shared" si="84"/>
        <v>Nacional</v>
      </c>
      <c r="K286" s="36">
        <f t="shared" si="84"/>
        <v>8.3964646464646572E-3</v>
      </c>
      <c r="L286" s="36">
        <f t="shared" si="84"/>
        <v>1.1300505050505049E-2</v>
      </c>
      <c r="M286" s="36">
        <f t="shared" si="84"/>
        <v>1.9696969696969706E-2</v>
      </c>
      <c r="N286" s="36" t="str">
        <f t="shared" si="84"/>
        <v>B737-800</v>
      </c>
      <c r="O286" s="36">
        <f t="shared" si="84"/>
        <v>189</v>
      </c>
      <c r="P286" s="36" t="str">
        <f t="shared" si="84"/>
        <v>TIJ</v>
      </c>
      <c r="R286">
        <v>272</v>
      </c>
      <c r="S286" s="36" t="str">
        <f t="shared" si="85"/>
        <v>MEXICO AEREO</v>
      </c>
      <c r="T286" s="36">
        <f t="shared" si="85"/>
        <v>2119</v>
      </c>
      <c r="U286" s="73">
        <v>0.69305555555555554</v>
      </c>
      <c r="V286" s="74">
        <v>0.69791666666666663</v>
      </c>
      <c r="W286" s="75">
        <v>4.8611111111110938E-3</v>
      </c>
      <c r="X286" s="74">
        <v>0.70347222222222217</v>
      </c>
      <c r="Y286" s="75">
        <v>5.5555555555555358E-3</v>
      </c>
      <c r="Z286" s="76">
        <v>41747</v>
      </c>
      <c r="AA286" s="36" t="str">
        <f t="shared" si="87"/>
        <v>Nacional</v>
      </c>
      <c r="AB286" s="36">
        <f t="shared" si="87"/>
        <v>5.7407407407407502E-3</v>
      </c>
      <c r="AC286" s="36">
        <f t="shared" si="87"/>
        <v>4.8148148148148126E-3</v>
      </c>
      <c r="AD286" s="36">
        <f t="shared" si="87"/>
        <v>1.0555555555555563E-2</v>
      </c>
      <c r="AE286" s="36" t="str">
        <f t="shared" si="87"/>
        <v>ER4</v>
      </c>
      <c r="AF286" s="36">
        <f t="shared" si="87"/>
        <v>50</v>
      </c>
      <c r="AG286" s="36" t="str">
        <f t="shared" si="87"/>
        <v>LAP</v>
      </c>
      <c r="AI286">
        <v>272</v>
      </c>
      <c r="AJ286" s="77" t="str">
        <f t="shared" si="77"/>
        <v>MEXICO AEREO</v>
      </c>
      <c r="AK286" s="77">
        <f t="shared" si="77"/>
        <v>2125</v>
      </c>
      <c r="AL286" s="78">
        <v>0.4513888888888889</v>
      </c>
      <c r="AM286" s="79">
        <v>0.45833333333333331</v>
      </c>
      <c r="AN286" s="80">
        <v>6.9444444444444198E-3</v>
      </c>
      <c r="AO286" s="79">
        <v>0.4604166666666667</v>
      </c>
      <c r="AP286" s="80">
        <v>2.0833333333333814E-3</v>
      </c>
      <c r="AQ286" s="81">
        <v>41810</v>
      </c>
      <c r="AR286" s="77" t="str">
        <f t="shared" si="82"/>
        <v>Nacional</v>
      </c>
      <c r="AS286" s="77">
        <f t="shared" si="82"/>
        <v>6.5972222222222057E-3</v>
      </c>
      <c r="AT286" s="77">
        <f t="shared" si="82"/>
        <v>7.0833333333333529E-3</v>
      </c>
      <c r="AU286" s="77">
        <f t="shared" si="82"/>
        <v>1.3680555555555559E-2</v>
      </c>
      <c r="AV286" s="77" t="str">
        <f t="shared" si="82"/>
        <v>ER4</v>
      </c>
      <c r="AW286" s="77">
        <f t="shared" si="82"/>
        <v>50</v>
      </c>
      <c r="AX286" s="77" t="str">
        <f t="shared" si="82"/>
        <v>CUL</v>
      </c>
    </row>
    <row r="287" spans="1:50" x14ac:dyDescent="0.25">
      <c r="A287">
        <v>273</v>
      </c>
      <c r="B287" s="36" t="str">
        <f t="shared" si="89"/>
        <v>MEXICO AEREO</v>
      </c>
      <c r="C287" s="125">
        <v>773</v>
      </c>
      <c r="D287" s="112">
        <v>0.8652777777777777</v>
      </c>
      <c r="E287" s="112">
        <v>0.87152777777777779</v>
      </c>
      <c r="F287" s="113">
        <v>6.2500000000000888E-3</v>
      </c>
      <c r="G287" s="112">
        <v>0.88194444444444453</v>
      </c>
      <c r="H287" s="113">
        <v>1.0416666666666741E-2</v>
      </c>
      <c r="I287" s="114">
        <v>41713</v>
      </c>
      <c r="J287" s="115" t="s">
        <v>19</v>
      </c>
      <c r="K287" s="116">
        <v>7.8703703703703696E-3</v>
      </c>
      <c r="L287" s="116">
        <v>1.2905092592592574E-2</v>
      </c>
      <c r="M287" s="117">
        <v>2.0775462962962944E-2</v>
      </c>
      <c r="N287" s="90" t="s">
        <v>39</v>
      </c>
      <c r="O287" s="91">
        <v>189</v>
      </c>
      <c r="P287" s="92" t="s">
        <v>34</v>
      </c>
      <c r="R287">
        <v>273</v>
      </c>
      <c r="S287" s="36" t="str">
        <f t="shared" si="85"/>
        <v>MEXICO AEREO</v>
      </c>
      <c r="T287" s="36">
        <f t="shared" si="85"/>
        <v>2119</v>
      </c>
      <c r="U287" s="73">
        <v>0.7597222222222223</v>
      </c>
      <c r="V287" s="74">
        <v>0.77013888888888893</v>
      </c>
      <c r="W287" s="75">
        <v>1.041666666666663E-2</v>
      </c>
      <c r="X287" s="74">
        <v>0.7715277777777777</v>
      </c>
      <c r="Y287" s="75">
        <v>1.3888888888887729E-3</v>
      </c>
      <c r="Z287" s="76">
        <v>41748</v>
      </c>
      <c r="AA287" s="36" t="str">
        <f t="shared" si="87"/>
        <v>Nacional</v>
      </c>
      <c r="AB287" s="36">
        <f t="shared" si="87"/>
        <v>5.7407407407407502E-3</v>
      </c>
      <c r="AC287" s="36">
        <f t="shared" si="87"/>
        <v>4.8148148148148126E-3</v>
      </c>
      <c r="AD287" s="36">
        <f t="shared" si="87"/>
        <v>1.0555555555555563E-2</v>
      </c>
      <c r="AE287" s="36" t="str">
        <f t="shared" si="87"/>
        <v>ER4</v>
      </c>
      <c r="AF287" s="36">
        <f t="shared" si="87"/>
        <v>50</v>
      </c>
      <c r="AG287" s="36" t="str">
        <f t="shared" si="87"/>
        <v>LAP</v>
      </c>
      <c r="AI287">
        <v>273</v>
      </c>
      <c r="AJ287" s="77" t="str">
        <f t="shared" si="77"/>
        <v>MEXICO AEREO</v>
      </c>
      <c r="AK287" s="77">
        <f t="shared" si="77"/>
        <v>2125</v>
      </c>
      <c r="AL287" s="78">
        <v>0.42152777777777778</v>
      </c>
      <c r="AM287" s="79">
        <v>0.42708333333333331</v>
      </c>
      <c r="AN287" s="80">
        <v>5.5555555555555358E-3</v>
      </c>
      <c r="AO287" s="79">
        <v>0.4284722222222222</v>
      </c>
      <c r="AP287" s="80">
        <v>1.388888888888884E-3</v>
      </c>
      <c r="AQ287" s="81">
        <v>41811</v>
      </c>
      <c r="AR287" s="77" t="str">
        <f t="shared" si="82"/>
        <v>Nacional</v>
      </c>
      <c r="AS287" s="77">
        <f t="shared" si="82"/>
        <v>6.5972222222222057E-3</v>
      </c>
      <c r="AT287" s="77">
        <f t="shared" si="82"/>
        <v>7.0833333333333529E-3</v>
      </c>
      <c r="AU287" s="77">
        <f t="shared" si="82"/>
        <v>1.3680555555555559E-2</v>
      </c>
      <c r="AV287" s="77" t="str">
        <f t="shared" si="82"/>
        <v>ER4</v>
      </c>
      <c r="AW287" s="77">
        <f t="shared" si="82"/>
        <v>50</v>
      </c>
      <c r="AX287" s="77" t="str">
        <f t="shared" si="82"/>
        <v>CUL</v>
      </c>
    </row>
    <row r="288" spans="1:50" ht="15.75" thickBot="1" x14ac:dyDescent="0.3">
      <c r="A288">
        <v>274</v>
      </c>
      <c r="B288" s="36" t="str">
        <f t="shared" si="89"/>
        <v>MEXICO AEREO</v>
      </c>
      <c r="C288" s="36">
        <f t="shared" si="89"/>
        <v>773</v>
      </c>
      <c r="D288" s="74">
        <v>0.86875000000000002</v>
      </c>
      <c r="E288" s="74">
        <v>0.87569444444444444</v>
      </c>
      <c r="F288" s="75">
        <v>6.9444444444444198E-3</v>
      </c>
      <c r="G288" s="74">
        <v>0.88541666666666663</v>
      </c>
      <c r="H288" s="75">
        <v>9.7222222222221877E-3</v>
      </c>
      <c r="I288" s="76">
        <v>41715</v>
      </c>
      <c r="J288" s="36" t="str">
        <f t="shared" ref="J288:P298" si="90">J287</f>
        <v>Nacional</v>
      </c>
      <c r="K288" s="36">
        <f t="shared" si="90"/>
        <v>7.8703703703703696E-3</v>
      </c>
      <c r="L288" s="36">
        <f t="shared" si="90"/>
        <v>1.2905092592592574E-2</v>
      </c>
      <c r="M288" s="36">
        <f t="shared" si="90"/>
        <v>2.0775462962962944E-2</v>
      </c>
      <c r="N288" s="36" t="str">
        <f t="shared" si="90"/>
        <v>B737-800</v>
      </c>
      <c r="O288" s="36">
        <f t="shared" si="90"/>
        <v>189</v>
      </c>
      <c r="P288" s="36" t="str">
        <f t="shared" si="90"/>
        <v>TIJ</v>
      </c>
      <c r="R288">
        <v>274</v>
      </c>
      <c r="S288" s="36" t="str">
        <f t="shared" si="85"/>
        <v>MEXICO AEREO</v>
      </c>
      <c r="T288" s="36">
        <f t="shared" si="85"/>
        <v>2119</v>
      </c>
      <c r="U288" s="73">
        <v>0.68125000000000002</v>
      </c>
      <c r="V288" s="74">
        <v>0.68333333333333324</v>
      </c>
      <c r="W288" s="75">
        <v>2.0833333333332149E-3</v>
      </c>
      <c r="X288" s="74">
        <v>0.68541666666666667</v>
      </c>
      <c r="Y288" s="75">
        <v>2.083333333333437E-3</v>
      </c>
      <c r="Z288" s="76">
        <v>41749</v>
      </c>
      <c r="AA288" s="36" t="str">
        <f t="shared" si="87"/>
        <v>Nacional</v>
      </c>
      <c r="AB288" s="36">
        <f t="shared" si="87"/>
        <v>5.7407407407407502E-3</v>
      </c>
      <c r="AC288" s="36">
        <f t="shared" si="87"/>
        <v>4.8148148148148126E-3</v>
      </c>
      <c r="AD288" s="36">
        <f t="shared" si="87"/>
        <v>1.0555555555555563E-2</v>
      </c>
      <c r="AE288" s="36" t="str">
        <f t="shared" si="87"/>
        <v>ER4</v>
      </c>
      <c r="AF288" s="36">
        <f t="shared" si="87"/>
        <v>50</v>
      </c>
      <c r="AG288" s="36" t="str">
        <f t="shared" si="87"/>
        <v>LAP</v>
      </c>
      <c r="AI288">
        <v>274</v>
      </c>
      <c r="AJ288" s="77" t="str">
        <f t="shared" si="77"/>
        <v>MEXICO AEREO</v>
      </c>
      <c r="AK288" s="77">
        <f t="shared" si="77"/>
        <v>2125</v>
      </c>
      <c r="AL288" s="94">
        <v>0.4236111111111111</v>
      </c>
      <c r="AM288" s="95">
        <v>0.42638888888888887</v>
      </c>
      <c r="AN288" s="96">
        <v>2.7777777777777679E-3</v>
      </c>
      <c r="AO288" s="95">
        <v>0.43055555555555558</v>
      </c>
      <c r="AP288" s="96">
        <v>4.1666666666667074E-3</v>
      </c>
      <c r="AQ288" s="97">
        <v>41813</v>
      </c>
      <c r="AR288" s="77" t="str">
        <f t="shared" si="82"/>
        <v>Nacional</v>
      </c>
      <c r="AS288" s="77">
        <f t="shared" si="82"/>
        <v>6.5972222222222057E-3</v>
      </c>
      <c r="AT288" s="77">
        <f t="shared" si="82"/>
        <v>7.0833333333333529E-3</v>
      </c>
      <c r="AU288" s="77">
        <f t="shared" si="82"/>
        <v>1.3680555555555559E-2</v>
      </c>
      <c r="AV288" s="77" t="str">
        <f t="shared" si="82"/>
        <v>ER4</v>
      </c>
      <c r="AW288" s="77">
        <f t="shared" si="82"/>
        <v>50</v>
      </c>
      <c r="AX288" s="77" t="str">
        <f t="shared" si="82"/>
        <v>CUL</v>
      </c>
    </row>
    <row r="289" spans="1:50" x14ac:dyDescent="0.25">
      <c r="A289">
        <v>275</v>
      </c>
      <c r="B289" s="36" t="str">
        <f t="shared" si="89"/>
        <v>MEXICO AEREO</v>
      </c>
      <c r="C289" s="36">
        <f t="shared" si="89"/>
        <v>773</v>
      </c>
      <c r="D289" s="74">
        <v>0.86944444444444446</v>
      </c>
      <c r="E289" s="74">
        <v>0.87986111111111109</v>
      </c>
      <c r="F289" s="75">
        <v>1.041666666666663E-2</v>
      </c>
      <c r="G289" s="74">
        <v>0.88888888888888884</v>
      </c>
      <c r="H289" s="75">
        <v>9.0277777777777457E-3</v>
      </c>
      <c r="I289" s="76">
        <v>41716</v>
      </c>
      <c r="J289" s="36" t="str">
        <f t="shared" si="90"/>
        <v>Nacional</v>
      </c>
      <c r="K289" s="36">
        <f t="shared" si="90"/>
        <v>7.8703703703703696E-3</v>
      </c>
      <c r="L289" s="36">
        <f t="shared" si="90"/>
        <v>1.2905092592592574E-2</v>
      </c>
      <c r="M289" s="36">
        <f t="shared" si="90"/>
        <v>2.0775462962962944E-2</v>
      </c>
      <c r="N289" s="36" t="str">
        <f t="shared" si="90"/>
        <v>B737-800</v>
      </c>
      <c r="O289" s="36">
        <f t="shared" si="90"/>
        <v>189</v>
      </c>
      <c r="P289" s="36" t="str">
        <f t="shared" si="90"/>
        <v>TIJ</v>
      </c>
      <c r="R289">
        <v>275</v>
      </c>
      <c r="S289" s="36" t="str">
        <f t="shared" si="85"/>
        <v>MEXICO AEREO</v>
      </c>
      <c r="T289" s="36">
        <f t="shared" si="85"/>
        <v>2119</v>
      </c>
      <c r="U289" s="73">
        <v>0.67569444444444438</v>
      </c>
      <c r="V289" s="74">
        <v>0.6791666666666667</v>
      </c>
      <c r="W289" s="75">
        <v>3.4722222222223209E-3</v>
      </c>
      <c r="X289" s="74">
        <v>0.68472222222222223</v>
      </c>
      <c r="Y289" s="75">
        <v>5.5555555555555358E-3</v>
      </c>
      <c r="Z289" s="76">
        <v>41751</v>
      </c>
      <c r="AA289" s="36" t="str">
        <f t="shared" si="87"/>
        <v>Nacional</v>
      </c>
      <c r="AB289" s="36">
        <f t="shared" si="87"/>
        <v>5.7407407407407502E-3</v>
      </c>
      <c r="AC289" s="36">
        <f t="shared" si="87"/>
        <v>4.8148148148148126E-3</v>
      </c>
      <c r="AD289" s="36">
        <f t="shared" si="87"/>
        <v>1.0555555555555563E-2</v>
      </c>
      <c r="AE289" s="36" t="str">
        <f t="shared" si="87"/>
        <v>ER4</v>
      </c>
      <c r="AF289" s="36">
        <f t="shared" si="87"/>
        <v>50</v>
      </c>
      <c r="AG289" s="36" t="str">
        <f t="shared" si="87"/>
        <v>LAP</v>
      </c>
      <c r="AI289">
        <v>275</v>
      </c>
      <c r="AJ289" s="77" t="str">
        <f t="shared" si="77"/>
        <v>MEXICO AEREO</v>
      </c>
      <c r="AK289" s="63">
        <v>2119</v>
      </c>
      <c r="AL289" s="64">
        <v>0.67708333333333337</v>
      </c>
      <c r="AM289" s="65">
        <v>0.68402777777777779</v>
      </c>
      <c r="AN289" s="66">
        <v>6.9444444444444198E-3</v>
      </c>
      <c r="AO289" s="65">
        <v>0.68958333333333333</v>
      </c>
      <c r="AP289" s="66">
        <v>5.5555555555555358E-3</v>
      </c>
      <c r="AQ289" s="67">
        <v>41791</v>
      </c>
      <c r="AR289" s="68" t="s">
        <v>19</v>
      </c>
      <c r="AS289" s="69">
        <v>6.6176470588235319E-3</v>
      </c>
      <c r="AT289" s="70">
        <v>7.3529411764705881E-3</v>
      </c>
      <c r="AU289" s="70">
        <v>1.397058823529412E-2</v>
      </c>
      <c r="AV289" s="71" t="s">
        <v>20</v>
      </c>
      <c r="AW289" s="71">
        <v>50</v>
      </c>
      <c r="AX289" s="72" t="s">
        <v>42</v>
      </c>
    </row>
    <row r="290" spans="1:50" x14ac:dyDescent="0.25">
      <c r="A290">
        <v>276</v>
      </c>
      <c r="B290" s="36" t="str">
        <f t="shared" si="89"/>
        <v>MEXICO AEREO</v>
      </c>
      <c r="C290" s="36">
        <f t="shared" si="89"/>
        <v>773</v>
      </c>
      <c r="D290" s="74">
        <v>0.87291666666666667</v>
      </c>
      <c r="E290" s="74">
        <v>0.88263888888888886</v>
      </c>
      <c r="F290" s="75">
        <v>9.7222222222221877E-3</v>
      </c>
      <c r="G290" s="74">
        <v>0.9375</v>
      </c>
      <c r="H290" s="75">
        <v>5.4861111111111138E-2</v>
      </c>
      <c r="I290" s="76">
        <v>41719</v>
      </c>
      <c r="J290" s="36" t="str">
        <f t="shared" si="90"/>
        <v>Nacional</v>
      </c>
      <c r="K290" s="36">
        <f t="shared" si="90"/>
        <v>7.8703703703703696E-3</v>
      </c>
      <c r="L290" s="36">
        <f t="shared" si="90"/>
        <v>1.2905092592592574E-2</v>
      </c>
      <c r="M290" s="36">
        <f t="shared" si="90"/>
        <v>2.0775462962962944E-2</v>
      </c>
      <c r="N290" s="36" t="str">
        <f t="shared" si="90"/>
        <v>B737-800</v>
      </c>
      <c r="O290" s="36">
        <f t="shared" si="90"/>
        <v>189</v>
      </c>
      <c r="P290" s="36" t="str">
        <f t="shared" si="90"/>
        <v>TIJ</v>
      </c>
      <c r="R290">
        <v>276</v>
      </c>
      <c r="S290" s="36" t="str">
        <f t="shared" si="85"/>
        <v>MEXICO AEREO</v>
      </c>
      <c r="T290" s="36">
        <f t="shared" si="85"/>
        <v>2119</v>
      </c>
      <c r="U290" s="73">
        <v>0.68472222222222223</v>
      </c>
      <c r="V290" s="74">
        <v>0.68888888888888899</v>
      </c>
      <c r="W290" s="75">
        <v>4.1666666666667629E-3</v>
      </c>
      <c r="X290" s="74">
        <v>0.69513888888888886</v>
      </c>
      <c r="Y290" s="75">
        <v>6.2499999999998668E-3</v>
      </c>
      <c r="Z290" s="76">
        <v>41753</v>
      </c>
      <c r="AA290" s="36" t="str">
        <f t="shared" si="87"/>
        <v>Nacional</v>
      </c>
      <c r="AB290" s="36">
        <f t="shared" si="87"/>
        <v>5.7407407407407502E-3</v>
      </c>
      <c r="AC290" s="36">
        <f t="shared" si="87"/>
        <v>4.8148148148148126E-3</v>
      </c>
      <c r="AD290" s="36">
        <f t="shared" si="87"/>
        <v>1.0555555555555563E-2</v>
      </c>
      <c r="AE290" s="36" t="str">
        <f t="shared" si="87"/>
        <v>ER4</v>
      </c>
      <c r="AF290" s="36">
        <f t="shared" si="87"/>
        <v>50</v>
      </c>
      <c r="AG290" s="36" t="str">
        <f t="shared" si="87"/>
        <v>LAP</v>
      </c>
      <c r="AI290">
        <v>276</v>
      </c>
      <c r="AJ290" s="77" t="str">
        <f t="shared" si="77"/>
        <v>MEXICO AEREO</v>
      </c>
      <c r="AK290" s="77">
        <f t="shared" si="77"/>
        <v>2119</v>
      </c>
      <c r="AL290" s="78">
        <v>0.67361111111111116</v>
      </c>
      <c r="AM290" s="79">
        <v>0.6791666666666667</v>
      </c>
      <c r="AN290" s="80">
        <v>5.5555555555555358E-3</v>
      </c>
      <c r="AO290" s="79">
        <v>0.68055555555555547</v>
      </c>
      <c r="AP290" s="80">
        <v>1.3888888888887729E-3</v>
      </c>
      <c r="AQ290" s="81">
        <v>41792</v>
      </c>
      <c r="AR290" s="77" t="str">
        <f t="shared" ref="AR290:AX305" si="91">AR289</f>
        <v>Nacional</v>
      </c>
      <c r="AS290" s="77">
        <f t="shared" si="91"/>
        <v>6.6176470588235319E-3</v>
      </c>
      <c r="AT290" s="77">
        <f t="shared" si="91"/>
        <v>7.3529411764705881E-3</v>
      </c>
      <c r="AU290" s="77">
        <f t="shared" si="91"/>
        <v>1.397058823529412E-2</v>
      </c>
      <c r="AV290" s="77" t="str">
        <f t="shared" si="91"/>
        <v>ER4</v>
      </c>
      <c r="AW290" s="77">
        <f t="shared" si="91"/>
        <v>50</v>
      </c>
      <c r="AX290" s="77" t="str">
        <f t="shared" si="91"/>
        <v>LAP</v>
      </c>
    </row>
    <row r="291" spans="1:50" x14ac:dyDescent="0.25">
      <c r="A291">
        <v>277</v>
      </c>
      <c r="B291" s="36" t="str">
        <f t="shared" si="89"/>
        <v>MEXICO AEREO</v>
      </c>
      <c r="C291" s="36">
        <f t="shared" si="89"/>
        <v>773</v>
      </c>
      <c r="D291" s="74">
        <v>0.87361111111111101</v>
      </c>
      <c r="E291" s="74">
        <v>0.88124999999999998</v>
      </c>
      <c r="F291" s="75">
        <v>7.6388888888889728E-3</v>
      </c>
      <c r="G291" s="74">
        <v>0.89097222222222217</v>
      </c>
      <c r="H291" s="75">
        <v>9.7222222222221877E-3</v>
      </c>
      <c r="I291" s="76">
        <v>41721</v>
      </c>
      <c r="J291" s="36" t="str">
        <f t="shared" si="90"/>
        <v>Nacional</v>
      </c>
      <c r="K291" s="36">
        <f t="shared" si="90"/>
        <v>7.8703703703703696E-3</v>
      </c>
      <c r="L291" s="36">
        <f t="shared" si="90"/>
        <v>1.2905092592592574E-2</v>
      </c>
      <c r="M291" s="36">
        <f t="shared" si="90"/>
        <v>2.0775462962962944E-2</v>
      </c>
      <c r="N291" s="36" t="str">
        <f t="shared" si="90"/>
        <v>B737-800</v>
      </c>
      <c r="O291" s="36">
        <f t="shared" si="90"/>
        <v>189</v>
      </c>
      <c r="P291" s="36" t="str">
        <f t="shared" si="90"/>
        <v>TIJ</v>
      </c>
      <c r="R291">
        <v>277</v>
      </c>
      <c r="S291" s="36" t="str">
        <f t="shared" si="85"/>
        <v>MEXICO AEREO</v>
      </c>
      <c r="T291" s="36">
        <f t="shared" si="85"/>
        <v>2119</v>
      </c>
      <c r="U291" s="73">
        <v>0.6777777777777777</v>
      </c>
      <c r="V291" s="74">
        <v>0.68263888888888891</v>
      </c>
      <c r="W291" s="75">
        <v>4.8611111111112049E-3</v>
      </c>
      <c r="X291" s="74">
        <v>0.68680555555555556</v>
      </c>
      <c r="Y291" s="75">
        <v>4.1666666666666519E-3</v>
      </c>
      <c r="Z291" s="76">
        <v>41754</v>
      </c>
      <c r="AA291" s="36" t="str">
        <f t="shared" si="87"/>
        <v>Nacional</v>
      </c>
      <c r="AB291" s="36">
        <f t="shared" si="87"/>
        <v>5.7407407407407502E-3</v>
      </c>
      <c r="AC291" s="36">
        <f t="shared" si="87"/>
        <v>4.8148148148148126E-3</v>
      </c>
      <c r="AD291" s="36">
        <f t="shared" si="87"/>
        <v>1.0555555555555563E-2</v>
      </c>
      <c r="AE291" s="36" t="str">
        <f t="shared" si="87"/>
        <v>ER4</v>
      </c>
      <c r="AF291" s="36">
        <f t="shared" si="87"/>
        <v>50</v>
      </c>
      <c r="AG291" s="36" t="str">
        <f t="shared" si="87"/>
        <v>LAP</v>
      </c>
      <c r="AI291">
        <v>277</v>
      </c>
      <c r="AJ291" s="77" t="str">
        <f t="shared" si="77"/>
        <v>MEXICO AEREO</v>
      </c>
      <c r="AK291" s="77">
        <f t="shared" si="77"/>
        <v>2119</v>
      </c>
      <c r="AL291" s="78">
        <v>0.68611111111111101</v>
      </c>
      <c r="AM291" s="79">
        <v>0.69305555555555554</v>
      </c>
      <c r="AN291" s="80">
        <v>6.9444444444445308E-3</v>
      </c>
      <c r="AO291" s="79">
        <v>0.6958333333333333</v>
      </c>
      <c r="AP291" s="80">
        <v>2.7777777777777679E-3</v>
      </c>
      <c r="AQ291" s="81">
        <v>41793</v>
      </c>
      <c r="AR291" s="77" t="str">
        <f t="shared" si="91"/>
        <v>Nacional</v>
      </c>
      <c r="AS291" s="77">
        <f t="shared" si="91"/>
        <v>6.6176470588235319E-3</v>
      </c>
      <c r="AT291" s="77">
        <f t="shared" si="91"/>
        <v>7.3529411764705881E-3</v>
      </c>
      <c r="AU291" s="77">
        <f t="shared" si="91"/>
        <v>1.397058823529412E-2</v>
      </c>
      <c r="AV291" s="77" t="str">
        <f t="shared" si="91"/>
        <v>ER4</v>
      </c>
      <c r="AW291" s="77">
        <f t="shared" si="91"/>
        <v>50</v>
      </c>
      <c r="AX291" s="77" t="str">
        <f t="shared" si="91"/>
        <v>LAP</v>
      </c>
    </row>
    <row r="292" spans="1:50" x14ac:dyDescent="0.25">
      <c r="A292">
        <v>278</v>
      </c>
      <c r="B292" s="36" t="str">
        <f t="shared" si="89"/>
        <v>MEXICO AEREO</v>
      </c>
      <c r="C292" s="36">
        <f t="shared" si="89"/>
        <v>773</v>
      </c>
      <c r="D292" s="74">
        <v>0.87847222222222221</v>
      </c>
      <c r="E292" s="74">
        <v>0.88263888888888886</v>
      </c>
      <c r="F292" s="75">
        <v>4.1666666666666519E-3</v>
      </c>
      <c r="G292" s="74">
        <v>0.89374999999999993</v>
      </c>
      <c r="H292" s="75">
        <v>1.1111111111111072E-2</v>
      </c>
      <c r="I292" s="76">
        <v>41721</v>
      </c>
      <c r="J292" s="36" t="str">
        <f t="shared" si="90"/>
        <v>Nacional</v>
      </c>
      <c r="K292" s="36">
        <f t="shared" si="90"/>
        <v>7.8703703703703696E-3</v>
      </c>
      <c r="L292" s="36">
        <f t="shared" si="90"/>
        <v>1.2905092592592574E-2</v>
      </c>
      <c r="M292" s="36">
        <f t="shared" si="90"/>
        <v>2.0775462962962944E-2</v>
      </c>
      <c r="N292" s="36" t="str">
        <f t="shared" si="90"/>
        <v>B737-800</v>
      </c>
      <c r="O292" s="36">
        <f t="shared" si="90"/>
        <v>189</v>
      </c>
      <c r="P292" s="36" t="str">
        <f t="shared" si="90"/>
        <v>TIJ</v>
      </c>
      <c r="R292">
        <v>278</v>
      </c>
      <c r="S292" s="36" t="str">
        <f t="shared" si="85"/>
        <v>MEXICO AEREO</v>
      </c>
      <c r="T292" s="36">
        <f t="shared" si="85"/>
        <v>2119</v>
      </c>
      <c r="U292" s="73">
        <v>0.68402777777777779</v>
      </c>
      <c r="V292" s="74">
        <v>0.68888888888888899</v>
      </c>
      <c r="W292" s="75">
        <v>4.8611111111112049E-3</v>
      </c>
      <c r="X292" s="74">
        <v>0.69861111111111107</v>
      </c>
      <c r="Y292" s="75">
        <v>9.7222222222220767E-3</v>
      </c>
      <c r="Z292" s="76">
        <v>41756</v>
      </c>
      <c r="AA292" s="36" t="str">
        <f t="shared" si="87"/>
        <v>Nacional</v>
      </c>
      <c r="AB292" s="36">
        <f t="shared" si="87"/>
        <v>5.7407407407407502E-3</v>
      </c>
      <c r="AC292" s="36">
        <f t="shared" si="87"/>
        <v>4.8148148148148126E-3</v>
      </c>
      <c r="AD292" s="36">
        <f t="shared" si="87"/>
        <v>1.0555555555555563E-2</v>
      </c>
      <c r="AE292" s="36" t="str">
        <f t="shared" si="87"/>
        <v>ER4</v>
      </c>
      <c r="AF292" s="36">
        <f t="shared" si="87"/>
        <v>50</v>
      </c>
      <c r="AG292" s="36" t="str">
        <f t="shared" si="87"/>
        <v>LAP</v>
      </c>
      <c r="AI292">
        <v>278</v>
      </c>
      <c r="AJ292" s="77" t="str">
        <f t="shared" si="77"/>
        <v>MEXICO AEREO</v>
      </c>
      <c r="AK292" s="77">
        <f t="shared" si="77"/>
        <v>2119</v>
      </c>
      <c r="AL292" s="78">
        <v>0.67499999999999993</v>
      </c>
      <c r="AM292" s="79">
        <v>0.67986111111111114</v>
      </c>
      <c r="AN292" s="80">
        <v>4.8611111111112049E-3</v>
      </c>
      <c r="AO292" s="79">
        <v>0.68263888888888891</v>
      </c>
      <c r="AP292" s="80">
        <v>2.7777777777777679E-3</v>
      </c>
      <c r="AQ292" s="81">
        <v>41794</v>
      </c>
      <c r="AR292" s="77" t="str">
        <f t="shared" si="91"/>
        <v>Nacional</v>
      </c>
      <c r="AS292" s="77">
        <f t="shared" si="91"/>
        <v>6.6176470588235319E-3</v>
      </c>
      <c r="AT292" s="77">
        <f t="shared" si="91"/>
        <v>7.3529411764705881E-3</v>
      </c>
      <c r="AU292" s="77">
        <f t="shared" si="91"/>
        <v>1.397058823529412E-2</v>
      </c>
      <c r="AV292" s="77" t="str">
        <f t="shared" si="91"/>
        <v>ER4</v>
      </c>
      <c r="AW292" s="77">
        <f t="shared" si="91"/>
        <v>50</v>
      </c>
      <c r="AX292" s="77" t="str">
        <f t="shared" si="91"/>
        <v>LAP</v>
      </c>
    </row>
    <row r="293" spans="1:50" x14ac:dyDescent="0.25">
      <c r="A293">
        <v>279</v>
      </c>
      <c r="B293" s="36" t="str">
        <f t="shared" si="89"/>
        <v>MEXICO AEREO</v>
      </c>
      <c r="C293" s="36">
        <f t="shared" si="89"/>
        <v>773</v>
      </c>
      <c r="D293" s="74">
        <v>0.87708333333333333</v>
      </c>
      <c r="E293" s="74">
        <v>0.88402777777777775</v>
      </c>
      <c r="F293" s="75">
        <v>6.9444444444444198E-3</v>
      </c>
      <c r="G293" s="74">
        <v>0.89166666666666661</v>
      </c>
      <c r="H293" s="75">
        <v>7.6388888888888618E-3</v>
      </c>
      <c r="I293" s="76">
        <v>41723</v>
      </c>
      <c r="J293" s="36" t="str">
        <f t="shared" si="90"/>
        <v>Nacional</v>
      </c>
      <c r="K293" s="36">
        <f t="shared" si="90"/>
        <v>7.8703703703703696E-3</v>
      </c>
      <c r="L293" s="36">
        <f t="shared" si="90"/>
        <v>1.2905092592592574E-2</v>
      </c>
      <c r="M293" s="36">
        <f t="shared" si="90"/>
        <v>2.0775462962962944E-2</v>
      </c>
      <c r="N293" s="36" t="str">
        <f t="shared" si="90"/>
        <v>B737-800</v>
      </c>
      <c r="O293" s="36">
        <f t="shared" si="90"/>
        <v>189</v>
      </c>
      <c r="P293" s="36" t="str">
        <f t="shared" si="90"/>
        <v>TIJ</v>
      </c>
      <c r="R293">
        <v>279</v>
      </c>
      <c r="S293" s="36" t="str">
        <f t="shared" si="85"/>
        <v>MEXICO AEREO</v>
      </c>
      <c r="T293" s="36">
        <f t="shared" si="85"/>
        <v>2119</v>
      </c>
      <c r="U293" s="73">
        <v>0.67708333333333337</v>
      </c>
      <c r="V293" s="74">
        <v>0.68541666666666667</v>
      </c>
      <c r="W293" s="75">
        <v>8.3333333333333037E-3</v>
      </c>
      <c r="X293" s="74">
        <v>0.68888888888888899</v>
      </c>
      <c r="Y293" s="75">
        <v>3.4722222222223209E-3</v>
      </c>
      <c r="Z293" s="76">
        <v>41757</v>
      </c>
      <c r="AA293" s="36" t="str">
        <f t="shared" si="87"/>
        <v>Nacional</v>
      </c>
      <c r="AB293" s="36">
        <f t="shared" si="87"/>
        <v>5.7407407407407502E-3</v>
      </c>
      <c r="AC293" s="36">
        <f t="shared" si="87"/>
        <v>4.8148148148148126E-3</v>
      </c>
      <c r="AD293" s="36">
        <f t="shared" si="87"/>
        <v>1.0555555555555563E-2</v>
      </c>
      <c r="AE293" s="36" t="str">
        <f t="shared" si="87"/>
        <v>ER4</v>
      </c>
      <c r="AF293" s="36">
        <f t="shared" si="87"/>
        <v>50</v>
      </c>
      <c r="AG293" s="36" t="str">
        <f t="shared" si="87"/>
        <v>LAP</v>
      </c>
      <c r="AI293">
        <v>279</v>
      </c>
      <c r="AJ293" s="77" t="str">
        <f t="shared" si="77"/>
        <v>MEXICO AEREO</v>
      </c>
      <c r="AK293" s="77">
        <f t="shared" si="77"/>
        <v>2119</v>
      </c>
      <c r="AL293" s="78">
        <v>0.67708333333333337</v>
      </c>
      <c r="AM293" s="79">
        <v>0.68263888888888891</v>
      </c>
      <c r="AN293" s="80">
        <v>5.5555555555555358E-3</v>
      </c>
      <c r="AO293" s="79">
        <v>0.68958333333333333</v>
      </c>
      <c r="AP293" s="80">
        <v>6.9444444444444198E-3</v>
      </c>
      <c r="AQ293" s="81">
        <v>41795</v>
      </c>
      <c r="AR293" s="77" t="str">
        <f t="shared" si="91"/>
        <v>Nacional</v>
      </c>
      <c r="AS293" s="77">
        <f t="shared" si="91"/>
        <v>6.6176470588235319E-3</v>
      </c>
      <c r="AT293" s="77">
        <f t="shared" si="91"/>
        <v>7.3529411764705881E-3</v>
      </c>
      <c r="AU293" s="77">
        <f t="shared" si="91"/>
        <v>1.397058823529412E-2</v>
      </c>
      <c r="AV293" s="77" t="str">
        <f t="shared" si="91"/>
        <v>ER4</v>
      </c>
      <c r="AW293" s="77">
        <f t="shared" si="91"/>
        <v>50</v>
      </c>
      <c r="AX293" s="77" t="str">
        <f t="shared" si="91"/>
        <v>LAP</v>
      </c>
    </row>
    <row r="294" spans="1:50" x14ac:dyDescent="0.25">
      <c r="A294">
        <v>280</v>
      </c>
      <c r="B294" s="36" t="str">
        <f t="shared" si="89"/>
        <v>MEXICO AEREO</v>
      </c>
      <c r="C294" s="36">
        <f t="shared" si="89"/>
        <v>773</v>
      </c>
      <c r="D294" s="74">
        <v>0.86597222222222225</v>
      </c>
      <c r="E294" s="74">
        <v>0.86875000000000002</v>
      </c>
      <c r="F294" s="75">
        <v>2.7777777777777679E-3</v>
      </c>
      <c r="G294" s="74">
        <v>0.875</v>
      </c>
      <c r="H294" s="75">
        <v>6.2499999999999778E-3</v>
      </c>
      <c r="I294" s="76">
        <v>41724</v>
      </c>
      <c r="J294" s="36" t="str">
        <f t="shared" si="90"/>
        <v>Nacional</v>
      </c>
      <c r="K294" s="36">
        <f t="shared" si="90"/>
        <v>7.8703703703703696E-3</v>
      </c>
      <c r="L294" s="36">
        <f t="shared" si="90"/>
        <v>1.2905092592592574E-2</v>
      </c>
      <c r="M294" s="36">
        <f t="shared" si="90"/>
        <v>2.0775462962962944E-2</v>
      </c>
      <c r="N294" s="36" t="str">
        <f t="shared" si="90"/>
        <v>B737-800</v>
      </c>
      <c r="O294" s="36">
        <f t="shared" si="90"/>
        <v>189</v>
      </c>
      <c r="P294" s="36" t="str">
        <f t="shared" si="90"/>
        <v>TIJ</v>
      </c>
      <c r="R294">
        <v>280</v>
      </c>
      <c r="S294" s="36" t="str">
        <f t="shared" si="85"/>
        <v>MEXICO AEREO</v>
      </c>
      <c r="T294" s="36">
        <f t="shared" si="85"/>
        <v>2119</v>
      </c>
      <c r="U294" s="73">
        <v>0.67569444444444438</v>
      </c>
      <c r="V294" s="74">
        <v>0.68125000000000002</v>
      </c>
      <c r="W294" s="75">
        <v>5.5555555555556468E-3</v>
      </c>
      <c r="X294" s="74">
        <v>0.69236111111111109</v>
      </c>
      <c r="Y294" s="75">
        <v>1.1111111111111072E-2</v>
      </c>
      <c r="Z294" s="76">
        <v>41758</v>
      </c>
      <c r="AA294" s="36" t="str">
        <f t="shared" si="87"/>
        <v>Nacional</v>
      </c>
      <c r="AB294" s="36">
        <f t="shared" si="87"/>
        <v>5.7407407407407502E-3</v>
      </c>
      <c r="AC294" s="36">
        <f t="shared" si="87"/>
        <v>4.8148148148148126E-3</v>
      </c>
      <c r="AD294" s="36">
        <f t="shared" si="87"/>
        <v>1.0555555555555563E-2</v>
      </c>
      <c r="AE294" s="36" t="str">
        <f t="shared" si="87"/>
        <v>ER4</v>
      </c>
      <c r="AF294" s="36">
        <f t="shared" si="87"/>
        <v>50</v>
      </c>
      <c r="AG294" s="36" t="str">
        <f t="shared" si="87"/>
        <v>LAP</v>
      </c>
      <c r="AI294">
        <v>280</v>
      </c>
      <c r="AJ294" s="77" t="str">
        <f t="shared" si="77"/>
        <v>MEXICO AEREO</v>
      </c>
      <c r="AK294" s="77">
        <f t="shared" si="77"/>
        <v>2119</v>
      </c>
      <c r="AL294" s="78">
        <v>0.67222222222222217</v>
      </c>
      <c r="AM294" s="79">
        <v>0.68055555555555547</v>
      </c>
      <c r="AN294" s="80">
        <v>8.3333333333333037E-3</v>
      </c>
      <c r="AO294" s="79">
        <v>0.68125000000000002</v>
      </c>
      <c r="AP294" s="80">
        <v>6.94444444444553E-4</v>
      </c>
      <c r="AQ294" s="81">
        <v>41797</v>
      </c>
      <c r="AR294" s="77" t="str">
        <f t="shared" si="91"/>
        <v>Nacional</v>
      </c>
      <c r="AS294" s="77">
        <f t="shared" si="91"/>
        <v>6.6176470588235319E-3</v>
      </c>
      <c r="AT294" s="77">
        <f t="shared" si="91"/>
        <v>7.3529411764705881E-3</v>
      </c>
      <c r="AU294" s="77">
        <f t="shared" si="91"/>
        <v>1.397058823529412E-2</v>
      </c>
      <c r="AV294" s="77" t="str">
        <f t="shared" si="91"/>
        <v>ER4</v>
      </c>
      <c r="AW294" s="77">
        <f t="shared" si="91"/>
        <v>50</v>
      </c>
      <c r="AX294" s="77" t="str">
        <f t="shared" si="91"/>
        <v>LAP</v>
      </c>
    </row>
    <row r="295" spans="1:50" ht="15.75" thickBot="1" x14ac:dyDescent="0.3">
      <c r="A295">
        <v>281</v>
      </c>
      <c r="B295" s="36" t="str">
        <f t="shared" si="89"/>
        <v>MEXICO AEREO</v>
      </c>
      <c r="C295" s="36">
        <f t="shared" si="89"/>
        <v>773</v>
      </c>
      <c r="D295" s="74">
        <v>0.87430555555555556</v>
      </c>
      <c r="E295" s="74">
        <v>0.87569444444444444</v>
      </c>
      <c r="F295" s="75">
        <v>1.388888888888884E-3</v>
      </c>
      <c r="G295" s="74">
        <v>0.8833333333333333</v>
      </c>
      <c r="H295" s="75">
        <v>7.6388888888888618E-3</v>
      </c>
      <c r="I295" s="76">
        <v>41724</v>
      </c>
      <c r="J295" s="36" t="str">
        <f t="shared" si="90"/>
        <v>Nacional</v>
      </c>
      <c r="K295" s="36">
        <f t="shared" si="90"/>
        <v>7.8703703703703696E-3</v>
      </c>
      <c r="L295" s="36">
        <f t="shared" si="90"/>
        <v>1.2905092592592574E-2</v>
      </c>
      <c r="M295" s="36">
        <f t="shared" si="90"/>
        <v>2.0775462962962944E-2</v>
      </c>
      <c r="N295" s="36" t="str">
        <f t="shared" si="90"/>
        <v>B737-800</v>
      </c>
      <c r="O295" s="36">
        <f t="shared" si="90"/>
        <v>189</v>
      </c>
      <c r="P295" s="36" t="str">
        <f t="shared" si="90"/>
        <v>TIJ</v>
      </c>
      <c r="R295">
        <v>281</v>
      </c>
      <c r="S295" s="36" t="str">
        <f t="shared" si="85"/>
        <v>MEXICO AEREO</v>
      </c>
      <c r="T295" s="36">
        <f t="shared" si="85"/>
        <v>2119</v>
      </c>
      <c r="U295" s="83">
        <v>0.70138888888888884</v>
      </c>
      <c r="V295" s="84">
        <v>0.70972222222222225</v>
      </c>
      <c r="W295" s="85">
        <v>8.3333333333334147E-3</v>
      </c>
      <c r="X295" s="84">
        <v>0.71250000000000002</v>
      </c>
      <c r="Y295" s="85">
        <v>2.7777777777777679E-3</v>
      </c>
      <c r="Z295" s="86">
        <v>41759</v>
      </c>
      <c r="AA295" s="36" t="str">
        <f t="shared" si="87"/>
        <v>Nacional</v>
      </c>
      <c r="AB295" s="36">
        <f t="shared" si="87"/>
        <v>5.7407407407407502E-3</v>
      </c>
      <c r="AC295" s="36">
        <f t="shared" si="87"/>
        <v>4.8148148148148126E-3</v>
      </c>
      <c r="AD295" s="36">
        <f t="shared" si="87"/>
        <v>1.0555555555555563E-2</v>
      </c>
      <c r="AE295" s="36" t="str">
        <f t="shared" si="87"/>
        <v>ER4</v>
      </c>
      <c r="AF295" s="36">
        <f t="shared" si="87"/>
        <v>50</v>
      </c>
      <c r="AG295" s="36" t="str">
        <f t="shared" si="87"/>
        <v>LAP</v>
      </c>
      <c r="AI295">
        <v>281</v>
      </c>
      <c r="AJ295" s="77" t="str">
        <f t="shared" si="77"/>
        <v>MEXICO AEREO</v>
      </c>
      <c r="AK295" s="77">
        <f t="shared" si="77"/>
        <v>2119</v>
      </c>
      <c r="AL295" s="78">
        <v>0.68055555555555547</v>
      </c>
      <c r="AM295" s="79">
        <v>0.68402777777777779</v>
      </c>
      <c r="AN295" s="80">
        <v>3.4722222222223209E-3</v>
      </c>
      <c r="AO295" s="79">
        <v>0.68888888888888899</v>
      </c>
      <c r="AP295" s="80">
        <v>4.8611111111112049E-3</v>
      </c>
      <c r="AQ295" s="81">
        <v>41798</v>
      </c>
      <c r="AR295" s="77" t="str">
        <f t="shared" si="91"/>
        <v>Nacional</v>
      </c>
      <c r="AS295" s="77">
        <f t="shared" si="91"/>
        <v>6.6176470588235319E-3</v>
      </c>
      <c r="AT295" s="77">
        <f t="shared" si="91"/>
        <v>7.3529411764705881E-3</v>
      </c>
      <c r="AU295" s="77">
        <f t="shared" si="91"/>
        <v>1.397058823529412E-2</v>
      </c>
      <c r="AV295" s="77" t="str">
        <f t="shared" si="91"/>
        <v>ER4</v>
      </c>
      <c r="AW295" s="77">
        <f t="shared" si="91"/>
        <v>50</v>
      </c>
      <c r="AX295" s="77" t="str">
        <f t="shared" si="91"/>
        <v>LAP</v>
      </c>
    </row>
    <row r="296" spans="1:50" x14ac:dyDescent="0.25">
      <c r="A296">
        <v>282</v>
      </c>
      <c r="B296" s="36" t="str">
        <f t="shared" si="89"/>
        <v>MEXICO AEREO</v>
      </c>
      <c r="C296" s="36">
        <f t="shared" si="89"/>
        <v>773</v>
      </c>
      <c r="D296" s="74">
        <v>0.85833333333333339</v>
      </c>
      <c r="E296" s="74">
        <v>0.88055555555555554</v>
      </c>
      <c r="F296" s="75">
        <v>2.2222222222222143E-2</v>
      </c>
      <c r="G296" s="74">
        <v>0.89166666666666661</v>
      </c>
      <c r="H296" s="75">
        <v>1.1111111111111072E-2</v>
      </c>
      <c r="I296" s="76">
        <v>41725</v>
      </c>
      <c r="J296" s="36" t="str">
        <f t="shared" si="90"/>
        <v>Nacional</v>
      </c>
      <c r="K296" s="36">
        <f t="shared" si="90"/>
        <v>7.8703703703703696E-3</v>
      </c>
      <c r="L296" s="36">
        <f t="shared" si="90"/>
        <v>1.2905092592592574E-2</v>
      </c>
      <c r="M296" s="36">
        <f t="shared" si="90"/>
        <v>2.0775462962962944E-2</v>
      </c>
      <c r="N296" s="36" t="str">
        <f t="shared" si="90"/>
        <v>B737-800</v>
      </c>
      <c r="O296" s="36">
        <f t="shared" si="90"/>
        <v>189</v>
      </c>
      <c r="P296" s="36" t="str">
        <f t="shared" si="90"/>
        <v>TIJ</v>
      </c>
      <c r="R296">
        <v>282</v>
      </c>
      <c r="S296" s="36" t="str">
        <f t="shared" si="85"/>
        <v>MEXICO AEREO</v>
      </c>
      <c r="T296" s="55">
        <v>2158</v>
      </c>
      <c r="U296" s="56">
        <v>0.69444444444444453</v>
      </c>
      <c r="V296" s="57">
        <v>0.70694444444444438</v>
      </c>
      <c r="W296" s="58">
        <v>1.2499999999999845E-2</v>
      </c>
      <c r="X296" s="57">
        <v>0.71180555555555547</v>
      </c>
      <c r="Y296" s="58">
        <v>4.8611111111110938E-3</v>
      </c>
      <c r="Z296" s="59">
        <v>41741</v>
      </c>
      <c r="AA296" s="60" t="s">
        <v>19</v>
      </c>
      <c r="AB296" s="61">
        <v>8.3333333333333315E-3</v>
      </c>
      <c r="AC296" s="61">
        <v>3.9351851851851709E-3</v>
      </c>
      <c r="AD296" s="62">
        <v>1.2268518518518502E-2</v>
      </c>
      <c r="AE296" s="109" t="s">
        <v>20</v>
      </c>
      <c r="AF296" s="109">
        <v>50</v>
      </c>
      <c r="AG296" s="109" t="s">
        <v>28</v>
      </c>
      <c r="AI296">
        <v>282</v>
      </c>
      <c r="AJ296" s="63" t="s">
        <v>18</v>
      </c>
      <c r="AK296" s="77">
        <f t="shared" ref="AK296:AK311" si="92">AK295</f>
        <v>2119</v>
      </c>
      <c r="AL296" s="78">
        <v>0.7090277777777777</v>
      </c>
      <c r="AM296" s="79">
        <v>0.7104166666666667</v>
      </c>
      <c r="AN296" s="80">
        <v>1.388888888888995E-3</v>
      </c>
      <c r="AO296" s="79">
        <v>0.71736111111111101</v>
      </c>
      <c r="AP296" s="80">
        <v>6.9444444444443088E-3</v>
      </c>
      <c r="AQ296" s="81">
        <v>41799</v>
      </c>
      <c r="AR296" s="77" t="str">
        <f t="shared" si="91"/>
        <v>Nacional</v>
      </c>
      <c r="AS296" s="77">
        <f t="shared" si="91"/>
        <v>6.6176470588235319E-3</v>
      </c>
      <c r="AT296" s="77">
        <f t="shared" si="91"/>
        <v>7.3529411764705881E-3</v>
      </c>
      <c r="AU296" s="77">
        <f t="shared" si="91"/>
        <v>1.397058823529412E-2</v>
      </c>
      <c r="AV296" s="77" t="str">
        <f t="shared" si="91"/>
        <v>ER4</v>
      </c>
      <c r="AW296" s="77">
        <f t="shared" si="91"/>
        <v>50</v>
      </c>
      <c r="AX296" s="77" t="str">
        <f t="shared" si="91"/>
        <v>LAP</v>
      </c>
    </row>
    <row r="297" spans="1:50" x14ac:dyDescent="0.25">
      <c r="A297">
        <v>283</v>
      </c>
      <c r="B297" s="36" t="str">
        <f t="shared" si="89"/>
        <v>MEXICO AEREO</v>
      </c>
      <c r="C297" s="36">
        <f t="shared" si="89"/>
        <v>773</v>
      </c>
      <c r="D297" s="74">
        <v>0.875</v>
      </c>
      <c r="E297" s="74">
        <v>0.88402777777777775</v>
      </c>
      <c r="F297" s="75">
        <v>9.0277777777777457E-3</v>
      </c>
      <c r="G297" s="74">
        <v>0.89097222222222217</v>
      </c>
      <c r="H297" s="75">
        <v>6.9444444444444198E-3</v>
      </c>
      <c r="I297" s="76">
        <v>41726</v>
      </c>
      <c r="J297" s="36" t="str">
        <f t="shared" si="90"/>
        <v>Nacional</v>
      </c>
      <c r="K297" s="36">
        <f t="shared" si="90"/>
        <v>7.8703703703703696E-3</v>
      </c>
      <c r="L297" s="36">
        <f t="shared" si="90"/>
        <v>1.2905092592592574E-2</v>
      </c>
      <c r="M297" s="36">
        <f t="shared" si="90"/>
        <v>2.0775462962962944E-2</v>
      </c>
      <c r="N297" s="36" t="str">
        <f t="shared" si="90"/>
        <v>B737-800</v>
      </c>
      <c r="O297" s="36">
        <f t="shared" si="90"/>
        <v>189</v>
      </c>
      <c r="P297" s="36" t="str">
        <f t="shared" si="90"/>
        <v>TIJ</v>
      </c>
      <c r="R297">
        <v>283</v>
      </c>
      <c r="S297" s="36" t="str">
        <f t="shared" si="85"/>
        <v>MEXICO AEREO</v>
      </c>
      <c r="T297" s="36">
        <f t="shared" si="85"/>
        <v>2158</v>
      </c>
      <c r="U297" s="73">
        <v>0.67361111111111116</v>
      </c>
      <c r="V297" s="74">
        <v>0.68263888888888891</v>
      </c>
      <c r="W297" s="75">
        <v>9.0277777777777457E-3</v>
      </c>
      <c r="X297" s="74">
        <v>0.68888888888888899</v>
      </c>
      <c r="Y297" s="75">
        <v>6.2500000000000888E-3</v>
      </c>
      <c r="Z297" s="76">
        <v>41741</v>
      </c>
      <c r="AA297" s="36" t="str">
        <f t="shared" ref="AA297:AG301" si="93">AA296</f>
        <v>Nacional</v>
      </c>
      <c r="AB297" s="36">
        <f t="shared" si="93"/>
        <v>8.3333333333333315E-3</v>
      </c>
      <c r="AC297" s="36">
        <f t="shared" si="93"/>
        <v>3.9351851851851709E-3</v>
      </c>
      <c r="AD297" s="36">
        <f t="shared" si="93"/>
        <v>1.2268518518518502E-2</v>
      </c>
      <c r="AE297" s="36" t="str">
        <f t="shared" si="93"/>
        <v>ER4</v>
      </c>
      <c r="AF297" s="36">
        <f t="shared" si="93"/>
        <v>50</v>
      </c>
      <c r="AG297" s="36" t="str">
        <f t="shared" si="93"/>
        <v>MTY</v>
      </c>
      <c r="AI297">
        <v>283</v>
      </c>
      <c r="AJ297" s="77" t="str">
        <f t="shared" ref="AJ297:AK347" si="94">AJ296</f>
        <v>MEXICO AEREO</v>
      </c>
      <c r="AK297" s="77">
        <f t="shared" si="92"/>
        <v>2119</v>
      </c>
      <c r="AL297" s="78">
        <v>0.59027777777777779</v>
      </c>
      <c r="AM297" s="79">
        <v>0.59722222222222221</v>
      </c>
      <c r="AN297" s="80">
        <v>6.9444444444444198E-3</v>
      </c>
      <c r="AO297" s="79">
        <v>0.60347222222222219</v>
      </c>
      <c r="AP297" s="80">
        <v>6.2499999999999778E-3</v>
      </c>
      <c r="AQ297" s="81">
        <v>41801</v>
      </c>
      <c r="AR297" s="77" t="str">
        <f t="shared" si="91"/>
        <v>Nacional</v>
      </c>
      <c r="AS297" s="77">
        <f t="shared" si="91"/>
        <v>6.6176470588235319E-3</v>
      </c>
      <c r="AT297" s="77">
        <f t="shared" si="91"/>
        <v>7.3529411764705881E-3</v>
      </c>
      <c r="AU297" s="77">
        <f t="shared" si="91"/>
        <v>1.397058823529412E-2</v>
      </c>
      <c r="AV297" s="77" t="str">
        <f t="shared" si="91"/>
        <v>ER4</v>
      </c>
      <c r="AW297" s="77">
        <f t="shared" si="91"/>
        <v>50</v>
      </c>
      <c r="AX297" s="77" t="str">
        <f t="shared" si="91"/>
        <v>LAP</v>
      </c>
    </row>
    <row r="298" spans="1:50" ht="15.75" thickBot="1" x14ac:dyDescent="0.3">
      <c r="A298">
        <v>284</v>
      </c>
      <c r="B298" s="36" t="str">
        <f t="shared" si="89"/>
        <v>MEXICO AEREO</v>
      </c>
      <c r="C298" s="36">
        <f t="shared" si="89"/>
        <v>773</v>
      </c>
      <c r="D298" s="84">
        <v>0.86805555555555547</v>
      </c>
      <c r="E298" s="84">
        <v>0.875</v>
      </c>
      <c r="F298" s="85">
        <v>6.9444444444445308E-3</v>
      </c>
      <c r="G298" s="84">
        <v>0.88541666666666663</v>
      </c>
      <c r="H298" s="85">
        <v>1.041666666666663E-2</v>
      </c>
      <c r="I298" s="86">
        <v>41727</v>
      </c>
      <c r="J298" s="36" t="str">
        <f t="shared" si="90"/>
        <v>Nacional</v>
      </c>
      <c r="K298" s="36">
        <f t="shared" si="90"/>
        <v>7.8703703703703696E-3</v>
      </c>
      <c r="L298" s="36">
        <f t="shared" si="90"/>
        <v>1.2905092592592574E-2</v>
      </c>
      <c r="M298" s="36">
        <f t="shared" si="90"/>
        <v>2.0775462962962944E-2</v>
      </c>
      <c r="N298" s="36" t="str">
        <f t="shared" si="90"/>
        <v>B737-800</v>
      </c>
      <c r="O298" s="36">
        <f t="shared" si="90"/>
        <v>189</v>
      </c>
      <c r="P298" s="36" t="str">
        <f t="shared" si="90"/>
        <v>TIJ</v>
      </c>
      <c r="R298">
        <v>284</v>
      </c>
      <c r="S298" s="36" t="str">
        <f t="shared" si="85"/>
        <v>MEXICO AEREO</v>
      </c>
      <c r="T298" s="36">
        <f t="shared" si="85"/>
        <v>2158</v>
      </c>
      <c r="U298" s="73">
        <v>0.95486111111111116</v>
      </c>
      <c r="V298" s="74">
        <v>0.95972222222222225</v>
      </c>
      <c r="W298" s="75">
        <v>4.8611111111110938E-3</v>
      </c>
      <c r="X298" s="74">
        <v>0.96527777777777779</v>
      </c>
      <c r="Y298" s="75">
        <v>5.5555555555555358E-3</v>
      </c>
      <c r="Z298" s="76">
        <v>41730</v>
      </c>
      <c r="AA298" s="36" t="str">
        <f t="shared" si="93"/>
        <v>Nacional</v>
      </c>
      <c r="AB298" s="36">
        <f t="shared" si="93"/>
        <v>8.3333333333333315E-3</v>
      </c>
      <c r="AC298" s="36">
        <f t="shared" si="93"/>
        <v>3.9351851851851709E-3</v>
      </c>
      <c r="AD298" s="36">
        <f t="shared" si="93"/>
        <v>1.2268518518518502E-2</v>
      </c>
      <c r="AE298" s="36" t="str">
        <f t="shared" si="93"/>
        <v>ER4</v>
      </c>
      <c r="AF298" s="36">
        <f t="shared" si="93"/>
        <v>50</v>
      </c>
      <c r="AG298" s="36" t="str">
        <f t="shared" si="93"/>
        <v>MTY</v>
      </c>
      <c r="AI298">
        <v>284</v>
      </c>
      <c r="AJ298" s="77" t="str">
        <f t="shared" si="94"/>
        <v>MEXICO AEREO</v>
      </c>
      <c r="AK298" s="77">
        <f t="shared" si="92"/>
        <v>2119</v>
      </c>
      <c r="AL298" s="78">
        <v>0.84791666666666676</v>
      </c>
      <c r="AM298" s="79">
        <v>0.8569444444444444</v>
      </c>
      <c r="AN298" s="80">
        <v>9.0277777777776347E-3</v>
      </c>
      <c r="AO298" s="79">
        <v>0.875</v>
      </c>
      <c r="AP298" s="80">
        <v>1.8055555555555602E-2</v>
      </c>
      <c r="AQ298" s="81">
        <v>41801</v>
      </c>
      <c r="AR298" s="77" t="str">
        <f t="shared" si="91"/>
        <v>Nacional</v>
      </c>
      <c r="AS298" s="77">
        <f t="shared" si="91"/>
        <v>6.6176470588235319E-3</v>
      </c>
      <c r="AT298" s="77">
        <f t="shared" si="91"/>
        <v>7.3529411764705881E-3</v>
      </c>
      <c r="AU298" s="77">
        <f t="shared" si="91"/>
        <v>1.397058823529412E-2</v>
      </c>
      <c r="AV298" s="77" t="str">
        <f t="shared" si="91"/>
        <v>ER4</v>
      </c>
      <c r="AW298" s="77">
        <f t="shared" si="91"/>
        <v>50</v>
      </c>
      <c r="AX298" s="77" t="str">
        <f t="shared" si="91"/>
        <v>LAP</v>
      </c>
    </row>
    <row r="299" spans="1:50" x14ac:dyDescent="0.25">
      <c r="A299">
        <v>285</v>
      </c>
      <c r="B299" s="36" t="str">
        <f t="shared" si="89"/>
        <v>MEXICO AEREO</v>
      </c>
      <c r="C299" s="88">
        <v>771</v>
      </c>
      <c r="D299" s="57">
        <v>0.56041666666666667</v>
      </c>
      <c r="E299" s="57">
        <v>0.5625</v>
      </c>
      <c r="F299" s="58">
        <v>2.0833333333333259E-3</v>
      </c>
      <c r="G299" s="57">
        <v>0.57708333333333328</v>
      </c>
      <c r="H299" s="58">
        <v>1.4583333333333282E-2</v>
      </c>
      <c r="I299" s="59">
        <v>41714</v>
      </c>
      <c r="J299" s="108" t="s">
        <v>19</v>
      </c>
      <c r="K299" s="61">
        <v>7.7380952380952227E-3</v>
      </c>
      <c r="L299" s="61">
        <v>9.2261904761904746E-3</v>
      </c>
      <c r="M299" s="89">
        <v>1.6964285714285696E-2</v>
      </c>
      <c r="N299" s="90" t="s">
        <v>39</v>
      </c>
      <c r="O299" s="91">
        <v>189</v>
      </c>
      <c r="P299" s="92" t="s">
        <v>34</v>
      </c>
      <c r="R299">
        <v>285</v>
      </c>
      <c r="S299" s="36" t="str">
        <f t="shared" si="85"/>
        <v>MEXICO AEREO</v>
      </c>
      <c r="T299" s="36">
        <f t="shared" si="85"/>
        <v>2158</v>
      </c>
      <c r="U299" s="73">
        <v>0.92222222222222217</v>
      </c>
      <c r="V299" s="74">
        <v>0.92708333333333337</v>
      </c>
      <c r="W299" s="75">
        <v>4.8611111111112049E-3</v>
      </c>
      <c r="X299" s="74">
        <v>0.93125000000000002</v>
      </c>
      <c r="Y299" s="75">
        <v>4.1666666666666519E-3</v>
      </c>
      <c r="Z299" s="76">
        <v>41731</v>
      </c>
      <c r="AA299" s="36" t="str">
        <f t="shared" si="93"/>
        <v>Nacional</v>
      </c>
      <c r="AB299" s="36">
        <f t="shared" si="93"/>
        <v>8.3333333333333315E-3</v>
      </c>
      <c r="AC299" s="36">
        <f t="shared" si="93"/>
        <v>3.9351851851851709E-3</v>
      </c>
      <c r="AD299" s="36">
        <f t="shared" si="93"/>
        <v>1.2268518518518502E-2</v>
      </c>
      <c r="AE299" s="36" t="str">
        <f t="shared" si="93"/>
        <v>ER4</v>
      </c>
      <c r="AF299" s="36">
        <f t="shared" si="93"/>
        <v>50</v>
      </c>
      <c r="AG299" s="36" t="str">
        <f t="shared" si="93"/>
        <v>MTY</v>
      </c>
      <c r="AI299">
        <v>285</v>
      </c>
      <c r="AJ299" s="77" t="str">
        <f t="shared" si="94"/>
        <v>MEXICO AEREO</v>
      </c>
      <c r="AK299" s="77">
        <f t="shared" si="92"/>
        <v>2119</v>
      </c>
      <c r="AL299" s="78">
        <v>0.26250000000000001</v>
      </c>
      <c r="AM299" s="79">
        <v>0.27291666666666664</v>
      </c>
      <c r="AN299" s="80">
        <v>1.041666666666663E-2</v>
      </c>
      <c r="AO299" s="79">
        <v>0.28750000000000003</v>
      </c>
      <c r="AP299" s="80">
        <v>1.4583333333333393E-2</v>
      </c>
      <c r="AQ299" s="81">
        <v>41802</v>
      </c>
      <c r="AR299" s="77" t="str">
        <f t="shared" si="91"/>
        <v>Nacional</v>
      </c>
      <c r="AS299" s="77">
        <f t="shared" si="91"/>
        <v>6.6176470588235319E-3</v>
      </c>
      <c r="AT299" s="77">
        <f t="shared" si="91"/>
        <v>7.3529411764705881E-3</v>
      </c>
      <c r="AU299" s="77">
        <f t="shared" si="91"/>
        <v>1.397058823529412E-2</v>
      </c>
      <c r="AV299" s="77" t="str">
        <f t="shared" si="91"/>
        <v>ER4</v>
      </c>
      <c r="AW299" s="77">
        <f t="shared" si="91"/>
        <v>50</v>
      </c>
      <c r="AX299" s="77" t="str">
        <f t="shared" si="91"/>
        <v>LAP</v>
      </c>
    </row>
    <row r="300" spans="1:50" x14ac:dyDescent="0.25">
      <c r="A300">
        <v>286</v>
      </c>
      <c r="B300" s="36" t="str">
        <f t="shared" si="89"/>
        <v>MEXICO AEREO</v>
      </c>
      <c r="C300" s="36">
        <f t="shared" si="89"/>
        <v>771</v>
      </c>
      <c r="D300" s="74">
        <v>0.55069444444444449</v>
      </c>
      <c r="E300" s="74">
        <v>0.55833333333333335</v>
      </c>
      <c r="F300" s="75">
        <v>7.6388888888888618E-3</v>
      </c>
      <c r="G300" s="74">
        <v>0.56736111111111109</v>
      </c>
      <c r="H300" s="75">
        <v>9.0277777777777457E-3</v>
      </c>
      <c r="I300" s="76">
        <v>41715</v>
      </c>
      <c r="J300" s="36" t="str">
        <f t="shared" ref="J300:P312" si="95">J299</f>
        <v>Nacional</v>
      </c>
      <c r="K300" s="36">
        <f t="shared" si="95"/>
        <v>7.7380952380952227E-3</v>
      </c>
      <c r="L300" s="36">
        <f t="shared" si="95"/>
        <v>9.2261904761904746E-3</v>
      </c>
      <c r="M300" s="36">
        <f t="shared" si="95"/>
        <v>1.6964285714285696E-2</v>
      </c>
      <c r="N300" s="36" t="str">
        <f t="shared" si="95"/>
        <v>B737-800</v>
      </c>
      <c r="O300" s="36">
        <f t="shared" si="95"/>
        <v>189</v>
      </c>
      <c r="P300" s="36" t="str">
        <f t="shared" si="95"/>
        <v>TIJ</v>
      </c>
      <c r="R300">
        <v>286</v>
      </c>
      <c r="S300" s="36" t="str">
        <f t="shared" si="85"/>
        <v>MEXICO AEREO</v>
      </c>
      <c r="T300" s="36">
        <f t="shared" si="85"/>
        <v>2158</v>
      </c>
      <c r="U300" s="73">
        <v>0.91249999999999998</v>
      </c>
      <c r="V300" s="74">
        <v>0.92083333333333339</v>
      </c>
      <c r="W300" s="75">
        <v>8.3333333333334147E-3</v>
      </c>
      <c r="X300" s="74">
        <v>0.92222222222222217</v>
      </c>
      <c r="Y300" s="75">
        <v>1.3888888888887729E-3</v>
      </c>
      <c r="Z300" s="76">
        <v>41732</v>
      </c>
      <c r="AA300" s="36" t="str">
        <f t="shared" si="93"/>
        <v>Nacional</v>
      </c>
      <c r="AB300" s="36">
        <f t="shared" si="93"/>
        <v>8.3333333333333315E-3</v>
      </c>
      <c r="AC300" s="36">
        <f t="shared" si="93"/>
        <v>3.9351851851851709E-3</v>
      </c>
      <c r="AD300" s="36">
        <f t="shared" si="93"/>
        <v>1.2268518518518502E-2</v>
      </c>
      <c r="AE300" s="36" t="str">
        <f t="shared" si="93"/>
        <v>ER4</v>
      </c>
      <c r="AF300" s="36">
        <f t="shared" si="93"/>
        <v>50</v>
      </c>
      <c r="AG300" s="36" t="str">
        <f t="shared" si="93"/>
        <v>MTY</v>
      </c>
      <c r="AI300">
        <v>286</v>
      </c>
      <c r="AJ300" s="77" t="str">
        <f t="shared" si="94"/>
        <v>MEXICO AEREO</v>
      </c>
      <c r="AK300" s="77">
        <f t="shared" si="92"/>
        <v>2119</v>
      </c>
      <c r="AL300" s="78">
        <v>0.54513888888888895</v>
      </c>
      <c r="AM300" s="79">
        <v>0.55138888888888882</v>
      </c>
      <c r="AN300" s="80">
        <v>6.2499999999998668E-3</v>
      </c>
      <c r="AO300" s="79">
        <v>0.55555555555555558</v>
      </c>
      <c r="AP300" s="80">
        <v>4.1666666666667629E-3</v>
      </c>
      <c r="AQ300" s="81">
        <v>41805</v>
      </c>
      <c r="AR300" s="77" t="str">
        <f t="shared" si="91"/>
        <v>Nacional</v>
      </c>
      <c r="AS300" s="77">
        <f t="shared" si="91"/>
        <v>6.6176470588235319E-3</v>
      </c>
      <c r="AT300" s="77">
        <f t="shared" si="91"/>
        <v>7.3529411764705881E-3</v>
      </c>
      <c r="AU300" s="77">
        <f t="shared" si="91"/>
        <v>1.397058823529412E-2</v>
      </c>
      <c r="AV300" s="77" t="str">
        <f t="shared" si="91"/>
        <v>ER4</v>
      </c>
      <c r="AW300" s="77">
        <f t="shared" si="91"/>
        <v>50</v>
      </c>
      <c r="AX300" s="77" t="str">
        <f t="shared" si="91"/>
        <v>LAP</v>
      </c>
    </row>
    <row r="301" spans="1:50" ht="15.75" thickBot="1" x14ac:dyDescent="0.3">
      <c r="A301">
        <v>287</v>
      </c>
      <c r="B301" s="36" t="str">
        <f t="shared" si="89"/>
        <v>MEXICO AEREO</v>
      </c>
      <c r="C301" s="36">
        <f t="shared" si="89"/>
        <v>771</v>
      </c>
      <c r="D301" s="74">
        <v>0.56527777777777777</v>
      </c>
      <c r="E301" s="74">
        <v>0.57430555555555551</v>
      </c>
      <c r="F301" s="75">
        <v>9.0277777777777457E-3</v>
      </c>
      <c r="G301" s="74">
        <v>0.58333333333333337</v>
      </c>
      <c r="H301" s="75">
        <v>9.0277777777778567E-3</v>
      </c>
      <c r="I301" s="76">
        <v>41716</v>
      </c>
      <c r="J301" s="36" t="str">
        <f t="shared" si="95"/>
        <v>Nacional</v>
      </c>
      <c r="K301" s="36">
        <f t="shared" si="95"/>
        <v>7.7380952380952227E-3</v>
      </c>
      <c r="L301" s="36">
        <f t="shared" si="95"/>
        <v>9.2261904761904746E-3</v>
      </c>
      <c r="M301" s="36">
        <f t="shared" si="95"/>
        <v>1.6964285714285696E-2</v>
      </c>
      <c r="N301" s="36" t="str">
        <f t="shared" si="95"/>
        <v>B737-800</v>
      </c>
      <c r="O301" s="36">
        <f t="shared" si="95"/>
        <v>189</v>
      </c>
      <c r="P301" s="36" t="str">
        <f t="shared" si="95"/>
        <v>TIJ</v>
      </c>
      <c r="R301">
        <v>287</v>
      </c>
      <c r="S301" s="36" t="str">
        <f t="shared" si="85"/>
        <v>MEXICO AEREO</v>
      </c>
      <c r="T301" s="36">
        <f t="shared" si="85"/>
        <v>2158</v>
      </c>
      <c r="U301" s="83">
        <v>0.46527777777777773</v>
      </c>
      <c r="V301" s="84">
        <v>0.47569444444444442</v>
      </c>
      <c r="W301" s="85">
        <v>1.0416666666666685E-2</v>
      </c>
      <c r="X301" s="84">
        <v>0.4770833333333333</v>
      </c>
      <c r="Y301" s="85">
        <v>1.388888888888884E-3</v>
      </c>
      <c r="Z301" s="86">
        <v>41735</v>
      </c>
      <c r="AA301" s="36" t="str">
        <f t="shared" si="93"/>
        <v>Nacional</v>
      </c>
      <c r="AB301" s="36">
        <f t="shared" si="93"/>
        <v>8.3333333333333315E-3</v>
      </c>
      <c r="AC301" s="36">
        <f t="shared" si="93"/>
        <v>3.9351851851851709E-3</v>
      </c>
      <c r="AD301" s="36">
        <f t="shared" si="93"/>
        <v>1.2268518518518502E-2</v>
      </c>
      <c r="AE301" s="36" t="str">
        <f t="shared" si="93"/>
        <v>ER4</v>
      </c>
      <c r="AF301" s="36">
        <f t="shared" si="93"/>
        <v>50</v>
      </c>
      <c r="AG301" s="36" t="str">
        <f t="shared" si="93"/>
        <v>MTY</v>
      </c>
      <c r="AI301">
        <v>287</v>
      </c>
      <c r="AJ301" s="77" t="str">
        <f t="shared" si="94"/>
        <v>MEXICO AEREO</v>
      </c>
      <c r="AK301" s="77">
        <f t="shared" si="92"/>
        <v>2119</v>
      </c>
      <c r="AL301" s="78">
        <v>0.76874999999999993</v>
      </c>
      <c r="AM301" s="79">
        <v>0.77777777777777779</v>
      </c>
      <c r="AN301" s="80">
        <v>9.0277777777778567E-3</v>
      </c>
      <c r="AO301" s="79">
        <v>0.78888888888888886</v>
      </c>
      <c r="AP301" s="80">
        <v>1.1111111111111072E-2</v>
      </c>
      <c r="AQ301" s="81">
        <v>41806</v>
      </c>
      <c r="AR301" s="77" t="str">
        <f t="shared" si="91"/>
        <v>Nacional</v>
      </c>
      <c r="AS301" s="77">
        <f t="shared" si="91"/>
        <v>6.6176470588235319E-3</v>
      </c>
      <c r="AT301" s="77">
        <f t="shared" si="91"/>
        <v>7.3529411764705881E-3</v>
      </c>
      <c r="AU301" s="77">
        <f t="shared" si="91"/>
        <v>1.397058823529412E-2</v>
      </c>
      <c r="AV301" s="77" t="str">
        <f t="shared" si="91"/>
        <v>ER4</v>
      </c>
      <c r="AW301" s="77">
        <f t="shared" si="91"/>
        <v>50</v>
      </c>
      <c r="AX301" s="77" t="str">
        <f t="shared" si="91"/>
        <v>LAP</v>
      </c>
    </row>
    <row r="302" spans="1:50" x14ac:dyDescent="0.25">
      <c r="A302">
        <v>288</v>
      </c>
      <c r="B302" s="36" t="str">
        <f t="shared" si="89"/>
        <v>MEXICO AEREO</v>
      </c>
      <c r="C302" s="36">
        <f t="shared" si="89"/>
        <v>771</v>
      </c>
      <c r="D302" s="74">
        <v>0.55763888888888891</v>
      </c>
      <c r="E302" s="74">
        <v>0.56458333333333333</v>
      </c>
      <c r="F302" s="75">
        <v>6.9444444444444198E-3</v>
      </c>
      <c r="G302" s="74">
        <v>0.57013888888888886</v>
      </c>
      <c r="H302" s="75">
        <v>5.5555555555555358E-3</v>
      </c>
      <c r="I302" s="76">
        <v>41717</v>
      </c>
      <c r="J302" s="36" t="str">
        <f t="shared" si="95"/>
        <v>Nacional</v>
      </c>
      <c r="K302" s="36">
        <f t="shared" si="95"/>
        <v>7.7380952380952227E-3</v>
      </c>
      <c r="L302" s="36">
        <f t="shared" si="95"/>
        <v>9.2261904761904746E-3</v>
      </c>
      <c r="M302" s="36">
        <f t="shared" si="95"/>
        <v>1.6964285714285696E-2</v>
      </c>
      <c r="N302" s="36" t="str">
        <f t="shared" si="95"/>
        <v>B737-800</v>
      </c>
      <c r="O302" s="36">
        <f t="shared" si="95"/>
        <v>189</v>
      </c>
      <c r="P302" s="36" t="str">
        <f t="shared" si="95"/>
        <v>TIJ</v>
      </c>
      <c r="R302">
        <v>288</v>
      </c>
      <c r="S302" s="36" t="str">
        <f t="shared" si="85"/>
        <v>MEXICO AEREO</v>
      </c>
      <c r="T302" s="55">
        <v>2029</v>
      </c>
      <c r="U302" s="56">
        <v>0.56388888888888888</v>
      </c>
      <c r="V302" s="57">
        <v>0.56874999999999998</v>
      </c>
      <c r="W302" s="58">
        <v>4.8611111111110938E-3</v>
      </c>
      <c r="X302" s="57">
        <v>0.57638888888888895</v>
      </c>
      <c r="Y302" s="58">
        <v>7.6388888888889728E-3</v>
      </c>
      <c r="Z302" s="59">
        <v>41737</v>
      </c>
      <c r="AA302" s="60" t="s">
        <v>19</v>
      </c>
      <c r="AB302" s="61">
        <v>4.734691358024682E-3</v>
      </c>
      <c r="AC302" s="61">
        <v>5.2653086419753121E-3</v>
      </c>
      <c r="AD302" s="62">
        <v>9.999999999999995E-3</v>
      </c>
      <c r="AE302" s="109" t="s">
        <v>20</v>
      </c>
      <c r="AF302" s="109">
        <v>50</v>
      </c>
      <c r="AG302" s="109" t="s">
        <v>28</v>
      </c>
      <c r="AI302">
        <v>288</v>
      </c>
      <c r="AJ302" s="77" t="str">
        <f t="shared" si="94"/>
        <v>MEXICO AEREO</v>
      </c>
      <c r="AK302" s="77">
        <f t="shared" si="92"/>
        <v>2119</v>
      </c>
      <c r="AL302" s="78">
        <v>0.67152777777777783</v>
      </c>
      <c r="AM302" s="79">
        <v>0.67847222222222225</v>
      </c>
      <c r="AN302" s="80">
        <v>6.9444444444444198E-3</v>
      </c>
      <c r="AO302" s="79">
        <v>0.69930555555555562</v>
      </c>
      <c r="AP302" s="80">
        <v>2.083333333333337E-2</v>
      </c>
      <c r="AQ302" s="81">
        <v>41807</v>
      </c>
      <c r="AR302" s="77" t="str">
        <f t="shared" si="91"/>
        <v>Nacional</v>
      </c>
      <c r="AS302" s="77">
        <f t="shared" si="91"/>
        <v>6.6176470588235319E-3</v>
      </c>
      <c r="AT302" s="77">
        <f t="shared" si="91"/>
        <v>7.3529411764705881E-3</v>
      </c>
      <c r="AU302" s="77">
        <f t="shared" si="91"/>
        <v>1.397058823529412E-2</v>
      </c>
      <c r="AV302" s="77" t="str">
        <f t="shared" si="91"/>
        <v>ER4</v>
      </c>
      <c r="AW302" s="77">
        <f t="shared" si="91"/>
        <v>50</v>
      </c>
      <c r="AX302" s="77" t="str">
        <f t="shared" si="91"/>
        <v>LAP</v>
      </c>
    </row>
    <row r="303" spans="1:50" x14ac:dyDescent="0.25">
      <c r="A303">
        <v>289</v>
      </c>
      <c r="B303" s="36" t="str">
        <f t="shared" si="89"/>
        <v>MEXICO AEREO</v>
      </c>
      <c r="C303" s="36">
        <f t="shared" si="89"/>
        <v>771</v>
      </c>
      <c r="D303" s="74">
        <v>0.56180555555555556</v>
      </c>
      <c r="E303" s="74">
        <v>0.56805555555555554</v>
      </c>
      <c r="F303" s="75">
        <v>6.2499999999999778E-3</v>
      </c>
      <c r="G303" s="74">
        <v>0.57916666666666672</v>
      </c>
      <c r="H303" s="75">
        <v>1.1111111111111183E-2</v>
      </c>
      <c r="I303" s="76">
        <v>41718</v>
      </c>
      <c r="J303" s="36" t="str">
        <f t="shared" si="95"/>
        <v>Nacional</v>
      </c>
      <c r="K303" s="36">
        <f t="shared" si="95"/>
        <v>7.7380952380952227E-3</v>
      </c>
      <c r="L303" s="36">
        <f t="shared" si="95"/>
        <v>9.2261904761904746E-3</v>
      </c>
      <c r="M303" s="36">
        <f t="shared" si="95"/>
        <v>1.6964285714285696E-2</v>
      </c>
      <c r="N303" s="36" t="str">
        <f t="shared" si="95"/>
        <v>B737-800</v>
      </c>
      <c r="O303" s="36">
        <f t="shared" si="95"/>
        <v>189</v>
      </c>
      <c r="P303" s="36" t="str">
        <f t="shared" si="95"/>
        <v>TIJ</v>
      </c>
      <c r="R303">
        <v>289</v>
      </c>
      <c r="S303" s="36" t="str">
        <f t="shared" si="85"/>
        <v>MEXICO AEREO</v>
      </c>
      <c r="T303" s="36">
        <f t="shared" si="85"/>
        <v>2029</v>
      </c>
      <c r="U303" s="73">
        <v>0.42638888888888887</v>
      </c>
      <c r="V303" s="74">
        <v>0.4284722222222222</v>
      </c>
      <c r="W303" s="75">
        <v>2.0833333333333259E-3</v>
      </c>
      <c r="X303" s="74">
        <v>0.43541666666666662</v>
      </c>
      <c r="Y303" s="75">
        <v>6.9444444444444198E-3</v>
      </c>
      <c r="Z303" s="76">
        <v>41738</v>
      </c>
      <c r="AA303" s="36" t="str">
        <f t="shared" ref="AA303:AG316" si="96">AA302</f>
        <v>Nacional</v>
      </c>
      <c r="AB303" s="36">
        <f t="shared" si="96"/>
        <v>4.734691358024682E-3</v>
      </c>
      <c r="AC303" s="36">
        <f t="shared" si="96"/>
        <v>5.2653086419753121E-3</v>
      </c>
      <c r="AD303" s="36">
        <f t="shared" si="96"/>
        <v>9.999999999999995E-3</v>
      </c>
      <c r="AE303" s="36" t="str">
        <f t="shared" si="96"/>
        <v>ER4</v>
      </c>
      <c r="AF303" s="36">
        <f t="shared" si="96"/>
        <v>50</v>
      </c>
      <c r="AG303" s="36" t="str">
        <f t="shared" si="96"/>
        <v>MTY</v>
      </c>
      <c r="AI303">
        <v>289</v>
      </c>
      <c r="AJ303" s="77" t="str">
        <f t="shared" si="94"/>
        <v>MEXICO AEREO</v>
      </c>
      <c r="AK303" s="77">
        <f t="shared" si="92"/>
        <v>2119</v>
      </c>
      <c r="AL303" s="78">
        <v>0.71597222222222223</v>
      </c>
      <c r="AM303" s="79">
        <v>0.72499999999999998</v>
      </c>
      <c r="AN303" s="80">
        <v>9.0277777777777457E-3</v>
      </c>
      <c r="AO303" s="79">
        <v>0.72916666666666663</v>
      </c>
      <c r="AP303" s="80">
        <v>4.1666666666666519E-3</v>
      </c>
      <c r="AQ303" s="81">
        <v>41808</v>
      </c>
      <c r="AR303" s="77" t="str">
        <f t="shared" si="91"/>
        <v>Nacional</v>
      </c>
      <c r="AS303" s="77">
        <f t="shared" si="91"/>
        <v>6.6176470588235319E-3</v>
      </c>
      <c r="AT303" s="77">
        <f t="shared" si="91"/>
        <v>7.3529411764705881E-3</v>
      </c>
      <c r="AU303" s="77">
        <f t="shared" si="91"/>
        <v>1.397058823529412E-2</v>
      </c>
      <c r="AV303" s="77" t="str">
        <f t="shared" si="91"/>
        <v>ER4</v>
      </c>
      <c r="AW303" s="77">
        <f t="shared" si="91"/>
        <v>50</v>
      </c>
      <c r="AX303" s="77" t="str">
        <f t="shared" si="91"/>
        <v>LAP</v>
      </c>
    </row>
    <row r="304" spans="1:50" x14ac:dyDescent="0.25">
      <c r="A304">
        <v>290</v>
      </c>
      <c r="B304" s="36" t="str">
        <f t="shared" si="89"/>
        <v>MEXICO AEREO</v>
      </c>
      <c r="C304" s="36">
        <f t="shared" si="89"/>
        <v>771</v>
      </c>
      <c r="D304" s="74">
        <v>0.55694444444444446</v>
      </c>
      <c r="E304" s="74">
        <v>0.57291666666666663</v>
      </c>
      <c r="F304" s="75">
        <v>1.5972222222222165E-2</v>
      </c>
      <c r="G304" s="74">
        <v>0.57361111111111118</v>
      </c>
      <c r="H304" s="75">
        <v>6.94444444444553E-4</v>
      </c>
      <c r="I304" s="76">
        <v>41720</v>
      </c>
      <c r="J304" s="36" t="str">
        <f t="shared" si="95"/>
        <v>Nacional</v>
      </c>
      <c r="K304" s="36">
        <f t="shared" si="95"/>
        <v>7.7380952380952227E-3</v>
      </c>
      <c r="L304" s="36">
        <f t="shared" si="95"/>
        <v>9.2261904761904746E-3</v>
      </c>
      <c r="M304" s="36">
        <f t="shared" si="95"/>
        <v>1.6964285714285696E-2</v>
      </c>
      <c r="N304" s="36" t="str">
        <f t="shared" si="95"/>
        <v>B737-800</v>
      </c>
      <c r="O304" s="36">
        <f t="shared" si="95"/>
        <v>189</v>
      </c>
      <c r="P304" s="36" t="str">
        <f t="shared" si="95"/>
        <v>TIJ</v>
      </c>
      <c r="R304">
        <v>290</v>
      </c>
      <c r="S304" s="36" t="str">
        <f t="shared" si="85"/>
        <v>MEXICO AEREO</v>
      </c>
      <c r="T304" s="36">
        <f t="shared" si="85"/>
        <v>2029</v>
      </c>
      <c r="U304" s="73">
        <v>0.55972222222222223</v>
      </c>
      <c r="V304" s="74">
        <v>0.56407592592592593</v>
      </c>
      <c r="W304" s="75">
        <v>4.353703703703693E-3</v>
      </c>
      <c r="X304" s="74">
        <v>0.57152777777777775</v>
      </c>
      <c r="Y304" s="75">
        <v>7.4518518518518206E-3</v>
      </c>
      <c r="Z304" s="76">
        <v>41739</v>
      </c>
      <c r="AA304" s="36" t="str">
        <f t="shared" si="96"/>
        <v>Nacional</v>
      </c>
      <c r="AB304" s="36">
        <f t="shared" si="96"/>
        <v>4.734691358024682E-3</v>
      </c>
      <c r="AC304" s="36">
        <f t="shared" si="96"/>
        <v>5.2653086419753121E-3</v>
      </c>
      <c r="AD304" s="36">
        <f t="shared" si="96"/>
        <v>9.999999999999995E-3</v>
      </c>
      <c r="AE304" s="36" t="str">
        <f t="shared" si="96"/>
        <v>ER4</v>
      </c>
      <c r="AF304" s="36">
        <f t="shared" si="96"/>
        <v>50</v>
      </c>
      <c r="AG304" s="36" t="str">
        <f t="shared" si="96"/>
        <v>MTY</v>
      </c>
      <c r="AI304">
        <v>290</v>
      </c>
      <c r="AJ304" s="77" t="str">
        <f t="shared" si="94"/>
        <v>MEXICO AEREO</v>
      </c>
      <c r="AK304" s="77">
        <f t="shared" si="92"/>
        <v>2119</v>
      </c>
      <c r="AL304" s="78">
        <v>0.71666666666666667</v>
      </c>
      <c r="AM304" s="79">
        <v>0.72083333333333333</v>
      </c>
      <c r="AN304" s="80">
        <v>4.1666666666666519E-3</v>
      </c>
      <c r="AO304" s="79">
        <v>0.72361111111111109</v>
      </c>
      <c r="AP304" s="80">
        <v>2.7777777777777679E-3</v>
      </c>
      <c r="AQ304" s="81">
        <v>41809</v>
      </c>
      <c r="AR304" s="77" t="str">
        <f t="shared" si="91"/>
        <v>Nacional</v>
      </c>
      <c r="AS304" s="77">
        <f t="shared" si="91"/>
        <v>6.6176470588235319E-3</v>
      </c>
      <c r="AT304" s="77">
        <f t="shared" si="91"/>
        <v>7.3529411764705881E-3</v>
      </c>
      <c r="AU304" s="77">
        <f t="shared" si="91"/>
        <v>1.397058823529412E-2</v>
      </c>
      <c r="AV304" s="77" t="str">
        <f t="shared" si="91"/>
        <v>ER4</v>
      </c>
      <c r="AW304" s="77">
        <f t="shared" si="91"/>
        <v>50</v>
      </c>
      <c r="AX304" s="77" t="str">
        <f t="shared" si="91"/>
        <v>LAP</v>
      </c>
    </row>
    <row r="305" spans="1:50" ht="15.75" thickBot="1" x14ac:dyDescent="0.3">
      <c r="A305">
        <v>291</v>
      </c>
      <c r="B305" s="36" t="str">
        <f t="shared" si="89"/>
        <v>MEXICO AEREO</v>
      </c>
      <c r="C305" s="36">
        <f t="shared" si="89"/>
        <v>771</v>
      </c>
      <c r="D305" s="74">
        <v>0.55625000000000002</v>
      </c>
      <c r="E305" s="74">
        <v>0.56041666666666667</v>
      </c>
      <c r="F305" s="75">
        <v>4.1666666666666519E-3</v>
      </c>
      <c r="G305" s="74">
        <v>0.57152777777777775</v>
      </c>
      <c r="H305" s="75">
        <v>1.1111111111111072E-2</v>
      </c>
      <c r="I305" s="76">
        <v>41721</v>
      </c>
      <c r="J305" s="36" t="str">
        <f t="shared" si="95"/>
        <v>Nacional</v>
      </c>
      <c r="K305" s="36">
        <f t="shared" si="95"/>
        <v>7.7380952380952227E-3</v>
      </c>
      <c r="L305" s="36">
        <f t="shared" si="95"/>
        <v>9.2261904761904746E-3</v>
      </c>
      <c r="M305" s="36">
        <f t="shared" si="95"/>
        <v>1.6964285714285696E-2</v>
      </c>
      <c r="N305" s="36" t="str">
        <f t="shared" si="95"/>
        <v>B737-800</v>
      </c>
      <c r="O305" s="36">
        <f t="shared" si="95"/>
        <v>189</v>
      </c>
      <c r="P305" s="36" t="str">
        <f t="shared" si="95"/>
        <v>TIJ</v>
      </c>
      <c r="R305">
        <v>291</v>
      </c>
      <c r="S305" s="36" t="str">
        <f t="shared" si="85"/>
        <v>MEXICO AEREO</v>
      </c>
      <c r="T305" s="36">
        <f t="shared" si="85"/>
        <v>2029</v>
      </c>
      <c r="U305" s="73">
        <v>0.55902777777777779</v>
      </c>
      <c r="V305" s="74">
        <v>0.56458333333333333</v>
      </c>
      <c r="W305" s="75">
        <v>5.5555555555555358E-3</v>
      </c>
      <c r="X305" s="74">
        <v>0.56944444444444442</v>
      </c>
      <c r="Y305" s="75">
        <v>4.8611111111110938E-3</v>
      </c>
      <c r="Z305" s="76">
        <v>41743</v>
      </c>
      <c r="AA305" s="36" t="str">
        <f t="shared" si="96"/>
        <v>Nacional</v>
      </c>
      <c r="AB305" s="36">
        <f t="shared" si="96"/>
        <v>4.734691358024682E-3</v>
      </c>
      <c r="AC305" s="36">
        <f t="shared" si="96"/>
        <v>5.2653086419753121E-3</v>
      </c>
      <c r="AD305" s="36">
        <f t="shared" si="96"/>
        <v>9.999999999999995E-3</v>
      </c>
      <c r="AE305" s="36" t="str">
        <f t="shared" si="96"/>
        <v>ER4</v>
      </c>
      <c r="AF305" s="36">
        <f t="shared" si="96"/>
        <v>50</v>
      </c>
      <c r="AG305" s="36" t="str">
        <f t="shared" si="96"/>
        <v>MTY</v>
      </c>
      <c r="AI305">
        <v>291</v>
      </c>
      <c r="AJ305" s="77" t="str">
        <f t="shared" si="94"/>
        <v>MEXICO AEREO</v>
      </c>
      <c r="AK305" s="77">
        <f t="shared" si="92"/>
        <v>2119</v>
      </c>
      <c r="AL305" s="94">
        <v>0.72916666666666663</v>
      </c>
      <c r="AM305" s="95">
        <v>0.7368055555555556</v>
      </c>
      <c r="AN305" s="96">
        <v>7.6388888888889728E-3</v>
      </c>
      <c r="AO305" s="95">
        <v>0.74791666666666667</v>
      </c>
      <c r="AP305" s="96">
        <v>1.1111111111111072E-2</v>
      </c>
      <c r="AQ305" s="97">
        <v>41813</v>
      </c>
      <c r="AR305" s="77" t="str">
        <f t="shared" si="91"/>
        <v>Nacional</v>
      </c>
      <c r="AS305" s="77">
        <f t="shared" si="91"/>
        <v>6.6176470588235319E-3</v>
      </c>
      <c r="AT305" s="77">
        <f t="shared" si="91"/>
        <v>7.3529411764705881E-3</v>
      </c>
      <c r="AU305" s="77">
        <f t="shared" si="91"/>
        <v>1.397058823529412E-2</v>
      </c>
      <c r="AV305" s="77" t="str">
        <f t="shared" si="91"/>
        <v>ER4</v>
      </c>
      <c r="AW305" s="77">
        <f t="shared" si="91"/>
        <v>50</v>
      </c>
      <c r="AX305" s="77" t="str">
        <f t="shared" si="91"/>
        <v>LAP</v>
      </c>
    </row>
    <row r="306" spans="1:50" ht="15.75" thickBot="1" x14ac:dyDescent="0.3">
      <c r="A306">
        <v>292</v>
      </c>
      <c r="B306" s="36" t="str">
        <f t="shared" si="89"/>
        <v>MEXICO AEREO</v>
      </c>
      <c r="C306" s="36">
        <f t="shared" si="89"/>
        <v>771</v>
      </c>
      <c r="D306" s="74">
        <v>0.55902777777777779</v>
      </c>
      <c r="E306" s="74">
        <v>0.56458333333333333</v>
      </c>
      <c r="F306" s="75">
        <v>5.5555555555555358E-3</v>
      </c>
      <c r="G306" s="74">
        <v>0.5708333333333333</v>
      </c>
      <c r="H306" s="75">
        <v>6.2499999999999778E-3</v>
      </c>
      <c r="I306" s="76">
        <v>41722</v>
      </c>
      <c r="J306" s="36" t="str">
        <f t="shared" si="95"/>
        <v>Nacional</v>
      </c>
      <c r="K306" s="36">
        <f t="shared" si="95"/>
        <v>7.7380952380952227E-3</v>
      </c>
      <c r="L306" s="36">
        <f t="shared" si="95"/>
        <v>9.2261904761904746E-3</v>
      </c>
      <c r="M306" s="36">
        <f t="shared" si="95"/>
        <v>1.6964285714285696E-2</v>
      </c>
      <c r="N306" s="36" t="str">
        <f t="shared" si="95"/>
        <v>B737-800</v>
      </c>
      <c r="O306" s="36">
        <f t="shared" si="95"/>
        <v>189</v>
      </c>
      <c r="P306" s="36" t="str">
        <f t="shared" si="95"/>
        <v>TIJ</v>
      </c>
      <c r="R306">
        <v>292</v>
      </c>
      <c r="S306" s="36" t="str">
        <f t="shared" si="85"/>
        <v>MEXICO AEREO</v>
      </c>
      <c r="T306" s="36">
        <f t="shared" si="85"/>
        <v>2029</v>
      </c>
      <c r="U306" s="73">
        <v>0.55972222222222223</v>
      </c>
      <c r="V306" s="74">
        <v>0.5625</v>
      </c>
      <c r="W306" s="75">
        <v>2.7777777777777679E-3</v>
      </c>
      <c r="X306" s="74">
        <v>0.56597222222222221</v>
      </c>
      <c r="Y306" s="75">
        <v>3.4722222222222099E-3</v>
      </c>
      <c r="Z306" s="76">
        <v>41744</v>
      </c>
      <c r="AA306" s="36" t="str">
        <f t="shared" si="96"/>
        <v>Nacional</v>
      </c>
      <c r="AB306" s="36">
        <f t="shared" si="96"/>
        <v>4.734691358024682E-3</v>
      </c>
      <c r="AC306" s="36">
        <f t="shared" si="96"/>
        <v>5.2653086419753121E-3</v>
      </c>
      <c r="AD306" s="36">
        <f t="shared" si="96"/>
        <v>9.999999999999995E-3</v>
      </c>
      <c r="AE306" s="36" t="str">
        <f t="shared" si="96"/>
        <v>ER4</v>
      </c>
      <c r="AF306" s="36">
        <f t="shared" si="96"/>
        <v>50</v>
      </c>
      <c r="AG306" s="36" t="str">
        <f t="shared" si="96"/>
        <v>MTY</v>
      </c>
      <c r="AI306">
        <v>292</v>
      </c>
      <c r="AJ306" s="77" t="str">
        <f t="shared" si="94"/>
        <v>MEXICO AEREO</v>
      </c>
      <c r="AK306" s="99">
        <v>2110</v>
      </c>
      <c r="AL306" s="100">
        <v>0.67708333333333337</v>
      </c>
      <c r="AM306" s="101">
        <v>0.70000000000000007</v>
      </c>
      <c r="AN306" s="102">
        <v>2.2916666666666696E-2</v>
      </c>
      <c r="AO306" s="101">
        <v>0.70833333333333337</v>
      </c>
      <c r="AP306" s="102">
        <v>8.3333333333333037E-3</v>
      </c>
      <c r="AQ306" s="103">
        <v>41796</v>
      </c>
      <c r="AR306" s="104" t="s">
        <v>19</v>
      </c>
      <c r="AS306" s="105">
        <v>2.2916666666666696E-2</v>
      </c>
      <c r="AT306" s="105">
        <v>8.3333333333333037E-3</v>
      </c>
      <c r="AU306" s="105">
        <v>3.125E-2</v>
      </c>
      <c r="AV306" s="136" t="s">
        <v>25</v>
      </c>
      <c r="AW306" s="77">
        <f t="shared" ref="AW306:AX322" si="97">AW305</f>
        <v>50</v>
      </c>
      <c r="AX306" s="77" t="str">
        <f t="shared" si="97"/>
        <v>LAP</v>
      </c>
    </row>
    <row r="307" spans="1:50" x14ac:dyDescent="0.25">
      <c r="A307">
        <v>293</v>
      </c>
      <c r="B307" s="36" t="str">
        <f t="shared" si="89"/>
        <v>MEXICO AEREO</v>
      </c>
      <c r="C307" s="36">
        <f t="shared" si="89"/>
        <v>771</v>
      </c>
      <c r="D307" s="74">
        <v>0.55763888888888891</v>
      </c>
      <c r="E307" s="74">
        <v>0.56805555555555554</v>
      </c>
      <c r="F307" s="75">
        <v>1.041666666666663E-2</v>
      </c>
      <c r="G307" s="74">
        <v>0.57708333333333328</v>
      </c>
      <c r="H307" s="75">
        <v>9.0277777777777457E-3</v>
      </c>
      <c r="I307" s="76">
        <v>41725</v>
      </c>
      <c r="J307" s="36" t="str">
        <f t="shared" si="95"/>
        <v>Nacional</v>
      </c>
      <c r="K307" s="36">
        <f t="shared" si="95"/>
        <v>7.7380952380952227E-3</v>
      </c>
      <c r="L307" s="36">
        <f t="shared" si="95"/>
        <v>9.2261904761904746E-3</v>
      </c>
      <c r="M307" s="36">
        <f t="shared" si="95"/>
        <v>1.6964285714285696E-2</v>
      </c>
      <c r="N307" s="36" t="str">
        <f t="shared" si="95"/>
        <v>B737-800</v>
      </c>
      <c r="O307" s="36">
        <f t="shared" si="95"/>
        <v>189</v>
      </c>
      <c r="P307" s="36" t="str">
        <f t="shared" si="95"/>
        <v>TIJ</v>
      </c>
      <c r="R307">
        <v>293</v>
      </c>
      <c r="S307" s="36" t="str">
        <f t="shared" si="85"/>
        <v>MEXICO AEREO</v>
      </c>
      <c r="T307" s="36">
        <f t="shared" si="85"/>
        <v>2029</v>
      </c>
      <c r="U307" s="73">
        <v>0.56805555555555554</v>
      </c>
      <c r="V307" s="74">
        <v>0.5708333333333333</v>
      </c>
      <c r="W307" s="75">
        <v>2.7777777777777679E-3</v>
      </c>
      <c r="X307" s="74">
        <v>0.5756944444444444</v>
      </c>
      <c r="Y307" s="75">
        <v>4.8611111111110938E-3</v>
      </c>
      <c r="Z307" s="76">
        <v>41745</v>
      </c>
      <c r="AA307" s="36" t="str">
        <f t="shared" si="96"/>
        <v>Nacional</v>
      </c>
      <c r="AB307" s="36">
        <f t="shared" si="96"/>
        <v>4.734691358024682E-3</v>
      </c>
      <c r="AC307" s="36">
        <f t="shared" si="96"/>
        <v>5.2653086419753121E-3</v>
      </c>
      <c r="AD307" s="36">
        <f t="shared" si="96"/>
        <v>9.999999999999995E-3</v>
      </c>
      <c r="AE307" s="36" t="str">
        <f t="shared" si="96"/>
        <v>ER4</v>
      </c>
      <c r="AF307" s="36">
        <f t="shared" si="96"/>
        <v>50</v>
      </c>
      <c r="AG307" s="36" t="str">
        <f t="shared" si="96"/>
        <v>MTY</v>
      </c>
      <c r="AI307">
        <v>293</v>
      </c>
      <c r="AJ307" s="77" t="str">
        <f t="shared" si="94"/>
        <v>MEXICO AEREO</v>
      </c>
      <c r="AK307" s="63">
        <v>2029</v>
      </c>
      <c r="AL307" s="64">
        <v>0.56388888888888888</v>
      </c>
      <c r="AM307" s="65">
        <v>0.57013888888888886</v>
      </c>
      <c r="AN307" s="66">
        <v>6.2499999999999778E-3</v>
      </c>
      <c r="AO307" s="65">
        <v>0.57222222222222219</v>
      </c>
      <c r="AP307" s="66">
        <v>2.0833333333333259E-3</v>
      </c>
      <c r="AQ307" s="67">
        <v>41791</v>
      </c>
      <c r="AR307" s="68" t="s">
        <v>19</v>
      </c>
      <c r="AS307" s="69">
        <v>6.8181818181818118E-3</v>
      </c>
      <c r="AT307" s="70">
        <v>6.8181818181818092E-3</v>
      </c>
      <c r="AU307" s="70">
        <v>1.363636363636362E-2</v>
      </c>
      <c r="AV307" s="71" t="s">
        <v>20</v>
      </c>
      <c r="AW307" s="71">
        <v>50</v>
      </c>
      <c r="AX307" s="72" t="s">
        <v>28</v>
      </c>
    </row>
    <row r="308" spans="1:50" x14ac:dyDescent="0.25">
      <c r="A308">
        <v>294</v>
      </c>
      <c r="B308" s="36" t="str">
        <f t="shared" si="89"/>
        <v>MEXICO AEREO</v>
      </c>
      <c r="C308" s="36">
        <f t="shared" si="89"/>
        <v>771</v>
      </c>
      <c r="D308" s="74">
        <v>0.56180555555555556</v>
      </c>
      <c r="E308" s="74">
        <v>0.57013888888888886</v>
      </c>
      <c r="F308" s="75">
        <v>8.3333333333333037E-3</v>
      </c>
      <c r="G308" s="74">
        <v>0.57986111111111105</v>
      </c>
      <c r="H308" s="75">
        <v>9.7222222222221877E-3</v>
      </c>
      <c r="I308" s="76">
        <v>41725</v>
      </c>
      <c r="J308" s="36" t="str">
        <f t="shared" si="95"/>
        <v>Nacional</v>
      </c>
      <c r="K308" s="36">
        <f t="shared" si="95"/>
        <v>7.7380952380952227E-3</v>
      </c>
      <c r="L308" s="36">
        <f t="shared" si="95"/>
        <v>9.2261904761904746E-3</v>
      </c>
      <c r="M308" s="36">
        <f t="shared" si="95"/>
        <v>1.6964285714285696E-2</v>
      </c>
      <c r="N308" s="36" t="str">
        <f t="shared" si="95"/>
        <v>B737-800</v>
      </c>
      <c r="O308" s="36">
        <f t="shared" si="95"/>
        <v>189</v>
      </c>
      <c r="P308" s="36" t="str">
        <f t="shared" si="95"/>
        <v>TIJ</v>
      </c>
      <c r="R308">
        <v>294</v>
      </c>
      <c r="S308" s="36" t="str">
        <f t="shared" si="85"/>
        <v>MEXICO AEREO</v>
      </c>
      <c r="T308" s="36">
        <f t="shared" si="85"/>
        <v>2029</v>
      </c>
      <c r="U308" s="73">
        <v>0.54861111111111105</v>
      </c>
      <c r="V308" s="74">
        <v>0.5541666666666667</v>
      </c>
      <c r="W308" s="75">
        <v>5.5555555555556468E-3</v>
      </c>
      <c r="X308" s="74">
        <v>0.56041666666666667</v>
      </c>
      <c r="Y308" s="75">
        <v>6.2499999999999778E-3</v>
      </c>
      <c r="Z308" s="76">
        <v>41746</v>
      </c>
      <c r="AA308" s="36" t="str">
        <f t="shared" si="96"/>
        <v>Nacional</v>
      </c>
      <c r="AB308" s="36">
        <f t="shared" si="96"/>
        <v>4.734691358024682E-3</v>
      </c>
      <c r="AC308" s="36">
        <f t="shared" si="96"/>
        <v>5.2653086419753121E-3</v>
      </c>
      <c r="AD308" s="36">
        <f t="shared" si="96"/>
        <v>9.999999999999995E-3</v>
      </c>
      <c r="AE308" s="36" t="str">
        <f t="shared" si="96"/>
        <v>ER4</v>
      </c>
      <c r="AF308" s="36">
        <f t="shared" si="96"/>
        <v>50</v>
      </c>
      <c r="AG308" s="36" t="str">
        <f t="shared" si="96"/>
        <v>MTY</v>
      </c>
      <c r="AI308">
        <v>294</v>
      </c>
      <c r="AJ308" s="77" t="str">
        <f t="shared" si="94"/>
        <v>MEXICO AEREO</v>
      </c>
      <c r="AK308" s="77">
        <f t="shared" si="94"/>
        <v>2029</v>
      </c>
      <c r="AL308" s="78">
        <v>0.55486111111111114</v>
      </c>
      <c r="AM308" s="79">
        <v>0.55972222222222223</v>
      </c>
      <c r="AN308" s="80">
        <v>4.8611111111110938E-3</v>
      </c>
      <c r="AO308" s="79">
        <v>0.56736111111111109</v>
      </c>
      <c r="AP308" s="80">
        <v>7.6388888888888618E-3</v>
      </c>
      <c r="AQ308" s="81">
        <v>41792</v>
      </c>
      <c r="AR308" s="77" t="str">
        <f t="shared" ref="AR308:AX328" si="98">AR307</f>
        <v>Nacional</v>
      </c>
      <c r="AS308" s="77">
        <f t="shared" si="98"/>
        <v>6.8181818181818118E-3</v>
      </c>
      <c r="AT308" s="77">
        <f t="shared" si="98"/>
        <v>6.8181818181818092E-3</v>
      </c>
      <c r="AU308" s="77">
        <f t="shared" si="98"/>
        <v>1.363636363636362E-2</v>
      </c>
      <c r="AV308" s="77" t="str">
        <f t="shared" si="98"/>
        <v>ER4</v>
      </c>
      <c r="AW308" s="77">
        <f t="shared" si="98"/>
        <v>50</v>
      </c>
      <c r="AX308" s="77" t="str">
        <f t="shared" si="98"/>
        <v>MTY</v>
      </c>
    </row>
    <row r="309" spans="1:50" x14ac:dyDescent="0.25">
      <c r="A309">
        <v>295</v>
      </c>
      <c r="B309" s="36" t="str">
        <f t="shared" si="89"/>
        <v>MEXICO AEREO</v>
      </c>
      <c r="C309" s="36">
        <f t="shared" si="89"/>
        <v>771</v>
      </c>
      <c r="D309" s="74">
        <v>0.55555555555555558</v>
      </c>
      <c r="E309" s="74">
        <v>0.56666666666666665</v>
      </c>
      <c r="F309" s="75">
        <v>1.1111111111111072E-2</v>
      </c>
      <c r="G309" s="74">
        <v>0.57222222222222219</v>
      </c>
      <c r="H309" s="75">
        <v>5.5555555555555358E-3</v>
      </c>
      <c r="I309" s="76">
        <v>41726</v>
      </c>
      <c r="J309" s="36" t="str">
        <f t="shared" si="95"/>
        <v>Nacional</v>
      </c>
      <c r="K309" s="36">
        <f t="shared" si="95"/>
        <v>7.7380952380952227E-3</v>
      </c>
      <c r="L309" s="36">
        <f t="shared" si="95"/>
        <v>9.2261904761904746E-3</v>
      </c>
      <c r="M309" s="36">
        <f t="shared" si="95"/>
        <v>1.6964285714285696E-2</v>
      </c>
      <c r="N309" s="36" t="str">
        <f t="shared" si="95"/>
        <v>B737-800</v>
      </c>
      <c r="O309" s="36">
        <f t="shared" si="95"/>
        <v>189</v>
      </c>
      <c r="P309" s="36" t="str">
        <f t="shared" si="95"/>
        <v>TIJ</v>
      </c>
      <c r="R309">
        <v>295</v>
      </c>
      <c r="S309" s="36" t="str">
        <f t="shared" si="85"/>
        <v>MEXICO AEREO</v>
      </c>
      <c r="T309" s="36">
        <f t="shared" si="85"/>
        <v>2029</v>
      </c>
      <c r="U309" s="73">
        <v>0.59722222222222221</v>
      </c>
      <c r="V309" s="74">
        <v>0.60416666666666663</v>
      </c>
      <c r="W309" s="75">
        <v>6.9444444444444198E-3</v>
      </c>
      <c r="X309" s="74">
        <v>0.60625000000000007</v>
      </c>
      <c r="Y309" s="75">
        <v>2.083333333333437E-3</v>
      </c>
      <c r="Z309" s="76">
        <v>41748</v>
      </c>
      <c r="AA309" s="36" t="str">
        <f t="shared" si="96"/>
        <v>Nacional</v>
      </c>
      <c r="AB309" s="36">
        <f t="shared" si="96"/>
        <v>4.734691358024682E-3</v>
      </c>
      <c r="AC309" s="36">
        <f t="shared" si="96"/>
        <v>5.2653086419753121E-3</v>
      </c>
      <c r="AD309" s="36">
        <f t="shared" si="96"/>
        <v>9.999999999999995E-3</v>
      </c>
      <c r="AE309" s="36" t="str">
        <f t="shared" si="96"/>
        <v>ER4</v>
      </c>
      <c r="AF309" s="36">
        <f t="shared" si="96"/>
        <v>50</v>
      </c>
      <c r="AG309" s="36" t="str">
        <f t="shared" si="96"/>
        <v>MTY</v>
      </c>
      <c r="AI309">
        <v>295</v>
      </c>
      <c r="AJ309" s="77" t="str">
        <f t="shared" si="94"/>
        <v>MEXICO AEREO</v>
      </c>
      <c r="AK309" s="77">
        <f t="shared" si="94"/>
        <v>2029</v>
      </c>
      <c r="AL309" s="78">
        <v>0.55972222222222223</v>
      </c>
      <c r="AM309" s="79">
        <v>0.5625</v>
      </c>
      <c r="AN309" s="80">
        <v>2.7777777777777679E-3</v>
      </c>
      <c r="AO309" s="79">
        <v>0.56805555555555554</v>
      </c>
      <c r="AP309" s="80">
        <v>5.5555555555555358E-3</v>
      </c>
      <c r="AQ309" s="81">
        <v>41793</v>
      </c>
      <c r="AR309" s="77" t="str">
        <f t="shared" si="98"/>
        <v>Nacional</v>
      </c>
      <c r="AS309" s="77">
        <f t="shared" si="98"/>
        <v>6.8181818181818118E-3</v>
      </c>
      <c r="AT309" s="77">
        <f t="shared" si="98"/>
        <v>6.8181818181818092E-3</v>
      </c>
      <c r="AU309" s="77">
        <f t="shared" si="98"/>
        <v>1.363636363636362E-2</v>
      </c>
      <c r="AV309" s="77" t="str">
        <f t="shared" si="98"/>
        <v>ER4</v>
      </c>
      <c r="AW309" s="77">
        <f t="shared" si="98"/>
        <v>50</v>
      </c>
      <c r="AX309" s="77" t="str">
        <f t="shared" si="98"/>
        <v>MTY</v>
      </c>
    </row>
    <row r="310" spans="1:50" x14ac:dyDescent="0.25">
      <c r="A310">
        <v>296</v>
      </c>
      <c r="B310" s="36" t="str">
        <f t="shared" si="89"/>
        <v>MEXICO AEREO</v>
      </c>
      <c r="C310" s="36">
        <f t="shared" si="89"/>
        <v>771</v>
      </c>
      <c r="D310" s="74">
        <v>0.56180555555555556</v>
      </c>
      <c r="E310" s="74">
        <v>0.56388888888888888</v>
      </c>
      <c r="F310" s="75">
        <v>2.0833333333333259E-3</v>
      </c>
      <c r="G310" s="74">
        <v>0.58194444444444449</v>
      </c>
      <c r="H310" s="75">
        <v>1.8055555555555602E-2</v>
      </c>
      <c r="I310" s="76">
        <v>41727</v>
      </c>
      <c r="J310" s="36" t="str">
        <f t="shared" si="95"/>
        <v>Nacional</v>
      </c>
      <c r="K310" s="36">
        <f t="shared" si="95"/>
        <v>7.7380952380952227E-3</v>
      </c>
      <c r="L310" s="36">
        <f t="shared" si="95"/>
        <v>9.2261904761904746E-3</v>
      </c>
      <c r="M310" s="36">
        <f t="shared" si="95"/>
        <v>1.6964285714285696E-2</v>
      </c>
      <c r="N310" s="36" t="str">
        <f t="shared" si="95"/>
        <v>B737-800</v>
      </c>
      <c r="O310" s="36">
        <f t="shared" si="95"/>
        <v>189</v>
      </c>
      <c r="P310" s="36" t="str">
        <f t="shared" si="95"/>
        <v>TIJ</v>
      </c>
      <c r="R310">
        <v>296</v>
      </c>
      <c r="S310" s="36" t="str">
        <f t="shared" si="85"/>
        <v>MEXICO AEREO</v>
      </c>
      <c r="T310" s="36">
        <f t="shared" si="85"/>
        <v>2029</v>
      </c>
      <c r="U310" s="73">
        <v>0.58611111111111114</v>
      </c>
      <c r="V310" s="74">
        <v>0.58680555555555558</v>
      </c>
      <c r="W310" s="75">
        <v>6.9444444444444198E-4</v>
      </c>
      <c r="X310" s="74">
        <v>0.59305555555555556</v>
      </c>
      <c r="Y310" s="75">
        <v>6.2499999999999778E-3</v>
      </c>
      <c r="Z310" s="76">
        <v>41749</v>
      </c>
      <c r="AA310" s="36" t="str">
        <f t="shared" si="96"/>
        <v>Nacional</v>
      </c>
      <c r="AB310" s="36">
        <f t="shared" si="96"/>
        <v>4.734691358024682E-3</v>
      </c>
      <c r="AC310" s="36">
        <f t="shared" si="96"/>
        <v>5.2653086419753121E-3</v>
      </c>
      <c r="AD310" s="36">
        <f t="shared" si="96"/>
        <v>9.999999999999995E-3</v>
      </c>
      <c r="AE310" s="36" t="str">
        <f t="shared" si="96"/>
        <v>ER4</v>
      </c>
      <c r="AF310" s="36">
        <f t="shared" si="96"/>
        <v>50</v>
      </c>
      <c r="AG310" s="36" t="str">
        <f t="shared" si="96"/>
        <v>MTY</v>
      </c>
      <c r="AI310">
        <v>296</v>
      </c>
      <c r="AJ310" s="77" t="str">
        <f t="shared" si="94"/>
        <v>MEXICO AEREO</v>
      </c>
      <c r="AK310" s="77">
        <f t="shared" si="94"/>
        <v>2029</v>
      </c>
      <c r="AL310" s="78">
        <v>0.5541666666666667</v>
      </c>
      <c r="AM310" s="79">
        <v>0.55902777777777779</v>
      </c>
      <c r="AN310" s="80">
        <v>4.8611111111110938E-3</v>
      </c>
      <c r="AO310" s="79">
        <v>0.56319444444444444</v>
      </c>
      <c r="AP310" s="80">
        <v>4.1666666666666519E-3</v>
      </c>
      <c r="AQ310" s="81">
        <v>41794</v>
      </c>
      <c r="AR310" s="77" t="str">
        <f t="shared" si="98"/>
        <v>Nacional</v>
      </c>
      <c r="AS310" s="77">
        <f t="shared" si="98"/>
        <v>6.8181818181818118E-3</v>
      </c>
      <c r="AT310" s="77">
        <f t="shared" si="98"/>
        <v>6.8181818181818092E-3</v>
      </c>
      <c r="AU310" s="77">
        <f t="shared" si="98"/>
        <v>1.363636363636362E-2</v>
      </c>
      <c r="AV310" s="77" t="str">
        <f t="shared" si="98"/>
        <v>ER4</v>
      </c>
      <c r="AW310" s="77">
        <f t="shared" si="98"/>
        <v>50</v>
      </c>
      <c r="AX310" s="77" t="str">
        <f t="shared" si="98"/>
        <v>MTY</v>
      </c>
    </row>
    <row r="311" spans="1:50" x14ac:dyDescent="0.25">
      <c r="A311">
        <v>297</v>
      </c>
      <c r="B311" s="36" t="str">
        <f t="shared" si="89"/>
        <v>MEXICO AEREO</v>
      </c>
      <c r="C311" s="36">
        <f t="shared" si="89"/>
        <v>771</v>
      </c>
      <c r="D311" s="74">
        <v>0.57222222222222219</v>
      </c>
      <c r="E311" s="74">
        <v>0.58194444444444449</v>
      </c>
      <c r="F311" s="75">
        <v>9.7222222222222987E-3</v>
      </c>
      <c r="G311" s="74">
        <v>0.58888888888888891</v>
      </c>
      <c r="H311" s="75">
        <v>6.9444444444444198E-3</v>
      </c>
      <c r="I311" s="76">
        <v>41729</v>
      </c>
      <c r="J311" s="36" t="str">
        <f t="shared" si="95"/>
        <v>Nacional</v>
      </c>
      <c r="K311" s="36">
        <f t="shared" si="95"/>
        <v>7.7380952380952227E-3</v>
      </c>
      <c r="L311" s="36">
        <f t="shared" si="95"/>
        <v>9.2261904761904746E-3</v>
      </c>
      <c r="M311" s="36">
        <f t="shared" si="95"/>
        <v>1.6964285714285696E-2</v>
      </c>
      <c r="N311" s="36" t="str">
        <f t="shared" si="95"/>
        <v>B737-800</v>
      </c>
      <c r="O311" s="36">
        <f t="shared" si="95"/>
        <v>189</v>
      </c>
      <c r="P311" s="36" t="str">
        <f t="shared" si="95"/>
        <v>TIJ</v>
      </c>
      <c r="R311">
        <v>297</v>
      </c>
      <c r="S311" s="36" t="str">
        <f t="shared" si="85"/>
        <v>MEXICO AEREO</v>
      </c>
      <c r="T311" s="36">
        <f t="shared" si="85"/>
        <v>2029</v>
      </c>
      <c r="U311" s="73">
        <v>0.61805555555555558</v>
      </c>
      <c r="V311" s="74">
        <v>0.62708333333333333</v>
      </c>
      <c r="W311" s="75">
        <v>9.0277777777777457E-3</v>
      </c>
      <c r="X311" s="74">
        <v>0.63194444444444442</v>
      </c>
      <c r="Y311" s="75">
        <v>4.8611111111110938E-3</v>
      </c>
      <c r="Z311" s="76">
        <v>41750</v>
      </c>
      <c r="AA311" s="36" t="str">
        <f t="shared" si="96"/>
        <v>Nacional</v>
      </c>
      <c r="AB311" s="36">
        <f t="shared" si="96"/>
        <v>4.734691358024682E-3</v>
      </c>
      <c r="AC311" s="36">
        <f t="shared" si="96"/>
        <v>5.2653086419753121E-3</v>
      </c>
      <c r="AD311" s="36">
        <f t="shared" si="96"/>
        <v>9.999999999999995E-3</v>
      </c>
      <c r="AE311" s="36" t="str">
        <f t="shared" si="96"/>
        <v>ER4</v>
      </c>
      <c r="AF311" s="36">
        <f t="shared" si="96"/>
        <v>50</v>
      </c>
      <c r="AG311" s="36" t="str">
        <f t="shared" si="96"/>
        <v>MTY</v>
      </c>
      <c r="AI311">
        <v>297</v>
      </c>
      <c r="AJ311" s="77" t="str">
        <f t="shared" si="94"/>
        <v>MEXICO AEREO</v>
      </c>
      <c r="AK311" s="77">
        <f t="shared" si="94"/>
        <v>2029</v>
      </c>
      <c r="AL311" s="78">
        <v>0.56180555555555556</v>
      </c>
      <c r="AM311" s="79">
        <v>0.56874999999999998</v>
      </c>
      <c r="AN311" s="80">
        <v>6.9444444444444198E-3</v>
      </c>
      <c r="AO311" s="79">
        <v>0.57291666666666663</v>
      </c>
      <c r="AP311" s="80">
        <v>4.1666666666666519E-3</v>
      </c>
      <c r="AQ311" s="81">
        <v>41795</v>
      </c>
      <c r="AR311" s="77" t="str">
        <f t="shared" si="98"/>
        <v>Nacional</v>
      </c>
      <c r="AS311" s="77">
        <f t="shared" si="98"/>
        <v>6.8181818181818118E-3</v>
      </c>
      <c r="AT311" s="77">
        <f t="shared" si="98"/>
        <v>6.8181818181818092E-3</v>
      </c>
      <c r="AU311" s="77">
        <f t="shared" si="98"/>
        <v>1.363636363636362E-2</v>
      </c>
      <c r="AV311" s="77" t="str">
        <f t="shared" si="98"/>
        <v>ER4</v>
      </c>
      <c r="AW311" s="77">
        <f t="shared" si="98"/>
        <v>50</v>
      </c>
      <c r="AX311" s="77" t="str">
        <f t="shared" si="98"/>
        <v>MTY</v>
      </c>
    </row>
    <row r="312" spans="1:50" ht="15.75" thickBot="1" x14ac:dyDescent="0.3">
      <c r="A312">
        <v>298</v>
      </c>
      <c r="B312" s="36" t="str">
        <f t="shared" si="89"/>
        <v>MEXICO AEREO</v>
      </c>
      <c r="C312" s="36">
        <f t="shared" si="89"/>
        <v>771</v>
      </c>
      <c r="D312" s="84">
        <v>0.48402777777777778</v>
      </c>
      <c r="E312" s="84">
        <v>0.49305555555555558</v>
      </c>
      <c r="F312" s="85">
        <v>9.0277777777778012E-3</v>
      </c>
      <c r="G312" s="84">
        <v>0.50555555555555554</v>
      </c>
      <c r="H312" s="85">
        <v>1.2499999999999956E-2</v>
      </c>
      <c r="I312" s="86">
        <v>41718</v>
      </c>
      <c r="J312" s="36" t="str">
        <f t="shared" si="95"/>
        <v>Nacional</v>
      </c>
      <c r="K312" s="36">
        <f t="shared" si="95"/>
        <v>7.7380952380952227E-3</v>
      </c>
      <c r="L312" s="36">
        <f t="shared" si="95"/>
        <v>9.2261904761904746E-3</v>
      </c>
      <c r="M312" s="36">
        <f t="shared" si="95"/>
        <v>1.6964285714285696E-2</v>
      </c>
      <c r="N312" s="36" t="str">
        <f t="shared" si="95"/>
        <v>B737-800</v>
      </c>
      <c r="O312" s="36">
        <f t="shared" si="95"/>
        <v>189</v>
      </c>
      <c r="P312" s="36" t="str">
        <f t="shared" si="95"/>
        <v>TIJ</v>
      </c>
      <c r="R312">
        <v>298</v>
      </c>
      <c r="S312" s="36" t="str">
        <f t="shared" si="85"/>
        <v>MEXICO AEREO</v>
      </c>
      <c r="T312" s="36">
        <f t="shared" si="85"/>
        <v>2029</v>
      </c>
      <c r="U312" s="73">
        <v>0.58819444444444446</v>
      </c>
      <c r="V312" s="74">
        <v>0.59375</v>
      </c>
      <c r="W312" s="75">
        <v>5.5555555555555358E-3</v>
      </c>
      <c r="X312" s="74">
        <v>0.59791666666666665</v>
      </c>
      <c r="Y312" s="75">
        <v>4.1666666666666519E-3</v>
      </c>
      <c r="Z312" s="76">
        <v>41751</v>
      </c>
      <c r="AA312" s="36" t="str">
        <f t="shared" si="96"/>
        <v>Nacional</v>
      </c>
      <c r="AB312" s="36">
        <f t="shared" si="96"/>
        <v>4.734691358024682E-3</v>
      </c>
      <c r="AC312" s="36">
        <f t="shared" si="96"/>
        <v>5.2653086419753121E-3</v>
      </c>
      <c r="AD312" s="36">
        <f t="shared" si="96"/>
        <v>9.999999999999995E-3</v>
      </c>
      <c r="AE312" s="36" t="str">
        <f t="shared" si="96"/>
        <v>ER4</v>
      </c>
      <c r="AF312" s="36">
        <f t="shared" si="96"/>
        <v>50</v>
      </c>
      <c r="AG312" s="36" t="str">
        <f t="shared" si="96"/>
        <v>MTY</v>
      </c>
      <c r="AI312">
        <v>298</v>
      </c>
      <c r="AJ312" s="77" t="str">
        <f t="shared" si="94"/>
        <v>MEXICO AEREO</v>
      </c>
      <c r="AK312" s="77">
        <f t="shared" si="94"/>
        <v>2029</v>
      </c>
      <c r="AL312" s="78">
        <v>0.55763888888888891</v>
      </c>
      <c r="AM312" s="79">
        <v>0.56111111111111112</v>
      </c>
      <c r="AN312" s="80">
        <v>3.4722222222222099E-3</v>
      </c>
      <c r="AO312" s="79">
        <v>0.56874999999999998</v>
      </c>
      <c r="AP312" s="80">
        <v>7.6388888888888618E-3</v>
      </c>
      <c r="AQ312" s="81">
        <v>41796</v>
      </c>
      <c r="AR312" s="77" t="str">
        <f t="shared" si="98"/>
        <v>Nacional</v>
      </c>
      <c r="AS312" s="77">
        <f t="shared" si="98"/>
        <v>6.8181818181818118E-3</v>
      </c>
      <c r="AT312" s="77">
        <f t="shared" si="98"/>
        <v>6.8181818181818092E-3</v>
      </c>
      <c r="AU312" s="77">
        <f t="shared" si="98"/>
        <v>1.363636363636362E-2</v>
      </c>
      <c r="AV312" s="77" t="str">
        <f t="shared" si="98"/>
        <v>ER4</v>
      </c>
      <c r="AW312" s="77">
        <f t="shared" si="98"/>
        <v>50</v>
      </c>
      <c r="AX312" s="77" t="str">
        <f t="shared" si="98"/>
        <v>MTY</v>
      </c>
    </row>
    <row r="313" spans="1:50" x14ac:dyDescent="0.25">
      <c r="A313">
        <v>299</v>
      </c>
      <c r="B313" s="36" t="str">
        <f t="shared" si="89"/>
        <v>MEXICO AEREO</v>
      </c>
      <c r="C313" s="88">
        <v>663</v>
      </c>
      <c r="D313" s="57">
        <v>0.97083333333333333</v>
      </c>
      <c r="E313" s="57">
        <v>0.97916666666666663</v>
      </c>
      <c r="F313" s="58">
        <v>8.3333333333333037E-3</v>
      </c>
      <c r="G313" s="57">
        <v>0.98472222222222217</v>
      </c>
      <c r="H313" s="58">
        <v>5.5555555555555358E-3</v>
      </c>
      <c r="I313" s="59">
        <v>41722</v>
      </c>
      <c r="J313" s="60" t="s">
        <v>22</v>
      </c>
      <c r="K313" s="61">
        <v>9.9537037037036556E-3</v>
      </c>
      <c r="L313" s="61">
        <v>2.0756172839506187E-2</v>
      </c>
      <c r="M313" s="89">
        <v>3.0709876543209842E-2</v>
      </c>
      <c r="N313" s="90" t="s">
        <v>39</v>
      </c>
      <c r="O313" s="91">
        <v>189</v>
      </c>
      <c r="P313" s="92" t="s">
        <v>43</v>
      </c>
      <c r="R313">
        <v>299</v>
      </c>
      <c r="S313" s="36" t="str">
        <f t="shared" si="85"/>
        <v>MEXICO AEREO</v>
      </c>
      <c r="T313" s="36">
        <f t="shared" si="85"/>
        <v>2029</v>
      </c>
      <c r="U313" s="73">
        <v>0.56736111111111109</v>
      </c>
      <c r="V313" s="74">
        <v>0.56944444444444442</v>
      </c>
      <c r="W313" s="75">
        <v>2.0833333333333259E-3</v>
      </c>
      <c r="X313" s="74">
        <v>0.57986111111111105</v>
      </c>
      <c r="Y313" s="75">
        <v>1.041666666666663E-2</v>
      </c>
      <c r="Z313" s="76">
        <v>41753</v>
      </c>
      <c r="AA313" s="36" t="str">
        <f t="shared" si="96"/>
        <v>Nacional</v>
      </c>
      <c r="AB313" s="36">
        <f t="shared" si="96"/>
        <v>4.734691358024682E-3</v>
      </c>
      <c r="AC313" s="36">
        <f t="shared" si="96"/>
        <v>5.2653086419753121E-3</v>
      </c>
      <c r="AD313" s="36">
        <f t="shared" si="96"/>
        <v>9.999999999999995E-3</v>
      </c>
      <c r="AE313" s="36" t="str">
        <f t="shared" si="96"/>
        <v>ER4</v>
      </c>
      <c r="AF313" s="36">
        <f t="shared" si="96"/>
        <v>50</v>
      </c>
      <c r="AG313" s="36" t="str">
        <f t="shared" si="96"/>
        <v>MTY</v>
      </c>
      <c r="AI313">
        <v>299</v>
      </c>
      <c r="AJ313" s="77" t="str">
        <f t="shared" si="94"/>
        <v>MEXICO AEREO</v>
      </c>
      <c r="AK313" s="77">
        <f t="shared" si="94"/>
        <v>2029</v>
      </c>
      <c r="AL313" s="78">
        <v>0.55277777777777781</v>
      </c>
      <c r="AM313" s="79">
        <v>0.55763888888888891</v>
      </c>
      <c r="AN313" s="80">
        <v>4.8611111111110938E-3</v>
      </c>
      <c r="AO313" s="79">
        <v>0.55902777777777779</v>
      </c>
      <c r="AP313" s="80">
        <v>1.388888888888884E-3</v>
      </c>
      <c r="AQ313" s="81">
        <v>41797</v>
      </c>
      <c r="AR313" s="77" t="str">
        <f t="shared" si="98"/>
        <v>Nacional</v>
      </c>
      <c r="AS313" s="77">
        <f t="shared" si="98"/>
        <v>6.8181818181818118E-3</v>
      </c>
      <c r="AT313" s="77">
        <f t="shared" si="98"/>
        <v>6.8181818181818092E-3</v>
      </c>
      <c r="AU313" s="77">
        <f t="shared" si="98"/>
        <v>1.363636363636362E-2</v>
      </c>
      <c r="AV313" s="77" t="str">
        <f t="shared" si="98"/>
        <v>ER4</v>
      </c>
      <c r="AW313" s="77">
        <f t="shared" si="98"/>
        <v>50</v>
      </c>
      <c r="AX313" s="77" t="str">
        <f t="shared" si="98"/>
        <v>MTY</v>
      </c>
    </row>
    <row r="314" spans="1:50" x14ac:dyDescent="0.25">
      <c r="A314">
        <v>300</v>
      </c>
      <c r="B314" s="36" t="str">
        <f t="shared" si="89"/>
        <v>MEXICO AEREO</v>
      </c>
      <c r="C314" s="36">
        <f t="shared" si="89"/>
        <v>663</v>
      </c>
      <c r="D314" s="74">
        <v>0.96666666666666667</v>
      </c>
      <c r="E314" s="74">
        <v>0.98611111111111116</v>
      </c>
      <c r="F314" s="75">
        <v>1.9444444444444486E-2</v>
      </c>
      <c r="G314" s="74">
        <v>0.99305555555555547</v>
      </c>
      <c r="H314" s="75">
        <v>6.9444444444443088E-3</v>
      </c>
      <c r="I314" s="76">
        <v>41721</v>
      </c>
      <c r="J314" s="36" t="str">
        <f t="shared" ref="J314:P321" si="99">J313</f>
        <v>Internacional</v>
      </c>
      <c r="K314" s="36">
        <f t="shared" si="99"/>
        <v>9.9537037037036556E-3</v>
      </c>
      <c r="L314" s="36">
        <f t="shared" si="99"/>
        <v>2.0756172839506187E-2</v>
      </c>
      <c r="M314" s="36">
        <f t="shared" si="99"/>
        <v>3.0709876543209842E-2</v>
      </c>
      <c r="N314" s="36" t="str">
        <f t="shared" si="99"/>
        <v>B737-800</v>
      </c>
      <c r="O314" s="36">
        <f t="shared" si="99"/>
        <v>189</v>
      </c>
      <c r="P314" s="36" t="str">
        <f t="shared" si="99"/>
        <v>SFO</v>
      </c>
      <c r="R314">
        <v>300</v>
      </c>
      <c r="S314" s="36" t="str">
        <f t="shared" si="85"/>
        <v>MEXICO AEREO</v>
      </c>
      <c r="T314" s="36">
        <f t="shared" si="85"/>
        <v>2029</v>
      </c>
      <c r="U314" s="73">
        <v>0.56736111111111109</v>
      </c>
      <c r="V314" s="74">
        <v>0.57152777777777775</v>
      </c>
      <c r="W314" s="75">
        <v>4.1666666666666519E-3</v>
      </c>
      <c r="X314" s="74">
        <v>0.57500000000000007</v>
      </c>
      <c r="Y314" s="75">
        <v>3.4722222222223209E-3</v>
      </c>
      <c r="Z314" s="76">
        <v>41754</v>
      </c>
      <c r="AA314" s="36" t="str">
        <f t="shared" si="96"/>
        <v>Nacional</v>
      </c>
      <c r="AB314" s="36">
        <f t="shared" si="96"/>
        <v>4.734691358024682E-3</v>
      </c>
      <c r="AC314" s="36">
        <f t="shared" si="96"/>
        <v>5.2653086419753121E-3</v>
      </c>
      <c r="AD314" s="36">
        <f t="shared" si="96"/>
        <v>9.999999999999995E-3</v>
      </c>
      <c r="AE314" s="36" t="str">
        <f t="shared" si="96"/>
        <v>ER4</v>
      </c>
      <c r="AF314" s="36">
        <f t="shared" si="96"/>
        <v>50</v>
      </c>
      <c r="AG314" s="36" t="str">
        <f t="shared" si="96"/>
        <v>MTY</v>
      </c>
      <c r="AI314">
        <v>300</v>
      </c>
      <c r="AJ314" s="77" t="str">
        <f t="shared" si="94"/>
        <v>MEXICO AEREO</v>
      </c>
      <c r="AK314" s="77">
        <f t="shared" si="94"/>
        <v>2029</v>
      </c>
      <c r="AL314" s="78">
        <v>0.55555555555555558</v>
      </c>
      <c r="AM314" s="79">
        <v>0.55694444444444446</v>
      </c>
      <c r="AN314" s="80">
        <v>1.388888888888884E-3</v>
      </c>
      <c r="AO314" s="79">
        <v>0.56388888888888888</v>
      </c>
      <c r="AP314" s="80">
        <v>6.9444444444444198E-3</v>
      </c>
      <c r="AQ314" s="81">
        <v>41798</v>
      </c>
      <c r="AR314" s="77" t="str">
        <f t="shared" si="98"/>
        <v>Nacional</v>
      </c>
      <c r="AS314" s="77">
        <f t="shared" si="98"/>
        <v>6.8181818181818118E-3</v>
      </c>
      <c r="AT314" s="77">
        <f t="shared" si="98"/>
        <v>6.8181818181818092E-3</v>
      </c>
      <c r="AU314" s="77">
        <f t="shared" si="98"/>
        <v>1.363636363636362E-2</v>
      </c>
      <c r="AV314" s="77" t="str">
        <f t="shared" si="98"/>
        <v>ER4</v>
      </c>
      <c r="AW314" s="77">
        <f t="shared" si="98"/>
        <v>50</v>
      </c>
      <c r="AX314" s="77" t="str">
        <f t="shared" si="98"/>
        <v>MTY</v>
      </c>
    </row>
    <row r="315" spans="1:50" x14ac:dyDescent="0.25">
      <c r="A315">
        <v>301</v>
      </c>
      <c r="B315" s="36" t="str">
        <f t="shared" si="89"/>
        <v>MEXICO AEREO</v>
      </c>
      <c r="C315" s="36">
        <f t="shared" si="89"/>
        <v>663</v>
      </c>
      <c r="D315" s="74">
        <v>0.84166666666666667</v>
      </c>
      <c r="E315" s="74">
        <v>0.84722222222222221</v>
      </c>
      <c r="F315" s="75">
        <v>5.5555555555555358E-3</v>
      </c>
      <c r="G315" s="74">
        <v>0.86736111111111114</v>
      </c>
      <c r="H315" s="75">
        <v>2.0138888888888928E-2</v>
      </c>
      <c r="I315" s="76">
        <v>41713</v>
      </c>
      <c r="J315" s="36" t="str">
        <f t="shared" si="99"/>
        <v>Internacional</v>
      </c>
      <c r="K315" s="36">
        <f t="shared" si="99"/>
        <v>9.9537037037036556E-3</v>
      </c>
      <c r="L315" s="36">
        <f t="shared" si="99"/>
        <v>2.0756172839506187E-2</v>
      </c>
      <c r="M315" s="36">
        <f t="shared" si="99"/>
        <v>3.0709876543209842E-2</v>
      </c>
      <c r="N315" s="36" t="str">
        <f t="shared" si="99"/>
        <v>B737-800</v>
      </c>
      <c r="O315" s="36">
        <f t="shared" si="99"/>
        <v>189</v>
      </c>
      <c r="P315" s="36" t="str">
        <f t="shared" si="99"/>
        <v>SFO</v>
      </c>
      <c r="R315">
        <v>301</v>
      </c>
      <c r="S315" s="36" t="str">
        <f t="shared" si="85"/>
        <v>MEXICO AEREO</v>
      </c>
      <c r="T315" s="36">
        <f t="shared" si="85"/>
        <v>2029</v>
      </c>
      <c r="U315" s="73">
        <v>0.55902777777777779</v>
      </c>
      <c r="V315" s="74">
        <v>0.56666666666666665</v>
      </c>
      <c r="W315" s="75">
        <v>7.6388888888888618E-3</v>
      </c>
      <c r="X315" s="74">
        <v>0.56874999999999998</v>
      </c>
      <c r="Y315" s="75">
        <v>2.0833333333333259E-3</v>
      </c>
      <c r="Z315" s="76">
        <v>41757</v>
      </c>
      <c r="AA315" s="36" t="str">
        <f t="shared" si="96"/>
        <v>Nacional</v>
      </c>
      <c r="AB315" s="36">
        <f t="shared" si="96"/>
        <v>4.734691358024682E-3</v>
      </c>
      <c r="AC315" s="36">
        <f t="shared" si="96"/>
        <v>5.2653086419753121E-3</v>
      </c>
      <c r="AD315" s="36">
        <f t="shared" si="96"/>
        <v>9.999999999999995E-3</v>
      </c>
      <c r="AE315" s="36" t="str">
        <f t="shared" si="96"/>
        <v>ER4</v>
      </c>
      <c r="AF315" s="36">
        <f t="shared" si="96"/>
        <v>50</v>
      </c>
      <c r="AG315" s="36" t="str">
        <f t="shared" si="96"/>
        <v>MTY</v>
      </c>
      <c r="AI315">
        <v>301</v>
      </c>
      <c r="AJ315" s="77" t="str">
        <f t="shared" si="94"/>
        <v>MEXICO AEREO</v>
      </c>
      <c r="AK315" s="77">
        <f t="shared" si="94"/>
        <v>2029</v>
      </c>
      <c r="AL315" s="78">
        <v>0.60625000000000007</v>
      </c>
      <c r="AM315" s="79">
        <v>0.61388888888888882</v>
      </c>
      <c r="AN315" s="80">
        <v>7.6388888888887507E-3</v>
      </c>
      <c r="AO315" s="79">
        <v>0.62152777777777779</v>
      </c>
      <c r="AP315" s="80">
        <v>7.6388888888889728E-3</v>
      </c>
      <c r="AQ315" s="81">
        <v>41799</v>
      </c>
      <c r="AR315" s="77" t="str">
        <f t="shared" si="98"/>
        <v>Nacional</v>
      </c>
      <c r="AS315" s="77">
        <f t="shared" si="98"/>
        <v>6.8181818181818118E-3</v>
      </c>
      <c r="AT315" s="77">
        <f t="shared" si="98"/>
        <v>6.8181818181818092E-3</v>
      </c>
      <c r="AU315" s="77">
        <f t="shared" si="98"/>
        <v>1.363636363636362E-2</v>
      </c>
      <c r="AV315" s="77" t="str">
        <f t="shared" si="98"/>
        <v>ER4</v>
      </c>
      <c r="AW315" s="77">
        <f t="shared" si="98"/>
        <v>50</v>
      </c>
      <c r="AX315" s="77" t="str">
        <f t="shared" si="98"/>
        <v>MTY</v>
      </c>
    </row>
    <row r="316" spans="1:50" ht="15.75" thickBot="1" x14ac:dyDescent="0.3">
      <c r="A316">
        <v>302</v>
      </c>
      <c r="B316" s="36" t="str">
        <f t="shared" si="89"/>
        <v>MEXICO AEREO</v>
      </c>
      <c r="C316" s="36">
        <f t="shared" si="89"/>
        <v>663</v>
      </c>
      <c r="D316" s="74">
        <v>0.85555555555555562</v>
      </c>
      <c r="E316" s="74">
        <v>0.8652777777777777</v>
      </c>
      <c r="F316" s="75">
        <v>9.7222222222220767E-3</v>
      </c>
      <c r="G316" s="74">
        <v>0.90277777777777779</v>
      </c>
      <c r="H316" s="75">
        <v>3.7500000000000089E-2</v>
      </c>
      <c r="I316" s="76">
        <v>41719</v>
      </c>
      <c r="J316" s="36" t="str">
        <f t="shared" si="99"/>
        <v>Internacional</v>
      </c>
      <c r="K316" s="36">
        <f t="shared" si="99"/>
        <v>9.9537037037036556E-3</v>
      </c>
      <c r="L316" s="36">
        <f t="shared" si="99"/>
        <v>2.0756172839506187E-2</v>
      </c>
      <c r="M316" s="36">
        <f t="shared" si="99"/>
        <v>3.0709876543209842E-2</v>
      </c>
      <c r="N316" s="36" t="str">
        <f t="shared" si="99"/>
        <v>B737-800</v>
      </c>
      <c r="O316" s="36">
        <f t="shared" si="99"/>
        <v>189</v>
      </c>
      <c r="P316" s="36" t="str">
        <f t="shared" si="99"/>
        <v>SFO</v>
      </c>
      <c r="R316">
        <v>302</v>
      </c>
      <c r="S316" s="36" t="str">
        <f t="shared" si="85"/>
        <v>MEXICO AEREO</v>
      </c>
      <c r="T316" s="36">
        <f t="shared" si="85"/>
        <v>2029</v>
      </c>
      <c r="U316" s="83">
        <v>0.55208333333333337</v>
      </c>
      <c r="V316" s="84">
        <v>0.55902777777777779</v>
      </c>
      <c r="W316" s="85">
        <v>6.9444444444444198E-3</v>
      </c>
      <c r="X316" s="84">
        <v>0.56319444444444444</v>
      </c>
      <c r="Y316" s="85">
        <v>4.1666666666666519E-3</v>
      </c>
      <c r="Z316" s="86">
        <v>41758</v>
      </c>
      <c r="AA316" s="36" t="str">
        <f t="shared" si="96"/>
        <v>Nacional</v>
      </c>
      <c r="AB316" s="36">
        <f t="shared" si="96"/>
        <v>4.734691358024682E-3</v>
      </c>
      <c r="AC316" s="36">
        <f t="shared" si="96"/>
        <v>5.2653086419753121E-3</v>
      </c>
      <c r="AD316" s="36">
        <f t="shared" si="96"/>
        <v>9.999999999999995E-3</v>
      </c>
      <c r="AE316" s="36" t="str">
        <f t="shared" si="96"/>
        <v>ER4</v>
      </c>
      <c r="AF316" s="36">
        <f t="shared" si="96"/>
        <v>50</v>
      </c>
      <c r="AG316" s="36" t="str">
        <f t="shared" si="96"/>
        <v>MTY</v>
      </c>
      <c r="AI316">
        <v>302</v>
      </c>
      <c r="AJ316" s="77" t="str">
        <f t="shared" si="94"/>
        <v>MEXICO AEREO</v>
      </c>
      <c r="AK316" s="77">
        <f t="shared" si="94"/>
        <v>2029</v>
      </c>
      <c r="AL316" s="78">
        <v>0.69930555555555562</v>
      </c>
      <c r="AM316" s="79">
        <v>0.7090277777777777</v>
      </c>
      <c r="AN316" s="80">
        <v>9.7222222222220767E-3</v>
      </c>
      <c r="AO316" s="79">
        <v>0.71319444444444446</v>
      </c>
      <c r="AP316" s="80">
        <v>4.1666666666667629E-3</v>
      </c>
      <c r="AQ316" s="81">
        <v>41801</v>
      </c>
      <c r="AR316" s="77" t="str">
        <f t="shared" si="98"/>
        <v>Nacional</v>
      </c>
      <c r="AS316" s="77">
        <f t="shared" si="98"/>
        <v>6.8181818181818118E-3</v>
      </c>
      <c r="AT316" s="77">
        <f t="shared" si="98"/>
        <v>6.8181818181818092E-3</v>
      </c>
      <c r="AU316" s="77">
        <f t="shared" si="98"/>
        <v>1.363636363636362E-2</v>
      </c>
      <c r="AV316" s="77" t="str">
        <f t="shared" si="98"/>
        <v>ER4</v>
      </c>
      <c r="AW316" s="77">
        <f t="shared" si="98"/>
        <v>50</v>
      </c>
      <c r="AX316" s="77" t="str">
        <f t="shared" si="98"/>
        <v>MTY</v>
      </c>
    </row>
    <row r="317" spans="1:50" x14ac:dyDescent="0.25">
      <c r="A317">
        <v>303</v>
      </c>
      <c r="B317" s="36" t="str">
        <f t="shared" si="89"/>
        <v>MEXICO AEREO</v>
      </c>
      <c r="C317" s="36">
        <f t="shared" si="89"/>
        <v>663</v>
      </c>
      <c r="D317" s="74">
        <v>0.84791666666666676</v>
      </c>
      <c r="E317" s="74">
        <v>0.8520833333333333</v>
      </c>
      <c r="F317" s="75">
        <v>4.1666666666665408E-3</v>
      </c>
      <c r="G317" s="74">
        <v>0.8833333333333333</v>
      </c>
      <c r="H317" s="75">
        <v>3.125E-2</v>
      </c>
      <c r="I317" s="76">
        <v>41721</v>
      </c>
      <c r="J317" s="36" t="str">
        <f t="shared" si="99"/>
        <v>Internacional</v>
      </c>
      <c r="K317" s="36">
        <f t="shared" si="99"/>
        <v>9.9537037037036556E-3</v>
      </c>
      <c r="L317" s="36">
        <f t="shared" si="99"/>
        <v>2.0756172839506187E-2</v>
      </c>
      <c r="M317" s="36">
        <f t="shared" si="99"/>
        <v>3.0709876543209842E-2</v>
      </c>
      <c r="N317" s="36" t="str">
        <f t="shared" si="99"/>
        <v>B737-800</v>
      </c>
      <c r="O317" s="36">
        <f t="shared" si="99"/>
        <v>189</v>
      </c>
      <c r="P317" s="36" t="str">
        <f t="shared" si="99"/>
        <v>SFO</v>
      </c>
      <c r="R317">
        <v>303</v>
      </c>
      <c r="S317" s="36" t="str">
        <f t="shared" si="85"/>
        <v>MEXICO AEREO</v>
      </c>
      <c r="T317" s="55">
        <v>2028</v>
      </c>
      <c r="U317" s="56">
        <v>0.75277777777777777</v>
      </c>
      <c r="V317" s="57">
        <v>0.75763888888888886</v>
      </c>
      <c r="W317" s="58">
        <v>4.8611111111110938E-3</v>
      </c>
      <c r="X317" s="57">
        <v>0.7597222222222223</v>
      </c>
      <c r="Y317" s="58">
        <v>2.083333333333437E-3</v>
      </c>
      <c r="Z317" s="59">
        <v>41730</v>
      </c>
      <c r="AA317" s="60" t="s">
        <v>19</v>
      </c>
      <c r="AB317" s="61">
        <v>6.7708333333333093E-3</v>
      </c>
      <c r="AC317" s="61">
        <v>2.7777777777777957E-3</v>
      </c>
      <c r="AD317" s="62">
        <v>9.5486111111111049E-3</v>
      </c>
      <c r="AE317" s="109" t="s">
        <v>20</v>
      </c>
      <c r="AF317" s="109">
        <v>50</v>
      </c>
      <c r="AG317" s="109" t="s">
        <v>37</v>
      </c>
      <c r="AI317">
        <v>303</v>
      </c>
      <c r="AJ317" s="77" t="str">
        <f t="shared" si="94"/>
        <v>MEXICO AEREO</v>
      </c>
      <c r="AK317" s="77">
        <f t="shared" si="94"/>
        <v>2029</v>
      </c>
      <c r="AL317" s="78">
        <v>0.53472222222222221</v>
      </c>
      <c r="AM317" s="79">
        <v>0.54027777777777775</v>
      </c>
      <c r="AN317" s="80">
        <v>5.5555555555555358E-3</v>
      </c>
      <c r="AO317" s="79">
        <v>0.54722222222222217</v>
      </c>
      <c r="AP317" s="80">
        <v>6.9444444444444198E-3</v>
      </c>
      <c r="AQ317" s="81">
        <v>41801</v>
      </c>
      <c r="AR317" s="77" t="str">
        <f t="shared" si="98"/>
        <v>Nacional</v>
      </c>
      <c r="AS317" s="77">
        <f t="shared" si="98"/>
        <v>6.8181818181818118E-3</v>
      </c>
      <c r="AT317" s="77">
        <f t="shared" si="98"/>
        <v>6.8181818181818092E-3</v>
      </c>
      <c r="AU317" s="77">
        <f t="shared" si="98"/>
        <v>1.363636363636362E-2</v>
      </c>
      <c r="AV317" s="77" t="str">
        <f t="shared" si="98"/>
        <v>ER4</v>
      </c>
      <c r="AW317" s="77">
        <f t="shared" si="98"/>
        <v>50</v>
      </c>
      <c r="AX317" s="77" t="str">
        <f t="shared" si="98"/>
        <v>MTY</v>
      </c>
    </row>
    <row r="318" spans="1:50" x14ac:dyDescent="0.25">
      <c r="A318">
        <v>304</v>
      </c>
      <c r="B318" s="36" t="str">
        <f t="shared" si="89"/>
        <v>MEXICO AEREO</v>
      </c>
      <c r="C318" s="36">
        <f t="shared" si="89"/>
        <v>663</v>
      </c>
      <c r="D318" s="74">
        <v>0.84861111111111109</v>
      </c>
      <c r="E318" s="74">
        <v>0.86805555555555547</v>
      </c>
      <c r="F318" s="75">
        <v>1.9444444444444375E-2</v>
      </c>
      <c r="G318" s="74">
        <v>0.89027777777777783</v>
      </c>
      <c r="H318" s="75">
        <v>2.2222222222222365E-2</v>
      </c>
      <c r="I318" s="76">
        <v>41721</v>
      </c>
      <c r="J318" s="36" t="str">
        <f t="shared" si="99"/>
        <v>Internacional</v>
      </c>
      <c r="K318" s="36">
        <f t="shared" si="99"/>
        <v>9.9537037037036556E-3</v>
      </c>
      <c r="L318" s="36">
        <f t="shared" si="99"/>
        <v>2.0756172839506187E-2</v>
      </c>
      <c r="M318" s="36">
        <f t="shared" si="99"/>
        <v>3.0709876543209842E-2</v>
      </c>
      <c r="N318" s="36" t="str">
        <f t="shared" si="99"/>
        <v>B737-800</v>
      </c>
      <c r="O318" s="36">
        <f t="shared" si="99"/>
        <v>189</v>
      </c>
      <c r="P318" s="36" t="str">
        <f t="shared" si="99"/>
        <v>SFO</v>
      </c>
      <c r="R318">
        <v>304</v>
      </c>
      <c r="S318" s="36" t="str">
        <f t="shared" si="85"/>
        <v>MEXICO AEREO</v>
      </c>
      <c r="T318" s="36">
        <f t="shared" si="85"/>
        <v>2028</v>
      </c>
      <c r="U318" s="73">
        <v>0.75208333333333333</v>
      </c>
      <c r="V318" s="74">
        <v>0.7583333333333333</v>
      </c>
      <c r="W318" s="75">
        <v>6.2499999999999778E-3</v>
      </c>
      <c r="X318" s="74">
        <v>0.76111111111111107</v>
      </c>
      <c r="Y318" s="75">
        <v>2.7777777777777679E-3</v>
      </c>
      <c r="Z318" s="76">
        <v>41731</v>
      </c>
      <c r="AA318" s="36" t="str">
        <f t="shared" ref="AA318:AG320" si="100">AA317</f>
        <v>Nacional</v>
      </c>
      <c r="AB318" s="36">
        <f t="shared" si="100"/>
        <v>6.7708333333333093E-3</v>
      </c>
      <c r="AC318" s="36">
        <f t="shared" si="100"/>
        <v>2.7777777777777957E-3</v>
      </c>
      <c r="AD318" s="36">
        <f t="shared" si="100"/>
        <v>9.5486111111111049E-3</v>
      </c>
      <c r="AE318" s="36" t="str">
        <f t="shared" si="100"/>
        <v>ER4</v>
      </c>
      <c r="AF318" s="36">
        <f t="shared" si="100"/>
        <v>50</v>
      </c>
      <c r="AG318" s="36" t="str">
        <f t="shared" si="100"/>
        <v>MTV</v>
      </c>
      <c r="AI318">
        <v>304</v>
      </c>
      <c r="AJ318" s="77" t="str">
        <f t="shared" si="94"/>
        <v>MEXICO AEREO</v>
      </c>
      <c r="AK318" s="77">
        <f t="shared" si="94"/>
        <v>2029</v>
      </c>
      <c r="AL318" s="78">
        <v>0.25486111111111109</v>
      </c>
      <c r="AM318" s="79">
        <v>0.2590277777777778</v>
      </c>
      <c r="AN318" s="80">
        <v>4.1666666666667074E-3</v>
      </c>
      <c r="AO318" s="79">
        <v>0.29236111111111113</v>
      </c>
      <c r="AP318" s="80">
        <v>3.3333333333333326E-2</v>
      </c>
      <c r="AQ318" s="81">
        <v>41802</v>
      </c>
      <c r="AR318" s="77" t="str">
        <f t="shared" si="98"/>
        <v>Nacional</v>
      </c>
      <c r="AS318" s="77">
        <f t="shared" si="98"/>
        <v>6.8181818181818118E-3</v>
      </c>
      <c r="AT318" s="77">
        <f t="shared" si="98"/>
        <v>6.8181818181818092E-3</v>
      </c>
      <c r="AU318" s="77">
        <f t="shared" si="98"/>
        <v>1.363636363636362E-2</v>
      </c>
      <c r="AV318" s="77" t="str">
        <f t="shared" si="98"/>
        <v>ER4</v>
      </c>
      <c r="AW318" s="77">
        <f t="shared" si="98"/>
        <v>50</v>
      </c>
      <c r="AX318" s="77" t="str">
        <f t="shared" si="98"/>
        <v>MTY</v>
      </c>
    </row>
    <row r="319" spans="1:50" x14ac:dyDescent="0.25">
      <c r="A319">
        <v>305</v>
      </c>
      <c r="B319" s="36" t="str">
        <f t="shared" si="89"/>
        <v>MEXICO AEREO</v>
      </c>
      <c r="C319" s="36">
        <f t="shared" si="89"/>
        <v>663</v>
      </c>
      <c r="D319" s="74">
        <v>0.84722222222222221</v>
      </c>
      <c r="E319" s="74">
        <v>0.85833333333333339</v>
      </c>
      <c r="F319" s="75">
        <v>1.1111111111111183E-2</v>
      </c>
      <c r="G319" s="74">
        <v>0.88402777777777775</v>
      </c>
      <c r="H319" s="75">
        <v>2.5694444444444353E-2</v>
      </c>
      <c r="I319" s="76">
        <v>41725</v>
      </c>
      <c r="J319" s="36" t="str">
        <f t="shared" si="99"/>
        <v>Internacional</v>
      </c>
      <c r="K319" s="36">
        <f t="shared" si="99"/>
        <v>9.9537037037036556E-3</v>
      </c>
      <c r="L319" s="36">
        <f t="shared" si="99"/>
        <v>2.0756172839506187E-2</v>
      </c>
      <c r="M319" s="36">
        <f t="shared" si="99"/>
        <v>3.0709876543209842E-2</v>
      </c>
      <c r="N319" s="36" t="str">
        <f t="shared" si="99"/>
        <v>B737-800</v>
      </c>
      <c r="O319" s="36">
        <f t="shared" si="99"/>
        <v>189</v>
      </c>
      <c r="P319" s="36" t="str">
        <f t="shared" si="99"/>
        <v>SFO</v>
      </c>
      <c r="R319">
        <v>305</v>
      </c>
      <c r="S319" s="36" t="str">
        <f t="shared" si="85"/>
        <v>MEXICO AEREO</v>
      </c>
      <c r="T319" s="36">
        <f t="shared" si="85"/>
        <v>2028</v>
      </c>
      <c r="U319" s="73">
        <v>0.75208333333333333</v>
      </c>
      <c r="V319" s="74">
        <v>0.76180555555555562</v>
      </c>
      <c r="W319" s="75">
        <v>9.7222222222222987E-3</v>
      </c>
      <c r="X319" s="74">
        <v>0.76388888888888884</v>
      </c>
      <c r="Y319" s="75">
        <v>2.0833333333332149E-3</v>
      </c>
      <c r="Z319" s="76">
        <v>41733</v>
      </c>
      <c r="AA319" s="36" t="str">
        <f t="shared" si="100"/>
        <v>Nacional</v>
      </c>
      <c r="AB319" s="36">
        <f t="shared" si="100"/>
        <v>6.7708333333333093E-3</v>
      </c>
      <c r="AC319" s="36">
        <f t="shared" si="100"/>
        <v>2.7777777777777957E-3</v>
      </c>
      <c r="AD319" s="36">
        <f t="shared" si="100"/>
        <v>9.5486111111111049E-3</v>
      </c>
      <c r="AE319" s="36" t="str">
        <f t="shared" si="100"/>
        <v>ER4</v>
      </c>
      <c r="AF319" s="36">
        <f t="shared" si="100"/>
        <v>50</v>
      </c>
      <c r="AG319" s="36" t="str">
        <f t="shared" si="100"/>
        <v>MTV</v>
      </c>
      <c r="AI319">
        <v>305</v>
      </c>
      <c r="AJ319" s="77" t="str">
        <f t="shared" si="94"/>
        <v>MEXICO AEREO</v>
      </c>
      <c r="AK319" s="77">
        <f t="shared" si="94"/>
        <v>2029</v>
      </c>
      <c r="AL319" s="78">
        <v>0.76666666666666661</v>
      </c>
      <c r="AM319" s="79">
        <v>0.77638888888888891</v>
      </c>
      <c r="AN319" s="80">
        <v>9.7222222222222987E-3</v>
      </c>
      <c r="AO319" s="79">
        <v>0.78472222222222221</v>
      </c>
      <c r="AP319" s="80">
        <v>8.3333333333333037E-3</v>
      </c>
      <c r="AQ319" s="81">
        <v>41804</v>
      </c>
      <c r="AR319" s="77" t="str">
        <f t="shared" si="98"/>
        <v>Nacional</v>
      </c>
      <c r="AS319" s="77">
        <f t="shared" si="98"/>
        <v>6.8181818181818118E-3</v>
      </c>
      <c r="AT319" s="77">
        <f t="shared" si="98"/>
        <v>6.8181818181818092E-3</v>
      </c>
      <c r="AU319" s="77">
        <f t="shared" si="98"/>
        <v>1.363636363636362E-2</v>
      </c>
      <c r="AV319" s="77" t="str">
        <f t="shared" si="98"/>
        <v>ER4</v>
      </c>
      <c r="AW319" s="77">
        <f t="shared" si="98"/>
        <v>50</v>
      </c>
      <c r="AX319" s="77" t="str">
        <f t="shared" si="98"/>
        <v>MTY</v>
      </c>
    </row>
    <row r="320" spans="1:50" ht="15.75" thickBot="1" x14ac:dyDescent="0.3">
      <c r="A320">
        <v>306</v>
      </c>
      <c r="B320" s="36" t="str">
        <f t="shared" si="89"/>
        <v>MEXICO AEREO</v>
      </c>
      <c r="C320" s="36">
        <f t="shared" si="89"/>
        <v>663</v>
      </c>
      <c r="D320" s="74">
        <v>0.86458333333333337</v>
      </c>
      <c r="E320" s="74">
        <v>0.86805555555555547</v>
      </c>
      <c r="F320" s="75">
        <v>3.4722222222220989E-3</v>
      </c>
      <c r="G320" s="74">
        <v>0.8881944444444444</v>
      </c>
      <c r="H320" s="75">
        <v>2.0138888888888928E-2</v>
      </c>
      <c r="I320" s="76">
        <v>41727</v>
      </c>
      <c r="J320" s="36" t="str">
        <f t="shared" si="99"/>
        <v>Internacional</v>
      </c>
      <c r="K320" s="36">
        <f t="shared" si="99"/>
        <v>9.9537037037036556E-3</v>
      </c>
      <c r="L320" s="36">
        <f t="shared" si="99"/>
        <v>2.0756172839506187E-2</v>
      </c>
      <c r="M320" s="36">
        <f t="shared" si="99"/>
        <v>3.0709876543209842E-2</v>
      </c>
      <c r="N320" s="36" t="str">
        <f t="shared" si="99"/>
        <v>B737-800</v>
      </c>
      <c r="O320" s="36">
        <f t="shared" si="99"/>
        <v>189</v>
      </c>
      <c r="P320" s="36" t="str">
        <f t="shared" si="99"/>
        <v>SFO</v>
      </c>
      <c r="R320">
        <v>306</v>
      </c>
      <c r="S320" s="36" t="str">
        <f t="shared" si="85"/>
        <v>MEXICO AEREO</v>
      </c>
      <c r="T320" s="36">
        <f t="shared" si="85"/>
        <v>2028</v>
      </c>
      <c r="U320" s="83">
        <v>0.77083333333333337</v>
      </c>
      <c r="V320" s="84">
        <v>0.77708333333333324</v>
      </c>
      <c r="W320" s="85">
        <v>6.2499999999998668E-3</v>
      </c>
      <c r="X320" s="84">
        <v>0.78125</v>
      </c>
      <c r="Y320" s="85">
        <v>4.1666666666667629E-3</v>
      </c>
      <c r="Z320" s="86">
        <v>41735</v>
      </c>
      <c r="AA320" s="36" t="str">
        <f t="shared" si="100"/>
        <v>Nacional</v>
      </c>
      <c r="AB320" s="36">
        <f t="shared" si="100"/>
        <v>6.7708333333333093E-3</v>
      </c>
      <c r="AC320" s="36">
        <f t="shared" si="100"/>
        <v>2.7777777777777957E-3</v>
      </c>
      <c r="AD320" s="36">
        <f t="shared" si="100"/>
        <v>9.5486111111111049E-3</v>
      </c>
      <c r="AE320" s="36" t="str">
        <f t="shared" si="100"/>
        <v>ER4</v>
      </c>
      <c r="AF320" s="36">
        <f t="shared" si="100"/>
        <v>50</v>
      </c>
      <c r="AG320" s="36" t="str">
        <f t="shared" si="100"/>
        <v>MTV</v>
      </c>
      <c r="AI320">
        <v>306</v>
      </c>
      <c r="AJ320" s="77" t="str">
        <f t="shared" si="94"/>
        <v>MEXICO AEREO</v>
      </c>
      <c r="AK320" s="77">
        <f t="shared" si="94"/>
        <v>2029</v>
      </c>
      <c r="AL320" s="78">
        <v>0.54166666666666663</v>
      </c>
      <c r="AM320" s="79">
        <v>0.55069444444444449</v>
      </c>
      <c r="AN320" s="80">
        <v>9.0277777777778567E-3</v>
      </c>
      <c r="AO320" s="79">
        <v>0.55833333333333335</v>
      </c>
      <c r="AP320" s="80">
        <v>7.6388888888888618E-3</v>
      </c>
      <c r="AQ320" s="81">
        <v>41805</v>
      </c>
      <c r="AR320" s="77" t="str">
        <f t="shared" si="98"/>
        <v>Nacional</v>
      </c>
      <c r="AS320" s="77">
        <f t="shared" si="98"/>
        <v>6.8181818181818118E-3</v>
      </c>
      <c r="AT320" s="77">
        <f t="shared" si="98"/>
        <v>6.8181818181818092E-3</v>
      </c>
      <c r="AU320" s="77">
        <f t="shared" si="98"/>
        <v>1.363636363636362E-2</v>
      </c>
      <c r="AV320" s="77" t="str">
        <f t="shared" si="98"/>
        <v>ER4</v>
      </c>
      <c r="AW320" s="77">
        <f t="shared" si="98"/>
        <v>50</v>
      </c>
      <c r="AX320" s="77" t="str">
        <f t="shared" si="98"/>
        <v>MTY</v>
      </c>
    </row>
    <row r="321" spans="1:50" ht="15.75" thickBot="1" x14ac:dyDescent="0.3">
      <c r="A321">
        <v>307</v>
      </c>
      <c r="B321" s="36" t="str">
        <f t="shared" si="89"/>
        <v>MEXICO AEREO</v>
      </c>
      <c r="C321" s="36">
        <f t="shared" si="89"/>
        <v>663</v>
      </c>
      <c r="D321" s="84">
        <v>0.84444444444444444</v>
      </c>
      <c r="E321" s="84">
        <v>0.85277777777777775</v>
      </c>
      <c r="F321" s="85">
        <v>8.3333333333333037E-3</v>
      </c>
      <c r="G321" s="84">
        <v>0.87013888888888891</v>
      </c>
      <c r="H321" s="85">
        <v>1.736111111111116E-2</v>
      </c>
      <c r="I321" s="86">
        <v>41728</v>
      </c>
      <c r="J321" s="36" t="str">
        <f t="shared" si="99"/>
        <v>Internacional</v>
      </c>
      <c r="K321" s="36">
        <f t="shared" si="99"/>
        <v>9.9537037037036556E-3</v>
      </c>
      <c r="L321" s="36">
        <f t="shared" si="99"/>
        <v>2.0756172839506187E-2</v>
      </c>
      <c r="M321" s="36">
        <f t="shared" si="99"/>
        <v>3.0709876543209842E-2</v>
      </c>
      <c r="N321" s="36" t="str">
        <f t="shared" si="99"/>
        <v>B737-800</v>
      </c>
      <c r="O321" s="36">
        <f t="shared" si="99"/>
        <v>189</v>
      </c>
      <c r="P321" s="36" t="str">
        <f t="shared" si="99"/>
        <v>SFO</v>
      </c>
      <c r="R321">
        <v>307</v>
      </c>
      <c r="S321" s="36" t="str">
        <f t="shared" si="85"/>
        <v>MEXICO AEREO</v>
      </c>
      <c r="T321" s="55">
        <v>2027</v>
      </c>
      <c r="U321" s="56">
        <v>0.8520833333333333</v>
      </c>
      <c r="V321" s="57">
        <v>0.8569444444444444</v>
      </c>
      <c r="W321" s="58">
        <v>4.8611111111110938E-3</v>
      </c>
      <c r="X321" s="57">
        <v>0.87291666666666667</v>
      </c>
      <c r="Y321" s="58">
        <v>1.5972222222222276E-2</v>
      </c>
      <c r="Z321" s="59">
        <v>41730</v>
      </c>
      <c r="AA321" s="60" t="s">
        <v>19</v>
      </c>
      <c r="AB321" s="61">
        <v>8.8888888888889132E-3</v>
      </c>
      <c r="AC321" s="61">
        <v>5.5555555555555471E-3</v>
      </c>
      <c r="AD321" s="62">
        <v>1.4444444444444461E-2</v>
      </c>
      <c r="AE321" s="109" t="s">
        <v>20</v>
      </c>
      <c r="AF321" s="109">
        <v>50</v>
      </c>
      <c r="AG321" s="109" t="s">
        <v>29</v>
      </c>
      <c r="AI321">
        <v>307</v>
      </c>
      <c r="AJ321" s="77" t="str">
        <f t="shared" si="94"/>
        <v>MEXICO AEREO</v>
      </c>
      <c r="AK321" s="77">
        <f t="shared" si="94"/>
        <v>2029</v>
      </c>
      <c r="AL321" s="78">
        <v>0.24791666666666667</v>
      </c>
      <c r="AM321" s="79">
        <v>0.2673611111111111</v>
      </c>
      <c r="AN321" s="80">
        <v>1.9444444444444431E-2</v>
      </c>
      <c r="AO321" s="79">
        <v>0.28958333333333336</v>
      </c>
      <c r="AP321" s="80">
        <v>2.2222222222222254E-2</v>
      </c>
      <c r="AQ321" s="81">
        <v>41806</v>
      </c>
      <c r="AR321" s="77" t="str">
        <f t="shared" si="98"/>
        <v>Nacional</v>
      </c>
      <c r="AS321" s="77">
        <f t="shared" si="98"/>
        <v>6.8181818181818118E-3</v>
      </c>
      <c r="AT321" s="77">
        <f t="shared" si="98"/>
        <v>6.8181818181818092E-3</v>
      </c>
      <c r="AU321" s="77">
        <f t="shared" si="98"/>
        <v>1.363636363636362E-2</v>
      </c>
      <c r="AV321" s="77" t="str">
        <f t="shared" si="98"/>
        <v>ER4</v>
      </c>
      <c r="AW321" s="77">
        <f t="shared" si="98"/>
        <v>50</v>
      </c>
      <c r="AX321" s="77" t="str">
        <f t="shared" si="98"/>
        <v>MTY</v>
      </c>
    </row>
    <row r="322" spans="1:50" x14ac:dyDescent="0.25">
      <c r="A322">
        <v>308</v>
      </c>
      <c r="B322" s="36" t="str">
        <f t="shared" si="89"/>
        <v>MEXICO AEREO</v>
      </c>
      <c r="C322" s="88">
        <v>661</v>
      </c>
      <c r="D322" s="57">
        <v>0.25972222222222224</v>
      </c>
      <c r="E322" s="57">
        <v>0.27638888888888885</v>
      </c>
      <c r="F322" s="58">
        <v>1.6666666666666607E-2</v>
      </c>
      <c r="G322" s="57">
        <v>0.30208333333333331</v>
      </c>
      <c r="H322" s="58">
        <v>2.5694444444444464E-2</v>
      </c>
      <c r="I322" s="59">
        <v>41713</v>
      </c>
      <c r="J322" s="60" t="s">
        <v>22</v>
      </c>
      <c r="K322" s="61">
        <v>9.1435185185185109E-3</v>
      </c>
      <c r="L322" s="61">
        <v>1.7708333333333336E-2</v>
      </c>
      <c r="M322" s="89">
        <v>2.6851851851851849E-2</v>
      </c>
      <c r="N322" s="90" t="s">
        <v>39</v>
      </c>
      <c r="O322" s="91">
        <v>189</v>
      </c>
      <c r="P322" s="92" t="s">
        <v>44</v>
      </c>
      <c r="R322">
        <v>308</v>
      </c>
      <c r="S322" s="36" t="str">
        <f t="shared" si="85"/>
        <v>MEXICO AEREO</v>
      </c>
      <c r="T322" s="36">
        <f t="shared" si="85"/>
        <v>2027</v>
      </c>
      <c r="U322" s="73">
        <v>0.84027777777777779</v>
      </c>
      <c r="V322" s="74">
        <v>0.85486111111111107</v>
      </c>
      <c r="W322" s="75">
        <v>1.4583333333333282E-2</v>
      </c>
      <c r="X322" s="74">
        <v>0.85972222222222217</v>
      </c>
      <c r="Y322" s="75">
        <v>4.8611111111110938E-3</v>
      </c>
      <c r="Z322" s="76">
        <v>41730</v>
      </c>
      <c r="AA322" s="36" t="str">
        <f t="shared" ref="AA322:AG325" si="101">AA321</f>
        <v>Nacional</v>
      </c>
      <c r="AB322" s="36">
        <f t="shared" si="101"/>
        <v>8.8888888888889132E-3</v>
      </c>
      <c r="AC322" s="36">
        <f t="shared" si="101"/>
        <v>5.5555555555555471E-3</v>
      </c>
      <c r="AD322" s="36">
        <f t="shared" si="101"/>
        <v>1.4444444444444461E-2</v>
      </c>
      <c r="AE322" s="36" t="str">
        <f t="shared" si="101"/>
        <v>ER4</v>
      </c>
      <c r="AF322" s="36">
        <f t="shared" si="101"/>
        <v>50</v>
      </c>
      <c r="AG322" s="36" t="str">
        <f t="shared" si="101"/>
        <v>PVR</v>
      </c>
      <c r="AI322">
        <v>308</v>
      </c>
      <c r="AJ322" s="77" t="str">
        <f t="shared" si="94"/>
        <v>MEXICO AEREO</v>
      </c>
      <c r="AK322" s="77">
        <f t="shared" si="94"/>
        <v>2029</v>
      </c>
      <c r="AL322" s="78">
        <v>0.24652777777777779</v>
      </c>
      <c r="AM322" s="79">
        <v>0.26458333333333334</v>
      </c>
      <c r="AN322" s="80">
        <v>1.8055555555555547E-2</v>
      </c>
      <c r="AO322" s="79">
        <v>0.26666666666666666</v>
      </c>
      <c r="AP322" s="80">
        <v>2.0833333333333259E-3</v>
      </c>
      <c r="AQ322" s="81">
        <v>41807</v>
      </c>
      <c r="AR322" s="77" t="str">
        <f t="shared" si="98"/>
        <v>Nacional</v>
      </c>
      <c r="AS322" s="77">
        <f t="shared" si="98"/>
        <v>6.8181818181818118E-3</v>
      </c>
      <c r="AT322" s="77">
        <f t="shared" si="98"/>
        <v>6.8181818181818092E-3</v>
      </c>
      <c r="AU322" s="77">
        <f t="shared" si="98"/>
        <v>1.363636363636362E-2</v>
      </c>
      <c r="AV322" s="77" t="str">
        <f t="shared" si="98"/>
        <v>ER4</v>
      </c>
      <c r="AW322" s="77">
        <f t="shared" si="98"/>
        <v>50</v>
      </c>
      <c r="AX322" s="77" t="str">
        <f t="shared" si="98"/>
        <v>MTY</v>
      </c>
    </row>
    <row r="323" spans="1:50" x14ac:dyDescent="0.25">
      <c r="A323">
        <v>309</v>
      </c>
      <c r="B323" s="36" t="str">
        <f t="shared" si="89"/>
        <v>MEXICO AEREO</v>
      </c>
      <c r="C323" s="36">
        <f t="shared" si="89"/>
        <v>661</v>
      </c>
      <c r="D323" s="74">
        <v>0.25833333333333336</v>
      </c>
      <c r="E323" s="74">
        <v>0.26944444444444443</v>
      </c>
      <c r="F323" s="75">
        <v>1.1111111111111072E-2</v>
      </c>
      <c r="G323" s="74">
        <v>0.28125</v>
      </c>
      <c r="H323" s="75">
        <v>1.1805555555555569E-2</v>
      </c>
      <c r="I323" s="76">
        <v>41715</v>
      </c>
      <c r="J323" s="36" t="str">
        <f t="shared" ref="J323:P333" si="102">J322</f>
        <v>Internacional</v>
      </c>
      <c r="K323" s="36">
        <f t="shared" si="102"/>
        <v>9.1435185185185109E-3</v>
      </c>
      <c r="L323" s="36">
        <f t="shared" si="102"/>
        <v>1.7708333333333336E-2</v>
      </c>
      <c r="M323" s="36">
        <f t="shared" si="102"/>
        <v>2.6851851851851849E-2</v>
      </c>
      <c r="N323" s="36" t="str">
        <f t="shared" si="102"/>
        <v>B737-800</v>
      </c>
      <c r="O323" s="36">
        <f t="shared" si="102"/>
        <v>189</v>
      </c>
      <c r="P323" s="36" t="str">
        <f t="shared" si="102"/>
        <v>ORD</v>
      </c>
      <c r="R323">
        <v>309</v>
      </c>
      <c r="S323" s="36" t="str">
        <f t="shared" si="85"/>
        <v>MEXICO AEREO</v>
      </c>
      <c r="T323" s="36">
        <f t="shared" si="85"/>
        <v>2027</v>
      </c>
      <c r="U323" s="73">
        <v>0.84236111111111101</v>
      </c>
      <c r="V323" s="74">
        <v>0.86388888888888893</v>
      </c>
      <c r="W323" s="75">
        <v>2.1527777777777923E-2</v>
      </c>
      <c r="X323" s="74">
        <v>0.8666666666666667</v>
      </c>
      <c r="Y323" s="75">
        <v>2.7777777777777679E-3</v>
      </c>
      <c r="Z323" s="76">
        <v>41731</v>
      </c>
      <c r="AA323" s="36" t="str">
        <f t="shared" si="101"/>
        <v>Nacional</v>
      </c>
      <c r="AB323" s="36">
        <f t="shared" si="101"/>
        <v>8.8888888888889132E-3</v>
      </c>
      <c r="AC323" s="36">
        <f t="shared" si="101"/>
        <v>5.5555555555555471E-3</v>
      </c>
      <c r="AD323" s="36">
        <f t="shared" si="101"/>
        <v>1.4444444444444461E-2</v>
      </c>
      <c r="AE323" s="36" t="str">
        <f t="shared" si="101"/>
        <v>ER4</v>
      </c>
      <c r="AF323" s="36">
        <f t="shared" si="101"/>
        <v>50</v>
      </c>
      <c r="AG323" s="36" t="str">
        <f t="shared" si="101"/>
        <v>PVR</v>
      </c>
      <c r="AI323">
        <v>309</v>
      </c>
      <c r="AJ323" s="77" t="str">
        <f t="shared" si="94"/>
        <v>MEXICO AEREO</v>
      </c>
      <c r="AK323" s="77">
        <f t="shared" si="94"/>
        <v>2029</v>
      </c>
      <c r="AL323" s="78">
        <v>0.60625000000000007</v>
      </c>
      <c r="AM323" s="79">
        <v>0.61458333333333337</v>
      </c>
      <c r="AN323" s="80">
        <v>8.3333333333333037E-3</v>
      </c>
      <c r="AO323" s="79">
        <v>0.61944444444444446</v>
      </c>
      <c r="AP323" s="80">
        <v>4.8611111111110938E-3</v>
      </c>
      <c r="AQ323" s="81">
        <v>41808</v>
      </c>
      <c r="AR323" s="77" t="str">
        <f t="shared" si="98"/>
        <v>Nacional</v>
      </c>
      <c r="AS323" s="77">
        <f t="shared" si="98"/>
        <v>6.8181818181818118E-3</v>
      </c>
      <c r="AT323" s="77">
        <f t="shared" si="98"/>
        <v>6.8181818181818092E-3</v>
      </c>
      <c r="AU323" s="77">
        <f t="shared" si="98"/>
        <v>1.363636363636362E-2</v>
      </c>
      <c r="AV323" s="77" t="str">
        <f t="shared" si="98"/>
        <v>ER4</v>
      </c>
      <c r="AW323" s="77">
        <f t="shared" si="98"/>
        <v>50</v>
      </c>
      <c r="AX323" s="77" t="str">
        <f t="shared" si="98"/>
        <v>MTY</v>
      </c>
    </row>
    <row r="324" spans="1:50" x14ac:dyDescent="0.25">
      <c r="A324">
        <v>310</v>
      </c>
      <c r="B324" s="36" t="str">
        <f t="shared" si="89"/>
        <v>MEXICO AEREO</v>
      </c>
      <c r="C324" s="36">
        <f t="shared" si="89"/>
        <v>661</v>
      </c>
      <c r="D324" s="74">
        <v>0.26597222222222222</v>
      </c>
      <c r="E324" s="74">
        <v>0.27708333333333335</v>
      </c>
      <c r="F324" s="75">
        <v>1.1111111111111127E-2</v>
      </c>
      <c r="G324" s="74">
        <v>0.27986111111111112</v>
      </c>
      <c r="H324" s="75">
        <v>2.7777777777777679E-3</v>
      </c>
      <c r="I324" s="76">
        <v>41716</v>
      </c>
      <c r="J324" s="36" t="str">
        <f t="shared" si="102"/>
        <v>Internacional</v>
      </c>
      <c r="K324" s="36">
        <f t="shared" si="102"/>
        <v>9.1435185185185109E-3</v>
      </c>
      <c r="L324" s="36">
        <f t="shared" si="102"/>
        <v>1.7708333333333336E-2</v>
      </c>
      <c r="M324" s="36">
        <f t="shared" si="102"/>
        <v>2.6851851851851849E-2</v>
      </c>
      <c r="N324" s="36" t="str">
        <f t="shared" si="102"/>
        <v>B737-800</v>
      </c>
      <c r="O324" s="36">
        <f t="shared" si="102"/>
        <v>189</v>
      </c>
      <c r="P324" s="36" t="str">
        <f t="shared" si="102"/>
        <v>ORD</v>
      </c>
      <c r="R324">
        <v>310</v>
      </c>
      <c r="S324" s="36" t="str">
        <f t="shared" si="85"/>
        <v>MEXICO AEREO</v>
      </c>
      <c r="T324" s="36">
        <f t="shared" si="85"/>
        <v>2027</v>
      </c>
      <c r="U324" s="73">
        <v>0.87847222222222221</v>
      </c>
      <c r="V324" s="74">
        <v>0.88124999999999998</v>
      </c>
      <c r="W324" s="75">
        <v>2.7777777777777679E-3</v>
      </c>
      <c r="X324" s="74">
        <v>0.8833333333333333</v>
      </c>
      <c r="Y324" s="75">
        <v>2.0833333333333259E-3</v>
      </c>
      <c r="Z324" s="76">
        <v>41732</v>
      </c>
      <c r="AA324" s="36" t="str">
        <f t="shared" si="101"/>
        <v>Nacional</v>
      </c>
      <c r="AB324" s="36">
        <f t="shared" si="101"/>
        <v>8.8888888888889132E-3</v>
      </c>
      <c r="AC324" s="36">
        <f t="shared" si="101"/>
        <v>5.5555555555555471E-3</v>
      </c>
      <c r="AD324" s="36">
        <f t="shared" si="101"/>
        <v>1.4444444444444461E-2</v>
      </c>
      <c r="AE324" s="36" t="str">
        <f t="shared" si="101"/>
        <v>ER4</v>
      </c>
      <c r="AF324" s="36">
        <f t="shared" si="101"/>
        <v>50</v>
      </c>
      <c r="AG324" s="36" t="str">
        <f t="shared" si="101"/>
        <v>PVR</v>
      </c>
      <c r="AI324">
        <v>310</v>
      </c>
      <c r="AJ324" s="77" t="str">
        <f t="shared" si="94"/>
        <v>MEXICO AEREO</v>
      </c>
      <c r="AK324" s="77">
        <f t="shared" si="94"/>
        <v>2029</v>
      </c>
      <c r="AL324" s="78">
        <v>0.59861111111111109</v>
      </c>
      <c r="AM324" s="79">
        <v>0.60347222222222219</v>
      </c>
      <c r="AN324" s="80">
        <v>4.8611111111110938E-3</v>
      </c>
      <c r="AO324" s="79">
        <v>0.6069444444444444</v>
      </c>
      <c r="AP324" s="80">
        <v>3.4722222222222099E-3</v>
      </c>
      <c r="AQ324" s="81">
        <v>41809</v>
      </c>
      <c r="AR324" s="77" t="str">
        <f t="shared" si="98"/>
        <v>Nacional</v>
      </c>
      <c r="AS324" s="77">
        <f t="shared" si="98"/>
        <v>6.8181818181818118E-3</v>
      </c>
      <c r="AT324" s="77">
        <f t="shared" si="98"/>
        <v>6.8181818181818092E-3</v>
      </c>
      <c r="AU324" s="77">
        <f t="shared" si="98"/>
        <v>1.363636363636362E-2</v>
      </c>
      <c r="AV324" s="77" t="str">
        <f t="shared" si="98"/>
        <v>ER4</v>
      </c>
      <c r="AW324" s="77">
        <f t="shared" si="98"/>
        <v>50</v>
      </c>
      <c r="AX324" s="77" t="str">
        <f t="shared" si="98"/>
        <v>MTY</v>
      </c>
    </row>
    <row r="325" spans="1:50" ht="15.75" thickBot="1" x14ac:dyDescent="0.3">
      <c r="A325">
        <v>311</v>
      </c>
      <c r="B325" s="36" t="str">
        <f t="shared" si="89"/>
        <v>MEXICO AEREO</v>
      </c>
      <c r="C325" s="36">
        <f t="shared" si="89"/>
        <v>661</v>
      </c>
      <c r="D325" s="74">
        <v>0.26874999999999999</v>
      </c>
      <c r="E325" s="74">
        <v>0.27916666666666667</v>
      </c>
      <c r="F325" s="75">
        <v>1.0416666666666685E-2</v>
      </c>
      <c r="G325" s="74">
        <v>0.30069444444444443</v>
      </c>
      <c r="H325" s="75">
        <v>2.1527777777777757E-2</v>
      </c>
      <c r="I325" s="76">
        <v>41717</v>
      </c>
      <c r="J325" s="36" t="str">
        <f t="shared" si="102"/>
        <v>Internacional</v>
      </c>
      <c r="K325" s="36">
        <f t="shared" si="102"/>
        <v>9.1435185185185109E-3</v>
      </c>
      <c r="L325" s="36">
        <f t="shared" si="102"/>
        <v>1.7708333333333336E-2</v>
      </c>
      <c r="M325" s="36">
        <f t="shared" si="102"/>
        <v>2.6851851851851849E-2</v>
      </c>
      <c r="N325" s="36" t="str">
        <f t="shared" si="102"/>
        <v>B737-800</v>
      </c>
      <c r="O325" s="36">
        <f t="shared" si="102"/>
        <v>189</v>
      </c>
      <c r="P325" s="36" t="str">
        <f t="shared" si="102"/>
        <v>ORD</v>
      </c>
      <c r="R325">
        <v>311</v>
      </c>
      <c r="S325" s="36" t="str">
        <f t="shared" si="85"/>
        <v>MEXICO AEREO</v>
      </c>
      <c r="T325" s="36">
        <f t="shared" si="85"/>
        <v>2027</v>
      </c>
      <c r="U325" s="83">
        <v>0.37152777777777773</v>
      </c>
      <c r="V325" s="84">
        <v>0.37222222222222223</v>
      </c>
      <c r="W325" s="85">
        <v>6.9444444444449749E-4</v>
      </c>
      <c r="X325" s="84">
        <v>0.3743055555555555</v>
      </c>
      <c r="Y325" s="85">
        <v>2.0833333333332704E-3</v>
      </c>
      <c r="Z325" s="86">
        <v>41735</v>
      </c>
      <c r="AA325" s="36" t="str">
        <f t="shared" si="101"/>
        <v>Nacional</v>
      </c>
      <c r="AB325" s="36">
        <f t="shared" si="101"/>
        <v>8.8888888888889132E-3</v>
      </c>
      <c r="AC325" s="36">
        <f t="shared" si="101"/>
        <v>5.5555555555555471E-3</v>
      </c>
      <c r="AD325" s="36">
        <f t="shared" si="101"/>
        <v>1.4444444444444461E-2</v>
      </c>
      <c r="AE325" s="36" t="str">
        <f t="shared" si="101"/>
        <v>ER4</v>
      </c>
      <c r="AF325" s="36">
        <f t="shared" si="101"/>
        <v>50</v>
      </c>
      <c r="AG325" s="36" t="str">
        <f t="shared" si="101"/>
        <v>PVR</v>
      </c>
      <c r="AI325">
        <v>311</v>
      </c>
      <c r="AJ325" s="77" t="str">
        <f t="shared" si="94"/>
        <v>MEXICO AEREO</v>
      </c>
      <c r="AK325" s="77">
        <f t="shared" si="94"/>
        <v>2029</v>
      </c>
      <c r="AL325" s="78">
        <v>0.60416666666666663</v>
      </c>
      <c r="AM325" s="79">
        <v>0.61041666666666672</v>
      </c>
      <c r="AN325" s="80">
        <v>6.2500000000000888E-3</v>
      </c>
      <c r="AO325" s="79">
        <v>0.61111111111111105</v>
      </c>
      <c r="AP325" s="80">
        <v>6.9444444444433095E-4</v>
      </c>
      <c r="AQ325" s="81">
        <v>41810</v>
      </c>
      <c r="AR325" s="77" t="str">
        <f t="shared" si="98"/>
        <v>Nacional</v>
      </c>
      <c r="AS325" s="77">
        <f t="shared" si="98"/>
        <v>6.8181818181818118E-3</v>
      </c>
      <c r="AT325" s="77">
        <f t="shared" si="98"/>
        <v>6.8181818181818092E-3</v>
      </c>
      <c r="AU325" s="77">
        <f t="shared" si="98"/>
        <v>1.363636363636362E-2</v>
      </c>
      <c r="AV325" s="77" t="str">
        <f t="shared" si="98"/>
        <v>ER4</v>
      </c>
      <c r="AW325" s="77">
        <f t="shared" si="98"/>
        <v>50</v>
      </c>
      <c r="AX325" s="77" t="str">
        <f t="shared" si="98"/>
        <v>MTY</v>
      </c>
    </row>
    <row r="326" spans="1:50" x14ac:dyDescent="0.25">
      <c r="A326">
        <v>312</v>
      </c>
      <c r="B326" s="36" t="str">
        <f t="shared" si="89"/>
        <v>MEXICO AEREO</v>
      </c>
      <c r="C326" s="36">
        <f t="shared" si="89"/>
        <v>661</v>
      </c>
      <c r="D326" s="74">
        <v>0.25347222222222221</v>
      </c>
      <c r="E326" s="74">
        <v>0.26250000000000001</v>
      </c>
      <c r="F326" s="75">
        <v>9.0277777777778012E-3</v>
      </c>
      <c r="G326" s="74">
        <v>0.27708333333333335</v>
      </c>
      <c r="H326" s="75">
        <v>1.4583333333333337E-2</v>
      </c>
      <c r="I326" s="76">
        <v>41719</v>
      </c>
      <c r="J326" s="36" t="str">
        <f t="shared" si="102"/>
        <v>Internacional</v>
      </c>
      <c r="K326" s="36">
        <f t="shared" si="102"/>
        <v>9.1435185185185109E-3</v>
      </c>
      <c r="L326" s="36">
        <f t="shared" si="102"/>
        <v>1.7708333333333336E-2</v>
      </c>
      <c r="M326" s="36">
        <f t="shared" si="102"/>
        <v>2.6851851851851849E-2</v>
      </c>
      <c r="N326" s="36" t="str">
        <f t="shared" si="102"/>
        <v>B737-800</v>
      </c>
      <c r="O326" s="36">
        <f t="shared" si="102"/>
        <v>189</v>
      </c>
      <c r="P326" s="36" t="str">
        <f t="shared" si="102"/>
        <v>ORD</v>
      </c>
      <c r="R326">
        <v>312</v>
      </c>
      <c r="S326" s="36" t="str">
        <f t="shared" si="85"/>
        <v>MEXICO AEREO</v>
      </c>
      <c r="T326" s="55">
        <v>2024</v>
      </c>
      <c r="U326" s="56">
        <v>0.47569444444444442</v>
      </c>
      <c r="V326" s="57">
        <v>0.4826388888888889</v>
      </c>
      <c r="W326" s="58">
        <v>6.9444444444444753E-3</v>
      </c>
      <c r="X326" s="57">
        <v>0.48402777777777778</v>
      </c>
      <c r="Y326" s="58">
        <v>1.388888888888884E-3</v>
      </c>
      <c r="Z326" s="59">
        <v>41759</v>
      </c>
      <c r="AA326" s="60" t="s">
        <v>19</v>
      </c>
      <c r="AB326" s="61">
        <v>8.6640211640211778E-3</v>
      </c>
      <c r="AC326" s="61">
        <v>3.7367724867724788E-3</v>
      </c>
      <c r="AD326" s="62">
        <v>1.2400793650793657E-2</v>
      </c>
      <c r="AE326" s="109" t="s">
        <v>20</v>
      </c>
      <c r="AF326" s="109">
        <v>50</v>
      </c>
      <c r="AG326" s="109" t="s">
        <v>29</v>
      </c>
      <c r="AI326">
        <v>312</v>
      </c>
      <c r="AJ326" s="77" t="str">
        <f t="shared" si="94"/>
        <v>MEXICO AEREO</v>
      </c>
      <c r="AK326" s="77">
        <f t="shared" si="94"/>
        <v>2029</v>
      </c>
      <c r="AL326" s="78">
        <v>0.60416666666666663</v>
      </c>
      <c r="AM326" s="79">
        <v>0.61041666666666672</v>
      </c>
      <c r="AN326" s="80">
        <v>6.2500000000000888E-3</v>
      </c>
      <c r="AO326" s="79">
        <v>0.61111111111111105</v>
      </c>
      <c r="AP326" s="80">
        <v>6.9444444444433095E-4</v>
      </c>
      <c r="AQ326" s="81">
        <v>41810</v>
      </c>
      <c r="AR326" s="77" t="str">
        <f t="shared" si="98"/>
        <v>Nacional</v>
      </c>
      <c r="AS326" s="77">
        <f t="shared" si="98"/>
        <v>6.8181818181818118E-3</v>
      </c>
      <c r="AT326" s="77">
        <f t="shared" si="98"/>
        <v>6.8181818181818092E-3</v>
      </c>
      <c r="AU326" s="77">
        <f t="shared" si="98"/>
        <v>1.363636363636362E-2</v>
      </c>
      <c r="AV326" s="77" t="str">
        <f t="shared" si="98"/>
        <v>ER4</v>
      </c>
      <c r="AW326" s="77">
        <f t="shared" si="98"/>
        <v>50</v>
      </c>
      <c r="AX326" s="77" t="str">
        <f t="shared" si="98"/>
        <v>MTY</v>
      </c>
    </row>
    <row r="327" spans="1:50" x14ac:dyDescent="0.25">
      <c r="A327">
        <v>313</v>
      </c>
      <c r="B327" s="36" t="str">
        <f t="shared" si="89"/>
        <v>MEXICO AEREO</v>
      </c>
      <c r="C327" s="36">
        <f t="shared" si="89"/>
        <v>661</v>
      </c>
      <c r="D327" s="74">
        <v>0.25694444444444448</v>
      </c>
      <c r="E327" s="74">
        <v>0.26041666666666669</v>
      </c>
      <c r="F327" s="75">
        <v>3.4722222222222099E-3</v>
      </c>
      <c r="G327" s="74">
        <v>0.28819444444444448</v>
      </c>
      <c r="H327" s="75">
        <v>2.777777777777779E-2</v>
      </c>
      <c r="I327" s="76">
        <v>41719</v>
      </c>
      <c r="J327" s="36" t="str">
        <f t="shared" si="102"/>
        <v>Internacional</v>
      </c>
      <c r="K327" s="36">
        <f t="shared" si="102"/>
        <v>9.1435185185185109E-3</v>
      </c>
      <c r="L327" s="36">
        <f t="shared" si="102"/>
        <v>1.7708333333333336E-2</v>
      </c>
      <c r="M327" s="36">
        <f t="shared" si="102"/>
        <v>2.6851851851851849E-2</v>
      </c>
      <c r="N327" s="36" t="str">
        <f t="shared" si="102"/>
        <v>B737-800</v>
      </c>
      <c r="O327" s="36">
        <f t="shared" si="102"/>
        <v>189</v>
      </c>
      <c r="P327" s="36" t="str">
        <f t="shared" si="102"/>
        <v>ORD</v>
      </c>
      <c r="R327">
        <v>313</v>
      </c>
      <c r="S327" s="36" t="str">
        <f t="shared" si="85"/>
        <v>MEXICO AEREO</v>
      </c>
      <c r="T327" s="36">
        <f t="shared" si="85"/>
        <v>2024</v>
      </c>
      <c r="U327" s="73">
        <v>0.68541666666666667</v>
      </c>
      <c r="V327" s="74">
        <v>0.69027777777777777</v>
      </c>
      <c r="W327" s="75">
        <v>4.8611111111110938E-3</v>
      </c>
      <c r="X327" s="74">
        <v>0.69236111111111109</v>
      </c>
      <c r="Y327" s="75">
        <v>2.0833333333333259E-3</v>
      </c>
      <c r="Z327" s="76">
        <v>41736</v>
      </c>
      <c r="AA327" s="36" t="str">
        <f t="shared" ref="AA327:AG346" si="103">AA326</f>
        <v>Nacional</v>
      </c>
      <c r="AB327" s="36">
        <f t="shared" si="103"/>
        <v>8.6640211640211778E-3</v>
      </c>
      <c r="AC327" s="36">
        <f t="shared" si="103"/>
        <v>3.7367724867724788E-3</v>
      </c>
      <c r="AD327" s="36">
        <f t="shared" si="103"/>
        <v>1.2400793650793657E-2</v>
      </c>
      <c r="AE327" s="36" t="str">
        <f t="shared" si="103"/>
        <v>ER4</v>
      </c>
      <c r="AF327" s="36">
        <f t="shared" si="103"/>
        <v>50</v>
      </c>
      <c r="AG327" s="36" t="str">
        <f t="shared" si="103"/>
        <v>PVR</v>
      </c>
      <c r="AI327">
        <v>313</v>
      </c>
      <c r="AJ327" s="77" t="str">
        <f t="shared" si="94"/>
        <v>MEXICO AEREO</v>
      </c>
      <c r="AK327" s="77">
        <f t="shared" si="94"/>
        <v>2029</v>
      </c>
      <c r="AL327" s="78">
        <v>0.6972222222222223</v>
      </c>
      <c r="AM327" s="79">
        <v>0.7006944444444444</v>
      </c>
      <c r="AN327" s="80">
        <v>3.4722222222220989E-3</v>
      </c>
      <c r="AO327" s="79">
        <v>0.70208333333333339</v>
      </c>
      <c r="AP327" s="80">
        <v>1.388888888888995E-3</v>
      </c>
      <c r="AQ327" s="81">
        <v>41811</v>
      </c>
      <c r="AR327" s="77" t="str">
        <f t="shared" si="98"/>
        <v>Nacional</v>
      </c>
      <c r="AS327" s="77">
        <f t="shared" si="98"/>
        <v>6.8181818181818118E-3</v>
      </c>
      <c r="AT327" s="77">
        <f t="shared" si="98"/>
        <v>6.8181818181818092E-3</v>
      </c>
      <c r="AU327" s="77">
        <f t="shared" si="98"/>
        <v>1.363636363636362E-2</v>
      </c>
      <c r="AV327" s="77" t="str">
        <f t="shared" si="98"/>
        <v>ER4</v>
      </c>
      <c r="AW327" s="77">
        <f t="shared" si="98"/>
        <v>50</v>
      </c>
      <c r="AX327" s="77" t="str">
        <f t="shared" si="98"/>
        <v>MTY</v>
      </c>
    </row>
    <row r="328" spans="1:50" ht="15.75" thickBot="1" x14ac:dyDescent="0.3">
      <c r="A328">
        <v>314</v>
      </c>
      <c r="B328" s="36" t="str">
        <f t="shared" si="89"/>
        <v>MEXICO AEREO</v>
      </c>
      <c r="C328" s="36">
        <f t="shared" si="89"/>
        <v>661</v>
      </c>
      <c r="D328" s="74">
        <v>0.26666666666666666</v>
      </c>
      <c r="E328" s="74">
        <v>0.27361111111111108</v>
      </c>
      <c r="F328" s="75">
        <v>6.9444444444444198E-3</v>
      </c>
      <c r="G328" s="74">
        <v>0.29236111111111113</v>
      </c>
      <c r="H328" s="75">
        <v>1.8750000000000044E-2</v>
      </c>
      <c r="I328" s="76">
        <v>41721</v>
      </c>
      <c r="J328" s="36" t="str">
        <f t="shared" si="102"/>
        <v>Internacional</v>
      </c>
      <c r="K328" s="36">
        <f t="shared" si="102"/>
        <v>9.1435185185185109E-3</v>
      </c>
      <c r="L328" s="36">
        <f t="shared" si="102"/>
        <v>1.7708333333333336E-2</v>
      </c>
      <c r="M328" s="36">
        <f t="shared" si="102"/>
        <v>2.6851851851851849E-2</v>
      </c>
      <c r="N328" s="36" t="str">
        <f t="shared" si="102"/>
        <v>B737-800</v>
      </c>
      <c r="O328" s="36">
        <f t="shared" si="102"/>
        <v>189</v>
      </c>
      <c r="P328" s="36" t="str">
        <f t="shared" si="102"/>
        <v>ORD</v>
      </c>
      <c r="R328">
        <v>314</v>
      </c>
      <c r="S328" s="36" t="str">
        <f t="shared" si="85"/>
        <v>MEXICO AEREO</v>
      </c>
      <c r="T328" s="36">
        <f t="shared" si="85"/>
        <v>2024</v>
      </c>
      <c r="U328" s="73">
        <v>0.66666666666666663</v>
      </c>
      <c r="V328" s="74">
        <v>0.67361111111111116</v>
      </c>
      <c r="W328" s="75">
        <v>6.9444444444445308E-3</v>
      </c>
      <c r="X328" s="74">
        <v>0.68125000000000002</v>
      </c>
      <c r="Y328" s="75">
        <v>7.6388888888888618E-3</v>
      </c>
      <c r="Z328" s="76">
        <v>41737</v>
      </c>
      <c r="AA328" s="36" t="str">
        <f t="shared" si="103"/>
        <v>Nacional</v>
      </c>
      <c r="AB328" s="36">
        <f t="shared" si="103"/>
        <v>8.6640211640211778E-3</v>
      </c>
      <c r="AC328" s="36">
        <f t="shared" si="103"/>
        <v>3.7367724867724788E-3</v>
      </c>
      <c r="AD328" s="36">
        <f t="shared" si="103"/>
        <v>1.2400793650793657E-2</v>
      </c>
      <c r="AE328" s="36" t="str">
        <f t="shared" si="103"/>
        <v>ER4</v>
      </c>
      <c r="AF328" s="36">
        <f t="shared" si="103"/>
        <v>50</v>
      </c>
      <c r="AG328" s="36" t="str">
        <f t="shared" si="103"/>
        <v>PVR</v>
      </c>
      <c r="AI328">
        <v>314</v>
      </c>
      <c r="AJ328" s="77" t="str">
        <f t="shared" si="94"/>
        <v>MEXICO AEREO</v>
      </c>
      <c r="AK328" s="77">
        <f t="shared" si="94"/>
        <v>2029</v>
      </c>
      <c r="AL328" s="94">
        <v>0.60555555555555551</v>
      </c>
      <c r="AM328" s="95">
        <v>0.60763888888888895</v>
      </c>
      <c r="AN328" s="96">
        <v>2.083333333333437E-3</v>
      </c>
      <c r="AO328" s="95">
        <v>0.61458333333333337</v>
      </c>
      <c r="AP328" s="96">
        <v>6.9444444444444198E-3</v>
      </c>
      <c r="AQ328" s="97">
        <v>41813</v>
      </c>
      <c r="AR328" s="77" t="str">
        <f t="shared" si="98"/>
        <v>Nacional</v>
      </c>
      <c r="AS328" s="77">
        <f t="shared" si="98"/>
        <v>6.8181818181818118E-3</v>
      </c>
      <c r="AT328" s="77">
        <f t="shared" si="98"/>
        <v>6.8181818181818092E-3</v>
      </c>
      <c r="AU328" s="77">
        <f t="shared" si="98"/>
        <v>1.363636363636362E-2</v>
      </c>
      <c r="AV328" s="77" t="str">
        <f t="shared" si="98"/>
        <v>ER4</v>
      </c>
      <c r="AW328" s="77">
        <f t="shared" si="98"/>
        <v>50</v>
      </c>
      <c r="AX328" s="77" t="str">
        <f t="shared" si="98"/>
        <v>MTY</v>
      </c>
    </row>
    <row r="329" spans="1:50" x14ac:dyDescent="0.25">
      <c r="A329">
        <v>315</v>
      </c>
      <c r="B329" s="36" t="str">
        <f t="shared" si="89"/>
        <v>MEXICO AEREO</v>
      </c>
      <c r="C329" s="36">
        <f t="shared" si="89"/>
        <v>661</v>
      </c>
      <c r="D329" s="74">
        <v>0.28263888888888888</v>
      </c>
      <c r="E329" s="74">
        <v>0.29097222222222224</v>
      </c>
      <c r="F329" s="75">
        <v>8.3333333333333592E-3</v>
      </c>
      <c r="G329" s="74">
        <v>0.30486111111111108</v>
      </c>
      <c r="H329" s="75">
        <v>1.388888888888884E-2</v>
      </c>
      <c r="I329" s="76">
        <v>41722</v>
      </c>
      <c r="J329" s="36" t="str">
        <f t="shared" si="102"/>
        <v>Internacional</v>
      </c>
      <c r="K329" s="36">
        <f t="shared" si="102"/>
        <v>9.1435185185185109E-3</v>
      </c>
      <c r="L329" s="36">
        <f t="shared" si="102"/>
        <v>1.7708333333333336E-2</v>
      </c>
      <c r="M329" s="36">
        <f t="shared" si="102"/>
        <v>2.6851851851851849E-2</v>
      </c>
      <c r="N329" s="36" t="str">
        <f t="shared" si="102"/>
        <v>B737-800</v>
      </c>
      <c r="O329" s="36">
        <f t="shared" si="102"/>
        <v>189</v>
      </c>
      <c r="P329" s="36" t="str">
        <f t="shared" si="102"/>
        <v>ORD</v>
      </c>
      <c r="R329">
        <v>315</v>
      </c>
      <c r="S329" s="36" t="str">
        <f t="shared" si="85"/>
        <v>MEXICO AEREO</v>
      </c>
      <c r="T329" s="36">
        <f t="shared" si="85"/>
        <v>2024</v>
      </c>
      <c r="U329" s="73">
        <v>0.67361111111111116</v>
      </c>
      <c r="V329" s="74">
        <v>0.67569444444444438</v>
      </c>
      <c r="W329" s="75">
        <v>2.0833333333332149E-3</v>
      </c>
      <c r="X329" s="74">
        <v>0.67708333333333337</v>
      </c>
      <c r="Y329" s="75">
        <v>1.388888888888995E-3</v>
      </c>
      <c r="Z329" s="76">
        <v>41738</v>
      </c>
      <c r="AA329" s="36" t="str">
        <f t="shared" si="103"/>
        <v>Nacional</v>
      </c>
      <c r="AB329" s="36">
        <f t="shared" si="103"/>
        <v>8.6640211640211778E-3</v>
      </c>
      <c r="AC329" s="36">
        <f t="shared" si="103"/>
        <v>3.7367724867724788E-3</v>
      </c>
      <c r="AD329" s="36">
        <f t="shared" si="103"/>
        <v>1.2400793650793657E-2</v>
      </c>
      <c r="AE329" s="36" t="str">
        <f t="shared" si="103"/>
        <v>ER4</v>
      </c>
      <c r="AF329" s="36">
        <f t="shared" si="103"/>
        <v>50</v>
      </c>
      <c r="AG329" s="36" t="str">
        <f t="shared" si="103"/>
        <v>PVR</v>
      </c>
      <c r="AI329">
        <v>315</v>
      </c>
      <c r="AJ329" s="77" t="str">
        <f t="shared" si="94"/>
        <v>MEXICO AEREO</v>
      </c>
      <c r="AK329" s="63">
        <v>2028</v>
      </c>
      <c r="AL329" s="64">
        <v>0.75208333333333333</v>
      </c>
      <c r="AM329" s="65">
        <v>0.79375000000000007</v>
      </c>
      <c r="AN329" s="66">
        <v>4.1666666666666741E-2</v>
      </c>
      <c r="AO329" s="65">
        <v>0.79513888888888884</v>
      </c>
      <c r="AP329" s="66">
        <v>1.3888888888887729E-3</v>
      </c>
      <c r="AQ329" s="67">
        <v>41799</v>
      </c>
      <c r="AR329" s="68" t="s">
        <v>19</v>
      </c>
      <c r="AS329" s="69">
        <v>9.9747474747474956E-3</v>
      </c>
      <c r="AT329" s="70">
        <v>5.6186868686868433E-3</v>
      </c>
      <c r="AU329" s="70">
        <v>1.559343434343434E-2</v>
      </c>
      <c r="AV329" s="71" t="s">
        <v>20</v>
      </c>
      <c r="AW329" s="71">
        <v>50</v>
      </c>
      <c r="AX329" s="72" t="s">
        <v>28</v>
      </c>
    </row>
    <row r="330" spans="1:50" x14ac:dyDescent="0.25">
      <c r="A330">
        <v>316</v>
      </c>
      <c r="B330" s="36" t="str">
        <f t="shared" si="89"/>
        <v>MEXICO AEREO</v>
      </c>
      <c r="C330" s="36">
        <f t="shared" si="89"/>
        <v>661</v>
      </c>
      <c r="D330" s="74">
        <v>0.27777777777777779</v>
      </c>
      <c r="E330" s="74">
        <v>0.28472222222222221</v>
      </c>
      <c r="F330" s="75">
        <v>6.9444444444444198E-3</v>
      </c>
      <c r="G330" s="74">
        <v>0.3</v>
      </c>
      <c r="H330" s="75">
        <v>1.5277777777777779E-2</v>
      </c>
      <c r="I330" s="76">
        <v>41723</v>
      </c>
      <c r="J330" s="36" t="str">
        <f t="shared" si="102"/>
        <v>Internacional</v>
      </c>
      <c r="K330" s="36">
        <f t="shared" si="102"/>
        <v>9.1435185185185109E-3</v>
      </c>
      <c r="L330" s="36">
        <f t="shared" si="102"/>
        <v>1.7708333333333336E-2</v>
      </c>
      <c r="M330" s="36">
        <f t="shared" si="102"/>
        <v>2.6851851851851849E-2</v>
      </c>
      <c r="N330" s="36" t="str">
        <f t="shared" si="102"/>
        <v>B737-800</v>
      </c>
      <c r="O330" s="36">
        <f t="shared" si="102"/>
        <v>189</v>
      </c>
      <c r="P330" s="36" t="str">
        <f t="shared" si="102"/>
        <v>ORD</v>
      </c>
      <c r="R330">
        <v>316</v>
      </c>
      <c r="S330" s="36" t="str">
        <f t="shared" si="85"/>
        <v>MEXICO AEREO</v>
      </c>
      <c r="T330" s="36">
        <f t="shared" si="85"/>
        <v>2024</v>
      </c>
      <c r="U330" s="73">
        <v>0.66666666666666663</v>
      </c>
      <c r="V330" s="74">
        <v>0.67152777777777783</v>
      </c>
      <c r="W330" s="75">
        <v>4.8611111111112049E-3</v>
      </c>
      <c r="X330" s="74">
        <v>0.67361111111111116</v>
      </c>
      <c r="Y330" s="75">
        <v>2.0833333333333259E-3</v>
      </c>
      <c r="Z330" s="76">
        <v>41739</v>
      </c>
      <c r="AA330" s="36" t="str">
        <f t="shared" si="103"/>
        <v>Nacional</v>
      </c>
      <c r="AB330" s="36">
        <f t="shared" si="103"/>
        <v>8.6640211640211778E-3</v>
      </c>
      <c r="AC330" s="36">
        <f t="shared" si="103"/>
        <v>3.7367724867724788E-3</v>
      </c>
      <c r="AD330" s="36">
        <f t="shared" si="103"/>
        <v>1.2400793650793657E-2</v>
      </c>
      <c r="AE330" s="36" t="str">
        <f t="shared" si="103"/>
        <v>ER4</v>
      </c>
      <c r="AF330" s="36">
        <f t="shared" si="103"/>
        <v>50</v>
      </c>
      <c r="AG330" s="36" t="str">
        <f t="shared" si="103"/>
        <v>PVR</v>
      </c>
      <c r="AI330">
        <v>316</v>
      </c>
      <c r="AJ330" s="77" t="str">
        <f t="shared" si="94"/>
        <v>MEXICO AEREO</v>
      </c>
      <c r="AK330" s="77">
        <f t="shared" si="94"/>
        <v>2028</v>
      </c>
      <c r="AL330" s="78">
        <v>0.70416666666666661</v>
      </c>
      <c r="AM330" s="79">
        <v>0.70833333333333337</v>
      </c>
      <c r="AN330" s="80">
        <v>4.1666666666667629E-3</v>
      </c>
      <c r="AO330" s="79">
        <v>0.71458333333333324</v>
      </c>
      <c r="AP330" s="80">
        <v>6.2499999999998668E-3</v>
      </c>
      <c r="AQ330" s="81">
        <v>41801</v>
      </c>
      <c r="AR330" s="77" t="str">
        <f t="shared" ref="AR330:AX339" si="104">AR329</f>
        <v>Nacional</v>
      </c>
      <c r="AS330" s="77">
        <f t="shared" si="104"/>
        <v>9.9747474747474956E-3</v>
      </c>
      <c r="AT330" s="77">
        <f t="shared" si="104"/>
        <v>5.6186868686868433E-3</v>
      </c>
      <c r="AU330" s="77">
        <f t="shared" si="104"/>
        <v>1.559343434343434E-2</v>
      </c>
      <c r="AV330" s="77" t="str">
        <f t="shared" si="104"/>
        <v>ER4</v>
      </c>
      <c r="AW330" s="77">
        <f t="shared" si="104"/>
        <v>50</v>
      </c>
      <c r="AX330" s="77" t="str">
        <f t="shared" si="104"/>
        <v>MTY</v>
      </c>
    </row>
    <row r="331" spans="1:50" x14ac:dyDescent="0.25">
      <c r="A331">
        <v>317</v>
      </c>
      <c r="B331" s="36" t="str">
        <f t="shared" si="89"/>
        <v>MEXICO AEREO</v>
      </c>
      <c r="C331" s="36">
        <f t="shared" si="89"/>
        <v>661</v>
      </c>
      <c r="D331" s="74">
        <v>0.26041666666666669</v>
      </c>
      <c r="E331" s="74">
        <v>0.2673611111111111</v>
      </c>
      <c r="F331" s="75">
        <v>6.9444444444444198E-3</v>
      </c>
      <c r="G331" s="74">
        <v>0.28055555555555556</v>
      </c>
      <c r="H331" s="75">
        <v>1.3194444444444453E-2</v>
      </c>
      <c r="I331" s="76">
        <v>41724</v>
      </c>
      <c r="J331" s="36" t="str">
        <f t="shared" si="102"/>
        <v>Internacional</v>
      </c>
      <c r="K331" s="36">
        <f t="shared" si="102"/>
        <v>9.1435185185185109E-3</v>
      </c>
      <c r="L331" s="36">
        <f t="shared" si="102"/>
        <v>1.7708333333333336E-2</v>
      </c>
      <c r="M331" s="36">
        <f t="shared" si="102"/>
        <v>2.6851851851851849E-2</v>
      </c>
      <c r="N331" s="36" t="str">
        <f t="shared" si="102"/>
        <v>B737-800</v>
      </c>
      <c r="O331" s="36">
        <f t="shared" si="102"/>
        <v>189</v>
      </c>
      <c r="P331" s="36" t="str">
        <f t="shared" si="102"/>
        <v>ORD</v>
      </c>
      <c r="R331">
        <v>317</v>
      </c>
      <c r="S331" s="36" t="str">
        <f t="shared" si="85"/>
        <v>MEXICO AEREO</v>
      </c>
      <c r="T331" s="36">
        <f t="shared" si="85"/>
        <v>2024</v>
      </c>
      <c r="U331" s="73">
        <v>0.61805555555555558</v>
      </c>
      <c r="V331" s="74">
        <v>0.63541666666666663</v>
      </c>
      <c r="W331" s="75">
        <v>1.7361111111111049E-2</v>
      </c>
      <c r="X331" s="74">
        <v>0.63750000000000007</v>
      </c>
      <c r="Y331" s="75">
        <v>2.083333333333437E-3</v>
      </c>
      <c r="Z331" s="76">
        <v>41741</v>
      </c>
      <c r="AA331" s="36" t="str">
        <f t="shared" si="103"/>
        <v>Nacional</v>
      </c>
      <c r="AB331" s="36">
        <f t="shared" si="103"/>
        <v>8.6640211640211778E-3</v>
      </c>
      <c r="AC331" s="36">
        <f t="shared" si="103"/>
        <v>3.7367724867724788E-3</v>
      </c>
      <c r="AD331" s="36">
        <f t="shared" si="103"/>
        <v>1.2400793650793657E-2</v>
      </c>
      <c r="AE331" s="36" t="str">
        <f t="shared" si="103"/>
        <v>ER4</v>
      </c>
      <c r="AF331" s="36">
        <f t="shared" si="103"/>
        <v>50</v>
      </c>
      <c r="AG331" s="36" t="str">
        <f t="shared" si="103"/>
        <v>PVR</v>
      </c>
      <c r="AI331">
        <v>317</v>
      </c>
      <c r="AJ331" s="77" t="str">
        <f t="shared" si="94"/>
        <v>MEXICO AEREO</v>
      </c>
      <c r="AK331" s="77">
        <f t="shared" si="94"/>
        <v>2028</v>
      </c>
      <c r="AL331" s="78">
        <v>0.43333333333333335</v>
      </c>
      <c r="AM331" s="79">
        <v>0.43611111111111112</v>
      </c>
      <c r="AN331" s="80">
        <v>2.7777777777777679E-3</v>
      </c>
      <c r="AO331" s="79">
        <v>0.4375</v>
      </c>
      <c r="AP331" s="80">
        <v>1.388888888888884E-3</v>
      </c>
      <c r="AQ331" s="81">
        <v>41801</v>
      </c>
      <c r="AR331" s="77" t="str">
        <f t="shared" si="104"/>
        <v>Nacional</v>
      </c>
      <c r="AS331" s="77">
        <f t="shared" si="104"/>
        <v>9.9747474747474956E-3</v>
      </c>
      <c r="AT331" s="77">
        <f t="shared" si="104"/>
        <v>5.6186868686868433E-3</v>
      </c>
      <c r="AU331" s="77">
        <f t="shared" si="104"/>
        <v>1.559343434343434E-2</v>
      </c>
      <c r="AV331" s="77" t="str">
        <f t="shared" si="104"/>
        <v>ER4</v>
      </c>
      <c r="AW331" s="77">
        <f t="shared" si="104"/>
        <v>50</v>
      </c>
      <c r="AX331" s="77" t="str">
        <f t="shared" si="104"/>
        <v>MTY</v>
      </c>
    </row>
    <row r="332" spans="1:50" x14ac:dyDescent="0.25">
      <c r="A332">
        <v>318</v>
      </c>
      <c r="B332" s="36" t="str">
        <f t="shared" si="89"/>
        <v>MEXICO AEREO</v>
      </c>
      <c r="C332" s="36">
        <f t="shared" si="89"/>
        <v>661</v>
      </c>
      <c r="D332" s="74">
        <v>0.25347222222222221</v>
      </c>
      <c r="E332" s="74">
        <v>0.26250000000000001</v>
      </c>
      <c r="F332" s="75">
        <v>9.0277777777778012E-3</v>
      </c>
      <c r="G332" s="74">
        <v>0.28125</v>
      </c>
      <c r="H332" s="75">
        <v>1.8749999999999989E-2</v>
      </c>
      <c r="I332" s="76">
        <v>41724</v>
      </c>
      <c r="J332" s="36" t="str">
        <f t="shared" si="102"/>
        <v>Internacional</v>
      </c>
      <c r="K332" s="36">
        <f t="shared" si="102"/>
        <v>9.1435185185185109E-3</v>
      </c>
      <c r="L332" s="36">
        <f t="shared" si="102"/>
        <v>1.7708333333333336E-2</v>
      </c>
      <c r="M332" s="36">
        <f t="shared" si="102"/>
        <v>2.6851851851851849E-2</v>
      </c>
      <c r="N332" s="36" t="str">
        <f t="shared" si="102"/>
        <v>B737-800</v>
      </c>
      <c r="O332" s="36">
        <f t="shared" si="102"/>
        <v>189</v>
      </c>
      <c r="P332" s="36" t="str">
        <f t="shared" si="102"/>
        <v>ORD</v>
      </c>
      <c r="R332">
        <v>318</v>
      </c>
      <c r="S332" s="36" t="str">
        <f t="shared" si="85"/>
        <v>MEXICO AEREO</v>
      </c>
      <c r="T332" s="36">
        <f t="shared" si="85"/>
        <v>2024</v>
      </c>
      <c r="U332" s="73">
        <v>0.79305555555555562</v>
      </c>
      <c r="V332" s="74">
        <v>0.7993055555555556</v>
      </c>
      <c r="W332" s="75">
        <v>6.2499999999999778E-3</v>
      </c>
      <c r="X332" s="74">
        <v>0.80208333333333337</v>
      </c>
      <c r="Y332" s="75">
        <v>2.7777777777777679E-3</v>
      </c>
      <c r="Z332" s="76">
        <v>41741</v>
      </c>
      <c r="AA332" s="36" t="str">
        <f t="shared" si="103"/>
        <v>Nacional</v>
      </c>
      <c r="AB332" s="36">
        <f t="shared" si="103"/>
        <v>8.6640211640211778E-3</v>
      </c>
      <c r="AC332" s="36">
        <f t="shared" si="103"/>
        <v>3.7367724867724788E-3</v>
      </c>
      <c r="AD332" s="36">
        <f t="shared" si="103"/>
        <v>1.2400793650793657E-2</v>
      </c>
      <c r="AE332" s="36" t="str">
        <f t="shared" si="103"/>
        <v>ER4</v>
      </c>
      <c r="AF332" s="36">
        <f t="shared" si="103"/>
        <v>50</v>
      </c>
      <c r="AG332" s="36" t="str">
        <f t="shared" si="103"/>
        <v>PVR</v>
      </c>
      <c r="AI332">
        <v>318</v>
      </c>
      <c r="AJ332" s="77" t="str">
        <f t="shared" si="94"/>
        <v>MEXICO AEREO</v>
      </c>
      <c r="AK332" s="77">
        <f t="shared" si="94"/>
        <v>2028</v>
      </c>
      <c r="AL332" s="78">
        <v>0.25347222222222221</v>
      </c>
      <c r="AM332" s="79">
        <v>0.26874999999999999</v>
      </c>
      <c r="AN332" s="80">
        <v>1.5277777777777779E-2</v>
      </c>
      <c r="AO332" s="79">
        <v>0.27777777777777779</v>
      </c>
      <c r="AP332" s="80">
        <v>9.0277777777778012E-3</v>
      </c>
      <c r="AQ332" s="81">
        <v>41802</v>
      </c>
      <c r="AR332" s="77" t="str">
        <f t="shared" si="104"/>
        <v>Nacional</v>
      </c>
      <c r="AS332" s="77">
        <f t="shared" si="104"/>
        <v>9.9747474747474956E-3</v>
      </c>
      <c r="AT332" s="77">
        <f t="shared" si="104"/>
        <v>5.6186868686868433E-3</v>
      </c>
      <c r="AU332" s="77">
        <f t="shared" si="104"/>
        <v>1.559343434343434E-2</v>
      </c>
      <c r="AV332" s="77" t="str">
        <f t="shared" si="104"/>
        <v>ER4</v>
      </c>
      <c r="AW332" s="77">
        <f t="shared" si="104"/>
        <v>50</v>
      </c>
      <c r="AX332" s="77" t="str">
        <f t="shared" si="104"/>
        <v>MTY</v>
      </c>
    </row>
    <row r="333" spans="1:50" ht="15.75" thickBot="1" x14ac:dyDescent="0.3">
      <c r="A333">
        <v>319</v>
      </c>
      <c r="B333" s="36" t="str">
        <f t="shared" si="89"/>
        <v>MEXICO AEREO</v>
      </c>
      <c r="C333" s="36">
        <f t="shared" si="89"/>
        <v>661</v>
      </c>
      <c r="D333" s="84">
        <v>0.24374999999999999</v>
      </c>
      <c r="E333" s="84">
        <v>0.25347222222222221</v>
      </c>
      <c r="F333" s="85">
        <v>9.7222222222222154E-3</v>
      </c>
      <c r="G333" s="84">
        <v>0.28194444444444444</v>
      </c>
      <c r="H333" s="85">
        <v>2.8472222222222232E-2</v>
      </c>
      <c r="I333" s="86">
        <v>41727</v>
      </c>
      <c r="J333" s="36" t="str">
        <f t="shared" si="102"/>
        <v>Internacional</v>
      </c>
      <c r="K333" s="36">
        <f t="shared" si="102"/>
        <v>9.1435185185185109E-3</v>
      </c>
      <c r="L333" s="36">
        <f t="shared" si="102"/>
        <v>1.7708333333333336E-2</v>
      </c>
      <c r="M333" s="36">
        <f t="shared" si="102"/>
        <v>2.6851851851851849E-2</v>
      </c>
      <c r="N333" s="36" t="str">
        <f t="shared" si="102"/>
        <v>B737-800</v>
      </c>
      <c r="O333" s="36">
        <f t="shared" si="102"/>
        <v>189</v>
      </c>
      <c r="P333" s="36" t="str">
        <f t="shared" si="102"/>
        <v>ORD</v>
      </c>
      <c r="R333">
        <v>319</v>
      </c>
      <c r="S333" s="36" t="str">
        <f t="shared" si="85"/>
        <v>MEXICO AEREO</v>
      </c>
      <c r="T333" s="36">
        <f t="shared" si="85"/>
        <v>2024</v>
      </c>
      <c r="U333" s="73">
        <v>0.67152777777777783</v>
      </c>
      <c r="V333" s="74">
        <v>0.67569444444444438</v>
      </c>
      <c r="W333" s="75">
        <v>4.1666666666665408E-3</v>
      </c>
      <c r="X333" s="74">
        <v>0.6791666666666667</v>
      </c>
      <c r="Y333" s="75">
        <v>3.4722222222223209E-3</v>
      </c>
      <c r="Z333" s="76">
        <v>41743</v>
      </c>
      <c r="AA333" s="36" t="str">
        <f t="shared" si="103"/>
        <v>Nacional</v>
      </c>
      <c r="AB333" s="36">
        <f t="shared" si="103"/>
        <v>8.6640211640211778E-3</v>
      </c>
      <c r="AC333" s="36">
        <f t="shared" si="103"/>
        <v>3.7367724867724788E-3</v>
      </c>
      <c r="AD333" s="36">
        <f t="shared" si="103"/>
        <v>1.2400793650793657E-2</v>
      </c>
      <c r="AE333" s="36" t="str">
        <f t="shared" si="103"/>
        <v>ER4</v>
      </c>
      <c r="AF333" s="36">
        <f t="shared" si="103"/>
        <v>50</v>
      </c>
      <c r="AG333" s="36" t="str">
        <f t="shared" si="103"/>
        <v>PVR</v>
      </c>
      <c r="AI333">
        <v>319</v>
      </c>
      <c r="AJ333" s="77" t="str">
        <f t="shared" si="94"/>
        <v>MEXICO AEREO</v>
      </c>
      <c r="AK333" s="77">
        <f t="shared" si="94"/>
        <v>2028</v>
      </c>
      <c r="AL333" s="78">
        <v>0.53819444444444442</v>
      </c>
      <c r="AM333" s="79">
        <v>0.54166666666666663</v>
      </c>
      <c r="AN333" s="80">
        <v>3.4722222222222099E-3</v>
      </c>
      <c r="AO333" s="79">
        <v>0.54861111111111105</v>
      </c>
      <c r="AP333" s="80">
        <v>6.9444444444444198E-3</v>
      </c>
      <c r="AQ333" s="81">
        <v>41803</v>
      </c>
      <c r="AR333" s="77" t="str">
        <f t="shared" si="104"/>
        <v>Nacional</v>
      </c>
      <c r="AS333" s="77">
        <f t="shared" si="104"/>
        <v>9.9747474747474956E-3</v>
      </c>
      <c r="AT333" s="77">
        <f t="shared" si="104"/>
        <v>5.6186868686868433E-3</v>
      </c>
      <c r="AU333" s="77">
        <f t="shared" si="104"/>
        <v>1.559343434343434E-2</v>
      </c>
      <c r="AV333" s="77" t="str">
        <f t="shared" si="104"/>
        <v>ER4</v>
      </c>
      <c r="AW333" s="77">
        <f t="shared" si="104"/>
        <v>50</v>
      </c>
      <c r="AX333" s="77" t="str">
        <f t="shared" si="104"/>
        <v>MTY</v>
      </c>
    </row>
    <row r="334" spans="1:50" ht="15.75" thickBot="1" x14ac:dyDescent="0.3">
      <c r="A334">
        <v>320</v>
      </c>
      <c r="B334" s="36" t="str">
        <f t="shared" si="89"/>
        <v>MEXICO AEREO</v>
      </c>
      <c r="C334" s="46">
        <v>585</v>
      </c>
      <c r="D334" s="47">
        <v>0.87916666666666676</v>
      </c>
      <c r="E334" s="47">
        <v>0.8881944444444444</v>
      </c>
      <c r="F334" s="48">
        <v>9.0277777777776347E-3</v>
      </c>
      <c r="G334" s="47">
        <v>0.8979166666666667</v>
      </c>
      <c r="H334" s="48">
        <v>9.7222222222222987E-3</v>
      </c>
      <c r="I334" s="49">
        <v>41719</v>
      </c>
      <c r="J334" s="50" t="s">
        <v>19</v>
      </c>
      <c r="K334" s="47">
        <v>9.0277777777776347E-3</v>
      </c>
      <c r="L334" s="47">
        <v>9.7222222222222987E-3</v>
      </c>
      <c r="M334" s="51">
        <v>1.8749999999999933E-2</v>
      </c>
      <c r="N334" s="52" t="s">
        <v>45</v>
      </c>
      <c r="O334" s="53">
        <v>126</v>
      </c>
      <c r="P334" s="54" t="s">
        <v>46</v>
      </c>
      <c r="R334">
        <v>320</v>
      </c>
      <c r="S334" s="36" t="str">
        <f t="shared" si="85"/>
        <v>MEXICO AEREO</v>
      </c>
      <c r="T334" s="36">
        <f t="shared" si="85"/>
        <v>2024</v>
      </c>
      <c r="U334" s="73">
        <v>0.71458333333333324</v>
      </c>
      <c r="V334" s="74">
        <v>0.72222222222222221</v>
      </c>
      <c r="W334" s="75">
        <v>7.6388888888889728E-3</v>
      </c>
      <c r="X334" s="74">
        <v>0.72638888888888886</v>
      </c>
      <c r="Y334" s="75">
        <v>4.1666666666666519E-3</v>
      </c>
      <c r="Z334" s="76">
        <v>41745</v>
      </c>
      <c r="AA334" s="36" t="str">
        <f t="shared" si="103"/>
        <v>Nacional</v>
      </c>
      <c r="AB334" s="36">
        <f t="shared" si="103"/>
        <v>8.6640211640211778E-3</v>
      </c>
      <c r="AC334" s="36">
        <f t="shared" si="103"/>
        <v>3.7367724867724788E-3</v>
      </c>
      <c r="AD334" s="36">
        <f t="shared" si="103"/>
        <v>1.2400793650793657E-2</v>
      </c>
      <c r="AE334" s="36" t="str">
        <f t="shared" si="103"/>
        <v>ER4</v>
      </c>
      <c r="AF334" s="36">
        <f t="shared" si="103"/>
        <v>50</v>
      </c>
      <c r="AG334" s="36" t="str">
        <f t="shared" si="103"/>
        <v>PVR</v>
      </c>
      <c r="AI334">
        <v>320</v>
      </c>
      <c r="AJ334" s="77" t="str">
        <f t="shared" si="94"/>
        <v>MEXICO AEREO</v>
      </c>
      <c r="AK334" s="77">
        <f t="shared" si="94"/>
        <v>2028</v>
      </c>
      <c r="AL334" s="78">
        <v>0.71597222222222223</v>
      </c>
      <c r="AM334" s="79">
        <v>0.72361111111111109</v>
      </c>
      <c r="AN334" s="80">
        <v>7.6388888888888618E-3</v>
      </c>
      <c r="AO334" s="79">
        <v>0.7319444444444444</v>
      </c>
      <c r="AP334" s="80">
        <v>8.3333333333333037E-3</v>
      </c>
      <c r="AQ334" s="81">
        <v>41805</v>
      </c>
      <c r="AR334" s="77" t="str">
        <f t="shared" si="104"/>
        <v>Nacional</v>
      </c>
      <c r="AS334" s="77">
        <f t="shared" si="104"/>
        <v>9.9747474747474956E-3</v>
      </c>
      <c r="AT334" s="77">
        <f t="shared" si="104"/>
        <v>5.6186868686868433E-3</v>
      </c>
      <c r="AU334" s="77">
        <f t="shared" si="104"/>
        <v>1.559343434343434E-2</v>
      </c>
      <c r="AV334" s="77" t="str">
        <f t="shared" si="104"/>
        <v>ER4</v>
      </c>
      <c r="AW334" s="77">
        <f t="shared" si="104"/>
        <v>50</v>
      </c>
      <c r="AX334" s="77" t="str">
        <f t="shared" si="104"/>
        <v>MTY</v>
      </c>
    </row>
    <row r="335" spans="1:50" x14ac:dyDescent="0.25">
      <c r="A335">
        <v>321</v>
      </c>
      <c r="B335" s="36" t="str">
        <f t="shared" si="89"/>
        <v>MEXICO AEREO</v>
      </c>
      <c r="C335" s="88">
        <v>466</v>
      </c>
      <c r="D335" s="57">
        <v>0.88541666666666663</v>
      </c>
      <c r="E335" s="57">
        <v>0.8965277777777777</v>
      </c>
      <c r="F335" s="58">
        <v>1.1111111111111072E-2</v>
      </c>
      <c r="G335" s="57">
        <v>0.90069444444444446</v>
      </c>
      <c r="H335" s="58">
        <v>4.1666666666667629E-3</v>
      </c>
      <c r="I335" s="59">
        <v>41715</v>
      </c>
      <c r="J335" s="108" t="s">
        <v>19</v>
      </c>
      <c r="K335" s="61">
        <v>7.870370370370354E-3</v>
      </c>
      <c r="L335" s="61">
        <v>7.4845679012345906E-3</v>
      </c>
      <c r="M335" s="89">
        <v>1.5354938271604945E-2</v>
      </c>
      <c r="N335" s="90" t="s">
        <v>45</v>
      </c>
      <c r="O335" s="91">
        <v>126</v>
      </c>
      <c r="P335" s="92" t="s">
        <v>21</v>
      </c>
      <c r="R335">
        <v>321</v>
      </c>
      <c r="S335" s="36" t="str">
        <f t="shared" si="85"/>
        <v>MEXICO AEREO</v>
      </c>
      <c r="T335" s="36">
        <f t="shared" si="85"/>
        <v>2024</v>
      </c>
      <c r="U335" s="73">
        <v>0.65277777777777779</v>
      </c>
      <c r="V335" s="74">
        <v>0.66041666666666665</v>
      </c>
      <c r="W335" s="75">
        <v>7.6388888888888618E-3</v>
      </c>
      <c r="X335" s="74">
        <v>0.66666666666666663</v>
      </c>
      <c r="Y335" s="75">
        <v>6.2499999999999778E-3</v>
      </c>
      <c r="Z335" s="76">
        <v>41746</v>
      </c>
      <c r="AA335" s="36" t="str">
        <f t="shared" si="103"/>
        <v>Nacional</v>
      </c>
      <c r="AB335" s="36">
        <f t="shared" si="103"/>
        <v>8.6640211640211778E-3</v>
      </c>
      <c r="AC335" s="36">
        <f t="shared" si="103"/>
        <v>3.7367724867724788E-3</v>
      </c>
      <c r="AD335" s="36">
        <f t="shared" si="103"/>
        <v>1.2400793650793657E-2</v>
      </c>
      <c r="AE335" s="36" t="str">
        <f t="shared" si="103"/>
        <v>ER4</v>
      </c>
      <c r="AF335" s="36">
        <f t="shared" si="103"/>
        <v>50</v>
      </c>
      <c r="AG335" s="36" t="str">
        <f t="shared" si="103"/>
        <v>PVR</v>
      </c>
      <c r="AI335">
        <v>321</v>
      </c>
      <c r="AJ335" s="77" t="str">
        <f t="shared" si="94"/>
        <v>MEXICO AEREO</v>
      </c>
      <c r="AK335" s="77">
        <f t="shared" si="94"/>
        <v>2028</v>
      </c>
      <c r="AL335" s="78">
        <v>0.69374999999999998</v>
      </c>
      <c r="AM335" s="79">
        <v>0.70347222222222217</v>
      </c>
      <c r="AN335" s="80">
        <v>9.7222222222221877E-3</v>
      </c>
      <c r="AO335" s="79">
        <v>0.71319444444444446</v>
      </c>
      <c r="AP335" s="80">
        <v>9.7222222222222987E-3</v>
      </c>
      <c r="AQ335" s="81">
        <v>41807</v>
      </c>
      <c r="AR335" s="77" t="str">
        <f t="shared" si="104"/>
        <v>Nacional</v>
      </c>
      <c r="AS335" s="77">
        <f t="shared" si="104"/>
        <v>9.9747474747474956E-3</v>
      </c>
      <c r="AT335" s="77">
        <f t="shared" si="104"/>
        <v>5.6186868686868433E-3</v>
      </c>
      <c r="AU335" s="77">
        <f t="shared" si="104"/>
        <v>1.559343434343434E-2</v>
      </c>
      <c r="AV335" s="77" t="str">
        <f t="shared" si="104"/>
        <v>ER4</v>
      </c>
      <c r="AW335" s="77">
        <f t="shared" si="104"/>
        <v>50</v>
      </c>
      <c r="AX335" s="77" t="str">
        <f t="shared" si="104"/>
        <v>MTY</v>
      </c>
    </row>
    <row r="336" spans="1:50" x14ac:dyDescent="0.25">
      <c r="A336">
        <v>322</v>
      </c>
      <c r="B336" s="36" t="str">
        <f t="shared" si="89"/>
        <v>MEXICO AEREO</v>
      </c>
      <c r="C336" s="36">
        <f t="shared" si="89"/>
        <v>466</v>
      </c>
      <c r="D336" s="74">
        <v>0.79999999999999993</v>
      </c>
      <c r="E336" s="74">
        <v>0.80902777777777779</v>
      </c>
      <c r="F336" s="75">
        <v>9.0277777777778567E-3</v>
      </c>
      <c r="G336" s="74">
        <v>0.8125</v>
      </c>
      <c r="H336" s="75">
        <v>3.4722222222222099E-3</v>
      </c>
      <c r="I336" s="76">
        <v>41716</v>
      </c>
      <c r="J336" s="36" t="str">
        <f t="shared" ref="J336:P343" si="105">J335</f>
        <v>Nacional</v>
      </c>
      <c r="K336" s="36">
        <f t="shared" si="105"/>
        <v>7.870370370370354E-3</v>
      </c>
      <c r="L336" s="36">
        <f t="shared" si="105"/>
        <v>7.4845679012345906E-3</v>
      </c>
      <c r="M336" s="36">
        <f t="shared" si="105"/>
        <v>1.5354938271604945E-2</v>
      </c>
      <c r="N336" s="36" t="str">
        <f t="shared" si="105"/>
        <v>B737-700</v>
      </c>
      <c r="O336" s="36">
        <f t="shared" si="105"/>
        <v>126</v>
      </c>
      <c r="P336" s="36" t="str">
        <f t="shared" si="105"/>
        <v>MEX</v>
      </c>
      <c r="R336">
        <v>322</v>
      </c>
      <c r="S336" s="36" t="str">
        <f t="shared" si="85"/>
        <v>MEXICO AEREO</v>
      </c>
      <c r="T336" s="36">
        <f t="shared" si="85"/>
        <v>2024</v>
      </c>
      <c r="U336" s="73">
        <v>0.6694444444444444</v>
      </c>
      <c r="V336" s="74">
        <v>0.67638888888888893</v>
      </c>
      <c r="W336" s="75">
        <v>6.9444444444445308E-3</v>
      </c>
      <c r="X336" s="74">
        <v>0.67986111111111114</v>
      </c>
      <c r="Y336" s="75">
        <v>3.4722222222222099E-3</v>
      </c>
      <c r="Z336" s="76">
        <v>41747</v>
      </c>
      <c r="AA336" s="36" t="str">
        <f t="shared" si="103"/>
        <v>Nacional</v>
      </c>
      <c r="AB336" s="36">
        <f t="shared" si="103"/>
        <v>8.6640211640211778E-3</v>
      </c>
      <c r="AC336" s="36">
        <f t="shared" si="103"/>
        <v>3.7367724867724788E-3</v>
      </c>
      <c r="AD336" s="36">
        <f t="shared" si="103"/>
        <v>1.2400793650793657E-2</v>
      </c>
      <c r="AE336" s="36" t="str">
        <f t="shared" si="103"/>
        <v>ER4</v>
      </c>
      <c r="AF336" s="36">
        <f t="shared" si="103"/>
        <v>50</v>
      </c>
      <c r="AG336" s="36" t="str">
        <f t="shared" si="103"/>
        <v>PVR</v>
      </c>
      <c r="AI336">
        <v>322</v>
      </c>
      <c r="AJ336" s="77" t="str">
        <f t="shared" si="94"/>
        <v>MEXICO AEREO</v>
      </c>
      <c r="AK336" s="77">
        <f t="shared" si="94"/>
        <v>2028</v>
      </c>
      <c r="AL336" s="78">
        <v>0.78402777777777777</v>
      </c>
      <c r="AM336" s="79">
        <v>0.79999999999999993</v>
      </c>
      <c r="AN336" s="80">
        <v>1.5972222222222165E-2</v>
      </c>
      <c r="AO336" s="79">
        <v>0.8027777777777777</v>
      </c>
      <c r="AP336" s="80">
        <v>2.7777777777777679E-3</v>
      </c>
      <c r="AQ336" s="81">
        <v>41808</v>
      </c>
      <c r="AR336" s="77" t="str">
        <f t="shared" si="104"/>
        <v>Nacional</v>
      </c>
      <c r="AS336" s="77">
        <f t="shared" si="104"/>
        <v>9.9747474747474956E-3</v>
      </c>
      <c r="AT336" s="77">
        <f t="shared" si="104"/>
        <v>5.6186868686868433E-3</v>
      </c>
      <c r="AU336" s="77">
        <f t="shared" si="104"/>
        <v>1.559343434343434E-2</v>
      </c>
      <c r="AV336" s="77" t="str">
        <f t="shared" si="104"/>
        <v>ER4</v>
      </c>
      <c r="AW336" s="77">
        <f t="shared" si="104"/>
        <v>50</v>
      </c>
      <c r="AX336" s="77" t="str">
        <f t="shared" si="104"/>
        <v>MTY</v>
      </c>
    </row>
    <row r="337" spans="1:50" x14ac:dyDescent="0.25">
      <c r="A337">
        <v>323</v>
      </c>
      <c r="B337" s="36" t="str">
        <f t="shared" si="89"/>
        <v>MEXICO AEREO</v>
      </c>
      <c r="C337" s="36">
        <f t="shared" si="89"/>
        <v>466</v>
      </c>
      <c r="D337" s="74">
        <v>0.84027777777777779</v>
      </c>
      <c r="E337" s="74">
        <v>0.85625000000000007</v>
      </c>
      <c r="F337" s="75">
        <v>1.5972222222222276E-2</v>
      </c>
      <c r="G337" s="74">
        <v>0.85972222222222217</v>
      </c>
      <c r="H337" s="75">
        <v>3.4722222222220989E-3</v>
      </c>
      <c r="I337" s="76">
        <v>41719</v>
      </c>
      <c r="J337" s="36" t="str">
        <f t="shared" si="105"/>
        <v>Nacional</v>
      </c>
      <c r="K337" s="36">
        <f t="shared" si="105"/>
        <v>7.870370370370354E-3</v>
      </c>
      <c r="L337" s="36">
        <f t="shared" si="105"/>
        <v>7.4845679012345906E-3</v>
      </c>
      <c r="M337" s="36">
        <f t="shared" si="105"/>
        <v>1.5354938271604945E-2</v>
      </c>
      <c r="N337" s="36" t="str">
        <f t="shared" si="105"/>
        <v>B737-700</v>
      </c>
      <c r="O337" s="36">
        <f t="shared" si="105"/>
        <v>126</v>
      </c>
      <c r="P337" s="36" t="str">
        <f t="shared" si="105"/>
        <v>MEX</v>
      </c>
      <c r="R337">
        <v>323</v>
      </c>
      <c r="S337" s="36" t="str">
        <f t="shared" si="85"/>
        <v>MEXICO AEREO</v>
      </c>
      <c r="T337" s="36">
        <f t="shared" si="85"/>
        <v>2024</v>
      </c>
      <c r="U337" s="73">
        <v>0.69652777777777775</v>
      </c>
      <c r="V337" s="74">
        <v>0.70277777777777783</v>
      </c>
      <c r="W337" s="75">
        <v>6.2500000000000888E-3</v>
      </c>
      <c r="X337" s="74">
        <v>0.70624999999999993</v>
      </c>
      <c r="Y337" s="75">
        <v>3.4722222222220989E-3</v>
      </c>
      <c r="Z337" s="76">
        <v>41748</v>
      </c>
      <c r="AA337" s="36" t="str">
        <f t="shared" si="103"/>
        <v>Nacional</v>
      </c>
      <c r="AB337" s="36">
        <f t="shared" si="103"/>
        <v>8.6640211640211778E-3</v>
      </c>
      <c r="AC337" s="36">
        <f t="shared" si="103"/>
        <v>3.7367724867724788E-3</v>
      </c>
      <c r="AD337" s="36">
        <f t="shared" si="103"/>
        <v>1.2400793650793657E-2</v>
      </c>
      <c r="AE337" s="36" t="str">
        <f t="shared" si="103"/>
        <v>ER4</v>
      </c>
      <c r="AF337" s="36">
        <f t="shared" si="103"/>
        <v>50</v>
      </c>
      <c r="AG337" s="36" t="str">
        <f t="shared" si="103"/>
        <v>PVR</v>
      </c>
      <c r="AI337">
        <v>323</v>
      </c>
      <c r="AJ337" s="77" t="str">
        <f t="shared" si="94"/>
        <v>MEXICO AEREO</v>
      </c>
      <c r="AK337" s="77">
        <f t="shared" si="94"/>
        <v>2028</v>
      </c>
      <c r="AL337" s="78">
        <v>0.83194444444444438</v>
      </c>
      <c r="AM337" s="79">
        <v>0.8354166666666667</v>
      </c>
      <c r="AN337" s="80">
        <v>3.4722222222223209E-3</v>
      </c>
      <c r="AO337" s="79">
        <v>0.83750000000000002</v>
      </c>
      <c r="AP337" s="80">
        <v>2.0833333333333259E-3</v>
      </c>
      <c r="AQ337" s="81">
        <v>41811</v>
      </c>
      <c r="AR337" s="77" t="str">
        <f t="shared" si="104"/>
        <v>Nacional</v>
      </c>
      <c r="AS337" s="77">
        <f t="shared" si="104"/>
        <v>9.9747474747474956E-3</v>
      </c>
      <c r="AT337" s="77">
        <f t="shared" si="104"/>
        <v>5.6186868686868433E-3</v>
      </c>
      <c r="AU337" s="77">
        <f t="shared" si="104"/>
        <v>1.559343434343434E-2</v>
      </c>
      <c r="AV337" s="77" t="str">
        <f t="shared" si="104"/>
        <v>ER4</v>
      </c>
      <c r="AW337" s="77">
        <f t="shared" si="104"/>
        <v>50</v>
      </c>
      <c r="AX337" s="77" t="str">
        <f t="shared" si="104"/>
        <v>MTY</v>
      </c>
    </row>
    <row r="338" spans="1:50" x14ac:dyDescent="0.25">
      <c r="A338">
        <v>324</v>
      </c>
      <c r="B338" s="36" t="str">
        <f t="shared" si="89"/>
        <v>MEXICO AEREO</v>
      </c>
      <c r="C338" s="36">
        <f t="shared" si="89"/>
        <v>466</v>
      </c>
      <c r="D338" s="74">
        <v>0.88888888888888884</v>
      </c>
      <c r="E338" s="74">
        <v>0.8965277777777777</v>
      </c>
      <c r="F338" s="75">
        <v>7.6388888888888618E-3</v>
      </c>
      <c r="G338" s="74">
        <v>0.90277777777777779</v>
      </c>
      <c r="H338" s="75">
        <v>6.2500000000000888E-3</v>
      </c>
      <c r="I338" s="76">
        <v>41723</v>
      </c>
      <c r="J338" s="36" t="str">
        <f t="shared" si="105"/>
        <v>Nacional</v>
      </c>
      <c r="K338" s="36">
        <f t="shared" si="105"/>
        <v>7.870370370370354E-3</v>
      </c>
      <c r="L338" s="36">
        <f t="shared" si="105"/>
        <v>7.4845679012345906E-3</v>
      </c>
      <c r="M338" s="36">
        <f t="shared" si="105"/>
        <v>1.5354938271604945E-2</v>
      </c>
      <c r="N338" s="36" t="str">
        <f t="shared" si="105"/>
        <v>B737-700</v>
      </c>
      <c r="O338" s="36">
        <f t="shared" si="105"/>
        <v>126</v>
      </c>
      <c r="P338" s="36" t="str">
        <f t="shared" si="105"/>
        <v>MEX</v>
      </c>
      <c r="R338">
        <v>324</v>
      </c>
      <c r="S338" s="36" t="str">
        <f t="shared" si="85"/>
        <v>MEXICO AEREO</v>
      </c>
      <c r="T338" s="36">
        <f t="shared" si="85"/>
        <v>2024</v>
      </c>
      <c r="U338" s="73">
        <v>0.69791666666666663</v>
      </c>
      <c r="V338" s="74">
        <v>0.70208333333333339</v>
      </c>
      <c r="W338" s="75">
        <v>4.1666666666667629E-3</v>
      </c>
      <c r="X338" s="74">
        <v>0.7055555555555556</v>
      </c>
      <c r="Y338" s="75">
        <v>3.4722222222222099E-3</v>
      </c>
      <c r="Z338" s="76">
        <v>41749</v>
      </c>
      <c r="AA338" s="36" t="str">
        <f t="shared" si="103"/>
        <v>Nacional</v>
      </c>
      <c r="AB338" s="36">
        <f t="shared" si="103"/>
        <v>8.6640211640211778E-3</v>
      </c>
      <c r="AC338" s="36">
        <f t="shared" si="103"/>
        <v>3.7367724867724788E-3</v>
      </c>
      <c r="AD338" s="36">
        <f t="shared" si="103"/>
        <v>1.2400793650793657E-2</v>
      </c>
      <c r="AE338" s="36" t="str">
        <f t="shared" si="103"/>
        <v>ER4</v>
      </c>
      <c r="AF338" s="36">
        <f t="shared" si="103"/>
        <v>50</v>
      </c>
      <c r="AG338" s="36" t="str">
        <f t="shared" si="103"/>
        <v>PVR</v>
      </c>
      <c r="AI338">
        <v>324</v>
      </c>
      <c r="AJ338" s="77" t="str">
        <f t="shared" si="94"/>
        <v>MEXICO AEREO</v>
      </c>
      <c r="AK338" s="77">
        <f t="shared" si="94"/>
        <v>2028</v>
      </c>
      <c r="AL338" s="78">
        <v>0.79027777777777775</v>
      </c>
      <c r="AM338" s="79">
        <v>0.79513888888888884</v>
      </c>
      <c r="AN338" s="80">
        <v>4.8611111111110938E-3</v>
      </c>
      <c r="AO338" s="79">
        <v>0.8027777777777777</v>
      </c>
      <c r="AP338" s="80">
        <v>7.6388888888888618E-3</v>
      </c>
      <c r="AQ338" s="81">
        <v>41813</v>
      </c>
      <c r="AR338" s="77" t="str">
        <f t="shared" si="104"/>
        <v>Nacional</v>
      </c>
      <c r="AS338" s="77">
        <f t="shared" si="104"/>
        <v>9.9747474747474956E-3</v>
      </c>
      <c r="AT338" s="77">
        <f t="shared" si="104"/>
        <v>5.6186868686868433E-3</v>
      </c>
      <c r="AU338" s="77">
        <f t="shared" si="104"/>
        <v>1.559343434343434E-2</v>
      </c>
      <c r="AV338" s="77" t="str">
        <f t="shared" si="104"/>
        <v>ER4</v>
      </c>
      <c r="AW338" s="77">
        <f t="shared" si="104"/>
        <v>50</v>
      </c>
      <c r="AX338" s="77" t="str">
        <f t="shared" si="104"/>
        <v>MTY</v>
      </c>
    </row>
    <row r="339" spans="1:50" ht="15.75" thickBot="1" x14ac:dyDescent="0.3">
      <c r="A339">
        <v>325</v>
      </c>
      <c r="B339" s="36" t="str">
        <f t="shared" si="89"/>
        <v>MEXICO AEREO</v>
      </c>
      <c r="C339" s="36">
        <f t="shared" si="89"/>
        <v>466</v>
      </c>
      <c r="D339" s="74">
        <v>0.9</v>
      </c>
      <c r="E339" s="74">
        <v>0.90069444444444446</v>
      </c>
      <c r="F339" s="75">
        <v>6.9444444444444198E-4</v>
      </c>
      <c r="G339" s="74">
        <v>0.91666666666666663</v>
      </c>
      <c r="H339" s="75">
        <v>1.5972222222222165E-2</v>
      </c>
      <c r="I339" s="76">
        <v>41724</v>
      </c>
      <c r="J339" s="36" t="str">
        <f t="shared" si="105"/>
        <v>Nacional</v>
      </c>
      <c r="K339" s="36">
        <f t="shared" si="105"/>
        <v>7.870370370370354E-3</v>
      </c>
      <c r="L339" s="36">
        <f t="shared" si="105"/>
        <v>7.4845679012345906E-3</v>
      </c>
      <c r="M339" s="36">
        <f t="shared" si="105"/>
        <v>1.5354938271604945E-2</v>
      </c>
      <c r="N339" s="36" t="str">
        <f t="shared" si="105"/>
        <v>B737-700</v>
      </c>
      <c r="O339" s="36">
        <f t="shared" si="105"/>
        <v>126</v>
      </c>
      <c r="P339" s="36" t="str">
        <f t="shared" si="105"/>
        <v>MEX</v>
      </c>
      <c r="R339">
        <v>325</v>
      </c>
      <c r="S339" s="36" t="str">
        <f t="shared" si="85"/>
        <v>MEXICO AEREO</v>
      </c>
      <c r="T339" s="36">
        <f t="shared" si="85"/>
        <v>2024</v>
      </c>
      <c r="U339" s="73">
        <v>0.66875000000000007</v>
      </c>
      <c r="V339" s="74">
        <v>0.71597222222222223</v>
      </c>
      <c r="W339" s="75">
        <v>4.7222222222222165E-2</v>
      </c>
      <c r="X339" s="74">
        <v>0.71875</v>
      </c>
      <c r="Y339" s="75">
        <v>2.7777777777777679E-3</v>
      </c>
      <c r="Z339" s="76">
        <v>41751</v>
      </c>
      <c r="AA339" s="36" t="str">
        <f t="shared" si="103"/>
        <v>Nacional</v>
      </c>
      <c r="AB339" s="36">
        <f t="shared" si="103"/>
        <v>8.6640211640211778E-3</v>
      </c>
      <c r="AC339" s="36">
        <f t="shared" si="103"/>
        <v>3.7367724867724788E-3</v>
      </c>
      <c r="AD339" s="36">
        <f t="shared" si="103"/>
        <v>1.2400793650793657E-2</v>
      </c>
      <c r="AE339" s="36" t="str">
        <f t="shared" si="103"/>
        <v>ER4</v>
      </c>
      <c r="AF339" s="36">
        <f t="shared" si="103"/>
        <v>50</v>
      </c>
      <c r="AG339" s="36" t="str">
        <f t="shared" si="103"/>
        <v>PVR</v>
      </c>
      <c r="AI339">
        <v>325</v>
      </c>
      <c r="AJ339" s="77" t="str">
        <f t="shared" si="94"/>
        <v>MEXICO AEREO</v>
      </c>
      <c r="AK339" s="77">
        <f t="shared" si="94"/>
        <v>2028</v>
      </c>
      <c r="AL339" s="94">
        <v>0.77986111111111101</v>
      </c>
      <c r="AM339" s="95">
        <v>0.78055555555555556</v>
      </c>
      <c r="AN339" s="96">
        <v>6.94444444444553E-4</v>
      </c>
      <c r="AO339" s="95">
        <v>0.78680555555555554</v>
      </c>
      <c r="AP339" s="96">
        <v>6.2499999999999778E-3</v>
      </c>
      <c r="AQ339" s="97">
        <v>41812</v>
      </c>
      <c r="AR339" s="77" t="str">
        <f t="shared" si="104"/>
        <v>Nacional</v>
      </c>
      <c r="AS339" s="77">
        <f t="shared" si="104"/>
        <v>9.9747474747474956E-3</v>
      </c>
      <c r="AT339" s="77">
        <f t="shared" si="104"/>
        <v>5.6186868686868433E-3</v>
      </c>
      <c r="AU339" s="77">
        <f t="shared" si="104"/>
        <v>1.559343434343434E-2</v>
      </c>
      <c r="AV339" s="77" t="str">
        <f t="shared" si="104"/>
        <v>ER4</v>
      </c>
      <c r="AW339" s="77">
        <f t="shared" si="104"/>
        <v>50</v>
      </c>
      <c r="AX339" s="77" t="str">
        <f t="shared" si="104"/>
        <v>MTY</v>
      </c>
    </row>
    <row r="340" spans="1:50" x14ac:dyDescent="0.25">
      <c r="A340">
        <v>326</v>
      </c>
      <c r="B340" s="36" t="str">
        <f t="shared" si="89"/>
        <v>MEXICO AEREO</v>
      </c>
      <c r="C340" s="36">
        <f t="shared" si="89"/>
        <v>466</v>
      </c>
      <c r="D340" s="74">
        <v>0.88888888888888884</v>
      </c>
      <c r="E340" s="74">
        <v>0.89166666666666661</v>
      </c>
      <c r="F340" s="75">
        <v>2.7777777777777679E-3</v>
      </c>
      <c r="G340" s="74">
        <v>0.8979166666666667</v>
      </c>
      <c r="H340" s="75">
        <v>6.2500000000000888E-3</v>
      </c>
      <c r="I340" s="76">
        <v>41724</v>
      </c>
      <c r="J340" s="36" t="str">
        <f t="shared" si="105"/>
        <v>Nacional</v>
      </c>
      <c r="K340" s="36">
        <f t="shared" si="105"/>
        <v>7.870370370370354E-3</v>
      </c>
      <c r="L340" s="36">
        <f t="shared" si="105"/>
        <v>7.4845679012345906E-3</v>
      </c>
      <c r="M340" s="36">
        <f t="shared" si="105"/>
        <v>1.5354938271604945E-2</v>
      </c>
      <c r="N340" s="36" t="str">
        <f t="shared" si="105"/>
        <v>B737-700</v>
      </c>
      <c r="O340" s="36">
        <f t="shared" si="105"/>
        <v>126</v>
      </c>
      <c r="P340" s="36" t="str">
        <f t="shared" si="105"/>
        <v>MEX</v>
      </c>
      <c r="R340">
        <v>326</v>
      </c>
      <c r="S340" s="36" t="str">
        <f t="shared" si="85"/>
        <v>MEXICO AEREO</v>
      </c>
      <c r="T340" s="36">
        <f t="shared" si="85"/>
        <v>2024</v>
      </c>
      <c r="U340" s="73">
        <v>0.66597222222222219</v>
      </c>
      <c r="V340" s="74">
        <v>0.66875000000000007</v>
      </c>
      <c r="W340" s="75">
        <v>2.7777777777778789E-3</v>
      </c>
      <c r="X340" s="74">
        <v>0.6743055555555556</v>
      </c>
      <c r="Y340" s="75">
        <v>5.5555555555555358E-3</v>
      </c>
      <c r="Z340" s="76">
        <v>41753</v>
      </c>
      <c r="AA340" s="36" t="str">
        <f t="shared" si="103"/>
        <v>Nacional</v>
      </c>
      <c r="AB340" s="36">
        <f t="shared" si="103"/>
        <v>8.6640211640211778E-3</v>
      </c>
      <c r="AC340" s="36">
        <f t="shared" si="103"/>
        <v>3.7367724867724788E-3</v>
      </c>
      <c r="AD340" s="36">
        <f t="shared" si="103"/>
        <v>1.2400793650793657E-2</v>
      </c>
      <c r="AE340" s="36" t="str">
        <f t="shared" si="103"/>
        <v>ER4</v>
      </c>
      <c r="AF340" s="36">
        <f t="shared" si="103"/>
        <v>50</v>
      </c>
      <c r="AG340" s="36" t="str">
        <f t="shared" si="103"/>
        <v>PVR</v>
      </c>
      <c r="AI340">
        <v>326</v>
      </c>
      <c r="AJ340" s="77" t="str">
        <f t="shared" si="94"/>
        <v>MEXICO AEREO</v>
      </c>
      <c r="AK340" s="63">
        <v>2024</v>
      </c>
      <c r="AL340" s="64">
        <v>0.67083333333333339</v>
      </c>
      <c r="AM340" s="65">
        <v>0.67499999999999993</v>
      </c>
      <c r="AN340" s="66">
        <v>4.1666666666665408E-3</v>
      </c>
      <c r="AO340" s="65">
        <v>0.67708333333333337</v>
      </c>
      <c r="AP340" s="66">
        <v>2.083333333333437E-3</v>
      </c>
      <c r="AQ340" s="67">
        <v>41791</v>
      </c>
      <c r="AR340" s="68" t="s">
        <v>19</v>
      </c>
      <c r="AS340" s="69">
        <v>5.3819444444444114E-3</v>
      </c>
      <c r="AT340" s="70">
        <v>4.687500000000025E-3</v>
      </c>
      <c r="AU340" s="70">
        <v>1.0069444444444436E-2</v>
      </c>
      <c r="AV340" s="71" t="s">
        <v>20</v>
      </c>
      <c r="AW340" s="71">
        <v>50</v>
      </c>
      <c r="AX340" s="72" t="s">
        <v>29</v>
      </c>
    </row>
    <row r="341" spans="1:50" x14ac:dyDescent="0.25">
      <c r="A341">
        <v>327</v>
      </c>
      <c r="B341" s="36" t="str">
        <f t="shared" si="89"/>
        <v>MEXICO AEREO</v>
      </c>
      <c r="C341" s="36">
        <f t="shared" si="89"/>
        <v>466</v>
      </c>
      <c r="D341" s="74">
        <v>0.89583333333333337</v>
      </c>
      <c r="E341" s="74">
        <v>0.90486111111111101</v>
      </c>
      <c r="F341" s="75">
        <v>9.0277777777776347E-3</v>
      </c>
      <c r="G341" s="74">
        <v>0.91666666666666663</v>
      </c>
      <c r="H341" s="75">
        <v>1.1805555555555625E-2</v>
      </c>
      <c r="I341" s="76">
        <v>41725</v>
      </c>
      <c r="J341" s="36" t="str">
        <f t="shared" si="105"/>
        <v>Nacional</v>
      </c>
      <c r="K341" s="36">
        <f t="shared" si="105"/>
        <v>7.870370370370354E-3</v>
      </c>
      <c r="L341" s="36">
        <f t="shared" si="105"/>
        <v>7.4845679012345906E-3</v>
      </c>
      <c r="M341" s="36">
        <f t="shared" si="105"/>
        <v>1.5354938271604945E-2</v>
      </c>
      <c r="N341" s="36" t="str">
        <f t="shared" si="105"/>
        <v>B737-700</v>
      </c>
      <c r="O341" s="36">
        <f t="shared" si="105"/>
        <v>126</v>
      </c>
      <c r="P341" s="36" t="str">
        <f t="shared" si="105"/>
        <v>MEX</v>
      </c>
      <c r="R341">
        <v>327</v>
      </c>
      <c r="S341" s="36" t="str">
        <f t="shared" ref="S341:T346" si="106">S340</f>
        <v>MEXICO AEREO</v>
      </c>
      <c r="T341" s="36">
        <f t="shared" si="106"/>
        <v>2024</v>
      </c>
      <c r="U341" s="73">
        <v>0.66666666666666663</v>
      </c>
      <c r="V341" s="74">
        <v>0.67152777777777783</v>
      </c>
      <c r="W341" s="75">
        <v>4.8611111111112049E-3</v>
      </c>
      <c r="X341" s="74">
        <v>0.6777777777777777</v>
      </c>
      <c r="Y341" s="75">
        <v>6.2499999999998668E-3</v>
      </c>
      <c r="Z341" s="76">
        <v>41754</v>
      </c>
      <c r="AA341" s="36" t="str">
        <f t="shared" si="103"/>
        <v>Nacional</v>
      </c>
      <c r="AB341" s="36">
        <f t="shared" si="103"/>
        <v>8.6640211640211778E-3</v>
      </c>
      <c r="AC341" s="36">
        <f t="shared" si="103"/>
        <v>3.7367724867724788E-3</v>
      </c>
      <c r="AD341" s="36">
        <f t="shared" si="103"/>
        <v>1.2400793650793657E-2</v>
      </c>
      <c r="AE341" s="36" t="str">
        <f t="shared" si="103"/>
        <v>ER4</v>
      </c>
      <c r="AF341" s="36">
        <f t="shared" si="103"/>
        <v>50</v>
      </c>
      <c r="AG341" s="36" t="str">
        <f t="shared" si="103"/>
        <v>PVR</v>
      </c>
      <c r="AI341">
        <v>327</v>
      </c>
      <c r="AJ341" s="77" t="str">
        <f t="shared" si="94"/>
        <v>MEXICO AEREO</v>
      </c>
      <c r="AK341" s="77">
        <f t="shared" si="94"/>
        <v>2024</v>
      </c>
      <c r="AL341" s="78">
        <v>0.59861111111111109</v>
      </c>
      <c r="AM341" s="79">
        <v>0.60416666666666663</v>
      </c>
      <c r="AN341" s="80">
        <v>5.5555555555555358E-3</v>
      </c>
      <c r="AO341" s="79">
        <v>0.60972222222222217</v>
      </c>
      <c r="AP341" s="80">
        <v>5.5555555555555358E-3</v>
      </c>
      <c r="AQ341" s="81">
        <v>41792</v>
      </c>
      <c r="AR341" s="77" t="str">
        <f t="shared" ref="AR341:AX347" si="107">AR340</f>
        <v>Nacional</v>
      </c>
      <c r="AS341" s="77">
        <f t="shared" si="107"/>
        <v>5.3819444444444114E-3</v>
      </c>
      <c r="AT341" s="77">
        <f t="shared" si="107"/>
        <v>4.687500000000025E-3</v>
      </c>
      <c r="AU341" s="77">
        <f t="shared" si="107"/>
        <v>1.0069444444444436E-2</v>
      </c>
      <c r="AV341" s="77" t="str">
        <f t="shared" si="107"/>
        <v>ER4</v>
      </c>
      <c r="AW341" s="77">
        <f t="shared" si="107"/>
        <v>50</v>
      </c>
      <c r="AX341" s="77" t="str">
        <f t="shared" si="107"/>
        <v>PVR</v>
      </c>
    </row>
    <row r="342" spans="1:50" x14ac:dyDescent="0.25">
      <c r="A342">
        <v>328</v>
      </c>
      <c r="B342" s="36" t="str">
        <f t="shared" si="89"/>
        <v>MEXICO AEREO</v>
      </c>
      <c r="C342" s="36">
        <f t="shared" si="89"/>
        <v>466</v>
      </c>
      <c r="D342" s="74">
        <v>0.8881944444444444</v>
      </c>
      <c r="E342" s="74">
        <v>0.8965277777777777</v>
      </c>
      <c r="F342" s="75">
        <v>8.3333333333333037E-3</v>
      </c>
      <c r="G342" s="74">
        <v>0.90555555555555556</v>
      </c>
      <c r="H342" s="75">
        <v>9.0277777777778567E-3</v>
      </c>
      <c r="I342" s="76">
        <v>41726</v>
      </c>
      <c r="J342" s="36" t="str">
        <f t="shared" si="105"/>
        <v>Nacional</v>
      </c>
      <c r="K342" s="36">
        <f t="shared" si="105"/>
        <v>7.870370370370354E-3</v>
      </c>
      <c r="L342" s="36">
        <f t="shared" si="105"/>
        <v>7.4845679012345906E-3</v>
      </c>
      <c r="M342" s="36">
        <f t="shared" si="105"/>
        <v>1.5354938271604945E-2</v>
      </c>
      <c r="N342" s="36" t="str">
        <f t="shared" si="105"/>
        <v>B737-700</v>
      </c>
      <c r="O342" s="36">
        <f t="shared" si="105"/>
        <v>126</v>
      </c>
      <c r="P342" s="36" t="str">
        <f t="shared" si="105"/>
        <v>MEX</v>
      </c>
      <c r="R342">
        <v>328</v>
      </c>
      <c r="S342" s="36" t="str">
        <f t="shared" si="106"/>
        <v>MEXICO AEREO</v>
      </c>
      <c r="T342" s="36">
        <f t="shared" si="106"/>
        <v>2024</v>
      </c>
      <c r="U342" s="73">
        <v>0.57916666666666672</v>
      </c>
      <c r="V342" s="74">
        <v>0.58750000000000002</v>
      </c>
      <c r="W342" s="75">
        <v>8.3333333333333037E-3</v>
      </c>
      <c r="X342" s="74">
        <v>0.59097222222222223</v>
      </c>
      <c r="Y342" s="75">
        <v>3.4722222222222099E-3</v>
      </c>
      <c r="Z342" s="76">
        <v>41756</v>
      </c>
      <c r="AA342" s="36" t="str">
        <f t="shared" si="103"/>
        <v>Nacional</v>
      </c>
      <c r="AB342" s="36">
        <f t="shared" si="103"/>
        <v>8.6640211640211778E-3</v>
      </c>
      <c r="AC342" s="36">
        <f t="shared" si="103"/>
        <v>3.7367724867724788E-3</v>
      </c>
      <c r="AD342" s="36">
        <f t="shared" si="103"/>
        <v>1.2400793650793657E-2</v>
      </c>
      <c r="AE342" s="36" t="str">
        <f t="shared" si="103"/>
        <v>ER4</v>
      </c>
      <c r="AF342" s="36">
        <f t="shared" si="103"/>
        <v>50</v>
      </c>
      <c r="AG342" s="36" t="str">
        <f t="shared" si="103"/>
        <v>PVR</v>
      </c>
      <c r="AI342">
        <v>328</v>
      </c>
      <c r="AJ342" s="77" t="str">
        <f t="shared" si="94"/>
        <v>MEXICO AEREO</v>
      </c>
      <c r="AK342" s="77">
        <f t="shared" si="94"/>
        <v>2024</v>
      </c>
      <c r="AL342" s="78">
        <v>0.6645833333333333</v>
      </c>
      <c r="AM342" s="79">
        <v>0.66597222222222219</v>
      </c>
      <c r="AN342" s="80">
        <v>1.388888888888884E-3</v>
      </c>
      <c r="AO342" s="79">
        <v>0.67708333333333337</v>
      </c>
      <c r="AP342" s="80">
        <v>1.1111111111111183E-2</v>
      </c>
      <c r="AQ342" s="81">
        <v>41793</v>
      </c>
      <c r="AR342" s="77" t="str">
        <f t="shared" si="107"/>
        <v>Nacional</v>
      </c>
      <c r="AS342" s="77">
        <f t="shared" si="107"/>
        <v>5.3819444444444114E-3</v>
      </c>
      <c r="AT342" s="77">
        <f t="shared" si="107"/>
        <v>4.687500000000025E-3</v>
      </c>
      <c r="AU342" s="77">
        <f t="shared" si="107"/>
        <v>1.0069444444444436E-2</v>
      </c>
      <c r="AV342" s="77" t="str">
        <f t="shared" si="107"/>
        <v>ER4</v>
      </c>
      <c r="AW342" s="77">
        <f t="shared" si="107"/>
        <v>50</v>
      </c>
      <c r="AX342" s="77" t="str">
        <f t="shared" si="107"/>
        <v>PVR</v>
      </c>
    </row>
    <row r="343" spans="1:50" ht="15.75" thickBot="1" x14ac:dyDescent="0.3">
      <c r="A343">
        <v>329</v>
      </c>
      <c r="B343" s="36" t="str">
        <f t="shared" si="89"/>
        <v>MEXICO AEREO</v>
      </c>
      <c r="C343" s="36">
        <f t="shared" si="89"/>
        <v>466</v>
      </c>
      <c r="D343" s="84">
        <v>0.84375</v>
      </c>
      <c r="E343" s="84">
        <v>0.85</v>
      </c>
      <c r="F343" s="85">
        <v>6.2499999999999778E-3</v>
      </c>
      <c r="G343" s="84">
        <v>0.8569444444444444</v>
      </c>
      <c r="H343" s="85">
        <v>6.9444444444444198E-3</v>
      </c>
      <c r="I343" s="86">
        <v>41719</v>
      </c>
      <c r="J343" s="36" t="str">
        <f t="shared" si="105"/>
        <v>Nacional</v>
      </c>
      <c r="K343" s="36">
        <f t="shared" si="105"/>
        <v>7.870370370370354E-3</v>
      </c>
      <c r="L343" s="36">
        <f t="shared" si="105"/>
        <v>7.4845679012345906E-3</v>
      </c>
      <c r="M343" s="36">
        <f t="shared" si="105"/>
        <v>1.5354938271604945E-2</v>
      </c>
      <c r="N343" s="36" t="str">
        <f t="shared" si="105"/>
        <v>B737-700</v>
      </c>
      <c r="O343" s="36">
        <f t="shared" si="105"/>
        <v>126</v>
      </c>
      <c r="P343" s="36" t="str">
        <f t="shared" si="105"/>
        <v>MEX</v>
      </c>
      <c r="R343">
        <v>329</v>
      </c>
      <c r="S343" s="36" t="str">
        <f t="shared" si="106"/>
        <v>MEXICO AEREO</v>
      </c>
      <c r="T343" s="36">
        <f t="shared" si="106"/>
        <v>2024</v>
      </c>
      <c r="U343" s="73">
        <v>0.69374999999999998</v>
      </c>
      <c r="V343" s="74">
        <v>0.70347222222222217</v>
      </c>
      <c r="W343" s="75">
        <v>9.7222222222221877E-3</v>
      </c>
      <c r="X343" s="74">
        <v>0.70624999999999993</v>
      </c>
      <c r="Y343" s="75">
        <v>2.7777777777777679E-3</v>
      </c>
      <c r="Z343" s="76">
        <v>41756</v>
      </c>
      <c r="AA343" s="36" t="str">
        <f t="shared" si="103"/>
        <v>Nacional</v>
      </c>
      <c r="AB343" s="36">
        <f t="shared" si="103"/>
        <v>8.6640211640211778E-3</v>
      </c>
      <c r="AC343" s="36">
        <f t="shared" si="103"/>
        <v>3.7367724867724788E-3</v>
      </c>
      <c r="AD343" s="36">
        <f t="shared" si="103"/>
        <v>1.2400793650793657E-2</v>
      </c>
      <c r="AE343" s="36" t="str">
        <f t="shared" si="103"/>
        <v>ER4</v>
      </c>
      <c r="AF343" s="36">
        <f t="shared" si="103"/>
        <v>50</v>
      </c>
      <c r="AG343" s="36" t="str">
        <f t="shared" si="103"/>
        <v>PVR</v>
      </c>
      <c r="AI343">
        <v>329</v>
      </c>
      <c r="AJ343" s="77" t="str">
        <f t="shared" si="94"/>
        <v>MEXICO AEREO</v>
      </c>
      <c r="AK343" s="77">
        <f t="shared" si="94"/>
        <v>2024</v>
      </c>
      <c r="AL343" s="78">
        <v>0.66736111111111107</v>
      </c>
      <c r="AM343" s="79">
        <v>0.67222222222222217</v>
      </c>
      <c r="AN343" s="80">
        <v>4.8611111111110938E-3</v>
      </c>
      <c r="AO343" s="79">
        <v>0.67499999999999993</v>
      </c>
      <c r="AP343" s="80">
        <v>2.7777777777777679E-3</v>
      </c>
      <c r="AQ343" s="81">
        <v>41794</v>
      </c>
      <c r="AR343" s="77" t="str">
        <f t="shared" si="107"/>
        <v>Nacional</v>
      </c>
      <c r="AS343" s="77">
        <f t="shared" si="107"/>
        <v>5.3819444444444114E-3</v>
      </c>
      <c r="AT343" s="77">
        <f t="shared" si="107"/>
        <v>4.687500000000025E-3</v>
      </c>
      <c r="AU343" s="77">
        <f t="shared" si="107"/>
        <v>1.0069444444444436E-2</v>
      </c>
      <c r="AV343" s="77" t="str">
        <f t="shared" si="107"/>
        <v>ER4</v>
      </c>
      <c r="AW343" s="77">
        <f t="shared" si="107"/>
        <v>50</v>
      </c>
      <c r="AX343" s="77" t="str">
        <f t="shared" si="107"/>
        <v>PVR</v>
      </c>
    </row>
    <row r="344" spans="1:50" x14ac:dyDescent="0.25">
      <c r="A344">
        <v>330</v>
      </c>
      <c r="B344" s="36" t="s">
        <v>18</v>
      </c>
      <c r="C344" s="88">
        <v>286</v>
      </c>
      <c r="D344" s="57">
        <v>0.59305555555555556</v>
      </c>
      <c r="E344" s="57">
        <v>0.60416666666666663</v>
      </c>
      <c r="F344" s="58">
        <v>1.1111111111111072E-2</v>
      </c>
      <c r="G344" s="57">
        <v>0.6069444444444444</v>
      </c>
      <c r="H344" s="58">
        <v>2.7777777777777679E-3</v>
      </c>
      <c r="I344" s="59">
        <v>41714</v>
      </c>
      <c r="J344" s="108" t="s">
        <v>19</v>
      </c>
      <c r="K344" s="61">
        <v>5.9606481481481359E-3</v>
      </c>
      <c r="L344" s="61">
        <v>6.3078703703703665E-3</v>
      </c>
      <c r="M344" s="89">
        <v>1.2268518518518502E-2</v>
      </c>
      <c r="N344" s="90" t="s">
        <v>45</v>
      </c>
      <c r="O344" s="91">
        <v>126</v>
      </c>
      <c r="P344" s="92" t="s">
        <v>21</v>
      </c>
      <c r="R344">
        <v>330</v>
      </c>
      <c r="S344" s="36" t="str">
        <f t="shared" si="106"/>
        <v>MEXICO AEREO</v>
      </c>
      <c r="T344" s="36">
        <f t="shared" si="106"/>
        <v>2024</v>
      </c>
      <c r="U344" s="73">
        <v>0.67013888888888884</v>
      </c>
      <c r="V344" s="74">
        <v>0.6777777777777777</v>
      </c>
      <c r="W344" s="75">
        <v>7.6388888888888618E-3</v>
      </c>
      <c r="X344" s="74">
        <v>0.67986111111111114</v>
      </c>
      <c r="Y344" s="75">
        <v>2.083333333333437E-3</v>
      </c>
      <c r="Z344" s="76">
        <v>41757</v>
      </c>
      <c r="AA344" s="36" t="str">
        <f t="shared" si="103"/>
        <v>Nacional</v>
      </c>
      <c r="AB344" s="36">
        <f t="shared" si="103"/>
        <v>8.6640211640211778E-3</v>
      </c>
      <c r="AC344" s="36">
        <f t="shared" si="103"/>
        <v>3.7367724867724788E-3</v>
      </c>
      <c r="AD344" s="36">
        <f t="shared" si="103"/>
        <v>1.2400793650793657E-2</v>
      </c>
      <c r="AE344" s="36" t="str">
        <f t="shared" si="103"/>
        <v>ER4</v>
      </c>
      <c r="AF344" s="36">
        <f t="shared" si="103"/>
        <v>50</v>
      </c>
      <c r="AG344" s="36" t="str">
        <f t="shared" si="103"/>
        <v>PVR</v>
      </c>
      <c r="AI344">
        <v>330</v>
      </c>
      <c r="AJ344" s="77" t="str">
        <f t="shared" si="94"/>
        <v>MEXICO AEREO</v>
      </c>
      <c r="AK344" s="77">
        <f t="shared" si="94"/>
        <v>2024</v>
      </c>
      <c r="AL344" s="78">
        <v>0.67013888888888884</v>
      </c>
      <c r="AM344" s="79">
        <v>0.67291666666666661</v>
      </c>
      <c r="AN344" s="80">
        <v>2.7777777777777679E-3</v>
      </c>
      <c r="AO344" s="79">
        <v>0.6791666666666667</v>
      </c>
      <c r="AP344" s="80">
        <v>6.2500000000000888E-3</v>
      </c>
      <c r="AQ344" s="81">
        <v>41795</v>
      </c>
      <c r="AR344" s="77" t="str">
        <f t="shared" si="107"/>
        <v>Nacional</v>
      </c>
      <c r="AS344" s="77">
        <f t="shared" si="107"/>
        <v>5.3819444444444114E-3</v>
      </c>
      <c r="AT344" s="77">
        <f t="shared" si="107"/>
        <v>4.687500000000025E-3</v>
      </c>
      <c r="AU344" s="77">
        <f t="shared" si="107"/>
        <v>1.0069444444444436E-2</v>
      </c>
      <c r="AV344" s="77" t="str">
        <f t="shared" si="107"/>
        <v>ER4</v>
      </c>
      <c r="AW344" s="77">
        <f t="shared" si="107"/>
        <v>50</v>
      </c>
      <c r="AX344" s="77" t="str">
        <f t="shared" si="107"/>
        <v>PVR</v>
      </c>
    </row>
    <row r="345" spans="1:50" x14ac:dyDescent="0.25">
      <c r="A345">
        <v>331</v>
      </c>
      <c r="B345" s="36" t="str">
        <f t="shared" ref="B345:C400" si="108">B344</f>
        <v>MEXICO AEREO</v>
      </c>
      <c r="C345" s="36">
        <f t="shared" si="108"/>
        <v>286</v>
      </c>
      <c r="D345" s="74">
        <v>0.59722222222222221</v>
      </c>
      <c r="E345" s="74">
        <v>0.60347222222222219</v>
      </c>
      <c r="F345" s="75">
        <v>6.2499999999999778E-3</v>
      </c>
      <c r="G345" s="74">
        <v>0.61111111111111105</v>
      </c>
      <c r="H345" s="75">
        <v>7.6388888888888618E-3</v>
      </c>
      <c r="I345" s="76">
        <v>41715</v>
      </c>
      <c r="J345" s="36" t="str">
        <f t="shared" ref="J345:P355" si="109">J344</f>
        <v>Nacional</v>
      </c>
      <c r="K345" s="36">
        <f t="shared" si="109"/>
        <v>5.9606481481481359E-3</v>
      </c>
      <c r="L345" s="36">
        <f t="shared" si="109"/>
        <v>6.3078703703703665E-3</v>
      </c>
      <c r="M345" s="36">
        <f t="shared" si="109"/>
        <v>1.2268518518518502E-2</v>
      </c>
      <c r="N345" s="36" t="str">
        <f t="shared" si="109"/>
        <v>B737-700</v>
      </c>
      <c r="O345" s="36">
        <f t="shared" si="109"/>
        <v>126</v>
      </c>
      <c r="P345" s="36" t="str">
        <f t="shared" si="109"/>
        <v>MEX</v>
      </c>
      <c r="R345">
        <v>331</v>
      </c>
      <c r="S345" s="36" t="str">
        <f t="shared" si="106"/>
        <v>MEXICO AEREO</v>
      </c>
      <c r="T345" s="36">
        <f t="shared" si="106"/>
        <v>2024</v>
      </c>
      <c r="U345" s="73">
        <v>0.66736111111111107</v>
      </c>
      <c r="V345" s="74">
        <v>0.67291666666666661</v>
      </c>
      <c r="W345" s="75">
        <v>5.5555555555555358E-3</v>
      </c>
      <c r="X345" s="74">
        <v>0.68055555555555547</v>
      </c>
      <c r="Y345" s="75">
        <v>7.6388888888888618E-3</v>
      </c>
      <c r="Z345" s="76">
        <v>41758</v>
      </c>
      <c r="AA345" s="36" t="str">
        <f t="shared" si="103"/>
        <v>Nacional</v>
      </c>
      <c r="AB345" s="36">
        <f t="shared" si="103"/>
        <v>8.6640211640211778E-3</v>
      </c>
      <c r="AC345" s="36">
        <f t="shared" si="103"/>
        <v>3.7367724867724788E-3</v>
      </c>
      <c r="AD345" s="36">
        <f t="shared" si="103"/>
        <v>1.2400793650793657E-2</v>
      </c>
      <c r="AE345" s="36" t="str">
        <f t="shared" si="103"/>
        <v>ER4</v>
      </c>
      <c r="AF345" s="36">
        <f t="shared" si="103"/>
        <v>50</v>
      </c>
      <c r="AG345" s="36" t="str">
        <f t="shared" si="103"/>
        <v>PVR</v>
      </c>
      <c r="AI345">
        <v>331</v>
      </c>
      <c r="AJ345" s="77" t="str">
        <f t="shared" si="94"/>
        <v>MEXICO AEREO</v>
      </c>
      <c r="AK345" s="77">
        <f t="shared" si="94"/>
        <v>2024</v>
      </c>
      <c r="AL345" s="78">
        <v>0.67152777777777783</v>
      </c>
      <c r="AM345" s="79">
        <v>0.67708333333333337</v>
      </c>
      <c r="AN345" s="80">
        <v>5.5555555555555358E-3</v>
      </c>
      <c r="AO345" s="79">
        <v>0.67986111111111114</v>
      </c>
      <c r="AP345" s="80">
        <v>2.7777777777777679E-3</v>
      </c>
      <c r="AQ345" s="81">
        <v>41796</v>
      </c>
      <c r="AR345" s="77" t="str">
        <f t="shared" si="107"/>
        <v>Nacional</v>
      </c>
      <c r="AS345" s="77">
        <f t="shared" si="107"/>
        <v>5.3819444444444114E-3</v>
      </c>
      <c r="AT345" s="77">
        <f t="shared" si="107"/>
        <v>4.687500000000025E-3</v>
      </c>
      <c r="AU345" s="77">
        <f t="shared" si="107"/>
        <v>1.0069444444444436E-2</v>
      </c>
      <c r="AV345" s="77" t="str">
        <f t="shared" si="107"/>
        <v>ER4</v>
      </c>
      <c r="AW345" s="77">
        <f t="shared" si="107"/>
        <v>50</v>
      </c>
      <c r="AX345" s="77" t="str">
        <f t="shared" si="107"/>
        <v>PVR</v>
      </c>
    </row>
    <row r="346" spans="1:50" ht="15.75" thickBot="1" x14ac:dyDescent="0.3">
      <c r="A346">
        <v>332</v>
      </c>
      <c r="B346" s="36" t="str">
        <f t="shared" si="108"/>
        <v>MEXICO AEREO</v>
      </c>
      <c r="C346" s="36">
        <f t="shared" si="108"/>
        <v>286</v>
      </c>
      <c r="D346" s="74">
        <v>0.63750000000000007</v>
      </c>
      <c r="E346" s="74">
        <v>0.6430555555555556</v>
      </c>
      <c r="F346" s="75">
        <v>5.5555555555555358E-3</v>
      </c>
      <c r="G346" s="74">
        <v>0.64652777777777781</v>
      </c>
      <c r="H346" s="75">
        <v>3.4722222222222099E-3</v>
      </c>
      <c r="I346" s="76">
        <v>41716</v>
      </c>
      <c r="J346" s="36" t="str">
        <f t="shared" si="109"/>
        <v>Nacional</v>
      </c>
      <c r="K346" s="36">
        <f t="shared" si="109"/>
        <v>5.9606481481481359E-3</v>
      </c>
      <c r="L346" s="36">
        <f t="shared" si="109"/>
        <v>6.3078703703703665E-3</v>
      </c>
      <c r="M346" s="36">
        <f t="shared" si="109"/>
        <v>1.2268518518518502E-2</v>
      </c>
      <c r="N346" s="36" t="str">
        <f t="shared" si="109"/>
        <v>B737-700</v>
      </c>
      <c r="O346" s="36">
        <f t="shared" si="109"/>
        <v>126</v>
      </c>
      <c r="P346" s="36" t="str">
        <f t="shared" si="109"/>
        <v>MEX</v>
      </c>
      <c r="R346">
        <v>332</v>
      </c>
      <c r="S346" s="36" t="str">
        <f t="shared" si="106"/>
        <v>MEXICO AEREO</v>
      </c>
      <c r="T346" s="36">
        <f t="shared" si="106"/>
        <v>2024</v>
      </c>
      <c r="U346" s="83">
        <v>0.66666666666666663</v>
      </c>
      <c r="V346" s="84">
        <v>0.67638888888888893</v>
      </c>
      <c r="W346" s="85">
        <v>9.7222222222222987E-3</v>
      </c>
      <c r="X346" s="84">
        <v>0.68055555555555547</v>
      </c>
      <c r="Y346" s="85">
        <v>4.1666666666665408E-3</v>
      </c>
      <c r="Z346" s="86">
        <v>41759</v>
      </c>
      <c r="AA346" s="36" t="str">
        <f t="shared" si="103"/>
        <v>Nacional</v>
      </c>
      <c r="AB346" s="36">
        <f t="shared" si="103"/>
        <v>8.6640211640211778E-3</v>
      </c>
      <c r="AC346" s="36">
        <f t="shared" si="103"/>
        <v>3.7367724867724788E-3</v>
      </c>
      <c r="AD346" s="36">
        <f t="shared" si="103"/>
        <v>1.2400793650793657E-2</v>
      </c>
      <c r="AE346" s="36" t="str">
        <f t="shared" si="103"/>
        <v>ER4</v>
      </c>
      <c r="AF346" s="36">
        <f t="shared" si="103"/>
        <v>50</v>
      </c>
      <c r="AG346" s="36" t="str">
        <f t="shared" si="103"/>
        <v>PVR</v>
      </c>
      <c r="AI346">
        <v>332</v>
      </c>
      <c r="AJ346" s="77" t="str">
        <f t="shared" si="94"/>
        <v>MEXICO AEREO</v>
      </c>
      <c r="AK346" s="77">
        <f t="shared" si="94"/>
        <v>2024</v>
      </c>
      <c r="AL346" s="78">
        <v>0.65694444444444444</v>
      </c>
      <c r="AM346" s="79">
        <v>0.67013888888888884</v>
      </c>
      <c r="AN346" s="80">
        <v>1.3194444444444398E-2</v>
      </c>
      <c r="AO346" s="79">
        <v>0.67291666666666661</v>
      </c>
      <c r="AP346" s="80">
        <v>2.7777777777777679E-3</v>
      </c>
      <c r="AQ346" s="81">
        <v>41797</v>
      </c>
      <c r="AR346" s="77" t="str">
        <f t="shared" si="107"/>
        <v>Nacional</v>
      </c>
      <c r="AS346" s="77">
        <f t="shared" si="107"/>
        <v>5.3819444444444114E-3</v>
      </c>
      <c r="AT346" s="77">
        <f t="shared" si="107"/>
        <v>4.687500000000025E-3</v>
      </c>
      <c r="AU346" s="77">
        <f t="shared" si="107"/>
        <v>1.0069444444444436E-2</v>
      </c>
      <c r="AV346" s="77" t="str">
        <f t="shared" si="107"/>
        <v>ER4</v>
      </c>
      <c r="AW346" s="77">
        <f t="shared" si="107"/>
        <v>50</v>
      </c>
      <c r="AX346" s="77" t="str">
        <f t="shared" si="107"/>
        <v>PVR</v>
      </c>
    </row>
    <row r="347" spans="1:50" ht="15.75" thickBot="1" x14ac:dyDescent="0.3">
      <c r="A347">
        <v>333</v>
      </c>
      <c r="B347" s="36" t="str">
        <f t="shared" si="108"/>
        <v>MEXICO AEREO</v>
      </c>
      <c r="C347" s="36">
        <f t="shared" si="108"/>
        <v>286</v>
      </c>
      <c r="D347" s="74">
        <v>0.61111111111111105</v>
      </c>
      <c r="E347" s="74">
        <v>0.61527777777777781</v>
      </c>
      <c r="F347" s="75">
        <v>4.1666666666667629E-3</v>
      </c>
      <c r="G347" s="74">
        <v>0.62222222222222223</v>
      </c>
      <c r="H347" s="75">
        <v>6.9444444444444198E-3</v>
      </c>
      <c r="I347" s="76">
        <v>41717</v>
      </c>
      <c r="J347" s="36" t="str">
        <f t="shared" si="109"/>
        <v>Nacional</v>
      </c>
      <c r="K347" s="36">
        <f t="shared" si="109"/>
        <v>5.9606481481481359E-3</v>
      </c>
      <c r="L347" s="36">
        <f t="shared" si="109"/>
        <v>6.3078703703703665E-3</v>
      </c>
      <c r="M347" s="36">
        <f t="shared" si="109"/>
        <v>1.2268518518518502E-2</v>
      </c>
      <c r="N347" s="36" t="str">
        <f t="shared" si="109"/>
        <v>B737-700</v>
      </c>
      <c r="O347" s="36">
        <f t="shared" si="109"/>
        <v>126</v>
      </c>
      <c r="P347" s="36" t="str">
        <f t="shared" si="109"/>
        <v>MEX</v>
      </c>
      <c r="R347">
        <v>333</v>
      </c>
      <c r="S347" s="137" t="s">
        <v>18</v>
      </c>
      <c r="T347" s="55">
        <v>2023</v>
      </c>
      <c r="U347" s="56">
        <v>0.47986111111111113</v>
      </c>
      <c r="V347" s="57">
        <v>0.48680555555555555</v>
      </c>
      <c r="W347" s="58">
        <v>6.9444444444444198E-3</v>
      </c>
      <c r="X347" s="57">
        <v>0.49027777777777781</v>
      </c>
      <c r="Y347" s="58">
        <v>3.4722222222222654E-3</v>
      </c>
      <c r="Z347" s="59">
        <v>41737</v>
      </c>
      <c r="AA347" s="60" t="s">
        <v>19</v>
      </c>
      <c r="AB347" s="61">
        <v>6.7901234567901269E-3</v>
      </c>
      <c r="AC347" s="61">
        <v>5.0925925925925835E-3</v>
      </c>
      <c r="AD347" s="61">
        <v>1.1882716049382711E-2</v>
      </c>
      <c r="AE347" s="109" t="s">
        <v>20</v>
      </c>
      <c r="AF347" s="109">
        <v>50</v>
      </c>
      <c r="AG347" s="109" t="s">
        <v>28</v>
      </c>
      <c r="AI347">
        <v>333</v>
      </c>
      <c r="AJ347" s="77" t="str">
        <f t="shared" si="94"/>
        <v>MEXICO AEREO</v>
      </c>
      <c r="AK347" s="77">
        <f t="shared" si="94"/>
        <v>2024</v>
      </c>
      <c r="AL347" s="94">
        <v>0.67986111111111114</v>
      </c>
      <c r="AM347" s="95">
        <v>0.68541666666666667</v>
      </c>
      <c r="AN347" s="96">
        <v>5.5555555555555358E-3</v>
      </c>
      <c r="AO347" s="95">
        <v>0.68958333333333333</v>
      </c>
      <c r="AP347" s="96">
        <v>4.1666666666666519E-3</v>
      </c>
      <c r="AQ347" s="97">
        <v>41798</v>
      </c>
      <c r="AR347" s="77" t="str">
        <f t="shared" si="107"/>
        <v>Nacional</v>
      </c>
      <c r="AS347" s="77">
        <f t="shared" si="107"/>
        <v>5.3819444444444114E-3</v>
      </c>
      <c r="AT347" s="77">
        <f t="shared" si="107"/>
        <v>4.687500000000025E-3</v>
      </c>
      <c r="AU347" s="77">
        <f t="shared" si="107"/>
        <v>1.0069444444444436E-2</v>
      </c>
      <c r="AV347" s="77" t="str">
        <f t="shared" si="107"/>
        <v>ER4</v>
      </c>
      <c r="AW347" s="77">
        <f t="shared" si="107"/>
        <v>50</v>
      </c>
      <c r="AX347" s="77" t="str">
        <f t="shared" si="107"/>
        <v>PVR</v>
      </c>
    </row>
    <row r="348" spans="1:50" x14ac:dyDescent="0.25">
      <c r="A348">
        <v>334</v>
      </c>
      <c r="B348" s="36" t="str">
        <f t="shared" si="108"/>
        <v>MEXICO AEREO</v>
      </c>
      <c r="C348" s="36">
        <f t="shared" si="108"/>
        <v>286</v>
      </c>
      <c r="D348" s="74">
        <v>0.58472222222222225</v>
      </c>
      <c r="E348" s="74">
        <v>0.59236111111111112</v>
      </c>
      <c r="F348" s="75">
        <v>7.6388888888888618E-3</v>
      </c>
      <c r="G348" s="74">
        <v>0.59583333333333333</v>
      </c>
      <c r="H348" s="75">
        <v>3.4722222222222099E-3</v>
      </c>
      <c r="I348" s="76">
        <v>41721</v>
      </c>
      <c r="J348" s="36" t="str">
        <f t="shared" si="109"/>
        <v>Nacional</v>
      </c>
      <c r="K348" s="36">
        <f t="shared" si="109"/>
        <v>5.9606481481481359E-3</v>
      </c>
      <c r="L348" s="36">
        <f t="shared" si="109"/>
        <v>6.3078703703703665E-3</v>
      </c>
      <c r="M348" s="36">
        <f t="shared" si="109"/>
        <v>1.2268518518518502E-2</v>
      </c>
      <c r="N348" s="36" t="str">
        <f t="shared" si="109"/>
        <v>B737-700</v>
      </c>
      <c r="O348" s="36">
        <f t="shared" si="109"/>
        <v>126</v>
      </c>
      <c r="P348" s="36" t="str">
        <f t="shared" si="109"/>
        <v>MEX</v>
      </c>
      <c r="R348">
        <v>334</v>
      </c>
      <c r="S348" s="36" t="str">
        <f t="shared" ref="S348:T411" si="110">S347</f>
        <v>MEXICO AEREO</v>
      </c>
      <c r="T348" s="36">
        <f t="shared" si="110"/>
        <v>2023</v>
      </c>
      <c r="U348" s="73">
        <v>0.47847222222222219</v>
      </c>
      <c r="V348" s="74">
        <v>0.48472222222222222</v>
      </c>
      <c r="W348" s="75">
        <v>6.2500000000000333E-3</v>
      </c>
      <c r="X348" s="74">
        <v>0.48749999999999999</v>
      </c>
      <c r="Y348" s="75">
        <v>2.7777777777777679E-3</v>
      </c>
      <c r="Z348" s="76">
        <v>41738</v>
      </c>
      <c r="AA348" s="36" t="str">
        <f t="shared" ref="AA348:AG364" si="111">AA347</f>
        <v>Nacional</v>
      </c>
      <c r="AB348" s="36">
        <f t="shared" si="111"/>
        <v>6.7901234567901269E-3</v>
      </c>
      <c r="AC348" s="36">
        <f t="shared" si="111"/>
        <v>5.0925925925925835E-3</v>
      </c>
      <c r="AD348" s="36">
        <f t="shared" si="111"/>
        <v>1.1882716049382711E-2</v>
      </c>
      <c r="AE348" s="36" t="str">
        <f t="shared" si="111"/>
        <v>ER4</v>
      </c>
      <c r="AF348" s="36">
        <f t="shared" si="111"/>
        <v>50</v>
      </c>
      <c r="AG348" s="36" t="str">
        <f t="shared" si="111"/>
        <v>MTY</v>
      </c>
      <c r="AI348">
        <v>334</v>
      </c>
      <c r="AJ348" s="63" t="s">
        <v>18</v>
      </c>
      <c r="AK348" s="63">
        <v>2023</v>
      </c>
      <c r="AL348" s="64">
        <v>0.47291666666666665</v>
      </c>
      <c r="AM348" s="65">
        <v>0.47500000000000003</v>
      </c>
      <c r="AN348" s="66">
        <v>2.0833333333333814E-3</v>
      </c>
      <c r="AO348" s="65">
        <v>0.4777777777777778</v>
      </c>
      <c r="AP348" s="66">
        <v>2.7777777777777679E-3</v>
      </c>
      <c r="AQ348" s="67">
        <v>41791</v>
      </c>
      <c r="AR348" s="68" t="s">
        <v>19</v>
      </c>
      <c r="AS348" s="69">
        <v>5.1169590643274816E-3</v>
      </c>
      <c r="AT348" s="70">
        <v>5.8114035087719357E-3</v>
      </c>
      <c r="AU348" s="70">
        <v>1.0928362573099417E-2</v>
      </c>
      <c r="AV348" s="71" t="s">
        <v>20</v>
      </c>
      <c r="AW348" s="71">
        <v>50</v>
      </c>
      <c r="AX348" s="72" t="s">
        <v>28</v>
      </c>
    </row>
    <row r="349" spans="1:50" x14ac:dyDescent="0.25">
      <c r="A349">
        <v>335</v>
      </c>
      <c r="B349" s="36" t="str">
        <f t="shared" si="108"/>
        <v>MEXICO AEREO</v>
      </c>
      <c r="C349" s="36">
        <f t="shared" si="108"/>
        <v>286</v>
      </c>
      <c r="D349" s="74">
        <v>0.58472222222222225</v>
      </c>
      <c r="E349" s="74">
        <v>0.59236111111111112</v>
      </c>
      <c r="F349" s="75">
        <v>7.6388888888888618E-3</v>
      </c>
      <c r="G349" s="74">
        <v>0.59583333333333333</v>
      </c>
      <c r="H349" s="75">
        <v>3.4722222222222099E-3</v>
      </c>
      <c r="I349" s="76">
        <v>41721</v>
      </c>
      <c r="J349" s="36" t="str">
        <f t="shared" si="109"/>
        <v>Nacional</v>
      </c>
      <c r="K349" s="36">
        <f t="shared" si="109"/>
        <v>5.9606481481481359E-3</v>
      </c>
      <c r="L349" s="36">
        <f t="shared" si="109"/>
        <v>6.3078703703703665E-3</v>
      </c>
      <c r="M349" s="36">
        <f t="shared" si="109"/>
        <v>1.2268518518518502E-2</v>
      </c>
      <c r="N349" s="36" t="str">
        <f t="shared" si="109"/>
        <v>B737-700</v>
      </c>
      <c r="O349" s="36">
        <f t="shared" si="109"/>
        <v>126</v>
      </c>
      <c r="P349" s="36" t="str">
        <f t="shared" si="109"/>
        <v>MEX</v>
      </c>
      <c r="R349">
        <v>335</v>
      </c>
      <c r="S349" s="36" t="str">
        <f t="shared" si="110"/>
        <v>MEXICO AEREO</v>
      </c>
      <c r="T349" s="36">
        <f t="shared" si="110"/>
        <v>2023</v>
      </c>
      <c r="U349" s="73">
        <v>0.47569444444444442</v>
      </c>
      <c r="V349" s="74">
        <v>0.48194444444444445</v>
      </c>
      <c r="W349" s="75">
        <v>6.2500000000000333E-3</v>
      </c>
      <c r="X349" s="74">
        <v>0.48819444444444443</v>
      </c>
      <c r="Y349" s="75">
        <v>6.2499999999999778E-3</v>
      </c>
      <c r="Z349" s="76">
        <v>41739</v>
      </c>
      <c r="AA349" s="36" t="str">
        <f t="shared" si="111"/>
        <v>Nacional</v>
      </c>
      <c r="AB349" s="36">
        <f t="shared" si="111"/>
        <v>6.7901234567901269E-3</v>
      </c>
      <c r="AC349" s="36">
        <f t="shared" si="111"/>
        <v>5.0925925925925835E-3</v>
      </c>
      <c r="AD349" s="36">
        <f t="shared" si="111"/>
        <v>1.1882716049382711E-2</v>
      </c>
      <c r="AE349" s="36" t="str">
        <f t="shared" si="111"/>
        <v>ER4</v>
      </c>
      <c r="AF349" s="36">
        <f t="shared" si="111"/>
        <v>50</v>
      </c>
      <c r="AG349" s="36" t="str">
        <f t="shared" si="111"/>
        <v>MTY</v>
      </c>
      <c r="AI349">
        <v>335</v>
      </c>
      <c r="AJ349" s="77" t="str">
        <f t="shared" ref="AJ349:AK395" si="112">AJ348</f>
        <v>MEXICO AEREO</v>
      </c>
      <c r="AK349" s="77">
        <f t="shared" si="112"/>
        <v>2023</v>
      </c>
      <c r="AL349" s="78">
        <v>0.46736111111111112</v>
      </c>
      <c r="AM349" s="79">
        <v>0.47291666666666665</v>
      </c>
      <c r="AN349" s="80">
        <v>5.5555555555555358E-3</v>
      </c>
      <c r="AO349" s="79">
        <v>0.4770833333333333</v>
      </c>
      <c r="AP349" s="80">
        <v>4.1666666666666519E-3</v>
      </c>
      <c r="AQ349" s="81">
        <v>41792</v>
      </c>
      <c r="AR349" s="77" t="str">
        <f t="shared" ref="AR349:AX366" si="113">AR348</f>
        <v>Nacional</v>
      </c>
      <c r="AS349" s="77">
        <f t="shared" si="113"/>
        <v>5.1169590643274816E-3</v>
      </c>
      <c r="AT349" s="77">
        <f t="shared" si="113"/>
        <v>5.8114035087719357E-3</v>
      </c>
      <c r="AU349" s="77">
        <f t="shared" si="113"/>
        <v>1.0928362573099417E-2</v>
      </c>
      <c r="AV349" s="77" t="str">
        <f t="shared" si="113"/>
        <v>ER4</v>
      </c>
      <c r="AW349" s="77">
        <f t="shared" si="113"/>
        <v>50</v>
      </c>
      <c r="AX349" s="77" t="str">
        <f t="shared" si="113"/>
        <v>MTY</v>
      </c>
    </row>
    <row r="350" spans="1:50" x14ac:dyDescent="0.25">
      <c r="A350">
        <v>336</v>
      </c>
      <c r="B350" s="36" t="str">
        <f t="shared" si="108"/>
        <v>MEXICO AEREO</v>
      </c>
      <c r="C350" s="36">
        <f t="shared" si="108"/>
        <v>286</v>
      </c>
      <c r="D350" s="74">
        <v>0.62847222222222221</v>
      </c>
      <c r="E350" s="74">
        <v>0.63055555555555554</v>
      </c>
      <c r="F350" s="75">
        <v>2.0833333333333259E-3</v>
      </c>
      <c r="G350" s="74">
        <v>0.63750000000000007</v>
      </c>
      <c r="H350" s="75">
        <v>6.9444444444445308E-3</v>
      </c>
      <c r="I350" s="76">
        <v>41722</v>
      </c>
      <c r="J350" s="36" t="str">
        <f t="shared" si="109"/>
        <v>Nacional</v>
      </c>
      <c r="K350" s="36">
        <f t="shared" si="109"/>
        <v>5.9606481481481359E-3</v>
      </c>
      <c r="L350" s="36">
        <f t="shared" si="109"/>
        <v>6.3078703703703665E-3</v>
      </c>
      <c r="M350" s="36">
        <f t="shared" si="109"/>
        <v>1.2268518518518502E-2</v>
      </c>
      <c r="N350" s="36" t="str">
        <f t="shared" si="109"/>
        <v>B737-700</v>
      </c>
      <c r="O350" s="36">
        <f t="shared" si="109"/>
        <v>126</v>
      </c>
      <c r="P350" s="36" t="str">
        <f t="shared" si="109"/>
        <v>MEX</v>
      </c>
      <c r="R350">
        <v>336</v>
      </c>
      <c r="S350" s="36" t="str">
        <f t="shared" si="110"/>
        <v>MEXICO AEREO</v>
      </c>
      <c r="T350" s="36">
        <f t="shared" si="110"/>
        <v>2023</v>
      </c>
      <c r="U350" s="73">
        <v>0.4826388888888889</v>
      </c>
      <c r="V350" s="74">
        <v>0.4861111111111111</v>
      </c>
      <c r="W350" s="75">
        <v>3.4722222222222099E-3</v>
      </c>
      <c r="X350" s="74">
        <v>0.49513888888888885</v>
      </c>
      <c r="Y350" s="75">
        <v>9.0277777777777457E-3</v>
      </c>
      <c r="Z350" s="76">
        <v>41741</v>
      </c>
      <c r="AA350" s="36" t="str">
        <f t="shared" si="111"/>
        <v>Nacional</v>
      </c>
      <c r="AB350" s="36">
        <f t="shared" si="111"/>
        <v>6.7901234567901269E-3</v>
      </c>
      <c r="AC350" s="36">
        <f t="shared" si="111"/>
        <v>5.0925925925925835E-3</v>
      </c>
      <c r="AD350" s="36">
        <f t="shared" si="111"/>
        <v>1.1882716049382711E-2</v>
      </c>
      <c r="AE350" s="36" t="str">
        <f t="shared" si="111"/>
        <v>ER4</v>
      </c>
      <c r="AF350" s="36">
        <f t="shared" si="111"/>
        <v>50</v>
      </c>
      <c r="AG350" s="36" t="str">
        <f t="shared" si="111"/>
        <v>MTY</v>
      </c>
      <c r="AI350">
        <v>336</v>
      </c>
      <c r="AJ350" s="77" t="str">
        <f t="shared" si="112"/>
        <v>MEXICO AEREO</v>
      </c>
      <c r="AK350" s="77">
        <f t="shared" si="112"/>
        <v>2023</v>
      </c>
      <c r="AL350" s="78">
        <v>0.4861111111111111</v>
      </c>
      <c r="AM350" s="79">
        <v>0.49027777777777781</v>
      </c>
      <c r="AN350" s="80">
        <v>4.1666666666667074E-3</v>
      </c>
      <c r="AO350" s="79">
        <v>0.49444444444444446</v>
      </c>
      <c r="AP350" s="80">
        <v>4.1666666666666519E-3</v>
      </c>
      <c r="AQ350" s="81">
        <v>41793</v>
      </c>
      <c r="AR350" s="77" t="str">
        <f t="shared" si="113"/>
        <v>Nacional</v>
      </c>
      <c r="AS350" s="77">
        <f t="shared" si="113"/>
        <v>5.1169590643274816E-3</v>
      </c>
      <c r="AT350" s="77">
        <f t="shared" si="113"/>
        <v>5.8114035087719357E-3</v>
      </c>
      <c r="AU350" s="77">
        <f t="shared" si="113"/>
        <v>1.0928362573099417E-2</v>
      </c>
      <c r="AV350" s="77" t="str">
        <f t="shared" si="113"/>
        <v>ER4</v>
      </c>
      <c r="AW350" s="77">
        <f t="shared" si="113"/>
        <v>50</v>
      </c>
      <c r="AX350" s="77" t="str">
        <f t="shared" si="113"/>
        <v>MTY</v>
      </c>
    </row>
    <row r="351" spans="1:50" x14ac:dyDescent="0.25">
      <c r="A351">
        <v>337</v>
      </c>
      <c r="B351" s="36" t="str">
        <f t="shared" si="108"/>
        <v>MEXICO AEREO</v>
      </c>
      <c r="C351" s="36">
        <f t="shared" si="108"/>
        <v>286</v>
      </c>
      <c r="D351" s="74">
        <v>0.58680555555555558</v>
      </c>
      <c r="E351" s="74">
        <v>0.59305555555555556</v>
      </c>
      <c r="F351" s="75">
        <v>6.2499999999999778E-3</v>
      </c>
      <c r="G351" s="74">
        <v>0.60138888888888886</v>
      </c>
      <c r="H351" s="75">
        <v>8.3333333333333037E-3</v>
      </c>
      <c r="I351" s="76">
        <v>41725</v>
      </c>
      <c r="J351" s="36" t="str">
        <f t="shared" si="109"/>
        <v>Nacional</v>
      </c>
      <c r="K351" s="36">
        <f t="shared" si="109"/>
        <v>5.9606481481481359E-3</v>
      </c>
      <c r="L351" s="36">
        <f t="shared" si="109"/>
        <v>6.3078703703703665E-3</v>
      </c>
      <c r="M351" s="36">
        <f t="shared" si="109"/>
        <v>1.2268518518518502E-2</v>
      </c>
      <c r="N351" s="36" t="str">
        <f t="shared" si="109"/>
        <v>B737-700</v>
      </c>
      <c r="O351" s="36">
        <f t="shared" si="109"/>
        <v>126</v>
      </c>
      <c r="P351" s="36" t="str">
        <f t="shared" si="109"/>
        <v>MEX</v>
      </c>
      <c r="R351">
        <v>337</v>
      </c>
      <c r="S351" s="36" t="str">
        <f t="shared" si="110"/>
        <v>MEXICO AEREO</v>
      </c>
      <c r="T351" s="36">
        <f t="shared" si="110"/>
        <v>2023</v>
      </c>
      <c r="U351" s="73">
        <v>0.47361111111111115</v>
      </c>
      <c r="V351" s="74">
        <v>0.47916666666666669</v>
      </c>
      <c r="W351" s="75">
        <v>5.5555555555555358E-3</v>
      </c>
      <c r="X351" s="74">
        <v>0.48402777777777778</v>
      </c>
      <c r="Y351" s="75">
        <v>4.8611111111110938E-3</v>
      </c>
      <c r="Z351" s="76">
        <v>41743</v>
      </c>
      <c r="AA351" s="36" t="str">
        <f t="shared" si="111"/>
        <v>Nacional</v>
      </c>
      <c r="AB351" s="36">
        <f t="shared" si="111"/>
        <v>6.7901234567901269E-3</v>
      </c>
      <c r="AC351" s="36">
        <f t="shared" si="111"/>
        <v>5.0925925925925835E-3</v>
      </c>
      <c r="AD351" s="36">
        <f t="shared" si="111"/>
        <v>1.1882716049382711E-2</v>
      </c>
      <c r="AE351" s="36" t="str">
        <f t="shared" si="111"/>
        <v>ER4</v>
      </c>
      <c r="AF351" s="36">
        <f t="shared" si="111"/>
        <v>50</v>
      </c>
      <c r="AG351" s="36" t="str">
        <f t="shared" si="111"/>
        <v>MTY</v>
      </c>
      <c r="AI351">
        <v>337</v>
      </c>
      <c r="AJ351" s="77" t="str">
        <f t="shared" si="112"/>
        <v>MEXICO AEREO</v>
      </c>
      <c r="AK351" s="77">
        <f t="shared" si="112"/>
        <v>2023</v>
      </c>
      <c r="AL351" s="78">
        <v>0.47638888888888892</v>
      </c>
      <c r="AM351" s="79">
        <v>0.47916666666666669</v>
      </c>
      <c r="AN351" s="80">
        <v>2.7777777777777679E-3</v>
      </c>
      <c r="AO351" s="79">
        <v>0.48402777777777778</v>
      </c>
      <c r="AP351" s="80">
        <v>4.8611111111110938E-3</v>
      </c>
      <c r="AQ351" s="81">
        <v>41794</v>
      </c>
      <c r="AR351" s="77" t="str">
        <f t="shared" si="113"/>
        <v>Nacional</v>
      </c>
      <c r="AS351" s="77">
        <f t="shared" si="113"/>
        <v>5.1169590643274816E-3</v>
      </c>
      <c r="AT351" s="77">
        <f t="shared" si="113"/>
        <v>5.8114035087719357E-3</v>
      </c>
      <c r="AU351" s="77">
        <f t="shared" si="113"/>
        <v>1.0928362573099417E-2</v>
      </c>
      <c r="AV351" s="77" t="str">
        <f t="shared" si="113"/>
        <v>ER4</v>
      </c>
      <c r="AW351" s="77">
        <f t="shared" si="113"/>
        <v>50</v>
      </c>
      <c r="AX351" s="77" t="str">
        <f t="shared" si="113"/>
        <v>MTY</v>
      </c>
    </row>
    <row r="352" spans="1:50" x14ac:dyDescent="0.25">
      <c r="A352">
        <v>338</v>
      </c>
      <c r="B352" s="36" t="str">
        <f t="shared" si="108"/>
        <v>MEXICO AEREO</v>
      </c>
      <c r="C352" s="36">
        <f t="shared" si="108"/>
        <v>286</v>
      </c>
      <c r="D352" s="74">
        <v>0.58472222222222225</v>
      </c>
      <c r="E352" s="74">
        <v>0.59097222222222223</v>
      </c>
      <c r="F352" s="75">
        <v>6.2499999999999778E-3</v>
      </c>
      <c r="G352" s="74">
        <v>0.59583333333333333</v>
      </c>
      <c r="H352" s="75">
        <v>4.8611111111110938E-3</v>
      </c>
      <c r="I352" s="76">
        <v>41725</v>
      </c>
      <c r="J352" s="36" t="str">
        <f t="shared" si="109"/>
        <v>Nacional</v>
      </c>
      <c r="K352" s="36">
        <f t="shared" si="109"/>
        <v>5.9606481481481359E-3</v>
      </c>
      <c r="L352" s="36">
        <f t="shared" si="109"/>
        <v>6.3078703703703665E-3</v>
      </c>
      <c r="M352" s="36">
        <f t="shared" si="109"/>
        <v>1.2268518518518502E-2</v>
      </c>
      <c r="N352" s="36" t="str">
        <f t="shared" si="109"/>
        <v>B737-700</v>
      </c>
      <c r="O352" s="36">
        <f t="shared" si="109"/>
        <v>126</v>
      </c>
      <c r="P352" s="36" t="str">
        <f t="shared" si="109"/>
        <v>MEX</v>
      </c>
      <c r="R352">
        <v>338</v>
      </c>
      <c r="S352" s="36" t="str">
        <f t="shared" si="110"/>
        <v>MEXICO AEREO</v>
      </c>
      <c r="T352" s="36">
        <f t="shared" si="110"/>
        <v>2023</v>
      </c>
      <c r="U352" s="73">
        <v>0.47638888888888892</v>
      </c>
      <c r="V352" s="74">
        <v>0.48125000000000001</v>
      </c>
      <c r="W352" s="75">
        <v>4.8611111111110938E-3</v>
      </c>
      <c r="X352" s="74">
        <v>0.49305555555555558</v>
      </c>
      <c r="Y352" s="75">
        <v>1.1805555555555569E-2</v>
      </c>
      <c r="Z352" s="76">
        <v>41744</v>
      </c>
      <c r="AA352" s="36" t="str">
        <f t="shared" si="111"/>
        <v>Nacional</v>
      </c>
      <c r="AB352" s="36">
        <f t="shared" si="111"/>
        <v>6.7901234567901269E-3</v>
      </c>
      <c r="AC352" s="36">
        <f t="shared" si="111"/>
        <v>5.0925925925925835E-3</v>
      </c>
      <c r="AD352" s="36">
        <f t="shared" si="111"/>
        <v>1.1882716049382711E-2</v>
      </c>
      <c r="AE352" s="36" t="str">
        <f t="shared" si="111"/>
        <v>ER4</v>
      </c>
      <c r="AF352" s="36">
        <f t="shared" si="111"/>
        <v>50</v>
      </c>
      <c r="AG352" s="36" t="str">
        <f t="shared" si="111"/>
        <v>MTY</v>
      </c>
      <c r="AI352">
        <v>338</v>
      </c>
      <c r="AJ352" s="77" t="str">
        <f t="shared" si="112"/>
        <v>MEXICO AEREO</v>
      </c>
      <c r="AK352" s="77">
        <f t="shared" si="112"/>
        <v>2023</v>
      </c>
      <c r="AL352" s="78">
        <v>0.47361111111111115</v>
      </c>
      <c r="AM352" s="79">
        <v>0.47638888888888892</v>
      </c>
      <c r="AN352" s="80">
        <v>2.7777777777777679E-3</v>
      </c>
      <c r="AO352" s="79">
        <v>0.47916666666666669</v>
      </c>
      <c r="AP352" s="80">
        <v>2.7777777777777679E-3</v>
      </c>
      <c r="AQ352" s="81">
        <v>41795</v>
      </c>
      <c r="AR352" s="77" t="str">
        <f t="shared" si="113"/>
        <v>Nacional</v>
      </c>
      <c r="AS352" s="77">
        <f t="shared" si="113"/>
        <v>5.1169590643274816E-3</v>
      </c>
      <c r="AT352" s="77">
        <f t="shared" si="113"/>
        <v>5.8114035087719357E-3</v>
      </c>
      <c r="AU352" s="77">
        <f t="shared" si="113"/>
        <v>1.0928362573099417E-2</v>
      </c>
      <c r="AV352" s="77" t="str">
        <f t="shared" si="113"/>
        <v>ER4</v>
      </c>
      <c r="AW352" s="77">
        <f t="shared" si="113"/>
        <v>50</v>
      </c>
      <c r="AX352" s="77" t="str">
        <f t="shared" si="113"/>
        <v>MTY</v>
      </c>
    </row>
    <row r="353" spans="1:50" x14ac:dyDescent="0.25">
      <c r="A353">
        <v>339</v>
      </c>
      <c r="B353" s="36" t="str">
        <f t="shared" si="108"/>
        <v>MEXICO AEREO</v>
      </c>
      <c r="C353" s="36">
        <f t="shared" si="108"/>
        <v>286</v>
      </c>
      <c r="D353" s="74">
        <v>0.60486111111111118</v>
      </c>
      <c r="E353" s="74">
        <v>0.60833333333333328</v>
      </c>
      <c r="F353" s="75">
        <v>3.4722222222220989E-3</v>
      </c>
      <c r="G353" s="74">
        <v>0.61527777777777781</v>
      </c>
      <c r="H353" s="75">
        <v>6.9444444444445308E-3</v>
      </c>
      <c r="I353" s="76">
        <v>41726</v>
      </c>
      <c r="J353" s="36" t="str">
        <f t="shared" si="109"/>
        <v>Nacional</v>
      </c>
      <c r="K353" s="36">
        <f t="shared" si="109"/>
        <v>5.9606481481481359E-3</v>
      </c>
      <c r="L353" s="36">
        <f t="shared" si="109"/>
        <v>6.3078703703703665E-3</v>
      </c>
      <c r="M353" s="36">
        <f t="shared" si="109"/>
        <v>1.2268518518518502E-2</v>
      </c>
      <c r="N353" s="36" t="str">
        <f t="shared" si="109"/>
        <v>B737-700</v>
      </c>
      <c r="O353" s="36">
        <f t="shared" si="109"/>
        <v>126</v>
      </c>
      <c r="P353" s="36" t="str">
        <f t="shared" si="109"/>
        <v>MEX</v>
      </c>
      <c r="R353">
        <v>339</v>
      </c>
      <c r="S353" s="36" t="str">
        <f t="shared" si="110"/>
        <v>MEXICO AEREO</v>
      </c>
      <c r="T353" s="36">
        <f t="shared" si="110"/>
        <v>2023</v>
      </c>
      <c r="U353" s="73">
        <v>0.4680555555555555</v>
      </c>
      <c r="V353" s="74">
        <v>0.47500000000000003</v>
      </c>
      <c r="W353" s="75">
        <v>6.9444444444445308E-3</v>
      </c>
      <c r="X353" s="74">
        <v>0.4770833333333333</v>
      </c>
      <c r="Y353" s="75">
        <v>2.0833333333332704E-3</v>
      </c>
      <c r="Z353" s="76">
        <v>41745</v>
      </c>
      <c r="AA353" s="36" t="str">
        <f t="shared" si="111"/>
        <v>Nacional</v>
      </c>
      <c r="AB353" s="36">
        <f t="shared" si="111"/>
        <v>6.7901234567901269E-3</v>
      </c>
      <c r="AC353" s="36">
        <f t="shared" si="111"/>
        <v>5.0925925925925835E-3</v>
      </c>
      <c r="AD353" s="36">
        <f t="shared" si="111"/>
        <v>1.1882716049382711E-2</v>
      </c>
      <c r="AE353" s="36" t="str">
        <f t="shared" si="111"/>
        <v>ER4</v>
      </c>
      <c r="AF353" s="36">
        <f t="shared" si="111"/>
        <v>50</v>
      </c>
      <c r="AG353" s="36" t="str">
        <f t="shared" si="111"/>
        <v>MTY</v>
      </c>
      <c r="AI353">
        <v>339</v>
      </c>
      <c r="AJ353" s="77" t="str">
        <f t="shared" si="112"/>
        <v>MEXICO AEREO</v>
      </c>
      <c r="AK353" s="77">
        <f t="shared" si="112"/>
        <v>2023</v>
      </c>
      <c r="AL353" s="78">
        <v>0.47430555555555554</v>
      </c>
      <c r="AM353" s="79">
        <v>0.47500000000000003</v>
      </c>
      <c r="AN353" s="80">
        <v>6.9444444444449749E-4</v>
      </c>
      <c r="AO353" s="79">
        <v>0.47916666666666669</v>
      </c>
      <c r="AP353" s="80">
        <v>4.1666666666666519E-3</v>
      </c>
      <c r="AQ353" s="81">
        <v>41796</v>
      </c>
      <c r="AR353" s="77" t="str">
        <f t="shared" si="113"/>
        <v>Nacional</v>
      </c>
      <c r="AS353" s="77">
        <f t="shared" si="113"/>
        <v>5.1169590643274816E-3</v>
      </c>
      <c r="AT353" s="77">
        <f t="shared" si="113"/>
        <v>5.8114035087719357E-3</v>
      </c>
      <c r="AU353" s="77">
        <f t="shared" si="113"/>
        <v>1.0928362573099417E-2</v>
      </c>
      <c r="AV353" s="77" t="str">
        <f t="shared" si="113"/>
        <v>ER4</v>
      </c>
      <c r="AW353" s="77">
        <f t="shared" si="113"/>
        <v>50</v>
      </c>
      <c r="AX353" s="77" t="str">
        <f t="shared" si="113"/>
        <v>MTY</v>
      </c>
    </row>
    <row r="354" spans="1:50" x14ac:dyDescent="0.25">
      <c r="A354">
        <v>340</v>
      </c>
      <c r="B354" s="36" t="str">
        <f t="shared" si="108"/>
        <v>MEXICO AEREO</v>
      </c>
      <c r="C354" s="36">
        <f t="shared" si="108"/>
        <v>286</v>
      </c>
      <c r="D354" s="74">
        <v>0.59375</v>
      </c>
      <c r="E354" s="74">
        <v>0.59652777777777777</v>
      </c>
      <c r="F354" s="75">
        <v>2.7777777777777679E-3</v>
      </c>
      <c r="G354" s="74">
        <v>0.60416666666666663</v>
      </c>
      <c r="H354" s="75">
        <v>7.6388888888888618E-3</v>
      </c>
      <c r="I354" s="76">
        <v>41729</v>
      </c>
      <c r="J354" s="36" t="str">
        <f t="shared" si="109"/>
        <v>Nacional</v>
      </c>
      <c r="K354" s="36">
        <f t="shared" si="109"/>
        <v>5.9606481481481359E-3</v>
      </c>
      <c r="L354" s="36">
        <f t="shared" si="109"/>
        <v>6.3078703703703665E-3</v>
      </c>
      <c r="M354" s="36">
        <f t="shared" si="109"/>
        <v>1.2268518518518502E-2</v>
      </c>
      <c r="N354" s="36" t="str">
        <f t="shared" si="109"/>
        <v>B737-700</v>
      </c>
      <c r="O354" s="36">
        <f t="shared" si="109"/>
        <v>126</v>
      </c>
      <c r="P354" s="36" t="str">
        <f t="shared" si="109"/>
        <v>MEX</v>
      </c>
      <c r="R354">
        <v>340</v>
      </c>
      <c r="S354" s="36" t="str">
        <f t="shared" si="110"/>
        <v>MEXICO AEREO</v>
      </c>
      <c r="T354" s="36">
        <f t="shared" si="110"/>
        <v>2023</v>
      </c>
      <c r="U354" s="73">
        <v>0.4458333333333333</v>
      </c>
      <c r="V354" s="74">
        <v>0.47916666666666669</v>
      </c>
      <c r="W354" s="75">
        <v>3.3333333333333381E-2</v>
      </c>
      <c r="X354" s="74">
        <v>0.48541666666666666</v>
      </c>
      <c r="Y354" s="75">
        <v>6.2499999999999778E-3</v>
      </c>
      <c r="Z354" s="76">
        <v>41746</v>
      </c>
      <c r="AA354" s="36" t="str">
        <f t="shared" si="111"/>
        <v>Nacional</v>
      </c>
      <c r="AB354" s="36">
        <f t="shared" si="111"/>
        <v>6.7901234567901269E-3</v>
      </c>
      <c r="AC354" s="36">
        <f t="shared" si="111"/>
        <v>5.0925925925925835E-3</v>
      </c>
      <c r="AD354" s="36">
        <f t="shared" si="111"/>
        <v>1.1882716049382711E-2</v>
      </c>
      <c r="AE354" s="36" t="str">
        <f t="shared" si="111"/>
        <v>ER4</v>
      </c>
      <c r="AF354" s="36">
        <f t="shared" si="111"/>
        <v>50</v>
      </c>
      <c r="AG354" s="36" t="str">
        <f t="shared" si="111"/>
        <v>MTY</v>
      </c>
      <c r="AI354">
        <v>340</v>
      </c>
      <c r="AJ354" s="77" t="str">
        <f t="shared" si="112"/>
        <v>MEXICO AEREO</v>
      </c>
      <c r="AK354" s="77">
        <f t="shared" si="112"/>
        <v>2023</v>
      </c>
      <c r="AL354" s="78">
        <v>0.47152777777777777</v>
      </c>
      <c r="AM354" s="79">
        <v>0.4770833333333333</v>
      </c>
      <c r="AN354" s="80">
        <v>5.5555555555555358E-3</v>
      </c>
      <c r="AO354" s="79">
        <v>0.47847222222222219</v>
      </c>
      <c r="AP354" s="80">
        <v>1.388888888888884E-3</v>
      </c>
      <c r="AQ354" s="81">
        <v>41797</v>
      </c>
      <c r="AR354" s="77" t="str">
        <f t="shared" si="113"/>
        <v>Nacional</v>
      </c>
      <c r="AS354" s="77">
        <f t="shared" si="113"/>
        <v>5.1169590643274816E-3</v>
      </c>
      <c r="AT354" s="77">
        <f t="shared" si="113"/>
        <v>5.8114035087719357E-3</v>
      </c>
      <c r="AU354" s="77">
        <f t="shared" si="113"/>
        <v>1.0928362573099417E-2</v>
      </c>
      <c r="AV354" s="77" t="str">
        <f t="shared" si="113"/>
        <v>ER4</v>
      </c>
      <c r="AW354" s="77">
        <f t="shared" si="113"/>
        <v>50</v>
      </c>
      <c r="AX354" s="77" t="str">
        <f t="shared" si="113"/>
        <v>MTY</v>
      </c>
    </row>
    <row r="355" spans="1:50" ht="15.75" thickBot="1" x14ac:dyDescent="0.3">
      <c r="A355">
        <v>341</v>
      </c>
      <c r="B355" s="36" t="str">
        <f t="shared" si="108"/>
        <v>MEXICO AEREO</v>
      </c>
      <c r="C355" s="36">
        <f t="shared" si="108"/>
        <v>286</v>
      </c>
      <c r="D355" s="84">
        <v>0.61111111111111105</v>
      </c>
      <c r="E355" s="84">
        <v>0.61944444444444446</v>
      </c>
      <c r="F355" s="85">
        <v>8.3333333333334147E-3</v>
      </c>
      <c r="G355" s="84">
        <v>0.63263888888888886</v>
      </c>
      <c r="H355" s="85">
        <v>1.3194444444444398E-2</v>
      </c>
      <c r="I355" s="86">
        <v>41718</v>
      </c>
      <c r="J355" s="36" t="str">
        <f t="shared" si="109"/>
        <v>Nacional</v>
      </c>
      <c r="K355" s="36">
        <f t="shared" si="109"/>
        <v>5.9606481481481359E-3</v>
      </c>
      <c r="L355" s="36">
        <f t="shared" si="109"/>
        <v>6.3078703703703665E-3</v>
      </c>
      <c r="M355" s="36">
        <f t="shared" si="109"/>
        <v>1.2268518518518502E-2</v>
      </c>
      <c r="N355" s="36" t="str">
        <f t="shared" si="109"/>
        <v>B737-700</v>
      </c>
      <c r="O355" s="36">
        <f t="shared" si="109"/>
        <v>126</v>
      </c>
      <c r="P355" s="36" t="str">
        <f t="shared" si="109"/>
        <v>MEX</v>
      </c>
      <c r="R355">
        <v>341</v>
      </c>
      <c r="S355" s="36" t="str">
        <f t="shared" si="110"/>
        <v>MEXICO AEREO</v>
      </c>
      <c r="T355" s="36">
        <f t="shared" si="110"/>
        <v>2023</v>
      </c>
      <c r="U355" s="73">
        <v>0.47361111111111115</v>
      </c>
      <c r="V355" s="74">
        <v>0.47916666666666669</v>
      </c>
      <c r="W355" s="75">
        <v>5.5555555555555358E-3</v>
      </c>
      <c r="X355" s="74">
        <v>0.4826388888888889</v>
      </c>
      <c r="Y355" s="75">
        <v>3.4722222222222099E-3</v>
      </c>
      <c r="Z355" s="76">
        <v>41747</v>
      </c>
      <c r="AA355" s="36" t="str">
        <f t="shared" si="111"/>
        <v>Nacional</v>
      </c>
      <c r="AB355" s="36">
        <f t="shared" si="111"/>
        <v>6.7901234567901269E-3</v>
      </c>
      <c r="AC355" s="36">
        <f t="shared" si="111"/>
        <v>5.0925925925925835E-3</v>
      </c>
      <c r="AD355" s="36">
        <f t="shared" si="111"/>
        <v>1.1882716049382711E-2</v>
      </c>
      <c r="AE355" s="36" t="str">
        <f t="shared" si="111"/>
        <v>ER4</v>
      </c>
      <c r="AF355" s="36">
        <f t="shared" si="111"/>
        <v>50</v>
      </c>
      <c r="AG355" s="36" t="str">
        <f t="shared" si="111"/>
        <v>MTY</v>
      </c>
      <c r="AI355">
        <v>341</v>
      </c>
      <c r="AJ355" s="77" t="str">
        <f t="shared" si="112"/>
        <v>MEXICO AEREO</v>
      </c>
      <c r="AK355" s="77">
        <f t="shared" si="112"/>
        <v>2023</v>
      </c>
      <c r="AL355" s="78">
        <v>0.4694444444444445</v>
      </c>
      <c r="AM355" s="79">
        <v>0.47361111111111115</v>
      </c>
      <c r="AN355" s="80">
        <v>4.1666666666666519E-3</v>
      </c>
      <c r="AO355" s="79">
        <v>0.47847222222222219</v>
      </c>
      <c r="AP355" s="80">
        <v>4.8611111111110383E-3</v>
      </c>
      <c r="AQ355" s="81">
        <v>41798</v>
      </c>
      <c r="AR355" s="77" t="str">
        <f t="shared" si="113"/>
        <v>Nacional</v>
      </c>
      <c r="AS355" s="77">
        <f t="shared" si="113"/>
        <v>5.1169590643274816E-3</v>
      </c>
      <c r="AT355" s="77">
        <f t="shared" si="113"/>
        <v>5.8114035087719357E-3</v>
      </c>
      <c r="AU355" s="77">
        <f t="shared" si="113"/>
        <v>1.0928362573099417E-2</v>
      </c>
      <c r="AV355" s="77" t="str">
        <f t="shared" si="113"/>
        <v>ER4</v>
      </c>
      <c r="AW355" s="77">
        <f t="shared" si="113"/>
        <v>50</v>
      </c>
      <c r="AX355" s="77" t="str">
        <f t="shared" si="113"/>
        <v>MTY</v>
      </c>
    </row>
    <row r="356" spans="1:50" x14ac:dyDescent="0.25">
      <c r="A356">
        <v>342</v>
      </c>
      <c r="B356" s="36" t="str">
        <f t="shared" si="108"/>
        <v>MEXICO AEREO</v>
      </c>
      <c r="C356" s="88">
        <v>276</v>
      </c>
      <c r="D356" s="57">
        <v>0.37916666666666665</v>
      </c>
      <c r="E356" s="57">
        <v>0.3840277777777778</v>
      </c>
      <c r="F356" s="58">
        <v>4.8611111111111494E-3</v>
      </c>
      <c r="G356" s="57">
        <v>0.39166666666666666</v>
      </c>
      <c r="H356" s="58">
        <v>7.6388888888888618E-3</v>
      </c>
      <c r="I356" s="59">
        <v>41714</v>
      </c>
      <c r="J356" s="108" t="s">
        <v>19</v>
      </c>
      <c r="K356" s="61">
        <v>5.7870370370370393E-3</v>
      </c>
      <c r="L356" s="61">
        <v>7.8124999999999818E-3</v>
      </c>
      <c r="M356" s="89">
        <v>1.3599537037037021E-2</v>
      </c>
      <c r="N356" s="90" t="s">
        <v>45</v>
      </c>
      <c r="O356" s="91">
        <v>126</v>
      </c>
      <c r="P356" s="92" t="s">
        <v>21</v>
      </c>
      <c r="R356">
        <v>342</v>
      </c>
      <c r="S356" s="36" t="str">
        <f t="shared" si="110"/>
        <v>MEXICO AEREO</v>
      </c>
      <c r="T356" s="36">
        <f t="shared" si="110"/>
        <v>2023</v>
      </c>
      <c r="U356" s="73">
        <v>0.48680555555555555</v>
      </c>
      <c r="V356" s="74">
        <v>0.49236111111111108</v>
      </c>
      <c r="W356" s="75">
        <v>5.5555555555555358E-3</v>
      </c>
      <c r="X356" s="74">
        <v>0.49513888888888885</v>
      </c>
      <c r="Y356" s="75">
        <v>2.7777777777777679E-3</v>
      </c>
      <c r="Z356" s="76">
        <v>41748</v>
      </c>
      <c r="AA356" s="36" t="str">
        <f t="shared" si="111"/>
        <v>Nacional</v>
      </c>
      <c r="AB356" s="36">
        <f t="shared" si="111"/>
        <v>6.7901234567901269E-3</v>
      </c>
      <c r="AC356" s="36">
        <f t="shared" si="111"/>
        <v>5.0925925925925835E-3</v>
      </c>
      <c r="AD356" s="36">
        <f t="shared" si="111"/>
        <v>1.1882716049382711E-2</v>
      </c>
      <c r="AE356" s="36" t="str">
        <f t="shared" si="111"/>
        <v>ER4</v>
      </c>
      <c r="AF356" s="36">
        <f t="shared" si="111"/>
        <v>50</v>
      </c>
      <c r="AG356" s="36" t="str">
        <f t="shared" si="111"/>
        <v>MTY</v>
      </c>
      <c r="AI356">
        <v>342</v>
      </c>
      <c r="AJ356" s="77" t="str">
        <f t="shared" si="112"/>
        <v>MEXICO AEREO</v>
      </c>
      <c r="AK356" s="77">
        <f t="shared" si="112"/>
        <v>2023</v>
      </c>
      <c r="AL356" s="78">
        <v>0.47222222222222227</v>
      </c>
      <c r="AM356" s="79">
        <v>0.4770833333333333</v>
      </c>
      <c r="AN356" s="80">
        <v>4.8611111111110383E-3</v>
      </c>
      <c r="AO356" s="79">
        <v>0.48055555555555557</v>
      </c>
      <c r="AP356" s="80">
        <v>3.4722222222222654E-3</v>
      </c>
      <c r="AQ356" s="81">
        <v>41799</v>
      </c>
      <c r="AR356" s="77" t="str">
        <f t="shared" si="113"/>
        <v>Nacional</v>
      </c>
      <c r="AS356" s="77">
        <f t="shared" si="113"/>
        <v>5.1169590643274816E-3</v>
      </c>
      <c r="AT356" s="77">
        <f t="shared" si="113"/>
        <v>5.8114035087719357E-3</v>
      </c>
      <c r="AU356" s="77">
        <f t="shared" si="113"/>
        <v>1.0928362573099417E-2</v>
      </c>
      <c r="AV356" s="77" t="str">
        <f t="shared" si="113"/>
        <v>ER4</v>
      </c>
      <c r="AW356" s="77">
        <f t="shared" si="113"/>
        <v>50</v>
      </c>
      <c r="AX356" s="77" t="str">
        <f t="shared" si="113"/>
        <v>MTY</v>
      </c>
    </row>
    <row r="357" spans="1:50" x14ac:dyDescent="0.25">
      <c r="A357">
        <v>343</v>
      </c>
      <c r="B357" s="36" t="str">
        <f t="shared" si="108"/>
        <v>MEXICO AEREO</v>
      </c>
      <c r="C357" s="36">
        <f t="shared" si="108"/>
        <v>276</v>
      </c>
      <c r="D357" s="74">
        <v>0.38541666666666669</v>
      </c>
      <c r="E357" s="74">
        <v>0.39305555555555555</v>
      </c>
      <c r="F357" s="75">
        <v>7.6388888888888618E-3</v>
      </c>
      <c r="G357" s="74">
        <v>0.40416666666666662</v>
      </c>
      <c r="H357" s="75">
        <v>1.1111111111111072E-2</v>
      </c>
      <c r="I357" s="76">
        <v>41715</v>
      </c>
      <c r="J357" s="36" t="str">
        <f t="shared" ref="J357:P367" si="114">J356</f>
        <v>Nacional</v>
      </c>
      <c r="K357" s="36">
        <f t="shared" si="114"/>
        <v>5.7870370370370393E-3</v>
      </c>
      <c r="L357" s="36">
        <f t="shared" si="114"/>
        <v>7.8124999999999818E-3</v>
      </c>
      <c r="M357" s="36">
        <f t="shared" si="114"/>
        <v>1.3599537037037021E-2</v>
      </c>
      <c r="N357" s="36" t="str">
        <f t="shared" si="114"/>
        <v>B737-700</v>
      </c>
      <c r="O357" s="36">
        <f t="shared" si="114"/>
        <v>126</v>
      </c>
      <c r="P357" s="36" t="str">
        <f t="shared" si="114"/>
        <v>MEX</v>
      </c>
      <c r="R357">
        <v>343</v>
      </c>
      <c r="S357" s="36" t="str">
        <f t="shared" si="110"/>
        <v>MEXICO AEREO</v>
      </c>
      <c r="T357" s="36">
        <f t="shared" si="110"/>
        <v>2023</v>
      </c>
      <c r="U357" s="73">
        <v>0.4861111111111111</v>
      </c>
      <c r="V357" s="74">
        <v>0.48749999999999999</v>
      </c>
      <c r="W357" s="75">
        <v>1.388888888888884E-3</v>
      </c>
      <c r="X357" s="74">
        <v>0.48888888888888887</v>
      </c>
      <c r="Y357" s="75">
        <v>1.388888888888884E-3</v>
      </c>
      <c r="Z357" s="76">
        <v>41749</v>
      </c>
      <c r="AA357" s="36" t="str">
        <f t="shared" si="111"/>
        <v>Nacional</v>
      </c>
      <c r="AB357" s="36">
        <f t="shared" si="111"/>
        <v>6.7901234567901269E-3</v>
      </c>
      <c r="AC357" s="36">
        <f t="shared" si="111"/>
        <v>5.0925925925925835E-3</v>
      </c>
      <c r="AD357" s="36">
        <f t="shared" si="111"/>
        <v>1.1882716049382711E-2</v>
      </c>
      <c r="AE357" s="36" t="str">
        <f t="shared" si="111"/>
        <v>ER4</v>
      </c>
      <c r="AF357" s="36">
        <f t="shared" si="111"/>
        <v>50</v>
      </c>
      <c r="AG357" s="36" t="str">
        <f t="shared" si="111"/>
        <v>MTY</v>
      </c>
      <c r="AI357">
        <v>343</v>
      </c>
      <c r="AJ357" s="77" t="str">
        <f t="shared" si="112"/>
        <v>MEXICO AEREO</v>
      </c>
      <c r="AK357" s="77">
        <f t="shared" si="112"/>
        <v>2023</v>
      </c>
      <c r="AL357" s="78">
        <v>0.55486111111111114</v>
      </c>
      <c r="AM357" s="79">
        <v>0.55902777777777779</v>
      </c>
      <c r="AN357" s="80">
        <v>4.1666666666666519E-3</v>
      </c>
      <c r="AO357" s="79">
        <v>0.56041666666666667</v>
      </c>
      <c r="AP357" s="80">
        <v>1.388888888888884E-3</v>
      </c>
      <c r="AQ357" s="81">
        <v>41801</v>
      </c>
      <c r="AR357" s="77" t="str">
        <f t="shared" si="113"/>
        <v>Nacional</v>
      </c>
      <c r="AS357" s="77">
        <f t="shared" si="113"/>
        <v>5.1169590643274816E-3</v>
      </c>
      <c r="AT357" s="77">
        <f t="shared" si="113"/>
        <v>5.8114035087719357E-3</v>
      </c>
      <c r="AU357" s="77">
        <f t="shared" si="113"/>
        <v>1.0928362573099417E-2</v>
      </c>
      <c r="AV357" s="77" t="str">
        <f t="shared" si="113"/>
        <v>ER4</v>
      </c>
      <c r="AW357" s="77">
        <f t="shared" si="113"/>
        <v>50</v>
      </c>
      <c r="AX357" s="77" t="str">
        <f t="shared" si="113"/>
        <v>MTY</v>
      </c>
    </row>
    <row r="358" spans="1:50" x14ac:dyDescent="0.25">
      <c r="A358">
        <v>344</v>
      </c>
      <c r="B358" s="36" t="str">
        <f t="shared" si="108"/>
        <v>MEXICO AEREO</v>
      </c>
      <c r="C358" s="36">
        <f t="shared" si="108"/>
        <v>276</v>
      </c>
      <c r="D358" s="74">
        <v>0.38611111111111113</v>
      </c>
      <c r="E358" s="74">
        <v>0.38958333333333334</v>
      </c>
      <c r="F358" s="75">
        <v>3.4722222222222099E-3</v>
      </c>
      <c r="G358" s="74">
        <v>0.39861111111111108</v>
      </c>
      <c r="H358" s="75">
        <v>9.0277777777777457E-3</v>
      </c>
      <c r="I358" s="76">
        <v>41716</v>
      </c>
      <c r="J358" s="36" t="str">
        <f t="shared" si="114"/>
        <v>Nacional</v>
      </c>
      <c r="K358" s="36">
        <f t="shared" si="114"/>
        <v>5.7870370370370393E-3</v>
      </c>
      <c r="L358" s="36">
        <f t="shared" si="114"/>
        <v>7.8124999999999818E-3</v>
      </c>
      <c r="M358" s="36">
        <f t="shared" si="114"/>
        <v>1.3599537037037021E-2</v>
      </c>
      <c r="N358" s="36" t="str">
        <f t="shared" si="114"/>
        <v>B737-700</v>
      </c>
      <c r="O358" s="36">
        <f t="shared" si="114"/>
        <v>126</v>
      </c>
      <c r="P358" s="36" t="str">
        <f t="shared" si="114"/>
        <v>MEX</v>
      </c>
      <c r="R358">
        <v>344</v>
      </c>
      <c r="S358" s="36" t="str">
        <f t="shared" si="110"/>
        <v>MEXICO AEREO</v>
      </c>
      <c r="T358" s="36">
        <f t="shared" si="110"/>
        <v>2023</v>
      </c>
      <c r="U358" s="73">
        <v>0.47222222222222227</v>
      </c>
      <c r="V358" s="74">
        <v>0.4826388888888889</v>
      </c>
      <c r="W358" s="75">
        <v>1.041666666666663E-2</v>
      </c>
      <c r="X358" s="74">
        <v>0.48958333333333331</v>
      </c>
      <c r="Y358" s="75">
        <v>6.9444444444444198E-3</v>
      </c>
      <c r="Z358" s="76">
        <v>41750</v>
      </c>
      <c r="AA358" s="36" t="str">
        <f t="shared" si="111"/>
        <v>Nacional</v>
      </c>
      <c r="AB358" s="36">
        <f t="shared" si="111"/>
        <v>6.7901234567901269E-3</v>
      </c>
      <c r="AC358" s="36">
        <f t="shared" si="111"/>
        <v>5.0925925925925835E-3</v>
      </c>
      <c r="AD358" s="36">
        <f t="shared" si="111"/>
        <v>1.1882716049382711E-2</v>
      </c>
      <c r="AE358" s="36" t="str">
        <f t="shared" si="111"/>
        <v>ER4</v>
      </c>
      <c r="AF358" s="36">
        <f t="shared" si="111"/>
        <v>50</v>
      </c>
      <c r="AG358" s="36" t="str">
        <f t="shared" si="111"/>
        <v>MTY</v>
      </c>
      <c r="AI358">
        <v>344</v>
      </c>
      <c r="AJ358" s="77" t="str">
        <f t="shared" si="112"/>
        <v>MEXICO AEREO</v>
      </c>
      <c r="AK358" s="77">
        <f t="shared" si="112"/>
        <v>2023</v>
      </c>
      <c r="AL358" s="78">
        <v>0.51666666666666672</v>
      </c>
      <c r="AM358" s="79">
        <v>0.52500000000000002</v>
      </c>
      <c r="AN358" s="80">
        <v>8.3333333333333037E-3</v>
      </c>
      <c r="AO358" s="79">
        <v>0.53263888888888888</v>
      </c>
      <c r="AP358" s="80">
        <v>7.6388888888888618E-3</v>
      </c>
      <c r="AQ358" s="81">
        <v>41802</v>
      </c>
      <c r="AR358" s="77" t="str">
        <f t="shared" si="113"/>
        <v>Nacional</v>
      </c>
      <c r="AS358" s="77">
        <f t="shared" si="113"/>
        <v>5.1169590643274816E-3</v>
      </c>
      <c r="AT358" s="77">
        <f t="shared" si="113"/>
        <v>5.8114035087719357E-3</v>
      </c>
      <c r="AU358" s="77">
        <f t="shared" si="113"/>
        <v>1.0928362573099417E-2</v>
      </c>
      <c r="AV358" s="77" t="str">
        <f t="shared" si="113"/>
        <v>ER4</v>
      </c>
      <c r="AW358" s="77">
        <f t="shared" si="113"/>
        <v>50</v>
      </c>
      <c r="AX358" s="77" t="str">
        <f t="shared" si="113"/>
        <v>MTY</v>
      </c>
    </row>
    <row r="359" spans="1:50" x14ac:dyDescent="0.25">
      <c r="A359">
        <v>345</v>
      </c>
      <c r="B359" s="36" t="str">
        <f t="shared" si="108"/>
        <v>MEXICO AEREO</v>
      </c>
      <c r="C359" s="36">
        <f t="shared" si="108"/>
        <v>276</v>
      </c>
      <c r="D359" s="74">
        <v>0.39166666666666666</v>
      </c>
      <c r="E359" s="74">
        <v>0.39861111111111108</v>
      </c>
      <c r="F359" s="75">
        <v>6.9444444444444198E-3</v>
      </c>
      <c r="G359" s="74">
        <v>0.40347222222222223</v>
      </c>
      <c r="H359" s="75">
        <v>4.8611111111111494E-3</v>
      </c>
      <c r="I359" s="76">
        <v>41717</v>
      </c>
      <c r="J359" s="36" t="str">
        <f t="shared" si="114"/>
        <v>Nacional</v>
      </c>
      <c r="K359" s="36">
        <f t="shared" si="114"/>
        <v>5.7870370370370393E-3</v>
      </c>
      <c r="L359" s="36">
        <f t="shared" si="114"/>
        <v>7.8124999999999818E-3</v>
      </c>
      <c r="M359" s="36">
        <f t="shared" si="114"/>
        <v>1.3599537037037021E-2</v>
      </c>
      <c r="N359" s="36" t="str">
        <f t="shared" si="114"/>
        <v>B737-700</v>
      </c>
      <c r="O359" s="36">
        <f t="shared" si="114"/>
        <v>126</v>
      </c>
      <c r="P359" s="36" t="str">
        <f t="shared" si="114"/>
        <v>MEX</v>
      </c>
      <c r="R359">
        <v>345</v>
      </c>
      <c r="S359" s="36" t="str">
        <f t="shared" si="110"/>
        <v>MEXICO AEREO</v>
      </c>
      <c r="T359" s="36">
        <f t="shared" si="110"/>
        <v>2023</v>
      </c>
      <c r="U359" s="73">
        <v>0.47291666666666665</v>
      </c>
      <c r="V359" s="74">
        <v>0.4777777777777778</v>
      </c>
      <c r="W359" s="75">
        <v>4.8611111111111494E-3</v>
      </c>
      <c r="X359" s="74">
        <v>0.4826388888888889</v>
      </c>
      <c r="Y359" s="75">
        <v>4.8611111111110938E-3</v>
      </c>
      <c r="Z359" s="76">
        <v>41751</v>
      </c>
      <c r="AA359" s="36" t="str">
        <f t="shared" si="111"/>
        <v>Nacional</v>
      </c>
      <c r="AB359" s="36">
        <f t="shared" si="111"/>
        <v>6.7901234567901269E-3</v>
      </c>
      <c r="AC359" s="36">
        <f t="shared" si="111"/>
        <v>5.0925925925925835E-3</v>
      </c>
      <c r="AD359" s="36">
        <f t="shared" si="111"/>
        <v>1.1882716049382711E-2</v>
      </c>
      <c r="AE359" s="36" t="str">
        <f t="shared" si="111"/>
        <v>ER4</v>
      </c>
      <c r="AF359" s="36">
        <f t="shared" si="111"/>
        <v>50</v>
      </c>
      <c r="AG359" s="36" t="str">
        <f t="shared" si="111"/>
        <v>MTY</v>
      </c>
      <c r="AI359">
        <v>345</v>
      </c>
      <c r="AJ359" s="77" t="str">
        <f t="shared" si="112"/>
        <v>MEXICO AEREO</v>
      </c>
      <c r="AK359" s="77">
        <f t="shared" si="112"/>
        <v>2023</v>
      </c>
      <c r="AL359" s="78">
        <v>0.89930555555555547</v>
      </c>
      <c r="AM359" s="79">
        <v>0.90486111111111101</v>
      </c>
      <c r="AN359" s="80">
        <v>5.5555555555555358E-3</v>
      </c>
      <c r="AO359" s="79">
        <v>0.90833333333333333</v>
      </c>
      <c r="AP359" s="80">
        <v>3.4722222222223209E-3</v>
      </c>
      <c r="AQ359" s="81">
        <v>41803</v>
      </c>
      <c r="AR359" s="77" t="str">
        <f t="shared" si="113"/>
        <v>Nacional</v>
      </c>
      <c r="AS359" s="77">
        <f t="shared" si="113"/>
        <v>5.1169590643274816E-3</v>
      </c>
      <c r="AT359" s="77">
        <f t="shared" si="113"/>
        <v>5.8114035087719357E-3</v>
      </c>
      <c r="AU359" s="77">
        <f t="shared" si="113"/>
        <v>1.0928362573099417E-2</v>
      </c>
      <c r="AV359" s="77" t="str">
        <f t="shared" si="113"/>
        <v>ER4</v>
      </c>
      <c r="AW359" s="77">
        <f t="shared" si="113"/>
        <v>50</v>
      </c>
      <c r="AX359" s="77" t="str">
        <f t="shared" si="113"/>
        <v>MTY</v>
      </c>
    </row>
    <row r="360" spans="1:50" x14ac:dyDescent="0.25">
      <c r="A360">
        <v>346</v>
      </c>
      <c r="B360" s="36" t="str">
        <f t="shared" si="108"/>
        <v>MEXICO AEREO</v>
      </c>
      <c r="C360" s="36">
        <f t="shared" si="108"/>
        <v>276</v>
      </c>
      <c r="D360" s="74">
        <v>0.38055555555555554</v>
      </c>
      <c r="E360" s="74">
        <v>0.38680555555555557</v>
      </c>
      <c r="F360" s="75">
        <v>6.2500000000000333E-3</v>
      </c>
      <c r="G360" s="74">
        <v>0.39444444444444443</v>
      </c>
      <c r="H360" s="75">
        <v>7.6388888888888618E-3</v>
      </c>
      <c r="I360" s="76">
        <v>41718</v>
      </c>
      <c r="J360" s="36" t="str">
        <f t="shared" si="114"/>
        <v>Nacional</v>
      </c>
      <c r="K360" s="36">
        <f t="shared" si="114"/>
        <v>5.7870370370370393E-3</v>
      </c>
      <c r="L360" s="36">
        <f t="shared" si="114"/>
        <v>7.8124999999999818E-3</v>
      </c>
      <c r="M360" s="36">
        <f t="shared" si="114"/>
        <v>1.3599537037037021E-2</v>
      </c>
      <c r="N360" s="36" t="str">
        <f t="shared" si="114"/>
        <v>B737-700</v>
      </c>
      <c r="O360" s="36">
        <f t="shared" si="114"/>
        <v>126</v>
      </c>
      <c r="P360" s="36" t="str">
        <f t="shared" si="114"/>
        <v>MEX</v>
      </c>
      <c r="R360">
        <v>346</v>
      </c>
      <c r="S360" s="36" t="str">
        <f t="shared" si="110"/>
        <v>MEXICO AEREO</v>
      </c>
      <c r="T360" s="36">
        <f t="shared" si="110"/>
        <v>2023</v>
      </c>
      <c r="U360" s="73">
        <v>0.47430555555555554</v>
      </c>
      <c r="V360" s="74">
        <v>0.47847222222222219</v>
      </c>
      <c r="W360" s="75">
        <v>4.1666666666666519E-3</v>
      </c>
      <c r="X360" s="74">
        <v>0.48402777777777778</v>
      </c>
      <c r="Y360" s="75">
        <v>5.5555555555555913E-3</v>
      </c>
      <c r="Z360" s="76">
        <v>41753</v>
      </c>
      <c r="AA360" s="36" t="str">
        <f t="shared" si="111"/>
        <v>Nacional</v>
      </c>
      <c r="AB360" s="36">
        <f t="shared" si="111"/>
        <v>6.7901234567901269E-3</v>
      </c>
      <c r="AC360" s="36">
        <f t="shared" si="111"/>
        <v>5.0925925925925835E-3</v>
      </c>
      <c r="AD360" s="36">
        <f t="shared" si="111"/>
        <v>1.1882716049382711E-2</v>
      </c>
      <c r="AE360" s="36" t="str">
        <f t="shared" si="111"/>
        <v>ER4</v>
      </c>
      <c r="AF360" s="36">
        <f t="shared" si="111"/>
        <v>50</v>
      </c>
      <c r="AG360" s="36" t="str">
        <f t="shared" si="111"/>
        <v>MTY</v>
      </c>
      <c r="AI360">
        <v>346</v>
      </c>
      <c r="AJ360" s="77" t="str">
        <f t="shared" si="112"/>
        <v>MEXICO AEREO</v>
      </c>
      <c r="AK360" s="77">
        <f t="shared" si="112"/>
        <v>2023</v>
      </c>
      <c r="AL360" s="78">
        <v>0.84375</v>
      </c>
      <c r="AM360" s="79">
        <v>0.84652777777777777</v>
      </c>
      <c r="AN360" s="80">
        <v>2.7777777777777679E-3</v>
      </c>
      <c r="AO360" s="79">
        <v>0.8534722222222223</v>
      </c>
      <c r="AP360" s="80">
        <v>6.9444444444445308E-3</v>
      </c>
      <c r="AQ360" s="81">
        <v>41804</v>
      </c>
      <c r="AR360" s="77" t="str">
        <f t="shared" si="113"/>
        <v>Nacional</v>
      </c>
      <c r="AS360" s="77">
        <f t="shared" si="113"/>
        <v>5.1169590643274816E-3</v>
      </c>
      <c r="AT360" s="77">
        <f t="shared" si="113"/>
        <v>5.8114035087719357E-3</v>
      </c>
      <c r="AU360" s="77">
        <f t="shared" si="113"/>
        <v>1.0928362573099417E-2</v>
      </c>
      <c r="AV360" s="77" t="str">
        <f t="shared" si="113"/>
        <v>ER4</v>
      </c>
      <c r="AW360" s="77">
        <f t="shared" si="113"/>
        <v>50</v>
      </c>
      <c r="AX360" s="77" t="str">
        <f t="shared" si="113"/>
        <v>MTY</v>
      </c>
    </row>
    <row r="361" spans="1:50" x14ac:dyDescent="0.25">
      <c r="A361">
        <v>347</v>
      </c>
      <c r="B361" s="36" t="str">
        <f t="shared" si="108"/>
        <v>MEXICO AEREO</v>
      </c>
      <c r="C361" s="36">
        <f t="shared" si="108"/>
        <v>276</v>
      </c>
      <c r="D361" s="74">
        <v>0.3888888888888889</v>
      </c>
      <c r="E361" s="74">
        <v>0.39652777777777781</v>
      </c>
      <c r="F361" s="75">
        <v>7.6388888888889173E-3</v>
      </c>
      <c r="G361" s="74">
        <v>0.40347222222222223</v>
      </c>
      <c r="H361" s="75">
        <v>6.9444444444444198E-3</v>
      </c>
      <c r="I361" s="76">
        <v>41720</v>
      </c>
      <c r="J361" s="36" t="str">
        <f t="shared" si="114"/>
        <v>Nacional</v>
      </c>
      <c r="K361" s="36">
        <f t="shared" si="114"/>
        <v>5.7870370370370393E-3</v>
      </c>
      <c r="L361" s="36">
        <f t="shared" si="114"/>
        <v>7.8124999999999818E-3</v>
      </c>
      <c r="M361" s="36">
        <f t="shared" si="114"/>
        <v>1.3599537037037021E-2</v>
      </c>
      <c r="N361" s="36" t="str">
        <f t="shared" si="114"/>
        <v>B737-700</v>
      </c>
      <c r="O361" s="36">
        <f t="shared" si="114"/>
        <v>126</v>
      </c>
      <c r="P361" s="36" t="str">
        <f t="shared" si="114"/>
        <v>MEX</v>
      </c>
      <c r="R361">
        <v>347</v>
      </c>
      <c r="S361" s="36" t="str">
        <f t="shared" si="110"/>
        <v>MEXICO AEREO</v>
      </c>
      <c r="T361" s="36">
        <f t="shared" si="110"/>
        <v>2023</v>
      </c>
      <c r="U361" s="73">
        <v>0.47361111111111115</v>
      </c>
      <c r="V361" s="74">
        <v>0.4777777777777778</v>
      </c>
      <c r="W361" s="75">
        <v>4.1666666666666519E-3</v>
      </c>
      <c r="X361" s="74">
        <v>0.48125000000000001</v>
      </c>
      <c r="Y361" s="75">
        <v>3.4722222222222099E-3</v>
      </c>
      <c r="Z361" s="76">
        <v>41754</v>
      </c>
      <c r="AA361" s="36" t="str">
        <f t="shared" si="111"/>
        <v>Nacional</v>
      </c>
      <c r="AB361" s="36">
        <f t="shared" si="111"/>
        <v>6.7901234567901269E-3</v>
      </c>
      <c r="AC361" s="36">
        <f t="shared" si="111"/>
        <v>5.0925925925925835E-3</v>
      </c>
      <c r="AD361" s="36">
        <f t="shared" si="111"/>
        <v>1.1882716049382711E-2</v>
      </c>
      <c r="AE361" s="36" t="str">
        <f t="shared" si="111"/>
        <v>ER4</v>
      </c>
      <c r="AF361" s="36">
        <f t="shared" si="111"/>
        <v>50</v>
      </c>
      <c r="AG361" s="36" t="str">
        <f t="shared" si="111"/>
        <v>MTY</v>
      </c>
      <c r="AI361">
        <v>347</v>
      </c>
      <c r="AJ361" s="77" t="str">
        <f t="shared" si="112"/>
        <v>MEXICO AEREO</v>
      </c>
      <c r="AK361" s="77">
        <f t="shared" si="112"/>
        <v>2023</v>
      </c>
      <c r="AL361" s="78">
        <v>0.88888888888888884</v>
      </c>
      <c r="AM361" s="79">
        <v>0.89861111111111114</v>
      </c>
      <c r="AN361" s="80">
        <v>9.7222222222222987E-3</v>
      </c>
      <c r="AO361" s="79">
        <v>0.92152777777777783</v>
      </c>
      <c r="AP361" s="80">
        <v>2.2916666666666696E-2</v>
      </c>
      <c r="AQ361" s="81">
        <v>41806</v>
      </c>
      <c r="AR361" s="77" t="str">
        <f t="shared" si="113"/>
        <v>Nacional</v>
      </c>
      <c r="AS361" s="77">
        <f t="shared" si="113"/>
        <v>5.1169590643274816E-3</v>
      </c>
      <c r="AT361" s="77">
        <f t="shared" si="113"/>
        <v>5.8114035087719357E-3</v>
      </c>
      <c r="AU361" s="77">
        <f t="shared" si="113"/>
        <v>1.0928362573099417E-2</v>
      </c>
      <c r="AV361" s="77" t="str">
        <f t="shared" si="113"/>
        <v>ER4</v>
      </c>
      <c r="AW361" s="77">
        <f t="shared" si="113"/>
        <v>50</v>
      </c>
      <c r="AX361" s="77" t="str">
        <f t="shared" si="113"/>
        <v>MTY</v>
      </c>
    </row>
    <row r="362" spans="1:50" x14ac:dyDescent="0.25">
      <c r="A362">
        <v>348</v>
      </c>
      <c r="B362" s="36" t="str">
        <f t="shared" si="108"/>
        <v>MEXICO AEREO</v>
      </c>
      <c r="C362" s="36">
        <f t="shared" si="108"/>
        <v>276</v>
      </c>
      <c r="D362" s="74">
        <v>0.3840277777777778</v>
      </c>
      <c r="E362" s="74">
        <v>0.38750000000000001</v>
      </c>
      <c r="F362" s="75">
        <v>3.4722222222222099E-3</v>
      </c>
      <c r="G362" s="74">
        <v>0.39999999999999997</v>
      </c>
      <c r="H362" s="75">
        <v>1.2499999999999956E-2</v>
      </c>
      <c r="I362" s="76">
        <v>41721</v>
      </c>
      <c r="J362" s="36" t="str">
        <f t="shared" si="114"/>
        <v>Nacional</v>
      </c>
      <c r="K362" s="36">
        <f t="shared" si="114"/>
        <v>5.7870370370370393E-3</v>
      </c>
      <c r="L362" s="36">
        <f t="shared" si="114"/>
        <v>7.8124999999999818E-3</v>
      </c>
      <c r="M362" s="36">
        <f t="shared" si="114"/>
        <v>1.3599537037037021E-2</v>
      </c>
      <c r="N362" s="36" t="str">
        <f t="shared" si="114"/>
        <v>B737-700</v>
      </c>
      <c r="O362" s="36">
        <f t="shared" si="114"/>
        <v>126</v>
      </c>
      <c r="P362" s="36" t="str">
        <f t="shared" si="114"/>
        <v>MEX</v>
      </c>
      <c r="R362">
        <v>348</v>
      </c>
      <c r="S362" s="36" t="str">
        <f t="shared" si="110"/>
        <v>MEXICO AEREO</v>
      </c>
      <c r="T362" s="36">
        <f t="shared" si="110"/>
        <v>2023</v>
      </c>
      <c r="U362" s="73">
        <v>0.47500000000000003</v>
      </c>
      <c r="V362" s="74">
        <v>0.47986111111111113</v>
      </c>
      <c r="W362" s="75">
        <v>4.8611111111110938E-3</v>
      </c>
      <c r="X362" s="74">
        <v>0.48402777777777778</v>
      </c>
      <c r="Y362" s="75">
        <v>4.1666666666666519E-3</v>
      </c>
      <c r="Z362" s="76">
        <v>41756</v>
      </c>
      <c r="AA362" s="36" t="str">
        <f t="shared" si="111"/>
        <v>Nacional</v>
      </c>
      <c r="AB362" s="36">
        <f t="shared" si="111"/>
        <v>6.7901234567901269E-3</v>
      </c>
      <c r="AC362" s="36">
        <f t="shared" si="111"/>
        <v>5.0925925925925835E-3</v>
      </c>
      <c r="AD362" s="36">
        <f t="shared" si="111"/>
        <v>1.1882716049382711E-2</v>
      </c>
      <c r="AE362" s="36" t="str">
        <f t="shared" si="111"/>
        <v>ER4</v>
      </c>
      <c r="AF362" s="36">
        <f t="shared" si="111"/>
        <v>50</v>
      </c>
      <c r="AG362" s="36" t="str">
        <f t="shared" si="111"/>
        <v>MTY</v>
      </c>
      <c r="AI362">
        <v>348</v>
      </c>
      <c r="AJ362" s="77" t="str">
        <f t="shared" si="112"/>
        <v>MEXICO AEREO</v>
      </c>
      <c r="AK362" s="77">
        <f t="shared" si="112"/>
        <v>2023</v>
      </c>
      <c r="AL362" s="78">
        <v>0.91805555555555562</v>
      </c>
      <c r="AM362" s="79">
        <v>0.92986111111111114</v>
      </c>
      <c r="AN362" s="80">
        <v>1.1805555555555514E-2</v>
      </c>
      <c r="AO362" s="79">
        <v>0.94444444444444453</v>
      </c>
      <c r="AP362" s="80">
        <v>1.4583333333333393E-2</v>
      </c>
      <c r="AQ362" s="81">
        <v>41807</v>
      </c>
      <c r="AR362" s="77" t="str">
        <f t="shared" si="113"/>
        <v>Nacional</v>
      </c>
      <c r="AS362" s="77">
        <f t="shared" si="113"/>
        <v>5.1169590643274816E-3</v>
      </c>
      <c r="AT362" s="77">
        <f t="shared" si="113"/>
        <v>5.8114035087719357E-3</v>
      </c>
      <c r="AU362" s="77">
        <f t="shared" si="113"/>
        <v>1.0928362573099417E-2</v>
      </c>
      <c r="AV362" s="77" t="str">
        <f t="shared" si="113"/>
        <v>ER4</v>
      </c>
      <c r="AW362" s="77">
        <f t="shared" si="113"/>
        <v>50</v>
      </c>
      <c r="AX362" s="77" t="str">
        <f t="shared" si="113"/>
        <v>MTY</v>
      </c>
    </row>
    <row r="363" spans="1:50" x14ac:dyDescent="0.25">
      <c r="A363">
        <v>349</v>
      </c>
      <c r="B363" s="36" t="str">
        <f t="shared" si="108"/>
        <v>MEXICO AEREO</v>
      </c>
      <c r="C363" s="36">
        <f t="shared" si="108"/>
        <v>276</v>
      </c>
      <c r="D363" s="74">
        <v>0.37847222222222227</v>
      </c>
      <c r="E363" s="74">
        <v>0.3840277777777778</v>
      </c>
      <c r="F363" s="75">
        <v>5.5555555555555358E-3</v>
      </c>
      <c r="G363" s="74">
        <v>0.38958333333333334</v>
      </c>
      <c r="H363" s="75">
        <v>5.5555555555555358E-3</v>
      </c>
      <c r="I363" s="76">
        <v>41722</v>
      </c>
      <c r="J363" s="36" t="str">
        <f t="shared" si="114"/>
        <v>Nacional</v>
      </c>
      <c r="K363" s="36">
        <f t="shared" si="114"/>
        <v>5.7870370370370393E-3</v>
      </c>
      <c r="L363" s="36">
        <f t="shared" si="114"/>
        <v>7.8124999999999818E-3</v>
      </c>
      <c r="M363" s="36">
        <f t="shared" si="114"/>
        <v>1.3599537037037021E-2</v>
      </c>
      <c r="N363" s="36" t="str">
        <f t="shared" si="114"/>
        <v>B737-700</v>
      </c>
      <c r="O363" s="36">
        <f t="shared" si="114"/>
        <v>126</v>
      </c>
      <c r="P363" s="36" t="str">
        <f t="shared" si="114"/>
        <v>MEX</v>
      </c>
      <c r="R363">
        <v>349</v>
      </c>
      <c r="S363" s="36" t="str">
        <f t="shared" si="110"/>
        <v>MEXICO AEREO</v>
      </c>
      <c r="T363" s="36">
        <f t="shared" si="110"/>
        <v>2023</v>
      </c>
      <c r="U363" s="73">
        <v>0.47569444444444442</v>
      </c>
      <c r="V363" s="74">
        <v>0.47638888888888892</v>
      </c>
      <c r="W363" s="75">
        <v>6.9444444444449749E-4</v>
      </c>
      <c r="X363" s="74">
        <v>0.48333333333333334</v>
      </c>
      <c r="Y363" s="75">
        <v>6.9444444444444198E-3</v>
      </c>
      <c r="Z363" s="76">
        <v>41757</v>
      </c>
      <c r="AA363" s="36" t="str">
        <f t="shared" si="111"/>
        <v>Nacional</v>
      </c>
      <c r="AB363" s="36">
        <f t="shared" si="111"/>
        <v>6.7901234567901269E-3</v>
      </c>
      <c r="AC363" s="36">
        <f t="shared" si="111"/>
        <v>5.0925925925925835E-3</v>
      </c>
      <c r="AD363" s="36">
        <f t="shared" si="111"/>
        <v>1.1882716049382711E-2</v>
      </c>
      <c r="AE363" s="36" t="str">
        <f t="shared" si="111"/>
        <v>ER4</v>
      </c>
      <c r="AF363" s="36">
        <f t="shared" si="111"/>
        <v>50</v>
      </c>
      <c r="AG363" s="36" t="str">
        <f t="shared" si="111"/>
        <v>MTY</v>
      </c>
      <c r="AI363">
        <v>349</v>
      </c>
      <c r="AJ363" s="77" t="str">
        <f t="shared" si="112"/>
        <v>MEXICO AEREO</v>
      </c>
      <c r="AK363" s="77">
        <f t="shared" si="112"/>
        <v>2023</v>
      </c>
      <c r="AL363" s="78">
        <v>0.4680555555555555</v>
      </c>
      <c r="AM363" s="79">
        <v>0.4777777777777778</v>
      </c>
      <c r="AN363" s="80">
        <v>9.7222222222222987E-3</v>
      </c>
      <c r="AO363" s="79">
        <v>0.4826388888888889</v>
      </c>
      <c r="AP363" s="80">
        <v>4.8611111111110938E-3</v>
      </c>
      <c r="AQ363" s="81">
        <v>41808</v>
      </c>
      <c r="AR363" s="77" t="str">
        <f t="shared" si="113"/>
        <v>Nacional</v>
      </c>
      <c r="AS363" s="77">
        <f t="shared" si="113"/>
        <v>5.1169590643274816E-3</v>
      </c>
      <c r="AT363" s="77">
        <f t="shared" si="113"/>
        <v>5.8114035087719357E-3</v>
      </c>
      <c r="AU363" s="77">
        <f t="shared" si="113"/>
        <v>1.0928362573099417E-2</v>
      </c>
      <c r="AV363" s="77" t="str">
        <f t="shared" si="113"/>
        <v>ER4</v>
      </c>
      <c r="AW363" s="77">
        <f t="shared" si="113"/>
        <v>50</v>
      </c>
      <c r="AX363" s="77" t="str">
        <f t="shared" si="113"/>
        <v>MTY</v>
      </c>
    </row>
    <row r="364" spans="1:50" ht="15.75" thickBot="1" x14ac:dyDescent="0.3">
      <c r="A364">
        <v>350</v>
      </c>
      <c r="B364" s="36" t="str">
        <f t="shared" si="108"/>
        <v>MEXICO AEREO</v>
      </c>
      <c r="C364" s="36">
        <f t="shared" si="108"/>
        <v>276</v>
      </c>
      <c r="D364" s="74">
        <v>0.37638888888888888</v>
      </c>
      <c r="E364" s="74">
        <v>0.38472222222222219</v>
      </c>
      <c r="F364" s="75">
        <v>8.3333333333333037E-3</v>
      </c>
      <c r="G364" s="74">
        <v>0.39027777777777778</v>
      </c>
      <c r="H364" s="75">
        <v>5.5555555555555913E-3</v>
      </c>
      <c r="I364" s="76">
        <v>41725</v>
      </c>
      <c r="J364" s="36" t="str">
        <f t="shared" si="114"/>
        <v>Nacional</v>
      </c>
      <c r="K364" s="36">
        <f t="shared" si="114"/>
        <v>5.7870370370370393E-3</v>
      </c>
      <c r="L364" s="36">
        <f t="shared" si="114"/>
        <v>7.8124999999999818E-3</v>
      </c>
      <c r="M364" s="36">
        <f t="shared" si="114"/>
        <v>1.3599537037037021E-2</v>
      </c>
      <c r="N364" s="36" t="str">
        <f t="shared" si="114"/>
        <v>B737-700</v>
      </c>
      <c r="O364" s="36">
        <f t="shared" si="114"/>
        <v>126</v>
      </c>
      <c r="P364" s="36" t="str">
        <f t="shared" si="114"/>
        <v>MEX</v>
      </c>
      <c r="R364">
        <v>350</v>
      </c>
      <c r="S364" s="36" t="str">
        <f t="shared" si="110"/>
        <v>MEXICO AEREO</v>
      </c>
      <c r="T364" s="36">
        <f t="shared" si="110"/>
        <v>2023</v>
      </c>
      <c r="U364" s="83">
        <v>0.48055555555555557</v>
      </c>
      <c r="V364" s="84">
        <v>0.48749999999999999</v>
      </c>
      <c r="W364" s="85">
        <v>6.9444444444444198E-3</v>
      </c>
      <c r="X364" s="84">
        <v>0.49305555555555558</v>
      </c>
      <c r="Y364" s="85">
        <v>5.5555555555555913E-3</v>
      </c>
      <c r="Z364" s="86">
        <v>41758</v>
      </c>
      <c r="AA364" s="36" t="str">
        <f t="shared" si="111"/>
        <v>Nacional</v>
      </c>
      <c r="AB364" s="36">
        <f t="shared" si="111"/>
        <v>6.7901234567901269E-3</v>
      </c>
      <c r="AC364" s="36">
        <f t="shared" si="111"/>
        <v>5.0925925925925835E-3</v>
      </c>
      <c r="AD364" s="36">
        <f t="shared" si="111"/>
        <v>1.1882716049382711E-2</v>
      </c>
      <c r="AE364" s="36" t="str">
        <f t="shared" si="111"/>
        <v>ER4</v>
      </c>
      <c r="AF364" s="36">
        <f t="shared" si="111"/>
        <v>50</v>
      </c>
      <c r="AG364" s="36" t="str">
        <f t="shared" si="111"/>
        <v>MTY</v>
      </c>
      <c r="AI364">
        <v>350</v>
      </c>
      <c r="AJ364" s="77" t="str">
        <f t="shared" si="112"/>
        <v>MEXICO AEREO</v>
      </c>
      <c r="AK364" s="77">
        <f t="shared" si="112"/>
        <v>2023</v>
      </c>
      <c r="AL364" s="78">
        <v>0.47500000000000003</v>
      </c>
      <c r="AM364" s="79">
        <v>0.47916666666666669</v>
      </c>
      <c r="AN364" s="80">
        <v>4.1666666666666519E-3</v>
      </c>
      <c r="AO364" s="79">
        <v>0.48333333333333334</v>
      </c>
      <c r="AP364" s="80">
        <v>4.1666666666666519E-3</v>
      </c>
      <c r="AQ364" s="81">
        <v>41810</v>
      </c>
      <c r="AR364" s="77" t="str">
        <f t="shared" si="113"/>
        <v>Nacional</v>
      </c>
      <c r="AS364" s="77">
        <f t="shared" si="113"/>
        <v>5.1169590643274816E-3</v>
      </c>
      <c r="AT364" s="77">
        <f t="shared" si="113"/>
        <v>5.8114035087719357E-3</v>
      </c>
      <c r="AU364" s="77">
        <f t="shared" si="113"/>
        <v>1.0928362573099417E-2</v>
      </c>
      <c r="AV364" s="77" t="str">
        <f t="shared" si="113"/>
        <v>ER4</v>
      </c>
      <c r="AW364" s="77">
        <f t="shared" si="113"/>
        <v>50</v>
      </c>
      <c r="AX364" s="77" t="str">
        <f t="shared" si="113"/>
        <v>MTY</v>
      </c>
    </row>
    <row r="365" spans="1:50" ht="15.75" thickBot="1" x14ac:dyDescent="0.3">
      <c r="A365">
        <v>351</v>
      </c>
      <c r="B365" s="36" t="str">
        <f t="shared" si="108"/>
        <v>MEXICO AEREO</v>
      </c>
      <c r="C365" s="36">
        <f t="shared" si="108"/>
        <v>276</v>
      </c>
      <c r="D365" s="74">
        <v>0.38055555555555554</v>
      </c>
      <c r="E365" s="74">
        <v>0.38611111111111113</v>
      </c>
      <c r="F365" s="75">
        <v>5.5555555555555913E-3</v>
      </c>
      <c r="G365" s="74">
        <v>0.3923611111111111</v>
      </c>
      <c r="H365" s="75">
        <v>6.2499999999999778E-3</v>
      </c>
      <c r="I365" s="76">
        <v>41725</v>
      </c>
      <c r="J365" s="36" t="str">
        <f t="shared" si="114"/>
        <v>Nacional</v>
      </c>
      <c r="K365" s="36">
        <f t="shared" si="114"/>
        <v>5.7870370370370393E-3</v>
      </c>
      <c r="L365" s="36">
        <f t="shared" si="114"/>
        <v>7.8124999999999818E-3</v>
      </c>
      <c r="M365" s="36">
        <f t="shared" si="114"/>
        <v>1.3599537037037021E-2</v>
      </c>
      <c r="N365" s="36" t="str">
        <f t="shared" si="114"/>
        <v>B737-700</v>
      </c>
      <c r="O365" s="36">
        <f t="shared" si="114"/>
        <v>126</v>
      </c>
      <c r="P365" s="36" t="str">
        <f t="shared" si="114"/>
        <v>MEX</v>
      </c>
      <c r="R365">
        <v>351</v>
      </c>
      <c r="S365" s="36" t="str">
        <f t="shared" si="110"/>
        <v>MEXICO AEREO</v>
      </c>
      <c r="T365" s="138">
        <v>2021</v>
      </c>
      <c r="U365" s="139">
        <v>0.80902777777777779</v>
      </c>
      <c r="V365" s="47">
        <v>0.81111111111111101</v>
      </c>
      <c r="W365" s="48">
        <v>2.0833333333332149E-3</v>
      </c>
      <c r="X365" s="47">
        <v>0.81736111111111109</v>
      </c>
      <c r="Y365" s="48">
        <v>6.2500000000000888E-3</v>
      </c>
      <c r="Z365" s="49">
        <v>41741</v>
      </c>
      <c r="AA365" s="50" t="s">
        <v>19</v>
      </c>
      <c r="AB365" s="47">
        <v>2.0833333333332149E-3</v>
      </c>
      <c r="AC365" s="47">
        <v>6.2500000000000888E-3</v>
      </c>
      <c r="AD365" s="140">
        <v>8.3333333333333037E-3</v>
      </c>
      <c r="AE365" s="141" t="s">
        <v>47</v>
      </c>
      <c r="AF365" s="36">
        <f t="shared" ref="AF365:AG382" si="115">AF364</f>
        <v>50</v>
      </c>
      <c r="AG365" s="36" t="str">
        <f t="shared" si="115"/>
        <v>MTY</v>
      </c>
      <c r="AI365">
        <v>351</v>
      </c>
      <c r="AJ365" s="77" t="str">
        <f t="shared" si="112"/>
        <v>MEXICO AEREO</v>
      </c>
      <c r="AK365" s="77">
        <f t="shared" si="112"/>
        <v>2023</v>
      </c>
      <c r="AL365" s="78">
        <v>0.50416666666666665</v>
      </c>
      <c r="AM365" s="79">
        <v>0.50902777777777775</v>
      </c>
      <c r="AN365" s="80">
        <v>4.8611111111110938E-3</v>
      </c>
      <c r="AO365" s="79">
        <v>0.5131944444444444</v>
      </c>
      <c r="AP365" s="80">
        <v>4.1666666666666519E-3</v>
      </c>
      <c r="AQ365" s="81">
        <v>41811</v>
      </c>
      <c r="AR365" s="77" t="str">
        <f t="shared" si="113"/>
        <v>Nacional</v>
      </c>
      <c r="AS365" s="77">
        <f t="shared" si="113"/>
        <v>5.1169590643274816E-3</v>
      </c>
      <c r="AT365" s="77">
        <f t="shared" si="113"/>
        <v>5.8114035087719357E-3</v>
      </c>
      <c r="AU365" s="77">
        <f t="shared" si="113"/>
        <v>1.0928362573099417E-2</v>
      </c>
      <c r="AV365" s="77" t="str">
        <f t="shared" si="113"/>
        <v>ER4</v>
      </c>
      <c r="AW365" s="77">
        <f t="shared" si="113"/>
        <v>50</v>
      </c>
      <c r="AX365" s="77" t="str">
        <f t="shared" si="113"/>
        <v>MTY</v>
      </c>
    </row>
    <row r="366" spans="1:50" ht="15.75" thickBot="1" x14ac:dyDescent="0.3">
      <c r="A366">
        <v>352</v>
      </c>
      <c r="B366" s="36" t="str">
        <f t="shared" si="108"/>
        <v>MEXICO AEREO</v>
      </c>
      <c r="C366" s="36">
        <f t="shared" si="108"/>
        <v>276</v>
      </c>
      <c r="D366" s="74">
        <v>0.38055555555555554</v>
      </c>
      <c r="E366" s="74">
        <v>0.38611111111111113</v>
      </c>
      <c r="F366" s="75">
        <v>5.5555555555555913E-3</v>
      </c>
      <c r="G366" s="74">
        <v>0.39444444444444443</v>
      </c>
      <c r="H366" s="75">
        <v>8.3333333333333037E-3</v>
      </c>
      <c r="I366" s="76">
        <v>41726</v>
      </c>
      <c r="J366" s="36" t="str">
        <f t="shared" si="114"/>
        <v>Nacional</v>
      </c>
      <c r="K366" s="36">
        <f t="shared" si="114"/>
        <v>5.7870370370370393E-3</v>
      </c>
      <c r="L366" s="36">
        <f t="shared" si="114"/>
        <v>7.8124999999999818E-3</v>
      </c>
      <c r="M366" s="36">
        <f t="shared" si="114"/>
        <v>1.3599537037037021E-2</v>
      </c>
      <c r="N366" s="36" t="str">
        <f t="shared" si="114"/>
        <v>B737-700</v>
      </c>
      <c r="O366" s="36">
        <f t="shared" si="114"/>
        <v>126</v>
      </c>
      <c r="P366" s="36" t="str">
        <f t="shared" si="114"/>
        <v>MEX</v>
      </c>
      <c r="R366">
        <v>352</v>
      </c>
      <c r="S366" s="36" t="str">
        <f t="shared" si="110"/>
        <v>MEXICO AEREO</v>
      </c>
      <c r="T366" s="55">
        <v>2015</v>
      </c>
      <c r="U366" s="56">
        <v>0.56805555555555554</v>
      </c>
      <c r="V366" s="57">
        <v>0.57430555555555551</v>
      </c>
      <c r="W366" s="58">
        <v>6.2499999999999778E-3</v>
      </c>
      <c r="X366" s="57">
        <v>0.57500000000000007</v>
      </c>
      <c r="Y366" s="58">
        <v>6.94444444444553E-4</v>
      </c>
      <c r="Z366" s="59">
        <v>41736</v>
      </c>
      <c r="AA366" s="60" t="s">
        <v>19</v>
      </c>
      <c r="AB366" s="61">
        <v>5.158730158730117E-3</v>
      </c>
      <c r="AC366" s="61">
        <v>4.6626984126984438E-3</v>
      </c>
      <c r="AD366" s="62">
        <v>9.8214285714285608E-3</v>
      </c>
      <c r="AE366" s="109" t="s">
        <v>20</v>
      </c>
      <c r="AF366" s="109">
        <v>50</v>
      </c>
      <c r="AG366" s="109" t="s">
        <v>36</v>
      </c>
      <c r="AI366">
        <v>352</v>
      </c>
      <c r="AJ366" s="77" t="str">
        <f t="shared" si="112"/>
        <v>MEXICO AEREO</v>
      </c>
      <c r="AK366" s="77">
        <f t="shared" si="112"/>
        <v>2023</v>
      </c>
      <c r="AL366" s="94">
        <v>0.47222222222222227</v>
      </c>
      <c r="AM366" s="95">
        <v>0.47569444444444442</v>
      </c>
      <c r="AN366" s="96">
        <v>3.4722222222221544E-3</v>
      </c>
      <c r="AO366" s="95">
        <v>0.48333333333333334</v>
      </c>
      <c r="AP366" s="96">
        <v>7.6388888888889173E-3</v>
      </c>
      <c r="AQ366" s="97">
        <v>41812</v>
      </c>
      <c r="AR366" s="77" t="str">
        <f t="shared" si="113"/>
        <v>Nacional</v>
      </c>
      <c r="AS366" s="77">
        <f t="shared" si="113"/>
        <v>5.1169590643274816E-3</v>
      </c>
      <c r="AT366" s="77">
        <f t="shared" si="113"/>
        <v>5.8114035087719357E-3</v>
      </c>
      <c r="AU366" s="77">
        <f t="shared" si="113"/>
        <v>1.0928362573099417E-2</v>
      </c>
      <c r="AV366" s="77" t="str">
        <f t="shared" si="113"/>
        <v>ER4</v>
      </c>
      <c r="AW366" s="77">
        <f t="shared" si="113"/>
        <v>50</v>
      </c>
      <c r="AX366" s="77" t="str">
        <f t="shared" si="113"/>
        <v>MTY</v>
      </c>
    </row>
    <row r="367" spans="1:50" ht="15.75" thickBot="1" x14ac:dyDescent="0.3">
      <c r="A367">
        <v>353</v>
      </c>
      <c r="B367" s="36" t="str">
        <f t="shared" si="108"/>
        <v>MEXICO AEREO</v>
      </c>
      <c r="C367" s="36">
        <f t="shared" si="108"/>
        <v>276</v>
      </c>
      <c r="D367" s="84">
        <v>0.3888888888888889</v>
      </c>
      <c r="E367" s="84">
        <v>0.39305555555555555</v>
      </c>
      <c r="F367" s="85">
        <v>4.1666666666666519E-3</v>
      </c>
      <c r="G367" s="84">
        <v>0.40138888888888885</v>
      </c>
      <c r="H367" s="85">
        <v>8.3333333333333037E-3</v>
      </c>
      <c r="I367" s="86">
        <v>41729</v>
      </c>
      <c r="J367" s="36" t="str">
        <f t="shared" si="114"/>
        <v>Nacional</v>
      </c>
      <c r="K367" s="36">
        <f t="shared" si="114"/>
        <v>5.7870370370370393E-3</v>
      </c>
      <c r="L367" s="36">
        <f t="shared" si="114"/>
        <v>7.8124999999999818E-3</v>
      </c>
      <c r="M367" s="36">
        <f t="shared" si="114"/>
        <v>1.3599537037037021E-2</v>
      </c>
      <c r="N367" s="36" t="str">
        <f t="shared" si="114"/>
        <v>B737-700</v>
      </c>
      <c r="O367" s="36">
        <f t="shared" si="114"/>
        <v>126</v>
      </c>
      <c r="P367" s="36" t="str">
        <f t="shared" si="114"/>
        <v>MEX</v>
      </c>
      <c r="R367">
        <v>353</v>
      </c>
      <c r="S367" s="36" t="str">
        <f t="shared" si="110"/>
        <v>MEXICO AEREO</v>
      </c>
      <c r="T367" s="36">
        <f t="shared" si="110"/>
        <v>2015</v>
      </c>
      <c r="U367" s="73">
        <v>0.42777777777777781</v>
      </c>
      <c r="V367" s="74">
        <v>0.43124999999999997</v>
      </c>
      <c r="W367" s="75">
        <v>3.4722222222221544E-3</v>
      </c>
      <c r="X367" s="74">
        <v>0.4368055555555555</v>
      </c>
      <c r="Y367" s="75">
        <v>5.5555555555555358E-3</v>
      </c>
      <c r="Z367" s="76">
        <v>41730</v>
      </c>
      <c r="AA367" s="36" t="str">
        <f t="shared" ref="AA367:AG372" si="116">AA366</f>
        <v>Nacional</v>
      </c>
      <c r="AB367" s="36">
        <f t="shared" si="116"/>
        <v>5.158730158730117E-3</v>
      </c>
      <c r="AC367" s="36">
        <f t="shared" si="116"/>
        <v>4.6626984126984438E-3</v>
      </c>
      <c r="AD367" s="36">
        <f t="shared" si="116"/>
        <v>9.8214285714285608E-3</v>
      </c>
      <c r="AE367" s="36" t="str">
        <f t="shared" si="116"/>
        <v>ER4</v>
      </c>
      <c r="AF367" s="36">
        <f t="shared" si="116"/>
        <v>50</v>
      </c>
      <c r="AG367" s="36" t="str">
        <f t="shared" si="116"/>
        <v>CJS</v>
      </c>
      <c r="AI367">
        <v>353</v>
      </c>
      <c r="AJ367" s="77" t="str">
        <f t="shared" si="112"/>
        <v>MEXICO AEREO</v>
      </c>
      <c r="AK367" s="63">
        <v>2005</v>
      </c>
      <c r="AL367" s="64">
        <v>0.26041666666666669</v>
      </c>
      <c r="AM367" s="65">
        <v>0.26527777777777778</v>
      </c>
      <c r="AN367" s="66">
        <v>4.8611111111110938E-3</v>
      </c>
      <c r="AO367" s="65">
        <v>0.27291666666666664</v>
      </c>
      <c r="AP367" s="66">
        <v>7.6388888888888618E-3</v>
      </c>
      <c r="AQ367" s="67">
        <v>41802</v>
      </c>
      <c r="AR367" s="68" t="s">
        <v>19</v>
      </c>
      <c r="AS367" s="69">
        <v>9.7222222222221877E-3</v>
      </c>
      <c r="AT367" s="70">
        <v>7.6388888888888895E-3</v>
      </c>
      <c r="AU367" s="70">
        <v>1.7361111111111077E-2</v>
      </c>
      <c r="AV367" s="71" t="s">
        <v>20</v>
      </c>
      <c r="AW367" s="71">
        <v>50</v>
      </c>
      <c r="AX367" s="72" t="s">
        <v>28</v>
      </c>
    </row>
    <row r="368" spans="1:50" ht="15.75" thickBot="1" x14ac:dyDescent="0.3">
      <c r="A368">
        <v>354</v>
      </c>
      <c r="B368" s="36" t="str">
        <f t="shared" si="108"/>
        <v>MEXICO AEREO</v>
      </c>
      <c r="C368" s="88">
        <v>254</v>
      </c>
      <c r="D368" s="57">
        <v>0.74930555555555556</v>
      </c>
      <c r="E368" s="57">
        <v>0.75694444444444453</v>
      </c>
      <c r="F368" s="58">
        <v>7.6388888888889728E-3</v>
      </c>
      <c r="G368" s="57">
        <v>0.76041666666666663</v>
      </c>
      <c r="H368" s="58">
        <v>3.4722222222220989E-3</v>
      </c>
      <c r="I368" s="59">
        <v>41716</v>
      </c>
      <c r="J368" s="108" t="s">
        <v>19</v>
      </c>
      <c r="K368" s="61">
        <v>6.8055555555555421E-3</v>
      </c>
      <c r="L368" s="61">
        <v>4.4444444444444505E-3</v>
      </c>
      <c r="M368" s="89">
        <v>1.1249999999999993E-2</v>
      </c>
      <c r="N368" s="90" t="s">
        <v>20</v>
      </c>
      <c r="O368" s="91">
        <v>50</v>
      </c>
      <c r="P368" s="92" t="s">
        <v>21</v>
      </c>
      <c r="R368">
        <v>354</v>
      </c>
      <c r="S368" s="36" t="str">
        <f t="shared" si="110"/>
        <v>MEXICO AEREO</v>
      </c>
      <c r="T368" s="36">
        <f t="shared" si="110"/>
        <v>2015</v>
      </c>
      <c r="U368" s="73">
        <v>0.43402777777777773</v>
      </c>
      <c r="V368" s="74">
        <v>0.44166666666666665</v>
      </c>
      <c r="W368" s="75">
        <v>7.6388888888889173E-3</v>
      </c>
      <c r="X368" s="74">
        <v>0.44722222222222219</v>
      </c>
      <c r="Y368" s="75">
        <v>5.5555555555555358E-3</v>
      </c>
      <c r="Z368" s="76">
        <v>41731</v>
      </c>
      <c r="AA368" s="36" t="str">
        <f t="shared" si="116"/>
        <v>Nacional</v>
      </c>
      <c r="AB368" s="36">
        <f t="shared" si="116"/>
        <v>5.158730158730117E-3</v>
      </c>
      <c r="AC368" s="36">
        <f t="shared" si="116"/>
        <v>4.6626984126984438E-3</v>
      </c>
      <c r="AD368" s="36">
        <f t="shared" si="116"/>
        <v>9.8214285714285608E-3</v>
      </c>
      <c r="AE368" s="36" t="str">
        <f t="shared" si="116"/>
        <v>ER4</v>
      </c>
      <c r="AF368" s="36">
        <f t="shared" si="116"/>
        <v>50</v>
      </c>
      <c r="AG368" s="36" t="str">
        <f t="shared" si="116"/>
        <v>CJS</v>
      </c>
      <c r="AI368">
        <v>354</v>
      </c>
      <c r="AJ368" s="77" t="str">
        <f t="shared" si="112"/>
        <v>MEXICO AEREO</v>
      </c>
      <c r="AK368" s="77">
        <f>AK367</f>
        <v>2005</v>
      </c>
      <c r="AL368" s="94">
        <v>0.32569444444444445</v>
      </c>
      <c r="AM368" s="95">
        <v>0.34027777777777773</v>
      </c>
      <c r="AN368" s="96">
        <v>1.4583333333333282E-2</v>
      </c>
      <c r="AO368" s="95">
        <v>0.34791666666666665</v>
      </c>
      <c r="AP368" s="96">
        <v>7.6388888888889173E-3</v>
      </c>
      <c r="AQ368" s="97">
        <v>41810</v>
      </c>
      <c r="AR368" s="77" t="str">
        <f t="shared" ref="AR368:AX368" si="117">AR367</f>
        <v>Nacional</v>
      </c>
      <c r="AS368" s="77">
        <f t="shared" si="117"/>
        <v>9.7222222222221877E-3</v>
      </c>
      <c r="AT368" s="77">
        <f t="shared" si="117"/>
        <v>7.6388888888888895E-3</v>
      </c>
      <c r="AU368" s="77">
        <f t="shared" si="117"/>
        <v>1.7361111111111077E-2</v>
      </c>
      <c r="AV368" s="77" t="str">
        <f t="shared" si="117"/>
        <v>ER4</v>
      </c>
      <c r="AW368" s="77">
        <f t="shared" si="117"/>
        <v>50</v>
      </c>
      <c r="AX368" s="77" t="str">
        <f t="shared" si="117"/>
        <v>MTY</v>
      </c>
    </row>
    <row r="369" spans="1:50" ht="15.75" thickBot="1" x14ac:dyDescent="0.3">
      <c r="A369">
        <v>355</v>
      </c>
      <c r="B369" s="36" t="str">
        <f t="shared" si="108"/>
        <v>MEXICO AEREO</v>
      </c>
      <c r="C369" s="36">
        <f t="shared" si="108"/>
        <v>254</v>
      </c>
      <c r="D369" s="74">
        <v>0.74722222222222223</v>
      </c>
      <c r="E369" s="74">
        <v>0.75277777777777777</v>
      </c>
      <c r="F369" s="75">
        <v>5.5555555555555358E-3</v>
      </c>
      <c r="G369" s="74">
        <v>0.7583333333333333</v>
      </c>
      <c r="H369" s="75">
        <v>5.5555555555555358E-3</v>
      </c>
      <c r="I369" s="76">
        <v>41718</v>
      </c>
      <c r="J369" s="36" t="str">
        <f t="shared" ref="J369:P377" si="118">J368</f>
        <v>Nacional</v>
      </c>
      <c r="K369" s="36">
        <f t="shared" si="118"/>
        <v>6.8055555555555421E-3</v>
      </c>
      <c r="L369" s="36">
        <f t="shared" si="118"/>
        <v>4.4444444444444505E-3</v>
      </c>
      <c r="M369" s="36">
        <f t="shared" si="118"/>
        <v>1.1249999999999993E-2</v>
      </c>
      <c r="N369" s="36" t="str">
        <f t="shared" si="118"/>
        <v>ER4</v>
      </c>
      <c r="O369" s="36">
        <f t="shared" si="118"/>
        <v>50</v>
      </c>
      <c r="P369" s="36" t="str">
        <f t="shared" si="118"/>
        <v>MEX</v>
      </c>
      <c r="R369">
        <v>355</v>
      </c>
      <c r="S369" s="36" t="str">
        <f t="shared" si="110"/>
        <v>MEXICO AEREO</v>
      </c>
      <c r="T369" s="36">
        <f t="shared" si="110"/>
        <v>2015</v>
      </c>
      <c r="U369" s="73">
        <v>0.43055555555555558</v>
      </c>
      <c r="V369" s="74">
        <v>0.44166666666666665</v>
      </c>
      <c r="W369" s="75">
        <v>1.1111111111111072E-2</v>
      </c>
      <c r="X369" s="74">
        <v>0.44791666666666669</v>
      </c>
      <c r="Y369" s="75">
        <v>6.2500000000000333E-3</v>
      </c>
      <c r="Z369" s="76">
        <v>41732</v>
      </c>
      <c r="AA369" s="36" t="str">
        <f t="shared" si="116"/>
        <v>Nacional</v>
      </c>
      <c r="AB369" s="36">
        <f t="shared" si="116"/>
        <v>5.158730158730117E-3</v>
      </c>
      <c r="AC369" s="36">
        <f t="shared" si="116"/>
        <v>4.6626984126984438E-3</v>
      </c>
      <c r="AD369" s="36">
        <f t="shared" si="116"/>
        <v>9.8214285714285608E-3</v>
      </c>
      <c r="AE369" s="36" t="str">
        <f t="shared" si="116"/>
        <v>ER4</v>
      </c>
      <c r="AF369" s="36">
        <f t="shared" si="116"/>
        <v>50</v>
      </c>
      <c r="AG369" s="36" t="str">
        <f t="shared" si="116"/>
        <v>CJS</v>
      </c>
      <c r="AI369">
        <v>355</v>
      </c>
      <c r="AJ369" s="77" t="str">
        <f t="shared" si="112"/>
        <v>MEXICO AEREO</v>
      </c>
      <c r="AK369" s="99">
        <v>1381</v>
      </c>
      <c r="AL369" s="100">
        <v>0.85138888888888886</v>
      </c>
      <c r="AM369" s="101">
        <v>0.85833333333333339</v>
      </c>
      <c r="AN369" s="102">
        <v>6.9444444444445308E-3</v>
      </c>
      <c r="AO369" s="101">
        <v>0.8618055555555556</v>
      </c>
      <c r="AP369" s="102">
        <v>3.4722222222222099E-3</v>
      </c>
      <c r="AQ369" s="103">
        <v>41812</v>
      </c>
      <c r="AR369" s="104" t="s">
        <v>19</v>
      </c>
      <c r="AS369" s="105">
        <v>6.9444444444445308E-3</v>
      </c>
      <c r="AT369" s="105">
        <v>3.4722222222222099E-3</v>
      </c>
      <c r="AU369" s="105">
        <v>1.0416666666666741E-2</v>
      </c>
      <c r="AV369" s="106">
        <v>738</v>
      </c>
      <c r="AW369" s="106">
        <v>189</v>
      </c>
      <c r="AX369" s="107" t="s">
        <v>21</v>
      </c>
    </row>
    <row r="370" spans="1:50" x14ac:dyDescent="0.25">
      <c r="A370">
        <v>356</v>
      </c>
      <c r="B370" s="36" t="str">
        <f t="shared" si="108"/>
        <v>MEXICO AEREO</v>
      </c>
      <c r="C370" s="36">
        <f t="shared" si="108"/>
        <v>254</v>
      </c>
      <c r="D370" s="74">
        <v>0.74305555555555547</v>
      </c>
      <c r="E370" s="74">
        <v>0.74652777777777779</v>
      </c>
      <c r="F370" s="75">
        <v>3.4722222222223209E-3</v>
      </c>
      <c r="G370" s="74">
        <v>0.75</v>
      </c>
      <c r="H370" s="75">
        <v>3.4722222222222099E-3</v>
      </c>
      <c r="I370" s="76">
        <v>41720</v>
      </c>
      <c r="J370" s="36" t="str">
        <f t="shared" si="118"/>
        <v>Nacional</v>
      </c>
      <c r="K370" s="36">
        <f t="shared" si="118"/>
        <v>6.8055555555555421E-3</v>
      </c>
      <c r="L370" s="36">
        <f t="shared" si="118"/>
        <v>4.4444444444444505E-3</v>
      </c>
      <c r="M370" s="36">
        <f t="shared" si="118"/>
        <v>1.1249999999999993E-2</v>
      </c>
      <c r="N370" s="36" t="str">
        <f t="shared" si="118"/>
        <v>ER4</v>
      </c>
      <c r="O370" s="36">
        <f t="shared" si="118"/>
        <v>50</v>
      </c>
      <c r="P370" s="36" t="str">
        <f t="shared" si="118"/>
        <v>MEX</v>
      </c>
      <c r="R370">
        <v>356</v>
      </c>
      <c r="S370" s="36" t="str">
        <f t="shared" si="110"/>
        <v>MEXICO AEREO</v>
      </c>
      <c r="T370" s="36">
        <f t="shared" si="110"/>
        <v>2015</v>
      </c>
      <c r="U370" s="73">
        <v>0.44236111111111115</v>
      </c>
      <c r="V370" s="74">
        <v>0.44444444444444442</v>
      </c>
      <c r="W370" s="75">
        <v>2.0833333333332704E-3</v>
      </c>
      <c r="X370" s="74">
        <v>0.44791666666666669</v>
      </c>
      <c r="Y370" s="75">
        <v>3.4722222222222654E-3</v>
      </c>
      <c r="Z370" s="76">
        <v>41733</v>
      </c>
      <c r="AA370" s="36" t="str">
        <f t="shared" si="116"/>
        <v>Nacional</v>
      </c>
      <c r="AB370" s="36">
        <f t="shared" si="116"/>
        <v>5.158730158730117E-3</v>
      </c>
      <c r="AC370" s="36">
        <f t="shared" si="116"/>
        <v>4.6626984126984438E-3</v>
      </c>
      <c r="AD370" s="36">
        <f t="shared" si="116"/>
        <v>9.8214285714285608E-3</v>
      </c>
      <c r="AE370" s="36" t="str">
        <f t="shared" si="116"/>
        <v>ER4</v>
      </c>
      <c r="AF370" s="36">
        <f t="shared" si="116"/>
        <v>50</v>
      </c>
      <c r="AG370" s="36" t="str">
        <f t="shared" si="116"/>
        <v>CJS</v>
      </c>
      <c r="AI370">
        <v>356</v>
      </c>
      <c r="AJ370" s="77" t="str">
        <f t="shared" si="112"/>
        <v>MEXICO AEREO</v>
      </c>
      <c r="AK370" s="63">
        <v>1160</v>
      </c>
      <c r="AL370" s="64">
        <v>0.91666666666666663</v>
      </c>
      <c r="AM370" s="65">
        <v>0.92708333333333337</v>
      </c>
      <c r="AN370" s="66">
        <v>1.0416666666666741E-2</v>
      </c>
      <c r="AO370" s="65">
        <v>0.93333333333333324</v>
      </c>
      <c r="AP370" s="66">
        <v>6.2499999999998668E-3</v>
      </c>
      <c r="AQ370" s="67">
        <v>41794</v>
      </c>
      <c r="AR370" s="68" t="s">
        <v>19</v>
      </c>
      <c r="AS370" s="69">
        <v>5.0925925925926112E-3</v>
      </c>
      <c r="AT370" s="70">
        <v>4.8611111111110565E-3</v>
      </c>
      <c r="AU370" s="70">
        <v>9.9537037037036678E-3</v>
      </c>
      <c r="AV370" s="71">
        <v>738</v>
      </c>
      <c r="AW370" s="71">
        <v>189</v>
      </c>
      <c r="AX370" s="72" t="s">
        <v>21</v>
      </c>
    </row>
    <row r="371" spans="1:50" x14ac:dyDescent="0.25">
      <c r="A371">
        <v>357</v>
      </c>
      <c r="B371" s="36" t="str">
        <f t="shared" si="108"/>
        <v>MEXICO AEREO</v>
      </c>
      <c r="C371" s="36">
        <f t="shared" si="108"/>
        <v>254</v>
      </c>
      <c r="D371" s="74">
        <v>0.74652777777777779</v>
      </c>
      <c r="E371" s="74">
        <v>0.75208333333333333</v>
      </c>
      <c r="F371" s="75">
        <v>5.5555555555555358E-3</v>
      </c>
      <c r="G371" s="74">
        <v>0.75624999999999998</v>
      </c>
      <c r="H371" s="75">
        <v>4.1666666666666519E-3</v>
      </c>
      <c r="I371" s="76">
        <v>41721</v>
      </c>
      <c r="J371" s="36" t="str">
        <f t="shared" si="118"/>
        <v>Nacional</v>
      </c>
      <c r="K371" s="36">
        <f t="shared" si="118"/>
        <v>6.8055555555555421E-3</v>
      </c>
      <c r="L371" s="36">
        <f t="shared" si="118"/>
        <v>4.4444444444444505E-3</v>
      </c>
      <c r="M371" s="36">
        <f t="shared" si="118"/>
        <v>1.1249999999999993E-2</v>
      </c>
      <c r="N371" s="36" t="str">
        <f t="shared" si="118"/>
        <v>ER4</v>
      </c>
      <c r="O371" s="36">
        <f t="shared" si="118"/>
        <v>50</v>
      </c>
      <c r="P371" s="36" t="str">
        <f t="shared" si="118"/>
        <v>MEX</v>
      </c>
      <c r="R371">
        <v>357</v>
      </c>
      <c r="S371" s="36" t="str">
        <f t="shared" si="110"/>
        <v>MEXICO AEREO</v>
      </c>
      <c r="T371" s="36">
        <f t="shared" si="110"/>
        <v>2015</v>
      </c>
      <c r="U371" s="73">
        <v>0.46319444444444446</v>
      </c>
      <c r="V371" s="74">
        <v>0.46527777777777773</v>
      </c>
      <c r="W371" s="75">
        <v>2.0833333333332704E-3</v>
      </c>
      <c r="X371" s="74">
        <v>0.47083333333333338</v>
      </c>
      <c r="Y371" s="75">
        <v>5.5555555555556468E-3</v>
      </c>
      <c r="Z371" s="76">
        <v>41735</v>
      </c>
      <c r="AA371" s="36" t="str">
        <f t="shared" si="116"/>
        <v>Nacional</v>
      </c>
      <c r="AB371" s="36">
        <f t="shared" si="116"/>
        <v>5.158730158730117E-3</v>
      </c>
      <c r="AC371" s="36">
        <f t="shared" si="116"/>
        <v>4.6626984126984438E-3</v>
      </c>
      <c r="AD371" s="36">
        <f t="shared" si="116"/>
        <v>9.8214285714285608E-3</v>
      </c>
      <c r="AE371" s="36" t="str">
        <f t="shared" si="116"/>
        <v>ER4</v>
      </c>
      <c r="AF371" s="36">
        <f t="shared" si="116"/>
        <v>50</v>
      </c>
      <c r="AG371" s="36" t="str">
        <f t="shared" si="116"/>
        <v>CJS</v>
      </c>
      <c r="AI371">
        <v>357</v>
      </c>
      <c r="AJ371" s="77" t="str">
        <f t="shared" si="112"/>
        <v>MEXICO AEREO</v>
      </c>
      <c r="AK371" s="77">
        <f t="shared" si="112"/>
        <v>1160</v>
      </c>
      <c r="AL371" s="78">
        <v>0.53472222222222221</v>
      </c>
      <c r="AM371" s="79">
        <v>0.53749999999999998</v>
      </c>
      <c r="AN371" s="80">
        <v>2.7777777777777679E-3</v>
      </c>
      <c r="AO371" s="79">
        <v>0.54097222222222219</v>
      </c>
      <c r="AP371" s="80">
        <v>3.4722222222222099E-3</v>
      </c>
      <c r="AQ371" s="81">
        <v>41801</v>
      </c>
      <c r="AR371" s="77" t="str">
        <f t="shared" ref="AR371:AX372" si="119">AR370</f>
        <v>Nacional</v>
      </c>
      <c r="AS371" s="77">
        <f t="shared" si="119"/>
        <v>5.0925925925926112E-3</v>
      </c>
      <c r="AT371" s="77">
        <f t="shared" si="119"/>
        <v>4.8611111111110565E-3</v>
      </c>
      <c r="AU371" s="77">
        <f t="shared" si="119"/>
        <v>9.9537037037036678E-3</v>
      </c>
      <c r="AV371" s="77">
        <f t="shared" si="119"/>
        <v>738</v>
      </c>
      <c r="AW371" s="77">
        <f t="shared" si="119"/>
        <v>189</v>
      </c>
      <c r="AX371" s="77" t="str">
        <f t="shared" si="119"/>
        <v>MEX</v>
      </c>
    </row>
    <row r="372" spans="1:50" ht="15.75" thickBot="1" x14ac:dyDescent="0.3">
      <c r="A372">
        <v>358</v>
      </c>
      <c r="B372" s="36" t="str">
        <f t="shared" si="108"/>
        <v>MEXICO AEREO</v>
      </c>
      <c r="C372" s="36">
        <f t="shared" si="108"/>
        <v>254</v>
      </c>
      <c r="D372" s="74">
        <v>0.77916666666666667</v>
      </c>
      <c r="E372" s="74">
        <v>0.78888888888888886</v>
      </c>
      <c r="F372" s="75">
        <v>9.7222222222221877E-3</v>
      </c>
      <c r="G372" s="74">
        <v>0.80069444444444438</v>
      </c>
      <c r="H372" s="75">
        <v>1.1805555555555514E-2</v>
      </c>
      <c r="I372" s="76">
        <v>41725</v>
      </c>
      <c r="J372" s="36" t="str">
        <f t="shared" si="118"/>
        <v>Nacional</v>
      </c>
      <c r="K372" s="36">
        <f t="shared" si="118"/>
        <v>6.8055555555555421E-3</v>
      </c>
      <c r="L372" s="36">
        <f t="shared" si="118"/>
        <v>4.4444444444444505E-3</v>
      </c>
      <c r="M372" s="36">
        <f t="shared" si="118"/>
        <v>1.1249999999999993E-2</v>
      </c>
      <c r="N372" s="36" t="str">
        <f t="shared" si="118"/>
        <v>ER4</v>
      </c>
      <c r="O372" s="36">
        <f t="shared" si="118"/>
        <v>50</v>
      </c>
      <c r="P372" s="36" t="str">
        <f t="shared" si="118"/>
        <v>MEX</v>
      </c>
      <c r="R372">
        <v>358</v>
      </c>
      <c r="S372" s="36" t="str">
        <f t="shared" si="110"/>
        <v>MEXICO AEREO</v>
      </c>
      <c r="T372" s="36">
        <f t="shared" si="110"/>
        <v>2015</v>
      </c>
      <c r="U372" s="83">
        <v>0.42777777777777781</v>
      </c>
      <c r="V372" s="84">
        <v>0.43124999999999997</v>
      </c>
      <c r="W372" s="85">
        <v>3.4722222222221544E-3</v>
      </c>
      <c r="X372" s="84">
        <v>0.4368055555555555</v>
      </c>
      <c r="Y372" s="85">
        <v>5.5555555555555358E-3</v>
      </c>
      <c r="Z372" s="86">
        <v>41742</v>
      </c>
      <c r="AA372" s="36" t="str">
        <f t="shared" si="116"/>
        <v>Nacional</v>
      </c>
      <c r="AB372" s="36">
        <f t="shared" si="116"/>
        <v>5.158730158730117E-3</v>
      </c>
      <c r="AC372" s="36">
        <f t="shared" si="116"/>
        <v>4.6626984126984438E-3</v>
      </c>
      <c r="AD372" s="36">
        <f t="shared" si="116"/>
        <v>9.8214285714285608E-3</v>
      </c>
      <c r="AE372" s="36" t="str">
        <f t="shared" si="116"/>
        <v>ER4</v>
      </c>
      <c r="AF372" s="36">
        <f t="shared" si="116"/>
        <v>50</v>
      </c>
      <c r="AG372" s="36" t="str">
        <f t="shared" si="116"/>
        <v>CJS</v>
      </c>
      <c r="AI372">
        <v>358</v>
      </c>
      <c r="AJ372" s="77" t="str">
        <f t="shared" si="112"/>
        <v>MEXICO AEREO</v>
      </c>
      <c r="AK372" s="77">
        <f t="shared" si="112"/>
        <v>1160</v>
      </c>
      <c r="AL372" s="94">
        <v>0.92708333333333337</v>
      </c>
      <c r="AM372" s="95">
        <v>0.9291666666666667</v>
      </c>
      <c r="AN372" s="96">
        <v>2.0833333333333259E-3</v>
      </c>
      <c r="AO372" s="95">
        <v>0.93402777777777779</v>
      </c>
      <c r="AP372" s="96">
        <v>4.8611111111110938E-3</v>
      </c>
      <c r="AQ372" s="97">
        <v>41808</v>
      </c>
      <c r="AR372" s="77" t="str">
        <f t="shared" si="119"/>
        <v>Nacional</v>
      </c>
      <c r="AS372" s="77">
        <f t="shared" si="119"/>
        <v>5.0925925925926112E-3</v>
      </c>
      <c r="AT372" s="77">
        <f t="shared" si="119"/>
        <v>4.8611111111110565E-3</v>
      </c>
      <c r="AU372" s="77">
        <f t="shared" si="119"/>
        <v>9.9537037037036678E-3</v>
      </c>
      <c r="AV372" s="77">
        <f t="shared" si="119"/>
        <v>738</v>
      </c>
      <c r="AW372" s="77">
        <f t="shared" si="119"/>
        <v>189</v>
      </c>
      <c r="AX372" s="77" t="str">
        <f t="shared" si="119"/>
        <v>MEX</v>
      </c>
    </row>
    <row r="373" spans="1:50" x14ac:dyDescent="0.25">
      <c r="A373">
        <v>359</v>
      </c>
      <c r="B373" s="36" t="str">
        <f t="shared" si="108"/>
        <v>MEXICO AEREO</v>
      </c>
      <c r="C373" s="36">
        <f t="shared" si="108"/>
        <v>254</v>
      </c>
      <c r="D373" s="74">
        <v>0.74652777777777779</v>
      </c>
      <c r="E373" s="74">
        <v>0.75486111111111109</v>
      </c>
      <c r="F373" s="75">
        <v>8.3333333333333037E-3</v>
      </c>
      <c r="G373" s="74">
        <v>0.75694444444444453</v>
      </c>
      <c r="H373" s="75">
        <v>2.083333333333437E-3</v>
      </c>
      <c r="I373" s="76">
        <v>41725</v>
      </c>
      <c r="J373" s="36" t="str">
        <f t="shared" si="118"/>
        <v>Nacional</v>
      </c>
      <c r="K373" s="36">
        <f t="shared" si="118"/>
        <v>6.8055555555555421E-3</v>
      </c>
      <c r="L373" s="36">
        <f t="shared" si="118"/>
        <v>4.4444444444444505E-3</v>
      </c>
      <c r="M373" s="36">
        <f t="shared" si="118"/>
        <v>1.1249999999999993E-2</v>
      </c>
      <c r="N373" s="36" t="str">
        <f t="shared" si="118"/>
        <v>ER4</v>
      </c>
      <c r="O373" s="36">
        <f t="shared" si="118"/>
        <v>50</v>
      </c>
      <c r="P373" s="36" t="str">
        <f t="shared" si="118"/>
        <v>MEX</v>
      </c>
      <c r="R373">
        <v>359</v>
      </c>
      <c r="S373" s="36" t="str">
        <f t="shared" si="110"/>
        <v>MEXICO AEREO</v>
      </c>
      <c r="T373" s="55">
        <v>2012</v>
      </c>
      <c r="U373" s="56">
        <v>0.71736111111111101</v>
      </c>
      <c r="V373" s="57">
        <v>0.72499999999999998</v>
      </c>
      <c r="W373" s="58">
        <v>7.6388888888889728E-3</v>
      </c>
      <c r="X373" s="57">
        <v>0.72986111111111107</v>
      </c>
      <c r="Y373" s="58">
        <v>4.8611111111110938E-3</v>
      </c>
      <c r="Z373" s="59">
        <v>41732</v>
      </c>
      <c r="AA373" s="60" t="s">
        <v>19</v>
      </c>
      <c r="AB373" s="61">
        <v>7.8703703703704164E-3</v>
      </c>
      <c r="AC373" s="61">
        <v>3.9351851851852082E-3</v>
      </c>
      <c r="AD373" s="61">
        <v>1.1805555555555625E-2</v>
      </c>
      <c r="AE373" s="109" t="s">
        <v>20</v>
      </c>
      <c r="AF373" s="109">
        <v>50</v>
      </c>
      <c r="AG373" s="109" t="s">
        <v>29</v>
      </c>
      <c r="AI373">
        <v>359</v>
      </c>
      <c r="AJ373" s="77" t="str">
        <f t="shared" si="112"/>
        <v>MEXICO AEREO</v>
      </c>
      <c r="AK373" s="63">
        <v>789</v>
      </c>
      <c r="AL373" s="64">
        <v>0.33402777777777781</v>
      </c>
      <c r="AM373" s="65">
        <v>0.3444444444444445</v>
      </c>
      <c r="AN373" s="66">
        <v>1.0416666666666685E-2</v>
      </c>
      <c r="AO373" s="65">
        <v>0.36805555555555558</v>
      </c>
      <c r="AP373" s="66">
        <v>2.3611111111111083E-2</v>
      </c>
      <c r="AQ373" s="67">
        <v>41791</v>
      </c>
      <c r="AR373" s="68" t="s">
        <v>22</v>
      </c>
      <c r="AS373" s="69">
        <v>9.9392361111111036E-3</v>
      </c>
      <c r="AT373" s="70">
        <v>1.5017361111111092E-2</v>
      </c>
      <c r="AU373" s="70">
        <v>2.4956597222222196E-2</v>
      </c>
      <c r="AV373" s="71">
        <v>738</v>
      </c>
      <c r="AW373" s="71">
        <v>189</v>
      </c>
      <c r="AX373" s="72" t="s">
        <v>48</v>
      </c>
    </row>
    <row r="374" spans="1:50" x14ac:dyDescent="0.25">
      <c r="A374">
        <v>360</v>
      </c>
      <c r="B374" s="36" t="str">
        <f t="shared" si="108"/>
        <v>MEXICO AEREO</v>
      </c>
      <c r="C374" s="36">
        <f t="shared" si="108"/>
        <v>254</v>
      </c>
      <c r="D374" s="74">
        <v>0.73472222222222217</v>
      </c>
      <c r="E374" s="74">
        <v>0.7402777777777777</v>
      </c>
      <c r="F374" s="75">
        <v>5.5555555555555358E-3</v>
      </c>
      <c r="G374" s="74">
        <v>0.74236111111111114</v>
      </c>
      <c r="H374" s="75">
        <v>2.083333333333437E-3</v>
      </c>
      <c r="I374" s="76">
        <v>41726</v>
      </c>
      <c r="J374" s="36" t="str">
        <f t="shared" si="118"/>
        <v>Nacional</v>
      </c>
      <c r="K374" s="36">
        <f t="shared" si="118"/>
        <v>6.8055555555555421E-3</v>
      </c>
      <c r="L374" s="36">
        <f t="shared" si="118"/>
        <v>4.4444444444444505E-3</v>
      </c>
      <c r="M374" s="36">
        <f t="shared" si="118"/>
        <v>1.1249999999999993E-2</v>
      </c>
      <c r="N374" s="36" t="str">
        <f t="shared" si="118"/>
        <v>ER4</v>
      </c>
      <c r="O374" s="36">
        <f t="shared" si="118"/>
        <v>50</v>
      </c>
      <c r="P374" s="36" t="str">
        <f t="shared" si="118"/>
        <v>MEX</v>
      </c>
      <c r="R374">
        <v>360</v>
      </c>
      <c r="S374" s="36" t="str">
        <f t="shared" si="110"/>
        <v>MEXICO AEREO</v>
      </c>
      <c r="T374" s="36">
        <f t="shared" si="110"/>
        <v>2012</v>
      </c>
      <c r="U374" s="73">
        <v>0.69861111111111107</v>
      </c>
      <c r="V374" s="74">
        <v>0.70763888888888893</v>
      </c>
      <c r="W374" s="75">
        <v>9.0277777777778567E-3</v>
      </c>
      <c r="X374" s="74">
        <v>0.71111111111111114</v>
      </c>
      <c r="Y374" s="75">
        <v>3.4722222222222099E-3</v>
      </c>
      <c r="Z374" s="76">
        <v>41733</v>
      </c>
      <c r="AA374" s="36" t="str">
        <f t="shared" ref="AA374:AG375" si="120">AA373</f>
        <v>Nacional</v>
      </c>
      <c r="AB374" s="36">
        <f t="shared" si="120"/>
        <v>7.8703703703704164E-3</v>
      </c>
      <c r="AC374" s="36">
        <f t="shared" si="120"/>
        <v>3.9351851851852082E-3</v>
      </c>
      <c r="AD374" s="36">
        <f t="shared" si="120"/>
        <v>1.1805555555555625E-2</v>
      </c>
      <c r="AE374" s="36" t="str">
        <f t="shared" si="120"/>
        <v>ER4</v>
      </c>
      <c r="AF374" s="36">
        <f t="shared" si="120"/>
        <v>50</v>
      </c>
      <c r="AG374" s="36" t="str">
        <f t="shared" si="120"/>
        <v>PVR</v>
      </c>
      <c r="AI374">
        <v>360</v>
      </c>
      <c r="AJ374" s="77" t="str">
        <f t="shared" si="112"/>
        <v>MEXICO AEREO</v>
      </c>
      <c r="AK374" s="77">
        <f t="shared" si="112"/>
        <v>789</v>
      </c>
      <c r="AL374" s="78">
        <v>0.34097222222222223</v>
      </c>
      <c r="AM374" s="79">
        <v>0.34930555555555554</v>
      </c>
      <c r="AN374" s="80">
        <v>8.3333333333333037E-3</v>
      </c>
      <c r="AO374" s="79">
        <v>0.36736111111111108</v>
      </c>
      <c r="AP374" s="80">
        <v>1.8055555555555547E-2</v>
      </c>
      <c r="AQ374" s="81">
        <v>41792</v>
      </c>
      <c r="AR374" s="77" t="str">
        <f t="shared" ref="AR374:AX388" si="121">AR373</f>
        <v>Internacional</v>
      </c>
      <c r="AS374" s="77">
        <f t="shared" si="121"/>
        <v>9.9392361111111036E-3</v>
      </c>
      <c r="AT374" s="77">
        <f t="shared" si="121"/>
        <v>1.5017361111111092E-2</v>
      </c>
      <c r="AU374" s="77">
        <f t="shared" si="121"/>
        <v>2.4956597222222196E-2</v>
      </c>
      <c r="AV374" s="77">
        <f t="shared" si="121"/>
        <v>738</v>
      </c>
      <c r="AW374" s="77">
        <f t="shared" si="121"/>
        <v>189</v>
      </c>
      <c r="AX374" s="77" t="str">
        <f t="shared" si="121"/>
        <v>SMF</v>
      </c>
    </row>
    <row r="375" spans="1:50" ht="15.75" thickBot="1" x14ac:dyDescent="0.3">
      <c r="A375">
        <v>361</v>
      </c>
      <c r="B375" s="36" t="str">
        <f t="shared" si="108"/>
        <v>MEXICO AEREO</v>
      </c>
      <c r="C375" s="36">
        <f t="shared" si="108"/>
        <v>254</v>
      </c>
      <c r="D375" s="74">
        <v>0.73472222222222217</v>
      </c>
      <c r="E375" s="74">
        <v>0.74444444444444446</v>
      </c>
      <c r="F375" s="75">
        <v>9.7222222222222987E-3</v>
      </c>
      <c r="G375" s="74">
        <v>0.75</v>
      </c>
      <c r="H375" s="75">
        <v>5.5555555555555358E-3</v>
      </c>
      <c r="I375" s="76">
        <v>41727</v>
      </c>
      <c r="J375" s="36" t="str">
        <f t="shared" si="118"/>
        <v>Nacional</v>
      </c>
      <c r="K375" s="36">
        <f t="shared" si="118"/>
        <v>6.8055555555555421E-3</v>
      </c>
      <c r="L375" s="36">
        <f t="shared" si="118"/>
        <v>4.4444444444444505E-3</v>
      </c>
      <c r="M375" s="36">
        <f t="shared" si="118"/>
        <v>1.1249999999999993E-2</v>
      </c>
      <c r="N375" s="36" t="str">
        <f t="shared" si="118"/>
        <v>ER4</v>
      </c>
      <c r="O375" s="36">
        <f t="shared" si="118"/>
        <v>50</v>
      </c>
      <c r="P375" s="36" t="str">
        <f t="shared" si="118"/>
        <v>MEX</v>
      </c>
      <c r="R375">
        <v>361</v>
      </c>
      <c r="S375" s="36" t="str">
        <f t="shared" si="110"/>
        <v>MEXICO AEREO</v>
      </c>
      <c r="T375" s="36">
        <f t="shared" si="110"/>
        <v>2012</v>
      </c>
      <c r="U375" s="83">
        <v>0.71527777777777779</v>
      </c>
      <c r="V375" s="84">
        <v>0.72222222222222221</v>
      </c>
      <c r="W375" s="85">
        <v>6.9444444444444198E-3</v>
      </c>
      <c r="X375" s="84">
        <v>0.72569444444444453</v>
      </c>
      <c r="Y375" s="85">
        <v>3.4722222222223209E-3</v>
      </c>
      <c r="Z375" s="86">
        <v>41735</v>
      </c>
      <c r="AA375" s="36" t="str">
        <f t="shared" si="120"/>
        <v>Nacional</v>
      </c>
      <c r="AB375" s="36">
        <f t="shared" si="120"/>
        <v>7.8703703703704164E-3</v>
      </c>
      <c r="AC375" s="36">
        <f t="shared" si="120"/>
        <v>3.9351851851852082E-3</v>
      </c>
      <c r="AD375" s="36">
        <f t="shared" si="120"/>
        <v>1.1805555555555625E-2</v>
      </c>
      <c r="AE375" s="36" t="str">
        <f t="shared" si="120"/>
        <v>ER4</v>
      </c>
      <c r="AF375" s="36">
        <f t="shared" si="120"/>
        <v>50</v>
      </c>
      <c r="AG375" s="36" t="str">
        <f t="shared" si="120"/>
        <v>PVR</v>
      </c>
      <c r="AI375">
        <v>361</v>
      </c>
      <c r="AJ375" s="77" t="str">
        <f t="shared" si="112"/>
        <v>MEXICO AEREO</v>
      </c>
      <c r="AK375" s="77">
        <f t="shared" si="112"/>
        <v>789</v>
      </c>
      <c r="AL375" s="78">
        <v>0.33333333333333331</v>
      </c>
      <c r="AM375" s="79">
        <v>0.33958333333333335</v>
      </c>
      <c r="AN375" s="80">
        <v>6.2500000000000333E-3</v>
      </c>
      <c r="AO375" s="79">
        <v>0.34930555555555554</v>
      </c>
      <c r="AP375" s="80">
        <v>9.7222222222221877E-3</v>
      </c>
      <c r="AQ375" s="81">
        <v>41793</v>
      </c>
      <c r="AR375" s="77" t="str">
        <f t="shared" si="121"/>
        <v>Internacional</v>
      </c>
      <c r="AS375" s="77">
        <f t="shared" si="121"/>
        <v>9.9392361111111036E-3</v>
      </c>
      <c r="AT375" s="77">
        <f t="shared" si="121"/>
        <v>1.5017361111111092E-2</v>
      </c>
      <c r="AU375" s="77">
        <f t="shared" si="121"/>
        <v>2.4956597222222196E-2</v>
      </c>
      <c r="AV375" s="77">
        <f t="shared" si="121"/>
        <v>738</v>
      </c>
      <c r="AW375" s="77">
        <f t="shared" si="121"/>
        <v>189</v>
      </c>
      <c r="AX375" s="77" t="str">
        <f t="shared" si="121"/>
        <v>SMF</v>
      </c>
    </row>
    <row r="376" spans="1:50" x14ac:dyDescent="0.25">
      <c r="A376">
        <v>362</v>
      </c>
      <c r="B376" s="36" t="str">
        <f t="shared" si="108"/>
        <v>MEXICO AEREO</v>
      </c>
      <c r="C376" s="36">
        <f t="shared" si="108"/>
        <v>254</v>
      </c>
      <c r="D376" s="74">
        <v>0.73958333333333337</v>
      </c>
      <c r="E376" s="74">
        <v>0.74583333333333324</v>
      </c>
      <c r="F376" s="75">
        <v>6.2499999999998668E-3</v>
      </c>
      <c r="G376" s="74">
        <v>0.74930555555555556</v>
      </c>
      <c r="H376" s="75">
        <v>3.4722222222223209E-3</v>
      </c>
      <c r="I376" s="76">
        <v>41729</v>
      </c>
      <c r="J376" s="36" t="str">
        <f t="shared" si="118"/>
        <v>Nacional</v>
      </c>
      <c r="K376" s="36">
        <f t="shared" si="118"/>
        <v>6.8055555555555421E-3</v>
      </c>
      <c r="L376" s="36">
        <f t="shared" si="118"/>
        <v>4.4444444444444505E-3</v>
      </c>
      <c r="M376" s="36">
        <f t="shared" si="118"/>
        <v>1.1249999999999993E-2</v>
      </c>
      <c r="N376" s="36" t="str">
        <f t="shared" si="118"/>
        <v>ER4</v>
      </c>
      <c r="O376" s="36">
        <f t="shared" si="118"/>
        <v>50</v>
      </c>
      <c r="P376" s="36" t="str">
        <f t="shared" si="118"/>
        <v>MEX</v>
      </c>
      <c r="R376">
        <v>362</v>
      </c>
      <c r="S376" s="36" t="str">
        <f t="shared" si="110"/>
        <v>MEXICO AEREO</v>
      </c>
      <c r="T376" s="55">
        <v>2011</v>
      </c>
      <c r="U376" s="56">
        <v>0.62361111111111112</v>
      </c>
      <c r="V376" s="57">
        <v>0.625</v>
      </c>
      <c r="W376" s="58">
        <v>1.388888888888884E-3</v>
      </c>
      <c r="X376" s="57">
        <v>0.62777777777777777</v>
      </c>
      <c r="Y376" s="58">
        <v>2.7777777777777679E-3</v>
      </c>
      <c r="Z376" s="59">
        <v>41730</v>
      </c>
      <c r="AA376" s="60" t="s">
        <v>19</v>
      </c>
      <c r="AB376" s="61">
        <v>4.8611111111111277E-3</v>
      </c>
      <c r="AC376" s="61">
        <v>9.8412698412698313E-3</v>
      </c>
      <c r="AD376" s="131">
        <v>1.470238095238096E-2</v>
      </c>
      <c r="AE376" s="109" t="s">
        <v>20</v>
      </c>
      <c r="AF376" s="109">
        <v>50</v>
      </c>
      <c r="AG376" s="109" t="s">
        <v>36</v>
      </c>
      <c r="AI376">
        <v>362</v>
      </c>
      <c r="AJ376" s="77" t="str">
        <f t="shared" si="112"/>
        <v>MEXICO AEREO</v>
      </c>
      <c r="AK376" s="77">
        <f t="shared" si="112"/>
        <v>789</v>
      </c>
      <c r="AL376" s="78">
        <v>0.32361111111111113</v>
      </c>
      <c r="AM376" s="79">
        <v>0.34236111111111112</v>
      </c>
      <c r="AN376" s="80">
        <v>1.8749999999999989E-2</v>
      </c>
      <c r="AO376" s="79">
        <v>0.36388888888888887</v>
      </c>
      <c r="AP376" s="80">
        <v>2.1527777777777757E-2</v>
      </c>
      <c r="AQ376" s="81">
        <v>41794</v>
      </c>
      <c r="AR376" s="77" t="str">
        <f t="shared" si="121"/>
        <v>Internacional</v>
      </c>
      <c r="AS376" s="77">
        <f t="shared" si="121"/>
        <v>9.9392361111111036E-3</v>
      </c>
      <c r="AT376" s="77">
        <f t="shared" si="121"/>
        <v>1.5017361111111092E-2</v>
      </c>
      <c r="AU376" s="77">
        <f t="shared" si="121"/>
        <v>2.4956597222222196E-2</v>
      </c>
      <c r="AV376" s="77">
        <f t="shared" si="121"/>
        <v>738</v>
      </c>
      <c r="AW376" s="77">
        <f t="shared" si="121"/>
        <v>189</v>
      </c>
      <c r="AX376" s="77" t="str">
        <f t="shared" si="121"/>
        <v>SMF</v>
      </c>
    </row>
    <row r="377" spans="1:50" ht="15.75" thickBot="1" x14ac:dyDescent="0.3">
      <c r="A377">
        <v>363</v>
      </c>
      <c r="B377" s="36" t="str">
        <f t="shared" si="108"/>
        <v>MEXICO AEREO</v>
      </c>
      <c r="C377" s="36">
        <f t="shared" si="108"/>
        <v>254</v>
      </c>
      <c r="D377" s="84">
        <v>0.73958333333333337</v>
      </c>
      <c r="E377" s="84">
        <v>0.74583333333333324</v>
      </c>
      <c r="F377" s="85">
        <v>6.2499999999998668E-3</v>
      </c>
      <c r="G377" s="84">
        <v>0.74861111111111101</v>
      </c>
      <c r="H377" s="85">
        <v>2.7777777777777679E-3</v>
      </c>
      <c r="I377" s="86">
        <v>41717</v>
      </c>
      <c r="J377" s="36" t="str">
        <f t="shared" si="118"/>
        <v>Nacional</v>
      </c>
      <c r="K377" s="36">
        <f t="shared" si="118"/>
        <v>6.8055555555555421E-3</v>
      </c>
      <c r="L377" s="36">
        <f t="shared" si="118"/>
        <v>4.4444444444444505E-3</v>
      </c>
      <c r="M377" s="36">
        <f t="shared" si="118"/>
        <v>1.1249999999999993E-2</v>
      </c>
      <c r="N377" s="36" t="str">
        <f t="shared" si="118"/>
        <v>ER4</v>
      </c>
      <c r="O377" s="36">
        <f t="shared" si="118"/>
        <v>50</v>
      </c>
      <c r="P377" s="36" t="str">
        <f t="shared" si="118"/>
        <v>MEX</v>
      </c>
      <c r="R377">
        <v>363</v>
      </c>
      <c r="S377" s="36" t="str">
        <f t="shared" si="110"/>
        <v>MEXICO AEREO</v>
      </c>
      <c r="T377" s="36">
        <f t="shared" si="110"/>
        <v>2011</v>
      </c>
      <c r="U377" s="73">
        <v>0.72083333333333333</v>
      </c>
      <c r="V377" s="74">
        <v>0.72569444444444453</v>
      </c>
      <c r="W377" s="75">
        <v>4.8611111111112049E-3</v>
      </c>
      <c r="X377" s="74">
        <v>0.7284722222222223</v>
      </c>
      <c r="Y377" s="75">
        <v>2.7777777777777679E-3</v>
      </c>
      <c r="Z377" s="76">
        <v>41730</v>
      </c>
      <c r="AA377" s="36" t="str">
        <f t="shared" ref="AA377:AG382" si="122">AA376</f>
        <v>Nacional</v>
      </c>
      <c r="AB377" s="36">
        <f t="shared" si="122"/>
        <v>4.8611111111111277E-3</v>
      </c>
      <c r="AC377" s="36">
        <f t="shared" si="122"/>
        <v>9.8412698412698313E-3</v>
      </c>
      <c r="AD377" s="36">
        <f t="shared" si="122"/>
        <v>1.470238095238096E-2</v>
      </c>
      <c r="AE377" s="36" t="str">
        <f t="shared" si="122"/>
        <v>ER4</v>
      </c>
      <c r="AF377" s="36">
        <f t="shared" si="122"/>
        <v>50</v>
      </c>
      <c r="AG377" s="36" t="str">
        <f t="shared" si="122"/>
        <v>CJS</v>
      </c>
      <c r="AI377">
        <v>363</v>
      </c>
      <c r="AJ377" s="77" t="str">
        <f t="shared" si="112"/>
        <v>MEXICO AEREO</v>
      </c>
      <c r="AK377" s="77">
        <f t="shared" si="112"/>
        <v>789</v>
      </c>
      <c r="AL377" s="78">
        <v>0.34375</v>
      </c>
      <c r="AM377" s="79">
        <v>0.35833333333333334</v>
      </c>
      <c r="AN377" s="80">
        <v>1.4583333333333337E-2</v>
      </c>
      <c r="AO377" s="79">
        <v>0.37847222222222227</v>
      </c>
      <c r="AP377" s="80">
        <v>2.0138888888888928E-2</v>
      </c>
      <c r="AQ377" s="81">
        <v>41795</v>
      </c>
      <c r="AR377" s="77" t="str">
        <f t="shared" si="121"/>
        <v>Internacional</v>
      </c>
      <c r="AS377" s="77">
        <f t="shared" si="121"/>
        <v>9.9392361111111036E-3</v>
      </c>
      <c r="AT377" s="77">
        <f t="shared" si="121"/>
        <v>1.5017361111111092E-2</v>
      </c>
      <c r="AU377" s="77">
        <f t="shared" si="121"/>
        <v>2.4956597222222196E-2</v>
      </c>
      <c r="AV377" s="77">
        <f t="shared" si="121"/>
        <v>738</v>
      </c>
      <c r="AW377" s="77">
        <f t="shared" si="121"/>
        <v>189</v>
      </c>
      <c r="AX377" s="77" t="str">
        <f t="shared" si="121"/>
        <v>SMF</v>
      </c>
    </row>
    <row r="378" spans="1:50" x14ac:dyDescent="0.25">
      <c r="A378">
        <v>364</v>
      </c>
      <c r="B378" s="36" t="str">
        <f t="shared" si="108"/>
        <v>MEXICO AEREO</v>
      </c>
      <c r="C378" s="88">
        <v>252</v>
      </c>
      <c r="D378" s="57">
        <v>0.72152777777777777</v>
      </c>
      <c r="E378" s="57">
        <v>0.72499999999999998</v>
      </c>
      <c r="F378" s="58">
        <v>3.4722222222222099E-3</v>
      </c>
      <c r="G378" s="57">
        <v>0.72916666666666663</v>
      </c>
      <c r="H378" s="58">
        <v>4.1666666666666519E-3</v>
      </c>
      <c r="I378" s="59">
        <v>41714</v>
      </c>
      <c r="J378" s="108" t="s">
        <v>19</v>
      </c>
      <c r="K378" s="61">
        <v>5.1587301587301248E-3</v>
      </c>
      <c r="L378" s="61">
        <v>6.8452380952381342E-3</v>
      </c>
      <c r="M378" s="89">
        <v>1.200396825396826E-2</v>
      </c>
      <c r="N378" s="90" t="s">
        <v>45</v>
      </c>
      <c r="O378" s="91">
        <v>126</v>
      </c>
      <c r="P378" s="92" t="s">
        <v>21</v>
      </c>
      <c r="R378">
        <v>364</v>
      </c>
      <c r="S378" s="36" t="str">
        <f t="shared" si="110"/>
        <v>MEXICO AEREO</v>
      </c>
      <c r="T378" s="36">
        <f t="shared" si="110"/>
        <v>2011</v>
      </c>
      <c r="U378" s="73">
        <v>0.59513888888888888</v>
      </c>
      <c r="V378" s="74">
        <v>0.60416666666666663</v>
      </c>
      <c r="W378" s="75">
        <v>9.0277777777777457E-3</v>
      </c>
      <c r="X378" s="74">
        <v>0.6069444444444444</v>
      </c>
      <c r="Y378" s="75">
        <v>2.7777777777777679E-3</v>
      </c>
      <c r="Z378" s="76">
        <v>41731</v>
      </c>
      <c r="AA378" s="36" t="str">
        <f t="shared" si="122"/>
        <v>Nacional</v>
      </c>
      <c r="AB378" s="36">
        <f t="shared" si="122"/>
        <v>4.8611111111111277E-3</v>
      </c>
      <c r="AC378" s="36">
        <f t="shared" si="122"/>
        <v>9.8412698412698313E-3</v>
      </c>
      <c r="AD378" s="36">
        <f t="shared" si="122"/>
        <v>1.470238095238096E-2</v>
      </c>
      <c r="AE378" s="36" t="str">
        <f t="shared" si="122"/>
        <v>ER4</v>
      </c>
      <c r="AF378" s="36">
        <f t="shared" si="122"/>
        <v>50</v>
      </c>
      <c r="AG378" s="36" t="str">
        <f t="shared" si="122"/>
        <v>CJS</v>
      </c>
      <c r="AI378">
        <v>364</v>
      </c>
      <c r="AJ378" s="77" t="str">
        <f t="shared" si="112"/>
        <v>MEXICO AEREO</v>
      </c>
      <c r="AK378" s="77">
        <f t="shared" si="112"/>
        <v>789</v>
      </c>
      <c r="AL378" s="78">
        <v>0.3659722222222222</v>
      </c>
      <c r="AM378" s="79">
        <v>0.37708333333333338</v>
      </c>
      <c r="AN378" s="80">
        <v>1.1111111111111183E-2</v>
      </c>
      <c r="AO378" s="79">
        <v>0.39652777777777781</v>
      </c>
      <c r="AP378" s="80">
        <v>1.9444444444444431E-2</v>
      </c>
      <c r="AQ378" s="81">
        <v>41798</v>
      </c>
      <c r="AR378" s="77" t="str">
        <f t="shared" si="121"/>
        <v>Internacional</v>
      </c>
      <c r="AS378" s="77">
        <f t="shared" si="121"/>
        <v>9.9392361111111036E-3</v>
      </c>
      <c r="AT378" s="77">
        <f t="shared" si="121"/>
        <v>1.5017361111111092E-2</v>
      </c>
      <c r="AU378" s="77">
        <f t="shared" si="121"/>
        <v>2.4956597222222196E-2</v>
      </c>
      <c r="AV378" s="77">
        <f t="shared" si="121"/>
        <v>738</v>
      </c>
      <c r="AW378" s="77">
        <f t="shared" si="121"/>
        <v>189</v>
      </c>
      <c r="AX378" s="77" t="str">
        <f t="shared" si="121"/>
        <v>SMF</v>
      </c>
    </row>
    <row r="379" spans="1:50" x14ac:dyDescent="0.25">
      <c r="A379">
        <v>365</v>
      </c>
      <c r="B379" s="36" t="str">
        <f t="shared" si="108"/>
        <v>MEXICO AEREO</v>
      </c>
      <c r="C379" s="36">
        <f t="shared" si="108"/>
        <v>252</v>
      </c>
      <c r="D379" s="74">
        <v>0.74305555555555547</v>
      </c>
      <c r="E379" s="74">
        <v>0.74930555555555556</v>
      </c>
      <c r="F379" s="75">
        <v>6.2500000000000888E-3</v>
      </c>
      <c r="G379" s="74">
        <v>0.75694444444444453</v>
      </c>
      <c r="H379" s="75">
        <v>7.6388888888889728E-3</v>
      </c>
      <c r="I379" s="76">
        <v>41715</v>
      </c>
      <c r="J379" s="36" t="str">
        <f t="shared" ref="J379:P384" si="123">J378</f>
        <v>Nacional</v>
      </c>
      <c r="K379" s="36">
        <f t="shared" si="123"/>
        <v>5.1587301587301248E-3</v>
      </c>
      <c r="L379" s="36">
        <f t="shared" si="123"/>
        <v>6.8452380952381342E-3</v>
      </c>
      <c r="M379" s="36">
        <f t="shared" si="123"/>
        <v>1.200396825396826E-2</v>
      </c>
      <c r="N379" s="36" t="str">
        <f t="shared" si="123"/>
        <v>B737-700</v>
      </c>
      <c r="O379" s="36">
        <f t="shared" si="123"/>
        <v>126</v>
      </c>
      <c r="P379" s="36" t="str">
        <f t="shared" si="123"/>
        <v>MEX</v>
      </c>
      <c r="R379">
        <v>365</v>
      </c>
      <c r="S379" s="36" t="str">
        <f t="shared" si="110"/>
        <v>MEXICO AEREO</v>
      </c>
      <c r="T379" s="36">
        <f t="shared" si="110"/>
        <v>2011</v>
      </c>
      <c r="U379" s="73">
        <v>7.6388888888888895E-2</v>
      </c>
      <c r="V379" s="74">
        <v>8.5416666666666655E-2</v>
      </c>
      <c r="W379" s="75">
        <v>9.0277777777777596E-3</v>
      </c>
      <c r="X379" s="74">
        <v>9.5138888888888884E-2</v>
      </c>
      <c r="Y379" s="75">
        <v>9.7222222222222293E-3</v>
      </c>
      <c r="Z379" s="76">
        <v>41732</v>
      </c>
      <c r="AA379" s="36" t="str">
        <f t="shared" si="122"/>
        <v>Nacional</v>
      </c>
      <c r="AB379" s="36">
        <f t="shared" si="122"/>
        <v>4.8611111111111277E-3</v>
      </c>
      <c r="AC379" s="36">
        <f t="shared" si="122"/>
        <v>9.8412698412698313E-3</v>
      </c>
      <c r="AD379" s="36">
        <f t="shared" si="122"/>
        <v>1.470238095238096E-2</v>
      </c>
      <c r="AE379" s="36" t="str">
        <f t="shared" si="122"/>
        <v>ER4</v>
      </c>
      <c r="AF379" s="36">
        <f t="shared" si="122"/>
        <v>50</v>
      </c>
      <c r="AG379" s="36" t="str">
        <f t="shared" si="122"/>
        <v>CJS</v>
      </c>
      <c r="AI379">
        <v>365</v>
      </c>
      <c r="AJ379" s="77" t="str">
        <f t="shared" si="112"/>
        <v>MEXICO AEREO</v>
      </c>
      <c r="AK379" s="77">
        <f t="shared" si="112"/>
        <v>789</v>
      </c>
      <c r="AL379" s="78">
        <v>0.39027777777777778</v>
      </c>
      <c r="AM379" s="79">
        <v>0.39652777777777781</v>
      </c>
      <c r="AN379" s="80">
        <v>6.2500000000000333E-3</v>
      </c>
      <c r="AO379" s="79">
        <v>0.40277777777777773</v>
      </c>
      <c r="AP379" s="80">
        <v>6.2499999999999223E-3</v>
      </c>
      <c r="AQ379" s="81">
        <v>41801</v>
      </c>
      <c r="AR379" s="77" t="str">
        <f t="shared" si="121"/>
        <v>Internacional</v>
      </c>
      <c r="AS379" s="77">
        <f t="shared" si="121"/>
        <v>9.9392361111111036E-3</v>
      </c>
      <c r="AT379" s="77">
        <f t="shared" si="121"/>
        <v>1.5017361111111092E-2</v>
      </c>
      <c r="AU379" s="77">
        <f t="shared" si="121"/>
        <v>2.4956597222222196E-2</v>
      </c>
      <c r="AV379" s="77">
        <f t="shared" si="121"/>
        <v>738</v>
      </c>
      <c r="AW379" s="77">
        <f t="shared" si="121"/>
        <v>189</v>
      </c>
      <c r="AX379" s="77" t="str">
        <f t="shared" si="121"/>
        <v>SMF</v>
      </c>
    </row>
    <row r="380" spans="1:50" x14ac:dyDescent="0.25">
      <c r="A380">
        <v>366</v>
      </c>
      <c r="B380" s="36" t="str">
        <f t="shared" si="108"/>
        <v>MEXICO AEREO</v>
      </c>
      <c r="C380" s="36">
        <f t="shared" si="108"/>
        <v>252</v>
      </c>
      <c r="D380" s="74">
        <v>0.72013888888888899</v>
      </c>
      <c r="E380" s="74">
        <v>0.72222222222222221</v>
      </c>
      <c r="F380" s="75">
        <v>2.0833333333332149E-3</v>
      </c>
      <c r="G380" s="74">
        <v>0.73125000000000007</v>
      </c>
      <c r="H380" s="75">
        <v>9.0277777777778567E-3</v>
      </c>
      <c r="I380" s="76">
        <v>41716</v>
      </c>
      <c r="J380" s="36" t="str">
        <f t="shared" si="123"/>
        <v>Nacional</v>
      </c>
      <c r="K380" s="36">
        <f t="shared" si="123"/>
        <v>5.1587301587301248E-3</v>
      </c>
      <c r="L380" s="36">
        <f t="shared" si="123"/>
        <v>6.8452380952381342E-3</v>
      </c>
      <c r="M380" s="36">
        <f t="shared" si="123"/>
        <v>1.200396825396826E-2</v>
      </c>
      <c r="N380" s="36" t="str">
        <f t="shared" si="123"/>
        <v>B737-700</v>
      </c>
      <c r="O380" s="36">
        <f t="shared" si="123"/>
        <v>126</v>
      </c>
      <c r="P380" s="36" t="str">
        <f t="shared" si="123"/>
        <v>MEX</v>
      </c>
      <c r="R380">
        <v>366</v>
      </c>
      <c r="S380" s="36" t="str">
        <f t="shared" si="110"/>
        <v>MEXICO AEREO</v>
      </c>
      <c r="T380" s="36">
        <f t="shared" si="110"/>
        <v>2011</v>
      </c>
      <c r="U380" s="73">
        <v>0.58958333333333335</v>
      </c>
      <c r="V380" s="74">
        <v>0.59305555555555556</v>
      </c>
      <c r="W380" s="75">
        <v>3.4722222222222099E-3</v>
      </c>
      <c r="X380" s="74">
        <v>0.63833333333333331</v>
      </c>
      <c r="Y380" s="75">
        <v>4.527777777777775E-2</v>
      </c>
      <c r="Z380" s="76">
        <v>41733</v>
      </c>
      <c r="AA380" s="36" t="str">
        <f t="shared" si="122"/>
        <v>Nacional</v>
      </c>
      <c r="AB380" s="36">
        <f t="shared" si="122"/>
        <v>4.8611111111111277E-3</v>
      </c>
      <c r="AC380" s="36">
        <f t="shared" si="122"/>
        <v>9.8412698412698313E-3</v>
      </c>
      <c r="AD380" s="36">
        <f t="shared" si="122"/>
        <v>1.470238095238096E-2</v>
      </c>
      <c r="AE380" s="36" t="str">
        <f t="shared" si="122"/>
        <v>ER4</v>
      </c>
      <c r="AF380" s="36">
        <f t="shared" si="122"/>
        <v>50</v>
      </c>
      <c r="AG380" s="36" t="str">
        <f t="shared" si="122"/>
        <v>CJS</v>
      </c>
      <c r="AI380">
        <v>366</v>
      </c>
      <c r="AJ380" s="77" t="str">
        <f t="shared" si="112"/>
        <v>MEXICO AEREO</v>
      </c>
      <c r="AK380" s="77">
        <f t="shared" si="112"/>
        <v>789</v>
      </c>
      <c r="AL380" s="78">
        <v>0.83819444444444446</v>
      </c>
      <c r="AM380" s="79">
        <v>0.8569444444444444</v>
      </c>
      <c r="AN380" s="80">
        <v>1.8749999999999933E-2</v>
      </c>
      <c r="AO380" s="79">
        <v>0.86319444444444438</v>
      </c>
      <c r="AP380" s="80">
        <v>6.2499999999999778E-3</v>
      </c>
      <c r="AQ380" s="81">
        <v>41802</v>
      </c>
      <c r="AR380" s="77" t="str">
        <f t="shared" si="121"/>
        <v>Internacional</v>
      </c>
      <c r="AS380" s="77">
        <f t="shared" si="121"/>
        <v>9.9392361111111036E-3</v>
      </c>
      <c r="AT380" s="77">
        <f t="shared" si="121"/>
        <v>1.5017361111111092E-2</v>
      </c>
      <c r="AU380" s="77">
        <f t="shared" si="121"/>
        <v>2.4956597222222196E-2</v>
      </c>
      <c r="AV380" s="77">
        <f t="shared" si="121"/>
        <v>738</v>
      </c>
      <c r="AW380" s="77">
        <f t="shared" si="121"/>
        <v>189</v>
      </c>
      <c r="AX380" s="77" t="str">
        <f t="shared" si="121"/>
        <v>SMF</v>
      </c>
    </row>
    <row r="381" spans="1:50" x14ac:dyDescent="0.25">
      <c r="A381">
        <v>367</v>
      </c>
      <c r="B381" s="36" t="str">
        <f t="shared" si="108"/>
        <v>MEXICO AEREO</v>
      </c>
      <c r="C381" s="36">
        <f t="shared" si="108"/>
        <v>252</v>
      </c>
      <c r="D381" s="74">
        <v>0.71805555555555556</v>
      </c>
      <c r="E381" s="74">
        <v>0.72152777777777777</v>
      </c>
      <c r="F381" s="75">
        <v>3.4722222222222099E-3</v>
      </c>
      <c r="G381" s="74">
        <v>0.72638888888888886</v>
      </c>
      <c r="H381" s="75">
        <v>4.8611111111110938E-3</v>
      </c>
      <c r="I381" s="76">
        <v>41722</v>
      </c>
      <c r="J381" s="36" t="str">
        <f t="shared" si="123"/>
        <v>Nacional</v>
      </c>
      <c r="K381" s="36">
        <f t="shared" si="123"/>
        <v>5.1587301587301248E-3</v>
      </c>
      <c r="L381" s="36">
        <f t="shared" si="123"/>
        <v>6.8452380952381342E-3</v>
      </c>
      <c r="M381" s="36">
        <f t="shared" si="123"/>
        <v>1.200396825396826E-2</v>
      </c>
      <c r="N381" s="36" t="str">
        <f t="shared" si="123"/>
        <v>B737-700</v>
      </c>
      <c r="O381" s="36">
        <f t="shared" si="123"/>
        <v>126</v>
      </c>
      <c r="P381" s="36" t="str">
        <f t="shared" si="123"/>
        <v>MEX</v>
      </c>
      <c r="R381">
        <v>367</v>
      </c>
      <c r="S381" s="36" t="str">
        <f t="shared" si="110"/>
        <v>MEXICO AEREO</v>
      </c>
      <c r="T381" s="36">
        <f t="shared" si="110"/>
        <v>2011</v>
      </c>
      <c r="U381" s="73">
        <v>0.62361111111111112</v>
      </c>
      <c r="V381" s="74">
        <v>0.625</v>
      </c>
      <c r="W381" s="75">
        <v>1.388888888888884E-3</v>
      </c>
      <c r="X381" s="74">
        <v>0.62777777777777777</v>
      </c>
      <c r="Y381" s="75">
        <v>2.7777777777777679E-3</v>
      </c>
      <c r="Z381" s="76">
        <v>41742</v>
      </c>
      <c r="AA381" s="36" t="str">
        <f t="shared" si="122"/>
        <v>Nacional</v>
      </c>
      <c r="AB381" s="36">
        <f t="shared" si="122"/>
        <v>4.8611111111111277E-3</v>
      </c>
      <c r="AC381" s="36">
        <f t="shared" si="122"/>
        <v>9.8412698412698313E-3</v>
      </c>
      <c r="AD381" s="36">
        <f t="shared" si="122"/>
        <v>1.470238095238096E-2</v>
      </c>
      <c r="AE381" s="36" t="str">
        <f t="shared" si="122"/>
        <v>ER4</v>
      </c>
      <c r="AF381" s="36">
        <f t="shared" si="122"/>
        <v>50</v>
      </c>
      <c r="AG381" s="36" t="str">
        <f t="shared" si="122"/>
        <v>CJS</v>
      </c>
      <c r="AI381">
        <v>367</v>
      </c>
      <c r="AJ381" s="77" t="str">
        <f t="shared" si="112"/>
        <v>MEXICO AEREO</v>
      </c>
      <c r="AK381" s="77">
        <f t="shared" si="112"/>
        <v>789</v>
      </c>
      <c r="AL381" s="78">
        <v>0.85069444444444453</v>
      </c>
      <c r="AM381" s="79">
        <v>0.85972222222222217</v>
      </c>
      <c r="AN381" s="80">
        <v>9.0277777777776347E-3</v>
      </c>
      <c r="AO381" s="79">
        <v>0.87986111111111109</v>
      </c>
      <c r="AP381" s="80">
        <v>2.0138888888888928E-2</v>
      </c>
      <c r="AQ381" s="81">
        <v>41803</v>
      </c>
      <c r="AR381" s="77" t="str">
        <f t="shared" si="121"/>
        <v>Internacional</v>
      </c>
      <c r="AS381" s="77">
        <f t="shared" si="121"/>
        <v>9.9392361111111036E-3</v>
      </c>
      <c r="AT381" s="77">
        <f t="shared" si="121"/>
        <v>1.5017361111111092E-2</v>
      </c>
      <c r="AU381" s="77">
        <f t="shared" si="121"/>
        <v>2.4956597222222196E-2</v>
      </c>
      <c r="AV381" s="77">
        <f t="shared" si="121"/>
        <v>738</v>
      </c>
      <c r="AW381" s="77">
        <f t="shared" si="121"/>
        <v>189</v>
      </c>
      <c r="AX381" s="77" t="str">
        <f t="shared" si="121"/>
        <v>SMF</v>
      </c>
    </row>
    <row r="382" spans="1:50" ht="15.75" thickBot="1" x14ac:dyDescent="0.3">
      <c r="A382">
        <v>368</v>
      </c>
      <c r="B382" s="36" t="str">
        <f t="shared" si="108"/>
        <v>MEXICO AEREO</v>
      </c>
      <c r="C382" s="36">
        <f t="shared" si="108"/>
        <v>252</v>
      </c>
      <c r="D382" s="74">
        <v>0.74583333333333324</v>
      </c>
      <c r="E382" s="74">
        <v>0.75624999999999998</v>
      </c>
      <c r="F382" s="75">
        <v>1.0416666666666741E-2</v>
      </c>
      <c r="G382" s="74">
        <v>0.76250000000000007</v>
      </c>
      <c r="H382" s="75">
        <v>6.2500000000000888E-3</v>
      </c>
      <c r="I382" s="76">
        <v>41725</v>
      </c>
      <c r="J382" s="36" t="str">
        <f t="shared" si="123"/>
        <v>Nacional</v>
      </c>
      <c r="K382" s="36">
        <f t="shared" si="123"/>
        <v>5.1587301587301248E-3</v>
      </c>
      <c r="L382" s="36">
        <f t="shared" si="123"/>
        <v>6.8452380952381342E-3</v>
      </c>
      <c r="M382" s="36">
        <f t="shared" si="123"/>
        <v>1.200396825396826E-2</v>
      </c>
      <c r="N382" s="36" t="str">
        <f t="shared" si="123"/>
        <v>B737-700</v>
      </c>
      <c r="O382" s="36">
        <f t="shared" si="123"/>
        <v>126</v>
      </c>
      <c r="P382" s="36" t="str">
        <f t="shared" si="123"/>
        <v>MEX</v>
      </c>
      <c r="R382">
        <v>368</v>
      </c>
      <c r="S382" s="36" t="str">
        <f t="shared" si="110"/>
        <v>MEXICO AEREO</v>
      </c>
      <c r="T382" s="36">
        <f t="shared" si="110"/>
        <v>2011</v>
      </c>
      <c r="U382" s="83">
        <v>0.72083333333333333</v>
      </c>
      <c r="V382" s="84">
        <v>0.72569444444444453</v>
      </c>
      <c r="W382" s="85">
        <v>4.8611111111112049E-3</v>
      </c>
      <c r="X382" s="84">
        <v>0.7284722222222223</v>
      </c>
      <c r="Y382" s="85">
        <v>2.7777777777777679E-3</v>
      </c>
      <c r="Z382" s="86">
        <v>41742</v>
      </c>
      <c r="AA382" s="36" t="str">
        <f t="shared" si="122"/>
        <v>Nacional</v>
      </c>
      <c r="AB382" s="36">
        <f t="shared" si="122"/>
        <v>4.8611111111111277E-3</v>
      </c>
      <c r="AC382" s="36">
        <f t="shared" si="122"/>
        <v>9.8412698412698313E-3</v>
      </c>
      <c r="AD382" s="36">
        <f t="shared" si="122"/>
        <v>1.470238095238096E-2</v>
      </c>
      <c r="AE382" s="36" t="str">
        <f t="shared" si="122"/>
        <v>ER4</v>
      </c>
      <c r="AF382" s="36">
        <f t="shared" si="122"/>
        <v>50</v>
      </c>
      <c r="AG382" s="36" t="str">
        <f t="shared" si="122"/>
        <v>CJS</v>
      </c>
      <c r="AI382">
        <v>368</v>
      </c>
      <c r="AJ382" s="77" t="str">
        <f t="shared" si="112"/>
        <v>MEXICO AEREO</v>
      </c>
      <c r="AK382" s="77">
        <f t="shared" si="112"/>
        <v>789</v>
      </c>
      <c r="AL382" s="78">
        <v>0.45555555555555555</v>
      </c>
      <c r="AM382" s="79">
        <v>0.45763888888888887</v>
      </c>
      <c r="AN382" s="80">
        <v>2.0833333333333259E-3</v>
      </c>
      <c r="AO382" s="79">
        <v>0.4597222222222222</v>
      </c>
      <c r="AP382" s="80">
        <v>2.0833333333333259E-3</v>
      </c>
      <c r="AQ382" s="81">
        <v>41805</v>
      </c>
      <c r="AR382" s="77" t="str">
        <f t="shared" si="121"/>
        <v>Internacional</v>
      </c>
      <c r="AS382" s="77">
        <f t="shared" si="121"/>
        <v>9.9392361111111036E-3</v>
      </c>
      <c r="AT382" s="77">
        <f t="shared" si="121"/>
        <v>1.5017361111111092E-2</v>
      </c>
      <c r="AU382" s="77">
        <f t="shared" si="121"/>
        <v>2.4956597222222196E-2</v>
      </c>
      <c r="AV382" s="77">
        <f t="shared" si="121"/>
        <v>738</v>
      </c>
      <c r="AW382" s="77">
        <f t="shared" si="121"/>
        <v>189</v>
      </c>
      <c r="AX382" s="77" t="str">
        <f t="shared" si="121"/>
        <v>SMF</v>
      </c>
    </row>
    <row r="383" spans="1:50" x14ac:dyDescent="0.25">
      <c r="A383">
        <v>369</v>
      </c>
      <c r="B383" s="36" t="str">
        <f t="shared" si="108"/>
        <v>MEXICO AEREO</v>
      </c>
      <c r="C383" s="36">
        <f t="shared" si="108"/>
        <v>252</v>
      </c>
      <c r="D383" s="74">
        <v>0.72013888888888899</v>
      </c>
      <c r="E383" s="74">
        <v>0.7270833333333333</v>
      </c>
      <c r="F383" s="75">
        <v>6.9444444444443088E-3</v>
      </c>
      <c r="G383" s="74">
        <v>0.73958333333333337</v>
      </c>
      <c r="H383" s="75">
        <v>1.2500000000000067E-2</v>
      </c>
      <c r="I383" s="76">
        <v>41726</v>
      </c>
      <c r="J383" s="36" t="str">
        <f t="shared" si="123"/>
        <v>Nacional</v>
      </c>
      <c r="K383" s="36">
        <f t="shared" si="123"/>
        <v>5.1587301587301248E-3</v>
      </c>
      <c r="L383" s="36">
        <f t="shared" si="123"/>
        <v>6.8452380952381342E-3</v>
      </c>
      <c r="M383" s="36">
        <f t="shared" si="123"/>
        <v>1.200396825396826E-2</v>
      </c>
      <c r="N383" s="36" t="str">
        <f t="shared" si="123"/>
        <v>B737-700</v>
      </c>
      <c r="O383" s="36">
        <f t="shared" si="123"/>
        <v>126</v>
      </c>
      <c r="P383" s="36" t="str">
        <f t="shared" si="123"/>
        <v>MEX</v>
      </c>
      <c r="R383">
        <v>369</v>
      </c>
      <c r="S383" s="36" t="str">
        <f t="shared" si="110"/>
        <v>MEXICO AEREO</v>
      </c>
      <c r="T383" s="55">
        <v>2005</v>
      </c>
      <c r="U383" s="56">
        <v>0.34027777777777773</v>
      </c>
      <c r="V383" s="57">
        <v>0.34722222222222227</v>
      </c>
      <c r="W383" s="58">
        <v>6.9444444444445308E-3</v>
      </c>
      <c r="X383" s="57">
        <v>0.35069444444444442</v>
      </c>
      <c r="Y383" s="58">
        <v>3.4722222222221544E-3</v>
      </c>
      <c r="Z383" s="59">
        <v>41738</v>
      </c>
      <c r="AA383" s="60" t="s">
        <v>19</v>
      </c>
      <c r="AB383" s="61">
        <v>6.1237373737373776E-3</v>
      </c>
      <c r="AC383" s="61">
        <v>4.6717171717171801E-3</v>
      </c>
      <c r="AD383" s="61">
        <v>1.0795454545454558E-2</v>
      </c>
      <c r="AE383" s="109" t="s">
        <v>20</v>
      </c>
      <c r="AF383" s="109">
        <v>50</v>
      </c>
      <c r="AG383" s="109" t="s">
        <v>28</v>
      </c>
      <c r="AI383">
        <v>369</v>
      </c>
      <c r="AJ383" s="77" t="str">
        <f t="shared" si="112"/>
        <v>MEXICO AEREO</v>
      </c>
      <c r="AK383" s="77">
        <f t="shared" si="112"/>
        <v>789</v>
      </c>
      <c r="AL383" s="78">
        <v>0.28472222222222221</v>
      </c>
      <c r="AM383" s="79">
        <v>0.29166666666666669</v>
      </c>
      <c r="AN383" s="80">
        <v>6.9444444444444753E-3</v>
      </c>
      <c r="AO383" s="79">
        <v>0.29652777777777778</v>
      </c>
      <c r="AP383" s="80">
        <v>4.8611111111110938E-3</v>
      </c>
      <c r="AQ383" s="81">
        <v>41806</v>
      </c>
      <c r="AR383" s="77" t="str">
        <f t="shared" si="121"/>
        <v>Internacional</v>
      </c>
      <c r="AS383" s="77">
        <f t="shared" si="121"/>
        <v>9.9392361111111036E-3</v>
      </c>
      <c r="AT383" s="77">
        <f t="shared" si="121"/>
        <v>1.5017361111111092E-2</v>
      </c>
      <c r="AU383" s="77">
        <f t="shared" si="121"/>
        <v>2.4956597222222196E-2</v>
      </c>
      <c r="AV383" s="77">
        <f t="shared" si="121"/>
        <v>738</v>
      </c>
      <c r="AW383" s="77">
        <f t="shared" si="121"/>
        <v>189</v>
      </c>
      <c r="AX383" s="77" t="str">
        <f t="shared" si="121"/>
        <v>SMF</v>
      </c>
    </row>
    <row r="384" spans="1:50" ht="15.75" thickBot="1" x14ac:dyDescent="0.3">
      <c r="A384">
        <v>370</v>
      </c>
      <c r="B384" s="36" t="str">
        <f t="shared" si="108"/>
        <v>MEXICO AEREO</v>
      </c>
      <c r="C384" s="36">
        <f t="shared" si="108"/>
        <v>252</v>
      </c>
      <c r="D384" s="84">
        <v>0.72569444444444453</v>
      </c>
      <c r="E384" s="84">
        <v>0.72916666666666663</v>
      </c>
      <c r="F384" s="85">
        <v>3.4722222222220989E-3</v>
      </c>
      <c r="G384" s="84">
        <v>0.73263888888888884</v>
      </c>
      <c r="H384" s="85">
        <v>3.4722222222222099E-3</v>
      </c>
      <c r="I384" s="86">
        <v>41729</v>
      </c>
      <c r="J384" s="36" t="str">
        <f t="shared" si="123"/>
        <v>Nacional</v>
      </c>
      <c r="K384" s="36">
        <f t="shared" si="123"/>
        <v>5.1587301587301248E-3</v>
      </c>
      <c r="L384" s="36">
        <f t="shared" si="123"/>
        <v>6.8452380952381342E-3</v>
      </c>
      <c r="M384" s="36">
        <f t="shared" si="123"/>
        <v>1.200396825396826E-2</v>
      </c>
      <c r="N384" s="36" t="str">
        <f t="shared" si="123"/>
        <v>B737-700</v>
      </c>
      <c r="O384" s="36">
        <f t="shared" si="123"/>
        <v>126</v>
      </c>
      <c r="P384" s="36" t="str">
        <f t="shared" si="123"/>
        <v>MEX</v>
      </c>
      <c r="R384">
        <v>370</v>
      </c>
      <c r="S384" s="36" t="str">
        <f t="shared" si="110"/>
        <v>MEXICO AEREO</v>
      </c>
      <c r="T384" s="36">
        <f t="shared" si="110"/>
        <v>2005</v>
      </c>
      <c r="U384" s="73">
        <v>0.38611111111111113</v>
      </c>
      <c r="V384" s="74">
        <v>0.38819444444444445</v>
      </c>
      <c r="W384" s="75">
        <v>2.0833333333333259E-3</v>
      </c>
      <c r="X384" s="74">
        <v>0.39374999999999999</v>
      </c>
      <c r="Y384" s="75">
        <v>5.5555555555555358E-3</v>
      </c>
      <c r="Z384" s="76">
        <v>41739</v>
      </c>
      <c r="AA384" s="36" t="str">
        <f t="shared" ref="AA384:AG393" si="124">AA383</f>
        <v>Nacional</v>
      </c>
      <c r="AB384" s="36">
        <f t="shared" si="124"/>
        <v>6.1237373737373776E-3</v>
      </c>
      <c r="AC384" s="36">
        <f t="shared" si="124"/>
        <v>4.6717171717171801E-3</v>
      </c>
      <c r="AD384" s="36">
        <f t="shared" si="124"/>
        <v>1.0795454545454558E-2</v>
      </c>
      <c r="AE384" s="36" t="str">
        <f t="shared" si="124"/>
        <v>ER4</v>
      </c>
      <c r="AF384" s="36">
        <f t="shared" si="124"/>
        <v>50</v>
      </c>
      <c r="AG384" s="36" t="str">
        <f t="shared" si="124"/>
        <v>MTY</v>
      </c>
      <c r="AI384">
        <v>370</v>
      </c>
      <c r="AJ384" s="77" t="str">
        <f t="shared" si="112"/>
        <v>MEXICO AEREO</v>
      </c>
      <c r="AK384" s="77">
        <f t="shared" si="112"/>
        <v>789</v>
      </c>
      <c r="AL384" s="78">
        <v>0.8305555555555556</v>
      </c>
      <c r="AM384" s="79">
        <v>0.84027777777777779</v>
      </c>
      <c r="AN384" s="80">
        <v>9.7222222222221877E-3</v>
      </c>
      <c r="AO384" s="79">
        <v>0.85277777777777775</v>
      </c>
      <c r="AP384" s="80">
        <v>1.2499999999999956E-2</v>
      </c>
      <c r="AQ384" s="81">
        <v>41807</v>
      </c>
      <c r="AR384" s="77" t="str">
        <f t="shared" si="121"/>
        <v>Internacional</v>
      </c>
      <c r="AS384" s="77">
        <f t="shared" si="121"/>
        <v>9.9392361111111036E-3</v>
      </c>
      <c r="AT384" s="77">
        <f t="shared" si="121"/>
        <v>1.5017361111111092E-2</v>
      </c>
      <c r="AU384" s="77">
        <f t="shared" si="121"/>
        <v>2.4956597222222196E-2</v>
      </c>
      <c r="AV384" s="77">
        <f t="shared" si="121"/>
        <v>738</v>
      </c>
      <c r="AW384" s="77">
        <f t="shared" si="121"/>
        <v>189</v>
      </c>
      <c r="AX384" s="77" t="str">
        <f t="shared" si="121"/>
        <v>SMF</v>
      </c>
    </row>
    <row r="385" spans="1:50" x14ac:dyDescent="0.25">
      <c r="A385">
        <v>371</v>
      </c>
      <c r="B385" s="36" t="str">
        <f t="shared" si="108"/>
        <v>MEXICO AEREO</v>
      </c>
      <c r="C385" s="88">
        <v>228</v>
      </c>
      <c r="D385" s="57">
        <v>0.68611111111111101</v>
      </c>
      <c r="E385" s="57">
        <v>0.69444444444444453</v>
      </c>
      <c r="F385" s="58">
        <v>8.3333333333335258E-3</v>
      </c>
      <c r="G385" s="57">
        <v>0.70416666666666661</v>
      </c>
      <c r="H385" s="58">
        <v>9.7222222222220767E-3</v>
      </c>
      <c r="I385" s="59">
        <v>41715</v>
      </c>
      <c r="J385" s="108" t="s">
        <v>19</v>
      </c>
      <c r="K385" s="61">
        <v>6.3131313131313312E-3</v>
      </c>
      <c r="L385" s="61">
        <v>6.5025252525252293E-3</v>
      </c>
      <c r="M385" s="89">
        <v>1.2815656565656561E-2</v>
      </c>
      <c r="N385" s="90" t="s">
        <v>45</v>
      </c>
      <c r="O385" s="91">
        <v>126</v>
      </c>
      <c r="P385" s="92" t="s">
        <v>21</v>
      </c>
      <c r="R385">
        <v>371</v>
      </c>
      <c r="S385" s="36" t="str">
        <f t="shared" si="110"/>
        <v>MEXICO AEREO</v>
      </c>
      <c r="T385" s="36">
        <f t="shared" si="110"/>
        <v>2005</v>
      </c>
      <c r="U385" s="73">
        <v>0.33263888888888887</v>
      </c>
      <c r="V385" s="74">
        <v>0.33819444444444446</v>
      </c>
      <c r="W385" s="75">
        <v>5.5555555555555913E-3</v>
      </c>
      <c r="X385" s="74">
        <v>0.34236111111111112</v>
      </c>
      <c r="Y385" s="75">
        <v>4.1666666666666519E-3</v>
      </c>
      <c r="Z385" s="76">
        <v>41741</v>
      </c>
      <c r="AA385" s="36" t="str">
        <f t="shared" si="124"/>
        <v>Nacional</v>
      </c>
      <c r="AB385" s="36">
        <f t="shared" si="124"/>
        <v>6.1237373737373776E-3</v>
      </c>
      <c r="AC385" s="36">
        <f t="shared" si="124"/>
        <v>4.6717171717171801E-3</v>
      </c>
      <c r="AD385" s="36">
        <f t="shared" si="124"/>
        <v>1.0795454545454558E-2</v>
      </c>
      <c r="AE385" s="36" t="str">
        <f t="shared" si="124"/>
        <v>ER4</v>
      </c>
      <c r="AF385" s="36">
        <f t="shared" si="124"/>
        <v>50</v>
      </c>
      <c r="AG385" s="36" t="str">
        <f t="shared" si="124"/>
        <v>MTY</v>
      </c>
      <c r="AI385">
        <v>371</v>
      </c>
      <c r="AJ385" s="77" t="str">
        <f t="shared" si="112"/>
        <v>MEXICO AEREO</v>
      </c>
      <c r="AK385" s="77">
        <f t="shared" si="112"/>
        <v>789</v>
      </c>
      <c r="AL385" s="78">
        <v>0.94930555555555562</v>
      </c>
      <c r="AM385" s="79">
        <v>0.95833333333333337</v>
      </c>
      <c r="AN385" s="80">
        <v>9.0277777777777457E-3</v>
      </c>
      <c r="AO385" s="79">
        <v>0.96875</v>
      </c>
      <c r="AP385" s="80">
        <v>1.041666666666663E-2</v>
      </c>
      <c r="AQ385" s="81">
        <v>41807</v>
      </c>
      <c r="AR385" s="77" t="str">
        <f t="shared" si="121"/>
        <v>Internacional</v>
      </c>
      <c r="AS385" s="77">
        <f t="shared" si="121"/>
        <v>9.9392361111111036E-3</v>
      </c>
      <c r="AT385" s="77">
        <f t="shared" si="121"/>
        <v>1.5017361111111092E-2</v>
      </c>
      <c r="AU385" s="77">
        <f t="shared" si="121"/>
        <v>2.4956597222222196E-2</v>
      </c>
      <c r="AV385" s="77">
        <f t="shared" si="121"/>
        <v>738</v>
      </c>
      <c r="AW385" s="77">
        <f t="shared" si="121"/>
        <v>189</v>
      </c>
      <c r="AX385" s="77" t="str">
        <f t="shared" si="121"/>
        <v>SMF</v>
      </c>
    </row>
    <row r="386" spans="1:50" x14ac:dyDescent="0.25">
      <c r="A386">
        <v>372</v>
      </c>
      <c r="B386" s="36" t="str">
        <f t="shared" si="108"/>
        <v>MEXICO AEREO</v>
      </c>
      <c r="C386" s="36">
        <f t="shared" si="108"/>
        <v>228</v>
      </c>
      <c r="D386" s="74">
        <v>0.67083333333333339</v>
      </c>
      <c r="E386" s="74">
        <v>0.67708333333333337</v>
      </c>
      <c r="F386" s="75">
        <v>6.2499999999999778E-3</v>
      </c>
      <c r="G386" s="74">
        <v>0.68125000000000002</v>
      </c>
      <c r="H386" s="75">
        <v>4.1666666666666519E-3</v>
      </c>
      <c r="I386" s="76">
        <v>41717</v>
      </c>
      <c r="J386" s="36" t="str">
        <f t="shared" ref="J386:P396" si="125">J385</f>
        <v>Nacional</v>
      </c>
      <c r="K386" s="36">
        <f t="shared" si="125"/>
        <v>6.3131313131313312E-3</v>
      </c>
      <c r="L386" s="36">
        <f t="shared" si="125"/>
        <v>6.5025252525252293E-3</v>
      </c>
      <c r="M386" s="36">
        <f t="shared" si="125"/>
        <v>1.2815656565656561E-2</v>
      </c>
      <c r="N386" s="36" t="str">
        <f t="shared" si="125"/>
        <v>B737-700</v>
      </c>
      <c r="O386" s="36">
        <f t="shared" si="125"/>
        <v>126</v>
      </c>
      <c r="P386" s="36" t="str">
        <f t="shared" si="125"/>
        <v>MEX</v>
      </c>
      <c r="R386">
        <v>372</v>
      </c>
      <c r="S386" s="36" t="str">
        <f t="shared" si="110"/>
        <v>MEXICO AEREO</v>
      </c>
      <c r="T386" s="36">
        <f t="shared" si="110"/>
        <v>2005</v>
      </c>
      <c r="U386" s="73">
        <v>0.34027777777777773</v>
      </c>
      <c r="V386" s="74">
        <v>0.3444444444444445</v>
      </c>
      <c r="W386" s="75">
        <v>4.1666666666667629E-3</v>
      </c>
      <c r="X386" s="74">
        <v>0.35138888888888892</v>
      </c>
      <c r="Y386" s="75">
        <v>6.9444444444444198E-3</v>
      </c>
      <c r="Z386" s="76">
        <v>41743</v>
      </c>
      <c r="AA386" s="36" t="str">
        <f t="shared" si="124"/>
        <v>Nacional</v>
      </c>
      <c r="AB386" s="36">
        <f t="shared" si="124"/>
        <v>6.1237373737373776E-3</v>
      </c>
      <c r="AC386" s="36">
        <f t="shared" si="124"/>
        <v>4.6717171717171801E-3</v>
      </c>
      <c r="AD386" s="36">
        <f t="shared" si="124"/>
        <v>1.0795454545454558E-2</v>
      </c>
      <c r="AE386" s="36" t="str">
        <f t="shared" si="124"/>
        <v>ER4</v>
      </c>
      <c r="AF386" s="36">
        <f t="shared" si="124"/>
        <v>50</v>
      </c>
      <c r="AG386" s="36" t="str">
        <f t="shared" si="124"/>
        <v>MTY</v>
      </c>
      <c r="AI386">
        <v>372</v>
      </c>
      <c r="AJ386" s="77" t="str">
        <f t="shared" si="112"/>
        <v>MEXICO AEREO</v>
      </c>
      <c r="AK386" s="77">
        <f t="shared" si="112"/>
        <v>789</v>
      </c>
      <c r="AL386" s="78">
        <v>0.33611111111111108</v>
      </c>
      <c r="AM386" s="79">
        <v>0.3444444444444445</v>
      </c>
      <c r="AN386" s="80">
        <v>8.3333333333334147E-3</v>
      </c>
      <c r="AO386" s="79">
        <v>0.37152777777777773</v>
      </c>
      <c r="AP386" s="80">
        <v>2.7083333333333237E-2</v>
      </c>
      <c r="AQ386" s="81">
        <v>41809</v>
      </c>
      <c r="AR386" s="77" t="str">
        <f t="shared" si="121"/>
        <v>Internacional</v>
      </c>
      <c r="AS386" s="77">
        <f t="shared" si="121"/>
        <v>9.9392361111111036E-3</v>
      </c>
      <c r="AT386" s="77">
        <f t="shared" si="121"/>
        <v>1.5017361111111092E-2</v>
      </c>
      <c r="AU386" s="77">
        <f t="shared" si="121"/>
        <v>2.4956597222222196E-2</v>
      </c>
      <c r="AV386" s="77">
        <f t="shared" si="121"/>
        <v>738</v>
      </c>
      <c r="AW386" s="77">
        <f t="shared" si="121"/>
        <v>189</v>
      </c>
      <c r="AX386" s="77" t="str">
        <f t="shared" si="121"/>
        <v>SMF</v>
      </c>
    </row>
    <row r="387" spans="1:50" x14ac:dyDescent="0.25">
      <c r="A387">
        <v>373</v>
      </c>
      <c r="B387" s="36" t="str">
        <f t="shared" si="108"/>
        <v>MEXICO AEREO</v>
      </c>
      <c r="C387" s="36">
        <f t="shared" si="108"/>
        <v>228</v>
      </c>
      <c r="D387" s="74">
        <v>0.67847222222222225</v>
      </c>
      <c r="E387" s="74">
        <v>0.68194444444444446</v>
      </c>
      <c r="F387" s="75">
        <v>3.4722222222222099E-3</v>
      </c>
      <c r="G387" s="74">
        <v>0.6875</v>
      </c>
      <c r="H387" s="75">
        <v>5.5555555555555358E-3</v>
      </c>
      <c r="I387" s="76">
        <v>41718</v>
      </c>
      <c r="J387" s="36" t="str">
        <f t="shared" si="125"/>
        <v>Nacional</v>
      </c>
      <c r="K387" s="36">
        <f t="shared" si="125"/>
        <v>6.3131313131313312E-3</v>
      </c>
      <c r="L387" s="36">
        <f t="shared" si="125"/>
        <v>6.5025252525252293E-3</v>
      </c>
      <c r="M387" s="36">
        <f t="shared" si="125"/>
        <v>1.2815656565656561E-2</v>
      </c>
      <c r="N387" s="36" t="str">
        <f t="shared" si="125"/>
        <v>B737-700</v>
      </c>
      <c r="O387" s="36">
        <f t="shared" si="125"/>
        <v>126</v>
      </c>
      <c r="P387" s="36" t="str">
        <f t="shared" si="125"/>
        <v>MEX</v>
      </c>
      <c r="R387">
        <v>373</v>
      </c>
      <c r="S387" s="36" t="str">
        <f t="shared" si="110"/>
        <v>MEXICO AEREO</v>
      </c>
      <c r="T387" s="36">
        <f t="shared" si="110"/>
        <v>2005</v>
      </c>
      <c r="U387" s="73">
        <v>0.33749999999999997</v>
      </c>
      <c r="V387" s="74">
        <v>0.3430555555555555</v>
      </c>
      <c r="W387" s="75">
        <v>5.5555555555555358E-3</v>
      </c>
      <c r="X387" s="74">
        <v>0.34722222222222227</v>
      </c>
      <c r="Y387" s="75">
        <v>4.1666666666667629E-3</v>
      </c>
      <c r="Z387" s="76">
        <v>41744</v>
      </c>
      <c r="AA387" s="36" t="str">
        <f t="shared" si="124"/>
        <v>Nacional</v>
      </c>
      <c r="AB387" s="36">
        <f t="shared" si="124"/>
        <v>6.1237373737373776E-3</v>
      </c>
      <c r="AC387" s="36">
        <f t="shared" si="124"/>
        <v>4.6717171717171801E-3</v>
      </c>
      <c r="AD387" s="36">
        <f t="shared" si="124"/>
        <v>1.0795454545454558E-2</v>
      </c>
      <c r="AE387" s="36" t="str">
        <f t="shared" si="124"/>
        <v>ER4</v>
      </c>
      <c r="AF387" s="36">
        <f t="shared" si="124"/>
        <v>50</v>
      </c>
      <c r="AG387" s="36" t="str">
        <f t="shared" si="124"/>
        <v>MTY</v>
      </c>
      <c r="AI387">
        <v>373</v>
      </c>
      <c r="AJ387" s="77" t="str">
        <f t="shared" si="112"/>
        <v>MEXICO AEREO</v>
      </c>
      <c r="AK387" s="77">
        <f t="shared" si="112"/>
        <v>789</v>
      </c>
      <c r="AL387" s="78">
        <v>0.33402777777777781</v>
      </c>
      <c r="AM387" s="79">
        <v>0.34027777777777773</v>
      </c>
      <c r="AN387" s="80">
        <v>6.2499999999999223E-3</v>
      </c>
      <c r="AO387" s="79">
        <v>0.3611111111111111</v>
      </c>
      <c r="AP387" s="80">
        <v>2.083333333333337E-2</v>
      </c>
      <c r="AQ387" s="81">
        <v>41813</v>
      </c>
      <c r="AR387" s="77" t="str">
        <f t="shared" si="121"/>
        <v>Internacional</v>
      </c>
      <c r="AS387" s="77">
        <f t="shared" si="121"/>
        <v>9.9392361111111036E-3</v>
      </c>
      <c r="AT387" s="77">
        <f t="shared" si="121"/>
        <v>1.5017361111111092E-2</v>
      </c>
      <c r="AU387" s="77">
        <f t="shared" si="121"/>
        <v>2.4956597222222196E-2</v>
      </c>
      <c r="AV387" s="77">
        <f t="shared" si="121"/>
        <v>738</v>
      </c>
      <c r="AW387" s="77">
        <f t="shared" si="121"/>
        <v>189</v>
      </c>
      <c r="AX387" s="77" t="str">
        <f t="shared" si="121"/>
        <v>SMF</v>
      </c>
    </row>
    <row r="388" spans="1:50" ht="15.75" thickBot="1" x14ac:dyDescent="0.3">
      <c r="A388">
        <v>374</v>
      </c>
      <c r="B388" s="36" t="str">
        <f t="shared" si="108"/>
        <v>MEXICO AEREO</v>
      </c>
      <c r="C388" s="36">
        <f t="shared" si="108"/>
        <v>228</v>
      </c>
      <c r="D388" s="74">
        <v>0.68611111111111101</v>
      </c>
      <c r="E388" s="74">
        <v>0.69513888888888886</v>
      </c>
      <c r="F388" s="75">
        <v>9.0277777777778567E-3</v>
      </c>
      <c r="G388" s="74">
        <v>0.70000000000000007</v>
      </c>
      <c r="H388" s="75">
        <v>4.8611111111112049E-3</v>
      </c>
      <c r="I388" s="76">
        <v>41720</v>
      </c>
      <c r="J388" s="36" t="str">
        <f t="shared" si="125"/>
        <v>Nacional</v>
      </c>
      <c r="K388" s="36">
        <f t="shared" si="125"/>
        <v>6.3131313131313312E-3</v>
      </c>
      <c r="L388" s="36">
        <f t="shared" si="125"/>
        <v>6.5025252525252293E-3</v>
      </c>
      <c r="M388" s="36">
        <f t="shared" si="125"/>
        <v>1.2815656565656561E-2</v>
      </c>
      <c r="N388" s="36" t="str">
        <f t="shared" si="125"/>
        <v>B737-700</v>
      </c>
      <c r="O388" s="36">
        <f t="shared" si="125"/>
        <v>126</v>
      </c>
      <c r="P388" s="36" t="str">
        <f t="shared" si="125"/>
        <v>MEX</v>
      </c>
      <c r="R388">
        <v>374</v>
      </c>
      <c r="S388" s="36" t="str">
        <f t="shared" si="110"/>
        <v>MEXICO AEREO</v>
      </c>
      <c r="T388" s="36">
        <f t="shared" si="110"/>
        <v>2005</v>
      </c>
      <c r="U388" s="73">
        <v>0.3354166666666667</v>
      </c>
      <c r="V388" s="74">
        <v>0.34375</v>
      </c>
      <c r="W388" s="75">
        <v>8.3333333333333037E-3</v>
      </c>
      <c r="X388" s="74">
        <v>0.34722222222222227</v>
      </c>
      <c r="Y388" s="75">
        <v>3.4722222222222654E-3</v>
      </c>
      <c r="Z388" s="76">
        <v>41750</v>
      </c>
      <c r="AA388" s="36" t="str">
        <f t="shared" si="124"/>
        <v>Nacional</v>
      </c>
      <c r="AB388" s="36">
        <f t="shared" si="124"/>
        <v>6.1237373737373776E-3</v>
      </c>
      <c r="AC388" s="36">
        <f t="shared" si="124"/>
        <v>4.6717171717171801E-3</v>
      </c>
      <c r="AD388" s="36">
        <f t="shared" si="124"/>
        <v>1.0795454545454558E-2</v>
      </c>
      <c r="AE388" s="36" t="str">
        <f t="shared" si="124"/>
        <v>ER4</v>
      </c>
      <c r="AF388" s="36">
        <f t="shared" si="124"/>
        <v>50</v>
      </c>
      <c r="AG388" s="36" t="str">
        <f t="shared" si="124"/>
        <v>MTY</v>
      </c>
      <c r="AI388">
        <v>374</v>
      </c>
      <c r="AJ388" s="77" t="str">
        <f t="shared" si="112"/>
        <v>MEXICO AEREO</v>
      </c>
      <c r="AK388" s="77">
        <f t="shared" si="112"/>
        <v>789</v>
      </c>
      <c r="AL388" s="94">
        <v>0.33194444444444443</v>
      </c>
      <c r="AM388" s="95">
        <v>0.34513888888888888</v>
      </c>
      <c r="AN388" s="96">
        <v>1.3194444444444453E-2</v>
      </c>
      <c r="AO388" s="95">
        <v>0.36249999999999999</v>
      </c>
      <c r="AP388" s="96">
        <v>1.7361111111111105E-2</v>
      </c>
      <c r="AQ388" s="97">
        <v>41812</v>
      </c>
      <c r="AR388" s="77" t="str">
        <f t="shared" si="121"/>
        <v>Internacional</v>
      </c>
      <c r="AS388" s="77">
        <f t="shared" si="121"/>
        <v>9.9392361111111036E-3</v>
      </c>
      <c r="AT388" s="77">
        <f t="shared" si="121"/>
        <v>1.5017361111111092E-2</v>
      </c>
      <c r="AU388" s="77">
        <f t="shared" si="121"/>
        <v>2.4956597222222196E-2</v>
      </c>
      <c r="AV388" s="77">
        <f t="shared" si="121"/>
        <v>738</v>
      </c>
      <c r="AW388" s="77">
        <f t="shared" si="121"/>
        <v>189</v>
      </c>
      <c r="AX388" s="77" t="str">
        <f t="shared" si="121"/>
        <v>SMF</v>
      </c>
    </row>
    <row r="389" spans="1:50" x14ac:dyDescent="0.25">
      <c r="A389">
        <v>375</v>
      </c>
      <c r="B389" s="36" t="str">
        <f t="shared" si="108"/>
        <v>MEXICO AEREO</v>
      </c>
      <c r="C389" s="36">
        <f t="shared" si="108"/>
        <v>228</v>
      </c>
      <c r="D389" s="74">
        <v>0.69444444444444453</v>
      </c>
      <c r="E389" s="74">
        <v>0.69652777777777775</v>
      </c>
      <c r="F389" s="75">
        <v>2.0833333333332149E-3</v>
      </c>
      <c r="G389" s="74">
        <v>0.7006944444444444</v>
      </c>
      <c r="H389" s="75">
        <v>4.1666666666666519E-3</v>
      </c>
      <c r="I389" s="76">
        <v>41722</v>
      </c>
      <c r="J389" s="36" t="str">
        <f t="shared" si="125"/>
        <v>Nacional</v>
      </c>
      <c r="K389" s="36">
        <f t="shared" si="125"/>
        <v>6.3131313131313312E-3</v>
      </c>
      <c r="L389" s="36">
        <f t="shared" si="125"/>
        <v>6.5025252525252293E-3</v>
      </c>
      <c r="M389" s="36">
        <f t="shared" si="125"/>
        <v>1.2815656565656561E-2</v>
      </c>
      <c r="N389" s="36" t="str">
        <f t="shared" si="125"/>
        <v>B737-700</v>
      </c>
      <c r="O389" s="36">
        <f t="shared" si="125"/>
        <v>126</v>
      </c>
      <c r="P389" s="36" t="str">
        <f t="shared" si="125"/>
        <v>MEX</v>
      </c>
      <c r="R389">
        <v>375</v>
      </c>
      <c r="S389" s="36" t="str">
        <f t="shared" si="110"/>
        <v>MEXICO AEREO</v>
      </c>
      <c r="T389" s="36">
        <f t="shared" si="110"/>
        <v>2005</v>
      </c>
      <c r="U389" s="73">
        <v>0.3354166666666667</v>
      </c>
      <c r="V389" s="74">
        <v>0.34375</v>
      </c>
      <c r="W389" s="75">
        <v>8.3333333333333037E-3</v>
      </c>
      <c r="X389" s="74">
        <v>0.34722222222222227</v>
      </c>
      <c r="Y389" s="75">
        <v>3.4722222222222654E-3</v>
      </c>
      <c r="Z389" s="76">
        <v>41750</v>
      </c>
      <c r="AA389" s="36" t="str">
        <f t="shared" si="124"/>
        <v>Nacional</v>
      </c>
      <c r="AB389" s="36">
        <f t="shared" si="124"/>
        <v>6.1237373737373776E-3</v>
      </c>
      <c r="AC389" s="36">
        <f t="shared" si="124"/>
        <v>4.6717171717171801E-3</v>
      </c>
      <c r="AD389" s="36">
        <f t="shared" si="124"/>
        <v>1.0795454545454558E-2</v>
      </c>
      <c r="AE389" s="36" t="str">
        <f t="shared" si="124"/>
        <v>ER4</v>
      </c>
      <c r="AF389" s="36">
        <f t="shared" si="124"/>
        <v>50</v>
      </c>
      <c r="AG389" s="36" t="str">
        <f t="shared" si="124"/>
        <v>MTY</v>
      </c>
      <c r="AI389">
        <v>375</v>
      </c>
      <c r="AJ389" s="77" t="str">
        <f t="shared" si="112"/>
        <v>MEXICO AEREO</v>
      </c>
      <c r="AK389" s="63">
        <v>787</v>
      </c>
      <c r="AL389" s="64">
        <v>0.3354166666666667</v>
      </c>
      <c r="AM389" s="65">
        <v>0.34513888888888888</v>
      </c>
      <c r="AN389" s="66">
        <v>9.7222222222221877E-3</v>
      </c>
      <c r="AO389" s="65">
        <v>0.37291666666666662</v>
      </c>
      <c r="AP389" s="66">
        <v>2.7777777777777735E-2</v>
      </c>
      <c r="AQ389" s="67">
        <v>41793</v>
      </c>
      <c r="AR389" s="68" t="s">
        <v>22</v>
      </c>
      <c r="AS389" s="69">
        <v>8.9409722222221835E-3</v>
      </c>
      <c r="AT389" s="70">
        <v>1.7100694444444446E-2</v>
      </c>
      <c r="AU389" s="70">
        <v>2.604166666666663E-2</v>
      </c>
      <c r="AV389" s="71">
        <v>738</v>
      </c>
      <c r="AW389" s="71">
        <v>189</v>
      </c>
      <c r="AX389" s="72" t="s">
        <v>49</v>
      </c>
    </row>
    <row r="390" spans="1:50" x14ac:dyDescent="0.25">
      <c r="A390">
        <v>376</v>
      </c>
      <c r="B390" s="36" t="str">
        <f t="shared" si="108"/>
        <v>MEXICO AEREO</v>
      </c>
      <c r="C390" s="36">
        <f t="shared" si="108"/>
        <v>228</v>
      </c>
      <c r="D390" s="74">
        <v>0.67361111111111116</v>
      </c>
      <c r="E390" s="74">
        <v>0.67986111111111114</v>
      </c>
      <c r="F390" s="75">
        <v>6.2499999999999778E-3</v>
      </c>
      <c r="G390" s="74">
        <v>0.68541666666666667</v>
      </c>
      <c r="H390" s="75">
        <v>5.5555555555555358E-3</v>
      </c>
      <c r="I390" s="76">
        <v>41725</v>
      </c>
      <c r="J390" s="36" t="str">
        <f t="shared" si="125"/>
        <v>Nacional</v>
      </c>
      <c r="K390" s="36">
        <f t="shared" si="125"/>
        <v>6.3131313131313312E-3</v>
      </c>
      <c r="L390" s="36">
        <f t="shared" si="125"/>
        <v>6.5025252525252293E-3</v>
      </c>
      <c r="M390" s="36">
        <f t="shared" si="125"/>
        <v>1.2815656565656561E-2</v>
      </c>
      <c r="N390" s="36" t="str">
        <f t="shared" si="125"/>
        <v>B737-700</v>
      </c>
      <c r="O390" s="36">
        <f t="shared" si="125"/>
        <v>126</v>
      </c>
      <c r="P390" s="36" t="str">
        <f t="shared" si="125"/>
        <v>MEX</v>
      </c>
      <c r="R390">
        <v>376</v>
      </c>
      <c r="S390" s="36" t="str">
        <f t="shared" si="110"/>
        <v>MEXICO AEREO</v>
      </c>
      <c r="T390" s="36">
        <f t="shared" si="110"/>
        <v>2005</v>
      </c>
      <c r="U390" s="73">
        <v>0.32569444444444445</v>
      </c>
      <c r="V390" s="74">
        <v>0.33263888888888887</v>
      </c>
      <c r="W390" s="75">
        <v>6.9444444444444198E-3</v>
      </c>
      <c r="X390" s="74">
        <v>0.34236111111111112</v>
      </c>
      <c r="Y390" s="75">
        <v>9.7222222222222432E-3</v>
      </c>
      <c r="Z390" s="76">
        <v>41751</v>
      </c>
      <c r="AA390" s="36" t="str">
        <f t="shared" si="124"/>
        <v>Nacional</v>
      </c>
      <c r="AB390" s="36">
        <f t="shared" si="124"/>
        <v>6.1237373737373776E-3</v>
      </c>
      <c r="AC390" s="36">
        <f t="shared" si="124"/>
        <v>4.6717171717171801E-3</v>
      </c>
      <c r="AD390" s="36">
        <f t="shared" si="124"/>
        <v>1.0795454545454558E-2</v>
      </c>
      <c r="AE390" s="36" t="str">
        <f t="shared" si="124"/>
        <v>ER4</v>
      </c>
      <c r="AF390" s="36">
        <f t="shared" si="124"/>
        <v>50</v>
      </c>
      <c r="AG390" s="36" t="str">
        <f t="shared" si="124"/>
        <v>MTY</v>
      </c>
      <c r="AI390">
        <v>376</v>
      </c>
      <c r="AJ390" s="77" t="str">
        <f t="shared" si="112"/>
        <v>MEXICO AEREO</v>
      </c>
      <c r="AK390" s="77">
        <f t="shared" si="112"/>
        <v>787</v>
      </c>
      <c r="AL390" s="78">
        <v>0.3298611111111111</v>
      </c>
      <c r="AM390" s="79">
        <v>0.34027777777777773</v>
      </c>
      <c r="AN390" s="80">
        <v>1.041666666666663E-2</v>
      </c>
      <c r="AO390" s="79">
        <v>0.35347222222222219</v>
      </c>
      <c r="AP390" s="80">
        <v>1.3194444444444453E-2</v>
      </c>
      <c r="AQ390" s="81">
        <v>41795</v>
      </c>
      <c r="AR390" s="77" t="str">
        <f t="shared" ref="AR390:AX396" si="126">AR389</f>
        <v>Internacional</v>
      </c>
      <c r="AS390" s="77">
        <f t="shared" si="126"/>
        <v>8.9409722222221835E-3</v>
      </c>
      <c r="AT390" s="77">
        <f t="shared" si="126"/>
        <v>1.7100694444444446E-2</v>
      </c>
      <c r="AU390" s="77">
        <f t="shared" si="126"/>
        <v>2.604166666666663E-2</v>
      </c>
      <c r="AV390" s="77">
        <f t="shared" si="126"/>
        <v>738</v>
      </c>
      <c r="AW390" s="77">
        <f t="shared" si="126"/>
        <v>189</v>
      </c>
      <c r="AX390" s="77" t="str">
        <f t="shared" si="126"/>
        <v>FAT</v>
      </c>
    </row>
    <row r="391" spans="1:50" x14ac:dyDescent="0.25">
      <c r="A391">
        <v>377</v>
      </c>
      <c r="B391" s="36" t="str">
        <f t="shared" si="108"/>
        <v>MEXICO AEREO</v>
      </c>
      <c r="C391" s="36">
        <f t="shared" si="108"/>
        <v>228</v>
      </c>
      <c r="D391" s="74">
        <v>0.70763888888888893</v>
      </c>
      <c r="E391" s="74">
        <v>0.71597222222222223</v>
      </c>
      <c r="F391" s="75">
        <v>8.3333333333333037E-3</v>
      </c>
      <c r="G391" s="74">
        <v>0.72152777777777777</v>
      </c>
      <c r="H391" s="75">
        <v>5.5555555555555358E-3</v>
      </c>
      <c r="I391" s="76">
        <v>41725</v>
      </c>
      <c r="J391" s="36" t="str">
        <f t="shared" si="125"/>
        <v>Nacional</v>
      </c>
      <c r="K391" s="36">
        <f t="shared" si="125"/>
        <v>6.3131313131313312E-3</v>
      </c>
      <c r="L391" s="36">
        <f t="shared" si="125"/>
        <v>6.5025252525252293E-3</v>
      </c>
      <c r="M391" s="36">
        <f t="shared" si="125"/>
        <v>1.2815656565656561E-2</v>
      </c>
      <c r="N391" s="36" t="str">
        <f t="shared" si="125"/>
        <v>B737-700</v>
      </c>
      <c r="O391" s="36">
        <f t="shared" si="125"/>
        <v>126</v>
      </c>
      <c r="P391" s="36" t="str">
        <f t="shared" si="125"/>
        <v>MEX</v>
      </c>
      <c r="R391">
        <v>377</v>
      </c>
      <c r="S391" s="36" t="str">
        <f t="shared" si="110"/>
        <v>MEXICO AEREO</v>
      </c>
      <c r="T391" s="36">
        <f t="shared" si="110"/>
        <v>2005</v>
      </c>
      <c r="U391" s="73">
        <v>0.3354166666666667</v>
      </c>
      <c r="V391" s="74">
        <v>0.33888888888888885</v>
      </c>
      <c r="W391" s="75">
        <v>3.4722222222221544E-3</v>
      </c>
      <c r="X391" s="74">
        <v>0.34166666666666662</v>
      </c>
      <c r="Y391" s="75">
        <v>2.7777777777777679E-3</v>
      </c>
      <c r="Z391" s="76">
        <v>41754</v>
      </c>
      <c r="AA391" s="36" t="str">
        <f t="shared" si="124"/>
        <v>Nacional</v>
      </c>
      <c r="AB391" s="36">
        <f t="shared" si="124"/>
        <v>6.1237373737373776E-3</v>
      </c>
      <c r="AC391" s="36">
        <f t="shared" si="124"/>
        <v>4.6717171717171801E-3</v>
      </c>
      <c r="AD391" s="36">
        <f t="shared" si="124"/>
        <v>1.0795454545454558E-2</v>
      </c>
      <c r="AE391" s="36" t="str">
        <f t="shared" si="124"/>
        <v>ER4</v>
      </c>
      <c r="AF391" s="36">
        <f t="shared" si="124"/>
        <v>50</v>
      </c>
      <c r="AG391" s="36" t="str">
        <f t="shared" si="124"/>
        <v>MTY</v>
      </c>
      <c r="AI391">
        <v>377</v>
      </c>
      <c r="AJ391" s="77" t="str">
        <f t="shared" si="112"/>
        <v>MEXICO AEREO</v>
      </c>
      <c r="AK391" s="77">
        <f t="shared" si="112"/>
        <v>787</v>
      </c>
      <c r="AL391" s="78">
        <v>0.34236111111111112</v>
      </c>
      <c r="AM391" s="79">
        <v>0.35069444444444442</v>
      </c>
      <c r="AN391" s="80">
        <v>8.3333333333333037E-3</v>
      </c>
      <c r="AO391" s="79">
        <v>0.37916666666666665</v>
      </c>
      <c r="AP391" s="80">
        <v>2.8472222222222232E-2</v>
      </c>
      <c r="AQ391" s="81">
        <v>41797</v>
      </c>
      <c r="AR391" s="77" t="str">
        <f t="shared" si="126"/>
        <v>Internacional</v>
      </c>
      <c r="AS391" s="77">
        <f t="shared" si="126"/>
        <v>8.9409722222221835E-3</v>
      </c>
      <c r="AT391" s="77">
        <f t="shared" si="126"/>
        <v>1.7100694444444446E-2</v>
      </c>
      <c r="AU391" s="77">
        <f t="shared" si="126"/>
        <v>2.604166666666663E-2</v>
      </c>
      <c r="AV391" s="77">
        <f t="shared" si="126"/>
        <v>738</v>
      </c>
      <c r="AW391" s="77">
        <f t="shared" si="126"/>
        <v>189</v>
      </c>
      <c r="AX391" s="77" t="str">
        <f t="shared" si="126"/>
        <v>FAT</v>
      </c>
    </row>
    <row r="392" spans="1:50" x14ac:dyDescent="0.25">
      <c r="A392">
        <v>378</v>
      </c>
      <c r="B392" s="36" t="str">
        <f t="shared" si="108"/>
        <v>MEXICO AEREO</v>
      </c>
      <c r="C392" s="36">
        <f t="shared" si="108"/>
        <v>228</v>
      </c>
      <c r="D392" s="74">
        <v>0.68611111111111101</v>
      </c>
      <c r="E392" s="74">
        <v>0.69374999999999998</v>
      </c>
      <c r="F392" s="75">
        <v>7.6388888888889728E-3</v>
      </c>
      <c r="G392" s="74">
        <v>0.7006944444444444</v>
      </c>
      <c r="H392" s="75">
        <v>6.9444444444444198E-3</v>
      </c>
      <c r="I392" s="76">
        <v>41726</v>
      </c>
      <c r="J392" s="36" t="str">
        <f t="shared" si="125"/>
        <v>Nacional</v>
      </c>
      <c r="K392" s="36">
        <f t="shared" si="125"/>
        <v>6.3131313131313312E-3</v>
      </c>
      <c r="L392" s="36">
        <f t="shared" si="125"/>
        <v>6.5025252525252293E-3</v>
      </c>
      <c r="M392" s="36">
        <f t="shared" si="125"/>
        <v>1.2815656565656561E-2</v>
      </c>
      <c r="N392" s="36" t="str">
        <f t="shared" si="125"/>
        <v>B737-700</v>
      </c>
      <c r="O392" s="36">
        <f t="shared" si="125"/>
        <v>126</v>
      </c>
      <c r="P392" s="36" t="str">
        <f t="shared" si="125"/>
        <v>MEX</v>
      </c>
      <c r="R392">
        <v>378</v>
      </c>
      <c r="S392" s="36" t="str">
        <f t="shared" si="110"/>
        <v>MEXICO AEREO</v>
      </c>
      <c r="T392" s="36">
        <f t="shared" si="110"/>
        <v>2005</v>
      </c>
      <c r="U392" s="73">
        <v>0.33611111111111108</v>
      </c>
      <c r="V392" s="74">
        <v>0.34375</v>
      </c>
      <c r="W392" s="75">
        <v>7.6388888888889173E-3</v>
      </c>
      <c r="X392" s="74">
        <v>0.34722222222222227</v>
      </c>
      <c r="Y392" s="75">
        <v>3.4722222222222654E-3</v>
      </c>
      <c r="Z392" s="76">
        <v>41757</v>
      </c>
      <c r="AA392" s="36" t="str">
        <f t="shared" si="124"/>
        <v>Nacional</v>
      </c>
      <c r="AB392" s="36">
        <f t="shared" si="124"/>
        <v>6.1237373737373776E-3</v>
      </c>
      <c r="AC392" s="36">
        <f t="shared" si="124"/>
        <v>4.6717171717171801E-3</v>
      </c>
      <c r="AD392" s="36">
        <f t="shared" si="124"/>
        <v>1.0795454545454558E-2</v>
      </c>
      <c r="AE392" s="36" t="str">
        <f t="shared" si="124"/>
        <v>ER4</v>
      </c>
      <c r="AF392" s="36">
        <f t="shared" si="124"/>
        <v>50</v>
      </c>
      <c r="AG392" s="36" t="str">
        <f t="shared" si="124"/>
        <v>MTY</v>
      </c>
      <c r="AI392">
        <v>378</v>
      </c>
      <c r="AJ392" s="77" t="str">
        <f t="shared" si="112"/>
        <v>MEXICO AEREO</v>
      </c>
      <c r="AK392" s="77">
        <f t="shared" si="112"/>
        <v>787</v>
      </c>
      <c r="AL392" s="78">
        <v>0.37847222222222227</v>
      </c>
      <c r="AM392" s="79">
        <v>0.3833333333333333</v>
      </c>
      <c r="AN392" s="80">
        <v>4.8611111111110383E-3</v>
      </c>
      <c r="AO392" s="79">
        <v>0.39374999999999999</v>
      </c>
      <c r="AP392" s="80">
        <v>1.0416666666666685E-2</v>
      </c>
      <c r="AQ392" s="81">
        <v>41801</v>
      </c>
      <c r="AR392" s="77" t="str">
        <f t="shared" si="126"/>
        <v>Internacional</v>
      </c>
      <c r="AS392" s="77">
        <f t="shared" si="126"/>
        <v>8.9409722222221835E-3</v>
      </c>
      <c r="AT392" s="77">
        <f t="shared" si="126"/>
        <v>1.7100694444444446E-2</v>
      </c>
      <c r="AU392" s="77">
        <f t="shared" si="126"/>
        <v>2.604166666666663E-2</v>
      </c>
      <c r="AV392" s="77">
        <f t="shared" si="126"/>
        <v>738</v>
      </c>
      <c r="AW392" s="77">
        <f t="shared" si="126"/>
        <v>189</v>
      </c>
      <c r="AX392" s="77" t="str">
        <f t="shared" si="126"/>
        <v>FAT</v>
      </c>
    </row>
    <row r="393" spans="1:50" ht="15.75" thickBot="1" x14ac:dyDescent="0.3">
      <c r="A393">
        <v>379</v>
      </c>
      <c r="B393" s="36" t="str">
        <f t="shared" si="108"/>
        <v>MEXICO AEREO</v>
      </c>
      <c r="C393" s="36">
        <f t="shared" si="108"/>
        <v>228</v>
      </c>
      <c r="D393" s="74">
        <v>0.68541666666666667</v>
      </c>
      <c r="E393" s="74">
        <v>0.6875</v>
      </c>
      <c r="F393" s="75">
        <v>2.0833333333333259E-3</v>
      </c>
      <c r="G393" s="74">
        <v>0.69791666666666663</v>
      </c>
      <c r="H393" s="75">
        <v>1.041666666666663E-2</v>
      </c>
      <c r="I393" s="76">
        <v>41727</v>
      </c>
      <c r="J393" s="36" t="str">
        <f t="shared" si="125"/>
        <v>Nacional</v>
      </c>
      <c r="K393" s="36">
        <f t="shared" si="125"/>
        <v>6.3131313131313312E-3</v>
      </c>
      <c r="L393" s="36">
        <f t="shared" si="125"/>
        <v>6.5025252525252293E-3</v>
      </c>
      <c r="M393" s="36">
        <f t="shared" si="125"/>
        <v>1.2815656565656561E-2</v>
      </c>
      <c r="N393" s="36" t="str">
        <f t="shared" si="125"/>
        <v>B737-700</v>
      </c>
      <c r="O393" s="36">
        <f t="shared" si="125"/>
        <v>126</v>
      </c>
      <c r="P393" s="36" t="str">
        <f t="shared" si="125"/>
        <v>MEX</v>
      </c>
      <c r="R393">
        <v>379</v>
      </c>
      <c r="S393" s="36" t="str">
        <f t="shared" si="110"/>
        <v>MEXICO AEREO</v>
      </c>
      <c r="T393" s="36">
        <f t="shared" si="110"/>
        <v>2005</v>
      </c>
      <c r="U393" s="83">
        <v>0.56736111111111109</v>
      </c>
      <c r="V393" s="84">
        <v>0.5756944444444444</v>
      </c>
      <c r="W393" s="85">
        <v>8.3333333333333037E-3</v>
      </c>
      <c r="X393" s="84">
        <v>0.57986111111111105</v>
      </c>
      <c r="Y393" s="85">
        <v>4.1666666666666519E-3</v>
      </c>
      <c r="Z393" s="86">
        <v>41758</v>
      </c>
      <c r="AA393" s="36" t="str">
        <f t="shared" si="124"/>
        <v>Nacional</v>
      </c>
      <c r="AB393" s="36">
        <f t="shared" si="124"/>
        <v>6.1237373737373776E-3</v>
      </c>
      <c r="AC393" s="36">
        <f t="shared" si="124"/>
        <v>4.6717171717171801E-3</v>
      </c>
      <c r="AD393" s="36">
        <f t="shared" si="124"/>
        <v>1.0795454545454558E-2</v>
      </c>
      <c r="AE393" s="36" t="str">
        <f t="shared" si="124"/>
        <v>ER4</v>
      </c>
      <c r="AF393" s="36">
        <f t="shared" si="124"/>
        <v>50</v>
      </c>
      <c r="AG393" s="36" t="str">
        <f t="shared" si="124"/>
        <v>MTY</v>
      </c>
      <c r="AI393">
        <v>379</v>
      </c>
      <c r="AJ393" s="77" t="str">
        <f t="shared" si="112"/>
        <v>MEXICO AEREO</v>
      </c>
      <c r="AK393" s="77">
        <f t="shared" si="112"/>
        <v>787</v>
      </c>
      <c r="AL393" s="78">
        <v>0.92708333333333337</v>
      </c>
      <c r="AM393" s="79">
        <v>0.93611111111111101</v>
      </c>
      <c r="AN393" s="80">
        <v>9.0277777777776347E-3</v>
      </c>
      <c r="AO393" s="79">
        <v>0.94374999999999998</v>
      </c>
      <c r="AP393" s="80">
        <v>7.6388888888889728E-3</v>
      </c>
      <c r="AQ393" s="81">
        <v>41804</v>
      </c>
      <c r="AR393" s="77" t="str">
        <f t="shared" si="126"/>
        <v>Internacional</v>
      </c>
      <c r="AS393" s="77">
        <f t="shared" si="126"/>
        <v>8.9409722222221835E-3</v>
      </c>
      <c r="AT393" s="77">
        <f t="shared" si="126"/>
        <v>1.7100694444444446E-2</v>
      </c>
      <c r="AU393" s="77">
        <f t="shared" si="126"/>
        <v>2.604166666666663E-2</v>
      </c>
      <c r="AV393" s="77">
        <f t="shared" si="126"/>
        <v>738</v>
      </c>
      <c r="AW393" s="77">
        <f t="shared" si="126"/>
        <v>189</v>
      </c>
      <c r="AX393" s="77" t="str">
        <f t="shared" si="126"/>
        <v>FAT</v>
      </c>
    </row>
    <row r="394" spans="1:50" x14ac:dyDescent="0.25">
      <c r="A394">
        <v>380</v>
      </c>
      <c r="B394" s="36" t="str">
        <f t="shared" si="108"/>
        <v>MEXICO AEREO</v>
      </c>
      <c r="C394" s="36">
        <f t="shared" si="108"/>
        <v>228</v>
      </c>
      <c r="D394" s="74">
        <v>0.68055555555555547</v>
      </c>
      <c r="E394" s="74">
        <v>0.69097222222222221</v>
      </c>
      <c r="F394" s="75">
        <v>1.0416666666666741E-2</v>
      </c>
      <c r="G394" s="74">
        <v>0.69791666666666663</v>
      </c>
      <c r="H394" s="75">
        <v>6.9444444444444198E-3</v>
      </c>
      <c r="I394" s="76">
        <v>41729</v>
      </c>
      <c r="J394" s="36" t="str">
        <f t="shared" si="125"/>
        <v>Nacional</v>
      </c>
      <c r="K394" s="36">
        <f t="shared" si="125"/>
        <v>6.3131313131313312E-3</v>
      </c>
      <c r="L394" s="36">
        <f t="shared" si="125"/>
        <v>6.5025252525252293E-3</v>
      </c>
      <c r="M394" s="36">
        <f t="shared" si="125"/>
        <v>1.2815656565656561E-2</v>
      </c>
      <c r="N394" s="36" t="str">
        <f t="shared" si="125"/>
        <v>B737-700</v>
      </c>
      <c r="O394" s="36">
        <f t="shared" si="125"/>
        <v>126</v>
      </c>
      <c r="P394" s="36" t="str">
        <f t="shared" si="125"/>
        <v>MEX</v>
      </c>
      <c r="R394">
        <v>380</v>
      </c>
      <c r="S394" s="36" t="str">
        <f t="shared" si="110"/>
        <v>MEXICO AEREO</v>
      </c>
      <c r="T394" s="55">
        <v>789</v>
      </c>
      <c r="U394" s="56">
        <v>0.35138888888888892</v>
      </c>
      <c r="V394" s="57">
        <v>0.35833333333333334</v>
      </c>
      <c r="W394" s="58">
        <v>6.9444444444444198E-3</v>
      </c>
      <c r="X394" s="57">
        <v>0.37986111111111115</v>
      </c>
      <c r="Y394" s="58">
        <v>2.1527777777777812E-2</v>
      </c>
      <c r="Z394" s="59">
        <v>41733</v>
      </c>
      <c r="AA394" s="60" t="s">
        <v>22</v>
      </c>
      <c r="AB394" s="61">
        <v>1.0343567251461993E-2</v>
      </c>
      <c r="AC394" s="61">
        <v>1.8201754385964913E-2</v>
      </c>
      <c r="AD394" s="62">
        <v>2.8545321637426908E-2</v>
      </c>
      <c r="AE394" s="109" t="s">
        <v>39</v>
      </c>
      <c r="AF394" s="109">
        <v>189</v>
      </c>
      <c r="AG394" s="109" t="s">
        <v>48</v>
      </c>
      <c r="AI394">
        <v>380</v>
      </c>
      <c r="AJ394" s="77" t="str">
        <f t="shared" si="112"/>
        <v>MEXICO AEREO</v>
      </c>
      <c r="AK394" s="77">
        <f t="shared" si="112"/>
        <v>787</v>
      </c>
      <c r="AL394" s="78">
        <v>0.87847222222222221</v>
      </c>
      <c r="AM394" s="79">
        <v>0.88750000000000007</v>
      </c>
      <c r="AN394" s="80">
        <v>9.0277777777778567E-3</v>
      </c>
      <c r="AO394" s="79">
        <v>0.89097222222222217</v>
      </c>
      <c r="AP394" s="80">
        <v>3.4722222222220989E-3</v>
      </c>
      <c r="AQ394" s="81">
        <v>41807</v>
      </c>
      <c r="AR394" s="77" t="str">
        <f t="shared" si="126"/>
        <v>Internacional</v>
      </c>
      <c r="AS394" s="77">
        <f t="shared" si="126"/>
        <v>8.9409722222221835E-3</v>
      </c>
      <c r="AT394" s="77">
        <f t="shared" si="126"/>
        <v>1.7100694444444446E-2</v>
      </c>
      <c r="AU394" s="77">
        <f t="shared" si="126"/>
        <v>2.604166666666663E-2</v>
      </c>
      <c r="AV394" s="77">
        <f t="shared" si="126"/>
        <v>738</v>
      </c>
      <c r="AW394" s="77">
        <f t="shared" si="126"/>
        <v>189</v>
      </c>
      <c r="AX394" s="77" t="str">
        <f t="shared" si="126"/>
        <v>FAT</v>
      </c>
    </row>
    <row r="395" spans="1:50" ht="15.75" thickBot="1" x14ac:dyDescent="0.3">
      <c r="A395">
        <v>381</v>
      </c>
      <c r="B395" s="36" t="str">
        <f t="shared" si="108"/>
        <v>MEXICO AEREO</v>
      </c>
      <c r="C395" s="36">
        <f t="shared" si="108"/>
        <v>228</v>
      </c>
      <c r="D395" s="84">
        <v>0.69166666666666676</v>
      </c>
      <c r="E395" s="84">
        <v>0.6972222222222223</v>
      </c>
      <c r="F395" s="85">
        <v>5.5555555555555358E-3</v>
      </c>
      <c r="G395" s="84">
        <v>0.70486111111111116</v>
      </c>
      <c r="H395" s="85">
        <v>7.6388888888888618E-3</v>
      </c>
      <c r="I395" s="86">
        <v>41716</v>
      </c>
      <c r="J395" s="36" t="str">
        <f t="shared" si="125"/>
        <v>Nacional</v>
      </c>
      <c r="K395" s="36">
        <f t="shared" si="125"/>
        <v>6.3131313131313312E-3</v>
      </c>
      <c r="L395" s="36">
        <f t="shared" si="125"/>
        <v>6.5025252525252293E-3</v>
      </c>
      <c r="M395" s="36">
        <f t="shared" si="125"/>
        <v>1.2815656565656561E-2</v>
      </c>
      <c r="N395" s="36" t="str">
        <f t="shared" si="125"/>
        <v>B737-700</v>
      </c>
      <c r="O395" s="36">
        <f t="shared" si="125"/>
        <v>126</v>
      </c>
      <c r="P395" s="36" t="str">
        <f t="shared" si="125"/>
        <v>MEX</v>
      </c>
      <c r="R395">
        <v>381</v>
      </c>
      <c r="S395" s="36" t="str">
        <f t="shared" si="110"/>
        <v>MEXICO AEREO</v>
      </c>
      <c r="T395" s="36">
        <f t="shared" si="110"/>
        <v>789</v>
      </c>
      <c r="U395" s="73">
        <v>0.40277777777777773</v>
      </c>
      <c r="V395" s="74">
        <v>0.41111111111111115</v>
      </c>
      <c r="W395" s="75">
        <v>8.3333333333334147E-3</v>
      </c>
      <c r="X395" s="74">
        <v>0.43194444444444446</v>
      </c>
      <c r="Y395" s="75">
        <v>2.0833333333333315E-2</v>
      </c>
      <c r="Z395" s="76">
        <v>41735</v>
      </c>
      <c r="AA395" s="36" t="str">
        <f t="shared" ref="AA395:AG412" si="127">AA394</f>
        <v>Internacional</v>
      </c>
      <c r="AB395" s="36">
        <f t="shared" si="127"/>
        <v>1.0343567251461993E-2</v>
      </c>
      <c r="AC395" s="36">
        <f t="shared" si="127"/>
        <v>1.8201754385964913E-2</v>
      </c>
      <c r="AD395" s="36">
        <f t="shared" si="127"/>
        <v>2.8545321637426908E-2</v>
      </c>
      <c r="AE395" s="36" t="str">
        <f t="shared" si="127"/>
        <v>B737-800</v>
      </c>
      <c r="AF395" s="36">
        <f t="shared" si="127"/>
        <v>189</v>
      </c>
      <c r="AG395" s="36" t="str">
        <f t="shared" si="127"/>
        <v>SMF</v>
      </c>
      <c r="AI395">
        <v>381</v>
      </c>
      <c r="AJ395" s="77" t="str">
        <f t="shared" si="112"/>
        <v>MEXICO AEREO</v>
      </c>
      <c r="AK395" s="77">
        <f t="shared" si="112"/>
        <v>787</v>
      </c>
      <c r="AL395" s="78">
        <v>0.3444444444444445</v>
      </c>
      <c r="AM395" s="79">
        <v>0.3527777777777778</v>
      </c>
      <c r="AN395" s="80">
        <v>8.3333333333333037E-3</v>
      </c>
      <c r="AO395" s="79">
        <v>0.37847222222222227</v>
      </c>
      <c r="AP395" s="80">
        <v>2.5694444444444464E-2</v>
      </c>
      <c r="AQ395" s="81">
        <v>41809</v>
      </c>
      <c r="AR395" s="77" t="str">
        <f t="shared" si="126"/>
        <v>Internacional</v>
      </c>
      <c r="AS395" s="77">
        <f t="shared" si="126"/>
        <v>8.9409722222221835E-3</v>
      </c>
      <c r="AT395" s="77">
        <f t="shared" si="126"/>
        <v>1.7100694444444446E-2</v>
      </c>
      <c r="AU395" s="77">
        <f t="shared" si="126"/>
        <v>2.604166666666663E-2</v>
      </c>
      <c r="AV395" s="77">
        <f t="shared" si="126"/>
        <v>738</v>
      </c>
      <c r="AW395" s="77">
        <f t="shared" si="126"/>
        <v>189</v>
      </c>
      <c r="AX395" s="77" t="str">
        <f t="shared" si="126"/>
        <v>FAT</v>
      </c>
    </row>
    <row r="396" spans="1:50" ht="15.75" thickBot="1" x14ac:dyDescent="0.3">
      <c r="A396">
        <v>382</v>
      </c>
      <c r="B396" s="36" t="str">
        <f t="shared" si="108"/>
        <v>MEXICO AEREO</v>
      </c>
      <c r="C396" s="46">
        <v>225</v>
      </c>
      <c r="D396" s="47">
        <v>0.71875</v>
      </c>
      <c r="E396" s="47">
        <v>0.72777777777777775</v>
      </c>
      <c r="F396" s="48">
        <v>9.0277777777777457E-3</v>
      </c>
      <c r="G396" s="47">
        <v>0.73541666666666661</v>
      </c>
      <c r="H396" s="48">
        <v>7.6388888888888618E-3</v>
      </c>
      <c r="I396" s="49">
        <v>41718</v>
      </c>
      <c r="J396" s="49" t="s">
        <v>19</v>
      </c>
      <c r="K396" s="47">
        <v>9.0277777777777457E-3</v>
      </c>
      <c r="L396" s="47">
        <v>7.6388888888888618E-3</v>
      </c>
      <c r="M396" s="51">
        <v>1.6666666666666607E-2</v>
      </c>
      <c r="N396" s="82" t="s">
        <v>25</v>
      </c>
      <c r="O396" s="36">
        <f t="shared" si="125"/>
        <v>126</v>
      </c>
      <c r="P396" s="36" t="str">
        <f t="shared" si="125"/>
        <v>MEX</v>
      </c>
      <c r="R396">
        <v>382</v>
      </c>
      <c r="S396" s="36" t="str">
        <f t="shared" si="110"/>
        <v>MEXICO AEREO</v>
      </c>
      <c r="T396" s="36">
        <f t="shared" si="110"/>
        <v>789</v>
      </c>
      <c r="U396" s="73">
        <v>0.3347222222222222</v>
      </c>
      <c r="V396" s="74">
        <v>0.34722222222222227</v>
      </c>
      <c r="W396" s="75">
        <v>1.2500000000000067E-2</v>
      </c>
      <c r="X396" s="74">
        <v>0.36041666666666666</v>
      </c>
      <c r="Y396" s="75">
        <v>1.3194444444444398E-2</v>
      </c>
      <c r="Z396" s="76">
        <v>41736</v>
      </c>
      <c r="AA396" s="36" t="str">
        <f t="shared" si="127"/>
        <v>Internacional</v>
      </c>
      <c r="AB396" s="36">
        <f t="shared" si="127"/>
        <v>1.0343567251461993E-2</v>
      </c>
      <c r="AC396" s="36">
        <f t="shared" si="127"/>
        <v>1.8201754385964913E-2</v>
      </c>
      <c r="AD396" s="36">
        <f t="shared" si="127"/>
        <v>2.8545321637426908E-2</v>
      </c>
      <c r="AE396" s="36" t="str">
        <f t="shared" si="127"/>
        <v>B737-800</v>
      </c>
      <c r="AF396" s="36">
        <f t="shared" si="127"/>
        <v>189</v>
      </c>
      <c r="AG396" s="36" t="str">
        <f t="shared" si="127"/>
        <v>SMF</v>
      </c>
      <c r="AI396">
        <v>382</v>
      </c>
      <c r="AJ396" s="63" t="s">
        <v>18</v>
      </c>
      <c r="AK396" s="77">
        <f t="shared" ref="AK396:AK402" si="128">AK395</f>
        <v>787</v>
      </c>
      <c r="AL396" s="94">
        <v>0.35694444444444445</v>
      </c>
      <c r="AM396" s="95">
        <v>0.36874999999999997</v>
      </c>
      <c r="AN396" s="96">
        <v>1.1805555555555514E-2</v>
      </c>
      <c r="AO396" s="95">
        <v>0.3888888888888889</v>
      </c>
      <c r="AP396" s="96">
        <v>2.0138888888888928E-2</v>
      </c>
      <c r="AQ396" s="97">
        <v>41811</v>
      </c>
      <c r="AR396" s="77" t="str">
        <f t="shared" si="126"/>
        <v>Internacional</v>
      </c>
      <c r="AS396" s="77">
        <f t="shared" si="126"/>
        <v>8.9409722222221835E-3</v>
      </c>
      <c r="AT396" s="77">
        <f t="shared" si="126"/>
        <v>1.7100694444444446E-2</v>
      </c>
      <c r="AU396" s="77">
        <f t="shared" si="126"/>
        <v>2.604166666666663E-2</v>
      </c>
      <c r="AV396" s="77">
        <f t="shared" si="126"/>
        <v>738</v>
      </c>
      <c r="AW396" s="77">
        <f t="shared" si="126"/>
        <v>189</v>
      </c>
      <c r="AX396" s="77" t="str">
        <f t="shared" si="126"/>
        <v>FAT</v>
      </c>
    </row>
    <row r="397" spans="1:50" x14ac:dyDescent="0.25">
      <c r="A397">
        <v>383</v>
      </c>
      <c r="B397" s="36" t="str">
        <f t="shared" si="108"/>
        <v>MEXICO AEREO</v>
      </c>
      <c r="C397" s="88">
        <v>224</v>
      </c>
      <c r="D397" s="57">
        <v>0.76666666666666661</v>
      </c>
      <c r="E397" s="57">
        <v>0.7715277777777777</v>
      </c>
      <c r="F397" s="58">
        <v>4.8611111111110938E-3</v>
      </c>
      <c r="G397" s="57">
        <v>0.77569444444444446</v>
      </c>
      <c r="H397" s="58">
        <v>4.1666666666667629E-3</v>
      </c>
      <c r="I397" s="59">
        <v>41714</v>
      </c>
      <c r="J397" s="108" t="s">
        <v>19</v>
      </c>
      <c r="K397" s="61">
        <v>6.8287037037036979E-3</v>
      </c>
      <c r="L397" s="61">
        <v>7.8703703703703609E-3</v>
      </c>
      <c r="M397" s="89">
        <v>1.4699074074074059E-2</v>
      </c>
      <c r="N397" s="90" t="s">
        <v>45</v>
      </c>
      <c r="O397" s="91">
        <v>126</v>
      </c>
      <c r="P397" s="92" t="s">
        <v>21</v>
      </c>
      <c r="R397">
        <v>383</v>
      </c>
      <c r="S397" s="36" t="str">
        <f t="shared" si="110"/>
        <v>MEXICO AEREO</v>
      </c>
      <c r="T397" s="36">
        <f t="shared" si="110"/>
        <v>789</v>
      </c>
      <c r="U397" s="73">
        <v>0.33124999999999999</v>
      </c>
      <c r="V397" s="74">
        <v>0.33819444444444446</v>
      </c>
      <c r="W397" s="75">
        <v>6.9444444444444753E-3</v>
      </c>
      <c r="X397" s="74">
        <v>0.35972222222222222</v>
      </c>
      <c r="Y397" s="75">
        <v>2.1527777777777757E-2</v>
      </c>
      <c r="Z397" s="76">
        <v>41738</v>
      </c>
      <c r="AA397" s="36" t="str">
        <f t="shared" si="127"/>
        <v>Internacional</v>
      </c>
      <c r="AB397" s="36">
        <f t="shared" si="127"/>
        <v>1.0343567251461993E-2</v>
      </c>
      <c r="AC397" s="36">
        <f t="shared" si="127"/>
        <v>1.8201754385964913E-2</v>
      </c>
      <c r="AD397" s="36">
        <f t="shared" si="127"/>
        <v>2.8545321637426908E-2</v>
      </c>
      <c r="AE397" s="36" t="str">
        <f t="shared" si="127"/>
        <v>B737-800</v>
      </c>
      <c r="AF397" s="36">
        <f t="shared" si="127"/>
        <v>189</v>
      </c>
      <c r="AG397" s="36" t="str">
        <f t="shared" si="127"/>
        <v>SMF</v>
      </c>
      <c r="AI397">
        <v>383</v>
      </c>
      <c r="AJ397" s="77" t="str">
        <f t="shared" ref="AJ397:AK444" si="129">AJ396</f>
        <v>MEXICO AEREO</v>
      </c>
      <c r="AK397" s="63">
        <v>785</v>
      </c>
      <c r="AL397" s="64">
        <v>0.23472222222222219</v>
      </c>
      <c r="AM397" s="65">
        <v>0.24444444444444446</v>
      </c>
      <c r="AN397" s="66">
        <v>9.7222222222222709E-3</v>
      </c>
      <c r="AO397" s="65">
        <v>0.27569444444444446</v>
      </c>
      <c r="AP397" s="66">
        <v>3.125E-2</v>
      </c>
      <c r="AQ397" s="67">
        <v>41791</v>
      </c>
      <c r="AR397" s="68" t="s">
        <v>22</v>
      </c>
      <c r="AS397" s="69">
        <v>1.1419753086419758E-2</v>
      </c>
      <c r="AT397" s="70">
        <v>2.3263888888888886E-2</v>
      </c>
      <c r="AU397" s="70">
        <v>3.4683641975308641E-2</v>
      </c>
      <c r="AV397" s="71">
        <v>738</v>
      </c>
      <c r="AW397" s="71">
        <v>189</v>
      </c>
      <c r="AX397" s="72" t="s">
        <v>40</v>
      </c>
    </row>
    <row r="398" spans="1:50" x14ac:dyDescent="0.25">
      <c r="A398">
        <v>384</v>
      </c>
      <c r="B398" s="36" t="str">
        <f t="shared" si="108"/>
        <v>MEXICO AEREO</v>
      </c>
      <c r="C398" s="36">
        <f t="shared" si="108"/>
        <v>224</v>
      </c>
      <c r="D398" s="74">
        <v>0.77222222222222225</v>
      </c>
      <c r="E398" s="74">
        <v>0.78125</v>
      </c>
      <c r="F398" s="75">
        <v>9.0277777777777457E-3</v>
      </c>
      <c r="G398" s="74">
        <v>0.78402777777777777</v>
      </c>
      <c r="H398" s="75">
        <v>2.7777777777777679E-3</v>
      </c>
      <c r="I398" s="76">
        <v>41716</v>
      </c>
      <c r="J398" s="36" t="str">
        <f t="shared" ref="J398:P403" si="130">J397</f>
        <v>Nacional</v>
      </c>
      <c r="K398" s="36">
        <f t="shared" si="130"/>
        <v>6.8287037037036979E-3</v>
      </c>
      <c r="L398" s="36">
        <f t="shared" si="130"/>
        <v>7.8703703703703609E-3</v>
      </c>
      <c r="M398" s="36">
        <f t="shared" si="130"/>
        <v>1.4699074074074059E-2</v>
      </c>
      <c r="N398" s="36" t="str">
        <f t="shared" si="130"/>
        <v>B737-700</v>
      </c>
      <c r="O398" s="36">
        <f t="shared" si="130"/>
        <v>126</v>
      </c>
      <c r="P398" s="36" t="str">
        <f t="shared" si="130"/>
        <v>MEX</v>
      </c>
      <c r="R398">
        <v>384</v>
      </c>
      <c r="S398" s="36" t="str">
        <f t="shared" si="110"/>
        <v>MEXICO AEREO</v>
      </c>
      <c r="T398" s="36">
        <f t="shared" si="110"/>
        <v>789</v>
      </c>
      <c r="U398" s="73">
        <v>0.33402777777777781</v>
      </c>
      <c r="V398" s="74">
        <v>0.34236111111111112</v>
      </c>
      <c r="W398" s="75">
        <v>8.3333333333333037E-3</v>
      </c>
      <c r="X398" s="74">
        <v>0.36805555555555558</v>
      </c>
      <c r="Y398" s="75">
        <v>2.5694444444444464E-2</v>
      </c>
      <c r="Z398" s="76">
        <v>41739</v>
      </c>
      <c r="AA398" s="36" t="str">
        <f t="shared" si="127"/>
        <v>Internacional</v>
      </c>
      <c r="AB398" s="36">
        <f t="shared" si="127"/>
        <v>1.0343567251461993E-2</v>
      </c>
      <c r="AC398" s="36">
        <f t="shared" si="127"/>
        <v>1.8201754385964913E-2</v>
      </c>
      <c r="AD398" s="36">
        <f t="shared" si="127"/>
        <v>2.8545321637426908E-2</v>
      </c>
      <c r="AE398" s="36" t="str">
        <f t="shared" si="127"/>
        <v>B737-800</v>
      </c>
      <c r="AF398" s="36">
        <f t="shared" si="127"/>
        <v>189</v>
      </c>
      <c r="AG398" s="36" t="str">
        <f t="shared" si="127"/>
        <v>SMF</v>
      </c>
      <c r="AI398">
        <v>384</v>
      </c>
      <c r="AJ398" s="77" t="str">
        <f t="shared" si="129"/>
        <v>MEXICO AEREO</v>
      </c>
      <c r="AK398" s="77">
        <f t="shared" si="129"/>
        <v>785</v>
      </c>
      <c r="AL398" s="78">
        <v>0.22361111111111109</v>
      </c>
      <c r="AM398" s="79">
        <v>0.23541666666666669</v>
      </c>
      <c r="AN398" s="80">
        <v>1.1805555555555597E-2</v>
      </c>
      <c r="AO398" s="79">
        <v>0.26458333333333334</v>
      </c>
      <c r="AP398" s="80">
        <v>2.9166666666666646E-2</v>
      </c>
      <c r="AQ398" s="81">
        <v>41792</v>
      </c>
      <c r="AR398" s="77" t="str">
        <f t="shared" ref="AR398:AX414" si="131">AR397</f>
        <v>Internacional</v>
      </c>
      <c r="AS398" s="77">
        <f t="shared" si="131"/>
        <v>1.1419753086419758E-2</v>
      </c>
      <c r="AT398" s="77">
        <f t="shared" si="131"/>
        <v>2.3263888888888886E-2</v>
      </c>
      <c r="AU398" s="77">
        <f t="shared" si="131"/>
        <v>3.4683641975308641E-2</v>
      </c>
      <c r="AV398" s="77">
        <f t="shared" si="131"/>
        <v>738</v>
      </c>
      <c r="AW398" s="77">
        <f t="shared" si="131"/>
        <v>189</v>
      </c>
      <c r="AX398" s="77" t="str">
        <f t="shared" si="131"/>
        <v>LAX</v>
      </c>
    </row>
    <row r="399" spans="1:50" x14ac:dyDescent="0.25">
      <c r="A399">
        <v>385</v>
      </c>
      <c r="B399" s="36" t="str">
        <f t="shared" si="108"/>
        <v>MEXICO AEREO</v>
      </c>
      <c r="C399" s="36">
        <f t="shared" si="108"/>
        <v>224</v>
      </c>
      <c r="D399" s="74">
        <v>0.7909722222222223</v>
      </c>
      <c r="E399" s="74">
        <v>0.79652777777777783</v>
      </c>
      <c r="F399" s="75">
        <v>5.5555555555555358E-3</v>
      </c>
      <c r="G399" s="74">
        <v>0.80555555555555547</v>
      </c>
      <c r="H399" s="75">
        <v>9.0277777777776347E-3</v>
      </c>
      <c r="I399" s="76">
        <v>41717</v>
      </c>
      <c r="J399" s="36" t="str">
        <f t="shared" si="130"/>
        <v>Nacional</v>
      </c>
      <c r="K399" s="36">
        <f t="shared" si="130"/>
        <v>6.8287037037036979E-3</v>
      </c>
      <c r="L399" s="36">
        <f t="shared" si="130"/>
        <v>7.8703703703703609E-3</v>
      </c>
      <c r="M399" s="36">
        <f t="shared" si="130"/>
        <v>1.4699074074074059E-2</v>
      </c>
      <c r="N399" s="36" t="str">
        <f t="shared" si="130"/>
        <v>B737-700</v>
      </c>
      <c r="O399" s="36">
        <f t="shared" si="130"/>
        <v>126</v>
      </c>
      <c r="P399" s="36" t="str">
        <f t="shared" si="130"/>
        <v>MEX</v>
      </c>
      <c r="R399">
        <v>385</v>
      </c>
      <c r="S399" s="36" t="str">
        <f t="shared" si="110"/>
        <v>MEXICO AEREO</v>
      </c>
      <c r="T399" s="36">
        <f t="shared" si="110"/>
        <v>789</v>
      </c>
      <c r="U399" s="73">
        <v>0.3430555555555555</v>
      </c>
      <c r="V399" s="74">
        <v>0.3520833333333333</v>
      </c>
      <c r="W399" s="75">
        <v>9.0277777777778012E-3</v>
      </c>
      <c r="X399" s="74">
        <v>0.37361111111111112</v>
      </c>
      <c r="Y399" s="75">
        <v>2.1527777777777812E-2</v>
      </c>
      <c r="Z399" s="76">
        <v>41743</v>
      </c>
      <c r="AA399" s="36" t="str">
        <f t="shared" si="127"/>
        <v>Internacional</v>
      </c>
      <c r="AB399" s="36">
        <f t="shared" si="127"/>
        <v>1.0343567251461993E-2</v>
      </c>
      <c r="AC399" s="36">
        <f t="shared" si="127"/>
        <v>1.8201754385964913E-2</v>
      </c>
      <c r="AD399" s="36">
        <f t="shared" si="127"/>
        <v>2.8545321637426908E-2</v>
      </c>
      <c r="AE399" s="36" t="str">
        <f t="shared" si="127"/>
        <v>B737-800</v>
      </c>
      <c r="AF399" s="36">
        <f t="shared" si="127"/>
        <v>189</v>
      </c>
      <c r="AG399" s="36" t="str">
        <f t="shared" si="127"/>
        <v>SMF</v>
      </c>
      <c r="AI399">
        <v>385</v>
      </c>
      <c r="AJ399" s="77" t="str">
        <f t="shared" si="129"/>
        <v>MEXICO AEREO</v>
      </c>
      <c r="AK399" s="77">
        <f t="shared" si="129"/>
        <v>785</v>
      </c>
      <c r="AL399" s="78">
        <v>0.23055555555555554</v>
      </c>
      <c r="AM399" s="79">
        <v>0.24097222222222223</v>
      </c>
      <c r="AN399" s="80">
        <v>1.0416666666666685E-2</v>
      </c>
      <c r="AO399" s="79">
        <v>0.2673611111111111</v>
      </c>
      <c r="AP399" s="80">
        <v>2.6388888888888878E-2</v>
      </c>
      <c r="AQ399" s="81">
        <v>41793</v>
      </c>
      <c r="AR399" s="77" t="str">
        <f t="shared" si="131"/>
        <v>Internacional</v>
      </c>
      <c r="AS399" s="77">
        <f t="shared" si="131"/>
        <v>1.1419753086419758E-2</v>
      </c>
      <c r="AT399" s="77">
        <f t="shared" si="131"/>
        <v>2.3263888888888886E-2</v>
      </c>
      <c r="AU399" s="77">
        <f t="shared" si="131"/>
        <v>3.4683641975308641E-2</v>
      </c>
      <c r="AV399" s="77">
        <f t="shared" si="131"/>
        <v>738</v>
      </c>
      <c r="AW399" s="77">
        <f t="shared" si="131"/>
        <v>189</v>
      </c>
      <c r="AX399" s="77" t="str">
        <f t="shared" si="131"/>
        <v>LAX</v>
      </c>
    </row>
    <row r="400" spans="1:50" ht="15.75" thickBot="1" x14ac:dyDescent="0.3">
      <c r="A400">
        <v>386</v>
      </c>
      <c r="B400" s="36" t="str">
        <f t="shared" si="108"/>
        <v>MEXICO AEREO</v>
      </c>
      <c r="C400" s="36">
        <f t="shared" si="108"/>
        <v>224</v>
      </c>
      <c r="D400" s="74">
        <v>0.75486111111111109</v>
      </c>
      <c r="E400" s="74">
        <v>0.7597222222222223</v>
      </c>
      <c r="F400" s="75">
        <v>4.8611111111112049E-3</v>
      </c>
      <c r="G400" s="74">
        <v>0.77013888888888893</v>
      </c>
      <c r="H400" s="75">
        <v>1.041666666666663E-2</v>
      </c>
      <c r="I400" s="76">
        <v>41721</v>
      </c>
      <c r="J400" s="36" t="str">
        <f t="shared" si="130"/>
        <v>Nacional</v>
      </c>
      <c r="K400" s="36">
        <f t="shared" si="130"/>
        <v>6.8287037037036979E-3</v>
      </c>
      <c r="L400" s="36">
        <f t="shared" si="130"/>
        <v>7.8703703703703609E-3</v>
      </c>
      <c r="M400" s="36">
        <f t="shared" si="130"/>
        <v>1.4699074074074059E-2</v>
      </c>
      <c r="N400" s="36" t="str">
        <f t="shared" si="130"/>
        <v>B737-700</v>
      </c>
      <c r="O400" s="36">
        <f t="shared" si="130"/>
        <v>126</v>
      </c>
      <c r="P400" s="36" t="str">
        <f t="shared" si="130"/>
        <v>MEX</v>
      </c>
      <c r="R400">
        <v>386</v>
      </c>
      <c r="S400" s="36" t="str">
        <f t="shared" si="110"/>
        <v>MEXICO AEREO</v>
      </c>
      <c r="T400" s="36">
        <f t="shared" si="110"/>
        <v>789</v>
      </c>
      <c r="U400" s="73">
        <v>0.33194444444444443</v>
      </c>
      <c r="V400" s="74">
        <v>0.33958333333333335</v>
      </c>
      <c r="W400" s="75">
        <v>7.6388888888889173E-3</v>
      </c>
      <c r="X400" s="74">
        <v>0.34930555555555554</v>
      </c>
      <c r="Y400" s="75">
        <v>9.7222222222221877E-3</v>
      </c>
      <c r="Z400" s="76">
        <v>41744</v>
      </c>
      <c r="AA400" s="36" t="str">
        <f t="shared" si="127"/>
        <v>Internacional</v>
      </c>
      <c r="AB400" s="36">
        <f t="shared" si="127"/>
        <v>1.0343567251461993E-2</v>
      </c>
      <c r="AC400" s="36">
        <f t="shared" si="127"/>
        <v>1.8201754385964913E-2</v>
      </c>
      <c r="AD400" s="36">
        <f t="shared" si="127"/>
        <v>2.8545321637426908E-2</v>
      </c>
      <c r="AE400" s="36" t="str">
        <f t="shared" si="127"/>
        <v>B737-800</v>
      </c>
      <c r="AF400" s="36">
        <f t="shared" si="127"/>
        <v>189</v>
      </c>
      <c r="AG400" s="36" t="str">
        <f t="shared" si="127"/>
        <v>SMF</v>
      </c>
      <c r="AI400">
        <v>386</v>
      </c>
      <c r="AJ400" s="77" t="str">
        <f t="shared" si="129"/>
        <v>MEXICO AEREO</v>
      </c>
      <c r="AK400" s="77">
        <f t="shared" si="129"/>
        <v>785</v>
      </c>
      <c r="AL400" s="78">
        <v>0.23402777777777781</v>
      </c>
      <c r="AM400" s="79">
        <v>0.24652777777777779</v>
      </c>
      <c r="AN400" s="80">
        <v>1.2499999999999983E-2</v>
      </c>
      <c r="AO400" s="79">
        <v>0.28194444444444444</v>
      </c>
      <c r="AP400" s="80">
        <v>3.5416666666666652E-2</v>
      </c>
      <c r="AQ400" s="81">
        <v>41794</v>
      </c>
      <c r="AR400" s="77" t="str">
        <f t="shared" si="131"/>
        <v>Internacional</v>
      </c>
      <c r="AS400" s="77">
        <f t="shared" si="131"/>
        <v>1.1419753086419758E-2</v>
      </c>
      <c r="AT400" s="77">
        <f t="shared" si="131"/>
        <v>2.3263888888888886E-2</v>
      </c>
      <c r="AU400" s="77">
        <f t="shared" si="131"/>
        <v>3.4683641975308641E-2</v>
      </c>
      <c r="AV400" s="77">
        <f t="shared" si="131"/>
        <v>738</v>
      </c>
      <c r="AW400" s="77">
        <f t="shared" si="131"/>
        <v>189</v>
      </c>
      <c r="AX400" s="77" t="str">
        <f t="shared" si="131"/>
        <v>LAX</v>
      </c>
    </row>
    <row r="401" spans="1:50" x14ac:dyDescent="0.25">
      <c r="A401">
        <v>387</v>
      </c>
      <c r="B401" s="45" t="s">
        <v>18</v>
      </c>
      <c r="C401" s="36">
        <f t="shared" ref="C401:C405" si="132">C400</f>
        <v>224</v>
      </c>
      <c r="D401" s="74">
        <v>0.77638888888888891</v>
      </c>
      <c r="E401" s="74">
        <v>0.78680555555555554</v>
      </c>
      <c r="F401" s="75">
        <v>1.041666666666663E-2</v>
      </c>
      <c r="G401" s="74">
        <v>0.79791666666666661</v>
      </c>
      <c r="H401" s="75">
        <v>1.1111111111111072E-2</v>
      </c>
      <c r="I401" s="76">
        <v>41725</v>
      </c>
      <c r="J401" s="36" t="str">
        <f t="shared" si="130"/>
        <v>Nacional</v>
      </c>
      <c r="K401" s="36">
        <f t="shared" si="130"/>
        <v>6.8287037037036979E-3</v>
      </c>
      <c r="L401" s="36">
        <f t="shared" si="130"/>
        <v>7.8703703703703609E-3</v>
      </c>
      <c r="M401" s="36">
        <f t="shared" si="130"/>
        <v>1.4699074074074059E-2</v>
      </c>
      <c r="N401" s="36" t="str">
        <f t="shared" si="130"/>
        <v>B737-700</v>
      </c>
      <c r="O401" s="36">
        <f t="shared" si="130"/>
        <v>126</v>
      </c>
      <c r="P401" s="36" t="str">
        <f t="shared" si="130"/>
        <v>MEX</v>
      </c>
      <c r="R401">
        <v>387</v>
      </c>
      <c r="S401" s="36" t="str">
        <f t="shared" si="110"/>
        <v>MEXICO AEREO</v>
      </c>
      <c r="T401" s="36">
        <f t="shared" si="110"/>
        <v>789</v>
      </c>
      <c r="U401" s="73">
        <v>0.31944444444444448</v>
      </c>
      <c r="V401" s="74">
        <v>0.32916666666666666</v>
      </c>
      <c r="W401" s="75">
        <v>9.7222222222221877E-3</v>
      </c>
      <c r="X401" s="74">
        <v>0.34930555555555554</v>
      </c>
      <c r="Y401" s="75">
        <v>2.0138888888888873E-2</v>
      </c>
      <c r="Z401" s="76">
        <v>41746</v>
      </c>
      <c r="AA401" s="36" t="str">
        <f t="shared" si="127"/>
        <v>Internacional</v>
      </c>
      <c r="AB401" s="36">
        <f t="shared" si="127"/>
        <v>1.0343567251461993E-2</v>
      </c>
      <c r="AC401" s="36">
        <f t="shared" si="127"/>
        <v>1.8201754385964913E-2</v>
      </c>
      <c r="AD401" s="36">
        <f t="shared" si="127"/>
        <v>2.8545321637426908E-2</v>
      </c>
      <c r="AE401" s="36" t="str">
        <f t="shared" si="127"/>
        <v>B737-800</v>
      </c>
      <c r="AF401" s="36">
        <f t="shared" si="127"/>
        <v>189</v>
      </c>
      <c r="AG401" s="36" t="str">
        <f t="shared" si="127"/>
        <v>SMF</v>
      </c>
      <c r="AI401">
        <v>387</v>
      </c>
      <c r="AJ401" s="77" t="str">
        <f t="shared" si="129"/>
        <v>MEXICO AEREO</v>
      </c>
      <c r="AK401" s="77">
        <f t="shared" si="129"/>
        <v>785</v>
      </c>
      <c r="AL401" s="78">
        <v>0.23472222222222219</v>
      </c>
      <c r="AM401" s="79">
        <v>0.24305555555555555</v>
      </c>
      <c r="AN401" s="80">
        <v>8.3333333333333592E-3</v>
      </c>
      <c r="AO401" s="79">
        <v>0.28263888888888888</v>
      </c>
      <c r="AP401" s="80">
        <v>3.9583333333333331E-2</v>
      </c>
      <c r="AQ401" s="81">
        <v>41795</v>
      </c>
      <c r="AR401" s="77" t="str">
        <f t="shared" si="131"/>
        <v>Internacional</v>
      </c>
      <c r="AS401" s="77">
        <f t="shared" si="131"/>
        <v>1.1419753086419758E-2</v>
      </c>
      <c r="AT401" s="77">
        <f t="shared" si="131"/>
        <v>2.3263888888888886E-2</v>
      </c>
      <c r="AU401" s="77">
        <f t="shared" si="131"/>
        <v>3.4683641975308641E-2</v>
      </c>
      <c r="AV401" s="77">
        <f t="shared" si="131"/>
        <v>738</v>
      </c>
      <c r="AW401" s="77">
        <f t="shared" si="131"/>
        <v>189</v>
      </c>
      <c r="AX401" s="77" t="str">
        <f t="shared" si="131"/>
        <v>LAX</v>
      </c>
    </row>
    <row r="402" spans="1:50" ht="15.75" thickBot="1" x14ac:dyDescent="0.3">
      <c r="A402">
        <v>388</v>
      </c>
      <c r="B402" s="36" t="str">
        <f t="shared" ref="B402:C458" si="133">B401</f>
        <v>MEXICO AEREO</v>
      </c>
      <c r="C402" s="36">
        <f t="shared" si="132"/>
        <v>224</v>
      </c>
      <c r="D402" s="84">
        <v>0.7631944444444444</v>
      </c>
      <c r="E402" s="84">
        <v>0.76944444444444438</v>
      </c>
      <c r="F402" s="85">
        <v>6.2499999999999778E-3</v>
      </c>
      <c r="G402" s="84">
        <v>0.77916666666666667</v>
      </c>
      <c r="H402" s="85">
        <v>9.7222222222222987E-3</v>
      </c>
      <c r="I402" s="86">
        <v>41726</v>
      </c>
      <c r="J402" s="36" t="str">
        <f t="shared" si="130"/>
        <v>Nacional</v>
      </c>
      <c r="K402" s="36">
        <f t="shared" si="130"/>
        <v>6.8287037037036979E-3</v>
      </c>
      <c r="L402" s="36">
        <f t="shared" si="130"/>
        <v>7.8703703703703609E-3</v>
      </c>
      <c r="M402" s="36">
        <f t="shared" si="130"/>
        <v>1.4699074074074059E-2</v>
      </c>
      <c r="N402" s="36" t="str">
        <f t="shared" si="130"/>
        <v>B737-700</v>
      </c>
      <c r="O402" s="36">
        <f t="shared" si="130"/>
        <v>126</v>
      </c>
      <c r="P402" s="36" t="str">
        <f t="shared" si="130"/>
        <v>MEX</v>
      </c>
      <c r="R402">
        <v>388</v>
      </c>
      <c r="S402" s="36" t="str">
        <f t="shared" si="110"/>
        <v>MEXICO AEREO</v>
      </c>
      <c r="T402" s="36">
        <f t="shared" si="110"/>
        <v>789</v>
      </c>
      <c r="U402" s="73">
        <v>0.34930555555555554</v>
      </c>
      <c r="V402" s="74">
        <v>0.36041666666666666</v>
      </c>
      <c r="W402" s="75">
        <v>1.1111111111111127E-2</v>
      </c>
      <c r="X402" s="74">
        <v>0.3833333333333333</v>
      </c>
      <c r="Y402" s="75">
        <v>2.2916666666666641E-2</v>
      </c>
      <c r="Z402" s="76">
        <v>41747</v>
      </c>
      <c r="AA402" s="36" t="str">
        <f t="shared" si="127"/>
        <v>Internacional</v>
      </c>
      <c r="AB402" s="36">
        <f t="shared" si="127"/>
        <v>1.0343567251461993E-2</v>
      </c>
      <c r="AC402" s="36">
        <f t="shared" si="127"/>
        <v>1.8201754385964913E-2</v>
      </c>
      <c r="AD402" s="36">
        <f t="shared" si="127"/>
        <v>2.8545321637426908E-2</v>
      </c>
      <c r="AE402" s="36" t="str">
        <f t="shared" si="127"/>
        <v>B737-800</v>
      </c>
      <c r="AF402" s="36">
        <f t="shared" si="127"/>
        <v>189</v>
      </c>
      <c r="AG402" s="36" t="str">
        <f t="shared" si="127"/>
        <v>SMF</v>
      </c>
      <c r="AI402">
        <v>388</v>
      </c>
      <c r="AJ402" s="77" t="str">
        <f t="shared" si="129"/>
        <v>MEXICO AEREO</v>
      </c>
      <c r="AK402" s="77">
        <f t="shared" si="129"/>
        <v>785</v>
      </c>
      <c r="AL402" s="78">
        <v>0.24861111111111112</v>
      </c>
      <c r="AM402" s="79">
        <v>0.26250000000000001</v>
      </c>
      <c r="AN402" s="80">
        <v>1.3888888888888895E-2</v>
      </c>
      <c r="AO402" s="79">
        <v>0.28333333333333333</v>
      </c>
      <c r="AP402" s="80">
        <v>2.0833333333333315E-2</v>
      </c>
      <c r="AQ402" s="81">
        <v>41796</v>
      </c>
      <c r="AR402" s="77" t="str">
        <f t="shared" si="131"/>
        <v>Internacional</v>
      </c>
      <c r="AS402" s="77">
        <f t="shared" si="131"/>
        <v>1.1419753086419758E-2</v>
      </c>
      <c r="AT402" s="77">
        <f t="shared" si="131"/>
        <v>2.3263888888888886E-2</v>
      </c>
      <c r="AU402" s="77">
        <f t="shared" si="131"/>
        <v>3.4683641975308641E-2</v>
      </c>
      <c r="AV402" s="77">
        <f t="shared" si="131"/>
        <v>738</v>
      </c>
      <c r="AW402" s="77">
        <f t="shared" si="131"/>
        <v>189</v>
      </c>
      <c r="AX402" s="77" t="str">
        <f t="shared" si="131"/>
        <v>LAX</v>
      </c>
    </row>
    <row r="403" spans="1:50" ht="15.75" thickBot="1" x14ac:dyDescent="0.3">
      <c r="A403">
        <v>389</v>
      </c>
      <c r="B403" s="36" t="str">
        <f t="shared" si="133"/>
        <v>MEXICO AEREO</v>
      </c>
      <c r="C403" s="46">
        <v>215</v>
      </c>
      <c r="D403" s="47">
        <v>0.54375000000000007</v>
      </c>
      <c r="E403" s="47">
        <v>0.5493055555555556</v>
      </c>
      <c r="F403" s="48">
        <v>5.5555555555555358E-3</v>
      </c>
      <c r="G403" s="47">
        <v>0.55486111111111114</v>
      </c>
      <c r="H403" s="48">
        <v>5.5555555555555358E-3</v>
      </c>
      <c r="I403" s="49">
        <v>41725</v>
      </c>
      <c r="J403" s="49" t="s">
        <v>19</v>
      </c>
      <c r="K403" s="47">
        <v>5.5555555555555358E-3</v>
      </c>
      <c r="L403" s="47">
        <v>5.5555555555555358E-3</v>
      </c>
      <c r="M403" s="51">
        <v>1.1111111111111072E-2</v>
      </c>
      <c r="N403" s="82" t="s">
        <v>25</v>
      </c>
      <c r="O403" s="36">
        <f t="shared" si="130"/>
        <v>126</v>
      </c>
      <c r="P403" s="36" t="str">
        <f t="shared" si="130"/>
        <v>MEX</v>
      </c>
      <c r="R403">
        <v>389</v>
      </c>
      <c r="S403" s="36" t="str">
        <f t="shared" si="110"/>
        <v>MEXICO AEREO</v>
      </c>
      <c r="T403" s="36">
        <f t="shared" si="110"/>
        <v>789</v>
      </c>
      <c r="U403" s="73">
        <v>0.33402777777777781</v>
      </c>
      <c r="V403" s="74">
        <v>0.34861111111111115</v>
      </c>
      <c r="W403" s="75">
        <v>1.4583333333333337E-2</v>
      </c>
      <c r="X403" s="74">
        <v>0.35555555555555557</v>
      </c>
      <c r="Y403" s="75">
        <v>6.9444444444444198E-3</v>
      </c>
      <c r="Z403" s="76">
        <v>41749</v>
      </c>
      <c r="AA403" s="36" t="str">
        <f t="shared" si="127"/>
        <v>Internacional</v>
      </c>
      <c r="AB403" s="36">
        <f t="shared" si="127"/>
        <v>1.0343567251461993E-2</v>
      </c>
      <c r="AC403" s="36">
        <f t="shared" si="127"/>
        <v>1.8201754385964913E-2</v>
      </c>
      <c r="AD403" s="36">
        <f t="shared" si="127"/>
        <v>2.8545321637426908E-2</v>
      </c>
      <c r="AE403" s="36" t="str">
        <f t="shared" si="127"/>
        <v>B737-800</v>
      </c>
      <c r="AF403" s="36">
        <f t="shared" si="127"/>
        <v>189</v>
      </c>
      <c r="AG403" s="36" t="str">
        <f t="shared" si="127"/>
        <v>SMF</v>
      </c>
      <c r="AI403">
        <v>389</v>
      </c>
      <c r="AJ403" s="77" t="str">
        <f t="shared" si="129"/>
        <v>MEXICO AEREO</v>
      </c>
      <c r="AK403" s="77">
        <f t="shared" si="129"/>
        <v>785</v>
      </c>
      <c r="AL403" s="78">
        <v>0.24722222222222223</v>
      </c>
      <c r="AM403" s="79">
        <v>0.26250000000000001</v>
      </c>
      <c r="AN403" s="80">
        <v>1.5277777777777779E-2</v>
      </c>
      <c r="AO403" s="79">
        <v>0.28333333333333333</v>
      </c>
      <c r="AP403" s="80">
        <v>2.0833333333333315E-2</v>
      </c>
      <c r="AQ403" s="81">
        <v>41797</v>
      </c>
      <c r="AR403" s="77" t="str">
        <f t="shared" si="131"/>
        <v>Internacional</v>
      </c>
      <c r="AS403" s="77">
        <f t="shared" si="131"/>
        <v>1.1419753086419758E-2</v>
      </c>
      <c r="AT403" s="77">
        <f t="shared" si="131"/>
        <v>2.3263888888888886E-2</v>
      </c>
      <c r="AU403" s="77">
        <f t="shared" si="131"/>
        <v>3.4683641975308641E-2</v>
      </c>
      <c r="AV403" s="77">
        <f t="shared" si="131"/>
        <v>738</v>
      </c>
      <c r="AW403" s="77">
        <f t="shared" si="131"/>
        <v>189</v>
      </c>
      <c r="AX403" s="77" t="str">
        <f t="shared" si="131"/>
        <v>LAX</v>
      </c>
    </row>
    <row r="404" spans="1:50" x14ac:dyDescent="0.25">
      <c r="A404">
        <v>390</v>
      </c>
      <c r="B404" s="36" t="str">
        <f t="shared" si="133"/>
        <v>MEXICO AEREO</v>
      </c>
      <c r="C404" s="88">
        <v>214</v>
      </c>
      <c r="D404" s="57">
        <v>0.65625</v>
      </c>
      <c r="E404" s="57">
        <v>0.66388888888888886</v>
      </c>
      <c r="F404" s="58">
        <v>7.6388888888888618E-3</v>
      </c>
      <c r="G404" s="57">
        <v>0.66875000000000007</v>
      </c>
      <c r="H404" s="58">
        <v>4.8611111111112049E-3</v>
      </c>
      <c r="I404" s="59">
        <v>41714</v>
      </c>
      <c r="J404" s="108" t="s">
        <v>19</v>
      </c>
      <c r="K404" s="61">
        <v>7.6388888888888817E-3</v>
      </c>
      <c r="L404" s="61">
        <v>5.9974747474747661E-3</v>
      </c>
      <c r="M404" s="89">
        <v>1.3636363636363648E-2</v>
      </c>
      <c r="N404" s="90" t="s">
        <v>20</v>
      </c>
      <c r="O404" s="91">
        <v>50</v>
      </c>
      <c r="P404" s="92" t="s">
        <v>21</v>
      </c>
      <c r="R404">
        <v>390</v>
      </c>
      <c r="S404" s="36" t="str">
        <f t="shared" si="110"/>
        <v>MEXICO AEREO</v>
      </c>
      <c r="T404" s="36">
        <f t="shared" si="110"/>
        <v>789</v>
      </c>
      <c r="U404" s="73">
        <v>0.33958333333333335</v>
      </c>
      <c r="V404" s="74">
        <v>0.35069444444444442</v>
      </c>
      <c r="W404" s="75">
        <v>1.1111111111111072E-2</v>
      </c>
      <c r="X404" s="74">
        <v>0.36527777777777781</v>
      </c>
      <c r="Y404" s="75">
        <v>1.4583333333333393E-2</v>
      </c>
      <c r="Z404" s="76">
        <v>41750</v>
      </c>
      <c r="AA404" s="36" t="str">
        <f t="shared" si="127"/>
        <v>Internacional</v>
      </c>
      <c r="AB404" s="36">
        <f t="shared" si="127"/>
        <v>1.0343567251461993E-2</v>
      </c>
      <c r="AC404" s="36">
        <f t="shared" si="127"/>
        <v>1.8201754385964913E-2</v>
      </c>
      <c r="AD404" s="36">
        <f t="shared" si="127"/>
        <v>2.8545321637426908E-2</v>
      </c>
      <c r="AE404" s="36" t="str">
        <f t="shared" si="127"/>
        <v>B737-800</v>
      </c>
      <c r="AF404" s="36">
        <f t="shared" si="127"/>
        <v>189</v>
      </c>
      <c r="AG404" s="36" t="str">
        <f t="shared" si="127"/>
        <v>SMF</v>
      </c>
      <c r="AI404">
        <v>390</v>
      </c>
      <c r="AJ404" s="77" t="str">
        <f t="shared" si="129"/>
        <v>MEXICO AEREO</v>
      </c>
      <c r="AK404" s="77">
        <f t="shared" si="129"/>
        <v>785</v>
      </c>
      <c r="AL404" s="78">
        <v>0.2388888888888889</v>
      </c>
      <c r="AM404" s="79">
        <v>0.25</v>
      </c>
      <c r="AN404" s="80">
        <v>1.1111111111111099E-2</v>
      </c>
      <c r="AO404" s="79">
        <v>0.28194444444444444</v>
      </c>
      <c r="AP404" s="80">
        <v>3.1944444444444442E-2</v>
      </c>
      <c r="AQ404" s="81">
        <v>41798</v>
      </c>
      <c r="AR404" s="77" t="str">
        <f t="shared" si="131"/>
        <v>Internacional</v>
      </c>
      <c r="AS404" s="77">
        <f t="shared" si="131"/>
        <v>1.1419753086419758E-2</v>
      </c>
      <c r="AT404" s="77">
        <f t="shared" si="131"/>
        <v>2.3263888888888886E-2</v>
      </c>
      <c r="AU404" s="77">
        <f t="shared" si="131"/>
        <v>3.4683641975308641E-2</v>
      </c>
      <c r="AV404" s="77">
        <f t="shared" si="131"/>
        <v>738</v>
      </c>
      <c r="AW404" s="77">
        <f t="shared" si="131"/>
        <v>189</v>
      </c>
      <c r="AX404" s="77" t="str">
        <f t="shared" si="131"/>
        <v>LAX</v>
      </c>
    </row>
    <row r="405" spans="1:50" x14ac:dyDescent="0.25">
      <c r="A405">
        <v>391</v>
      </c>
      <c r="B405" s="36" t="str">
        <f t="shared" si="133"/>
        <v>MEXICO AEREO</v>
      </c>
      <c r="C405" s="36">
        <f t="shared" si="133"/>
        <v>214</v>
      </c>
      <c r="D405" s="74">
        <v>0.69236111111111109</v>
      </c>
      <c r="E405" s="74">
        <v>0.69652777777777775</v>
      </c>
      <c r="F405" s="75">
        <v>4.1666666666666519E-3</v>
      </c>
      <c r="G405" s="74">
        <v>0.70138888888888884</v>
      </c>
      <c r="H405" s="75">
        <v>4.8611111111110938E-3</v>
      </c>
      <c r="I405" s="76">
        <v>41717</v>
      </c>
      <c r="J405" s="36" t="str">
        <f t="shared" ref="J405:P414" si="134">J404</f>
        <v>Nacional</v>
      </c>
      <c r="K405" s="36">
        <f t="shared" si="134"/>
        <v>7.6388888888888817E-3</v>
      </c>
      <c r="L405" s="36">
        <f t="shared" si="134"/>
        <v>5.9974747474747661E-3</v>
      </c>
      <c r="M405" s="36">
        <f t="shared" si="134"/>
        <v>1.3636363636363648E-2</v>
      </c>
      <c r="N405" s="36" t="str">
        <f t="shared" si="134"/>
        <v>ER4</v>
      </c>
      <c r="O405" s="36">
        <f t="shared" si="134"/>
        <v>50</v>
      </c>
      <c r="P405" s="36" t="str">
        <f t="shared" si="134"/>
        <v>MEX</v>
      </c>
      <c r="R405">
        <v>391</v>
      </c>
      <c r="S405" s="36" t="str">
        <f t="shared" si="110"/>
        <v>MEXICO AEREO</v>
      </c>
      <c r="T405" s="36">
        <f t="shared" si="110"/>
        <v>789</v>
      </c>
      <c r="U405" s="73">
        <v>0.34236111111111112</v>
      </c>
      <c r="V405" s="74">
        <v>0.3520833333333333</v>
      </c>
      <c r="W405" s="75">
        <v>9.7222222222221877E-3</v>
      </c>
      <c r="X405" s="74">
        <v>0.3611111111111111</v>
      </c>
      <c r="Y405" s="75">
        <v>9.0277777777778012E-3</v>
      </c>
      <c r="Z405" s="76">
        <v>41751</v>
      </c>
      <c r="AA405" s="36" t="str">
        <f t="shared" si="127"/>
        <v>Internacional</v>
      </c>
      <c r="AB405" s="36">
        <f t="shared" si="127"/>
        <v>1.0343567251461993E-2</v>
      </c>
      <c r="AC405" s="36">
        <f t="shared" si="127"/>
        <v>1.8201754385964913E-2</v>
      </c>
      <c r="AD405" s="36">
        <f t="shared" si="127"/>
        <v>2.8545321637426908E-2</v>
      </c>
      <c r="AE405" s="36" t="str">
        <f t="shared" si="127"/>
        <v>B737-800</v>
      </c>
      <c r="AF405" s="36">
        <f t="shared" si="127"/>
        <v>189</v>
      </c>
      <c r="AG405" s="36" t="str">
        <f t="shared" si="127"/>
        <v>SMF</v>
      </c>
      <c r="AI405">
        <v>391</v>
      </c>
      <c r="AJ405" s="77" t="str">
        <f t="shared" si="129"/>
        <v>MEXICO AEREO</v>
      </c>
      <c r="AK405" s="77">
        <f t="shared" si="129"/>
        <v>785</v>
      </c>
      <c r="AL405" s="78">
        <v>0.2388888888888889</v>
      </c>
      <c r="AM405" s="79">
        <v>0.25625000000000003</v>
      </c>
      <c r="AN405" s="80">
        <v>1.7361111111111133E-2</v>
      </c>
      <c r="AO405" s="79">
        <v>0.28750000000000003</v>
      </c>
      <c r="AP405" s="80">
        <v>3.125E-2</v>
      </c>
      <c r="AQ405" s="81">
        <v>41800</v>
      </c>
      <c r="AR405" s="77" t="str">
        <f t="shared" si="131"/>
        <v>Internacional</v>
      </c>
      <c r="AS405" s="77">
        <f t="shared" si="131"/>
        <v>1.1419753086419758E-2</v>
      </c>
      <c r="AT405" s="77">
        <f t="shared" si="131"/>
        <v>2.3263888888888886E-2</v>
      </c>
      <c r="AU405" s="77">
        <f t="shared" si="131"/>
        <v>3.4683641975308641E-2</v>
      </c>
      <c r="AV405" s="77">
        <f t="shared" si="131"/>
        <v>738</v>
      </c>
      <c r="AW405" s="77">
        <f t="shared" si="131"/>
        <v>189</v>
      </c>
      <c r="AX405" s="77" t="str">
        <f t="shared" si="131"/>
        <v>LAX</v>
      </c>
    </row>
    <row r="406" spans="1:50" x14ac:dyDescent="0.25">
      <c r="A406">
        <v>392</v>
      </c>
      <c r="B406" s="36" t="str">
        <f t="shared" si="133"/>
        <v>MEXICO AEREO</v>
      </c>
      <c r="C406" s="36">
        <f t="shared" si="133"/>
        <v>214</v>
      </c>
      <c r="D406" s="74">
        <v>0.67708333333333337</v>
      </c>
      <c r="E406" s="74">
        <v>0.68263888888888891</v>
      </c>
      <c r="F406" s="75">
        <v>5.5555555555555358E-3</v>
      </c>
      <c r="G406" s="74">
        <v>0.68888888888888899</v>
      </c>
      <c r="H406" s="75">
        <v>6.2500000000000888E-3</v>
      </c>
      <c r="I406" s="76">
        <v>41720</v>
      </c>
      <c r="J406" s="36" t="str">
        <f t="shared" si="134"/>
        <v>Nacional</v>
      </c>
      <c r="K406" s="36">
        <f t="shared" si="134"/>
        <v>7.6388888888888817E-3</v>
      </c>
      <c r="L406" s="36">
        <f t="shared" si="134"/>
        <v>5.9974747474747661E-3</v>
      </c>
      <c r="M406" s="36">
        <f t="shared" si="134"/>
        <v>1.3636363636363648E-2</v>
      </c>
      <c r="N406" s="36" t="str">
        <f t="shared" si="134"/>
        <v>ER4</v>
      </c>
      <c r="O406" s="36">
        <f t="shared" si="134"/>
        <v>50</v>
      </c>
      <c r="P406" s="36" t="str">
        <f t="shared" si="134"/>
        <v>MEX</v>
      </c>
      <c r="R406">
        <v>392</v>
      </c>
      <c r="S406" s="36" t="str">
        <f t="shared" si="110"/>
        <v>MEXICO AEREO</v>
      </c>
      <c r="T406" s="36">
        <f t="shared" si="110"/>
        <v>789</v>
      </c>
      <c r="U406" s="73">
        <v>0.34236111111111112</v>
      </c>
      <c r="V406" s="74">
        <v>0.3520833333333333</v>
      </c>
      <c r="W406" s="75">
        <v>9.7222222222221877E-3</v>
      </c>
      <c r="X406" s="74">
        <v>0.3611111111111111</v>
      </c>
      <c r="Y406" s="75">
        <v>9.0277777777778012E-3</v>
      </c>
      <c r="Z406" s="76">
        <v>41751</v>
      </c>
      <c r="AA406" s="36" t="str">
        <f t="shared" si="127"/>
        <v>Internacional</v>
      </c>
      <c r="AB406" s="36">
        <f t="shared" si="127"/>
        <v>1.0343567251461993E-2</v>
      </c>
      <c r="AC406" s="36">
        <f t="shared" si="127"/>
        <v>1.8201754385964913E-2</v>
      </c>
      <c r="AD406" s="36">
        <f t="shared" si="127"/>
        <v>2.8545321637426908E-2</v>
      </c>
      <c r="AE406" s="36" t="str">
        <f t="shared" si="127"/>
        <v>B737-800</v>
      </c>
      <c r="AF406" s="36">
        <f t="shared" si="127"/>
        <v>189</v>
      </c>
      <c r="AG406" s="36" t="str">
        <f t="shared" si="127"/>
        <v>SMF</v>
      </c>
      <c r="AI406">
        <v>392</v>
      </c>
      <c r="AJ406" s="77" t="str">
        <f t="shared" si="129"/>
        <v>MEXICO AEREO</v>
      </c>
      <c r="AK406" s="77">
        <f t="shared" si="129"/>
        <v>785</v>
      </c>
      <c r="AL406" s="78">
        <v>0.53680555555555554</v>
      </c>
      <c r="AM406" s="79">
        <v>0.5444444444444444</v>
      </c>
      <c r="AN406" s="80">
        <v>7.6388888888888618E-3</v>
      </c>
      <c r="AO406" s="79">
        <v>0.55763888888888891</v>
      </c>
      <c r="AP406" s="80">
        <v>1.3194444444444509E-2</v>
      </c>
      <c r="AQ406" s="81">
        <v>41802</v>
      </c>
      <c r="AR406" s="77" t="str">
        <f t="shared" si="131"/>
        <v>Internacional</v>
      </c>
      <c r="AS406" s="77">
        <f t="shared" si="131"/>
        <v>1.1419753086419758E-2</v>
      </c>
      <c r="AT406" s="77">
        <f t="shared" si="131"/>
        <v>2.3263888888888886E-2</v>
      </c>
      <c r="AU406" s="77">
        <f t="shared" si="131"/>
        <v>3.4683641975308641E-2</v>
      </c>
      <c r="AV406" s="77">
        <f t="shared" si="131"/>
        <v>738</v>
      </c>
      <c r="AW406" s="77">
        <f t="shared" si="131"/>
        <v>189</v>
      </c>
      <c r="AX406" s="77" t="str">
        <f t="shared" si="131"/>
        <v>LAX</v>
      </c>
    </row>
    <row r="407" spans="1:50" x14ac:dyDescent="0.25">
      <c r="A407">
        <v>393</v>
      </c>
      <c r="B407" s="36" t="str">
        <f t="shared" si="133"/>
        <v>MEXICO AEREO</v>
      </c>
      <c r="C407" s="36">
        <f t="shared" si="133"/>
        <v>214</v>
      </c>
      <c r="D407" s="74">
        <v>0.64513888888888882</v>
      </c>
      <c r="E407" s="74">
        <v>0.6479166666666667</v>
      </c>
      <c r="F407" s="75">
        <v>2.7777777777778789E-3</v>
      </c>
      <c r="G407" s="74">
        <v>0.65069444444444446</v>
      </c>
      <c r="H407" s="75">
        <v>2.7777777777777679E-3</v>
      </c>
      <c r="I407" s="76">
        <v>41721</v>
      </c>
      <c r="J407" s="36" t="str">
        <f t="shared" si="134"/>
        <v>Nacional</v>
      </c>
      <c r="K407" s="36">
        <f t="shared" si="134"/>
        <v>7.6388888888888817E-3</v>
      </c>
      <c r="L407" s="36">
        <f t="shared" si="134"/>
        <v>5.9974747474747661E-3</v>
      </c>
      <c r="M407" s="36">
        <f t="shared" si="134"/>
        <v>1.3636363636363648E-2</v>
      </c>
      <c r="N407" s="36" t="str">
        <f t="shared" si="134"/>
        <v>ER4</v>
      </c>
      <c r="O407" s="36">
        <f t="shared" si="134"/>
        <v>50</v>
      </c>
      <c r="P407" s="36" t="str">
        <f t="shared" si="134"/>
        <v>MEX</v>
      </c>
      <c r="R407">
        <v>393</v>
      </c>
      <c r="S407" s="36" t="str">
        <f t="shared" si="110"/>
        <v>MEXICO AEREO</v>
      </c>
      <c r="T407" s="36">
        <f t="shared" si="110"/>
        <v>789</v>
      </c>
      <c r="U407" s="73">
        <v>0.33888888888888885</v>
      </c>
      <c r="V407" s="74">
        <v>0.35000000000000003</v>
      </c>
      <c r="W407" s="75">
        <v>1.1111111111111183E-2</v>
      </c>
      <c r="X407" s="74">
        <v>0.36736111111111108</v>
      </c>
      <c r="Y407" s="75">
        <v>1.7361111111111049E-2</v>
      </c>
      <c r="Z407" s="76">
        <v>41753</v>
      </c>
      <c r="AA407" s="36" t="str">
        <f t="shared" si="127"/>
        <v>Internacional</v>
      </c>
      <c r="AB407" s="36">
        <f t="shared" si="127"/>
        <v>1.0343567251461993E-2</v>
      </c>
      <c r="AC407" s="36">
        <f t="shared" si="127"/>
        <v>1.8201754385964913E-2</v>
      </c>
      <c r="AD407" s="36">
        <f t="shared" si="127"/>
        <v>2.8545321637426908E-2</v>
      </c>
      <c r="AE407" s="36" t="str">
        <f t="shared" si="127"/>
        <v>B737-800</v>
      </c>
      <c r="AF407" s="36">
        <f t="shared" si="127"/>
        <v>189</v>
      </c>
      <c r="AG407" s="36" t="str">
        <f t="shared" si="127"/>
        <v>SMF</v>
      </c>
      <c r="AI407">
        <v>393</v>
      </c>
      <c r="AJ407" s="77" t="str">
        <f t="shared" si="129"/>
        <v>MEXICO AEREO</v>
      </c>
      <c r="AK407" s="77">
        <f t="shared" si="129"/>
        <v>785</v>
      </c>
      <c r="AL407" s="78">
        <v>0.52847222222222223</v>
      </c>
      <c r="AM407" s="79">
        <v>0.53541666666666665</v>
      </c>
      <c r="AN407" s="80">
        <v>6.9444444444444198E-3</v>
      </c>
      <c r="AO407" s="79">
        <v>0.54166666666666663</v>
      </c>
      <c r="AP407" s="80">
        <v>6.2499999999999778E-3</v>
      </c>
      <c r="AQ407" s="81">
        <v>41803</v>
      </c>
      <c r="AR407" s="77" t="str">
        <f t="shared" si="131"/>
        <v>Internacional</v>
      </c>
      <c r="AS407" s="77">
        <f t="shared" si="131"/>
        <v>1.1419753086419758E-2</v>
      </c>
      <c r="AT407" s="77">
        <f t="shared" si="131"/>
        <v>2.3263888888888886E-2</v>
      </c>
      <c r="AU407" s="77">
        <f t="shared" si="131"/>
        <v>3.4683641975308641E-2</v>
      </c>
      <c r="AV407" s="77">
        <f t="shared" si="131"/>
        <v>738</v>
      </c>
      <c r="AW407" s="77">
        <f t="shared" si="131"/>
        <v>189</v>
      </c>
      <c r="AX407" s="77" t="str">
        <f t="shared" si="131"/>
        <v>LAX</v>
      </c>
    </row>
    <row r="408" spans="1:50" x14ac:dyDescent="0.25">
      <c r="A408">
        <v>394</v>
      </c>
      <c r="B408" s="36" t="str">
        <f t="shared" si="133"/>
        <v>MEXICO AEREO</v>
      </c>
      <c r="C408" s="36">
        <f t="shared" si="133"/>
        <v>214</v>
      </c>
      <c r="D408" s="74">
        <v>0.64583333333333337</v>
      </c>
      <c r="E408" s="74">
        <v>0.66388888888888886</v>
      </c>
      <c r="F408" s="75">
        <v>1.8055555555555491E-2</v>
      </c>
      <c r="G408" s="74">
        <v>0.66875000000000007</v>
      </c>
      <c r="H408" s="75">
        <v>4.8611111111112049E-3</v>
      </c>
      <c r="I408" s="76">
        <v>41722</v>
      </c>
      <c r="J408" s="36" t="str">
        <f t="shared" si="134"/>
        <v>Nacional</v>
      </c>
      <c r="K408" s="36">
        <f t="shared" si="134"/>
        <v>7.6388888888888817E-3</v>
      </c>
      <c r="L408" s="36">
        <f t="shared" si="134"/>
        <v>5.9974747474747661E-3</v>
      </c>
      <c r="M408" s="36">
        <f t="shared" si="134"/>
        <v>1.3636363636363648E-2</v>
      </c>
      <c r="N408" s="36" t="str">
        <f t="shared" si="134"/>
        <v>ER4</v>
      </c>
      <c r="O408" s="36">
        <f t="shared" si="134"/>
        <v>50</v>
      </c>
      <c r="P408" s="36" t="str">
        <f t="shared" si="134"/>
        <v>MEX</v>
      </c>
      <c r="R408">
        <v>394</v>
      </c>
      <c r="S408" s="36" t="str">
        <f t="shared" si="110"/>
        <v>MEXICO AEREO</v>
      </c>
      <c r="T408" s="36">
        <f t="shared" si="110"/>
        <v>789</v>
      </c>
      <c r="U408" s="73">
        <v>0.35069444444444442</v>
      </c>
      <c r="V408" s="74">
        <v>0.36458333333333331</v>
      </c>
      <c r="W408" s="75">
        <v>1.3888888888888895E-2</v>
      </c>
      <c r="X408" s="74">
        <v>0.38194444444444442</v>
      </c>
      <c r="Y408" s="75">
        <v>1.7361111111111105E-2</v>
      </c>
      <c r="Z408" s="76">
        <v>41754</v>
      </c>
      <c r="AA408" s="36" t="str">
        <f t="shared" si="127"/>
        <v>Internacional</v>
      </c>
      <c r="AB408" s="36">
        <f t="shared" si="127"/>
        <v>1.0343567251461993E-2</v>
      </c>
      <c r="AC408" s="36">
        <f t="shared" si="127"/>
        <v>1.8201754385964913E-2</v>
      </c>
      <c r="AD408" s="36">
        <f t="shared" si="127"/>
        <v>2.8545321637426908E-2</v>
      </c>
      <c r="AE408" s="36" t="str">
        <f t="shared" si="127"/>
        <v>B737-800</v>
      </c>
      <c r="AF408" s="36">
        <f t="shared" si="127"/>
        <v>189</v>
      </c>
      <c r="AG408" s="36" t="str">
        <f t="shared" si="127"/>
        <v>SMF</v>
      </c>
      <c r="AI408">
        <v>394</v>
      </c>
      <c r="AJ408" s="77" t="str">
        <f t="shared" si="129"/>
        <v>MEXICO AEREO</v>
      </c>
      <c r="AK408" s="77">
        <f t="shared" si="129"/>
        <v>785</v>
      </c>
      <c r="AL408" s="78">
        <v>0.45763888888888887</v>
      </c>
      <c r="AM408" s="79">
        <v>0.4680555555555555</v>
      </c>
      <c r="AN408" s="80">
        <v>1.041666666666663E-2</v>
      </c>
      <c r="AO408" s="79">
        <v>0.47430555555555554</v>
      </c>
      <c r="AP408" s="80">
        <v>6.2500000000000333E-3</v>
      </c>
      <c r="AQ408" s="81">
        <v>41804</v>
      </c>
      <c r="AR408" s="77" t="str">
        <f t="shared" si="131"/>
        <v>Internacional</v>
      </c>
      <c r="AS408" s="77">
        <f t="shared" si="131"/>
        <v>1.1419753086419758E-2</v>
      </c>
      <c r="AT408" s="77">
        <f t="shared" si="131"/>
        <v>2.3263888888888886E-2</v>
      </c>
      <c r="AU408" s="77">
        <f t="shared" si="131"/>
        <v>3.4683641975308641E-2</v>
      </c>
      <c r="AV408" s="77">
        <f t="shared" si="131"/>
        <v>738</v>
      </c>
      <c r="AW408" s="77">
        <f t="shared" si="131"/>
        <v>189</v>
      </c>
      <c r="AX408" s="77" t="str">
        <f t="shared" si="131"/>
        <v>LAX</v>
      </c>
    </row>
    <row r="409" spans="1:50" x14ac:dyDescent="0.25">
      <c r="A409">
        <v>395</v>
      </c>
      <c r="B409" s="36" t="str">
        <f t="shared" si="133"/>
        <v>MEXICO AEREO</v>
      </c>
      <c r="C409" s="36">
        <f t="shared" si="133"/>
        <v>214</v>
      </c>
      <c r="D409" s="74">
        <v>0.77569444444444446</v>
      </c>
      <c r="E409" s="74">
        <v>0.78680555555555554</v>
      </c>
      <c r="F409" s="75">
        <v>1.1111111111111072E-2</v>
      </c>
      <c r="G409" s="74">
        <v>0.79791666666666661</v>
      </c>
      <c r="H409" s="75">
        <v>1.1111111111111072E-2</v>
      </c>
      <c r="I409" s="76">
        <v>41725</v>
      </c>
      <c r="J409" s="36" t="str">
        <f t="shared" si="134"/>
        <v>Nacional</v>
      </c>
      <c r="K409" s="36">
        <f t="shared" si="134"/>
        <v>7.6388888888888817E-3</v>
      </c>
      <c r="L409" s="36">
        <f t="shared" si="134"/>
        <v>5.9974747474747661E-3</v>
      </c>
      <c r="M409" s="36">
        <f t="shared" si="134"/>
        <v>1.3636363636363648E-2</v>
      </c>
      <c r="N409" s="36" t="str">
        <f t="shared" si="134"/>
        <v>ER4</v>
      </c>
      <c r="O409" s="36">
        <f t="shared" si="134"/>
        <v>50</v>
      </c>
      <c r="P409" s="36" t="str">
        <f t="shared" si="134"/>
        <v>MEX</v>
      </c>
      <c r="R409">
        <v>395</v>
      </c>
      <c r="S409" s="36" t="str">
        <f t="shared" si="110"/>
        <v>MEXICO AEREO</v>
      </c>
      <c r="T409" s="36">
        <f t="shared" si="110"/>
        <v>789</v>
      </c>
      <c r="U409" s="73">
        <v>0.33124999999999999</v>
      </c>
      <c r="V409" s="74">
        <v>0.34027777777777773</v>
      </c>
      <c r="W409" s="75">
        <v>9.0277777777777457E-3</v>
      </c>
      <c r="X409" s="74">
        <v>0.3611111111111111</v>
      </c>
      <c r="Y409" s="75">
        <v>2.083333333333337E-2</v>
      </c>
      <c r="Z409" s="76">
        <v>41756</v>
      </c>
      <c r="AA409" s="36" t="str">
        <f t="shared" si="127"/>
        <v>Internacional</v>
      </c>
      <c r="AB409" s="36">
        <f t="shared" si="127"/>
        <v>1.0343567251461993E-2</v>
      </c>
      <c r="AC409" s="36">
        <f t="shared" si="127"/>
        <v>1.8201754385964913E-2</v>
      </c>
      <c r="AD409" s="36">
        <f t="shared" si="127"/>
        <v>2.8545321637426908E-2</v>
      </c>
      <c r="AE409" s="36" t="str">
        <f t="shared" si="127"/>
        <v>B737-800</v>
      </c>
      <c r="AF409" s="36">
        <f t="shared" si="127"/>
        <v>189</v>
      </c>
      <c r="AG409" s="36" t="str">
        <f t="shared" si="127"/>
        <v>SMF</v>
      </c>
      <c r="AI409">
        <v>395</v>
      </c>
      <c r="AJ409" s="77" t="str">
        <f t="shared" si="129"/>
        <v>MEXICO AEREO</v>
      </c>
      <c r="AK409" s="77">
        <f t="shared" si="129"/>
        <v>785</v>
      </c>
      <c r="AL409" s="78">
        <v>0.6777777777777777</v>
      </c>
      <c r="AM409" s="79">
        <v>0.68402777777777779</v>
      </c>
      <c r="AN409" s="80">
        <v>6.2500000000000888E-3</v>
      </c>
      <c r="AO409" s="79">
        <v>0.69097222222222221</v>
      </c>
      <c r="AP409" s="80">
        <v>6.9444444444444198E-3</v>
      </c>
      <c r="AQ409" s="81">
        <v>41805</v>
      </c>
      <c r="AR409" s="77" t="str">
        <f t="shared" si="131"/>
        <v>Internacional</v>
      </c>
      <c r="AS409" s="77">
        <f t="shared" si="131"/>
        <v>1.1419753086419758E-2</v>
      </c>
      <c r="AT409" s="77">
        <f t="shared" si="131"/>
        <v>2.3263888888888886E-2</v>
      </c>
      <c r="AU409" s="77">
        <f t="shared" si="131"/>
        <v>3.4683641975308641E-2</v>
      </c>
      <c r="AV409" s="77">
        <f t="shared" si="131"/>
        <v>738</v>
      </c>
      <c r="AW409" s="77">
        <f t="shared" si="131"/>
        <v>189</v>
      </c>
      <c r="AX409" s="77" t="str">
        <f t="shared" si="131"/>
        <v>LAX</v>
      </c>
    </row>
    <row r="410" spans="1:50" x14ac:dyDescent="0.25">
      <c r="A410">
        <v>396</v>
      </c>
      <c r="B410" s="36" t="str">
        <f t="shared" si="133"/>
        <v>MEXICO AEREO</v>
      </c>
      <c r="C410" s="36">
        <f t="shared" si="133"/>
        <v>214</v>
      </c>
      <c r="D410" s="74">
        <v>0.65694444444444444</v>
      </c>
      <c r="E410" s="74">
        <v>0.6645833333333333</v>
      </c>
      <c r="F410" s="75">
        <v>7.6388888888888618E-3</v>
      </c>
      <c r="G410" s="74">
        <v>0.66805555555555562</v>
      </c>
      <c r="H410" s="75">
        <v>3.4722222222223209E-3</v>
      </c>
      <c r="I410" s="76">
        <v>41725</v>
      </c>
      <c r="J410" s="36" t="str">
        <f t="shared" si="134"/>
        <v>Nacional</v>
      </c>
      <c r="K410" s="36">
        <f t="shared" si="134"/>
        <v>7.6388888888888817E-3</v>
      </c>
      <c r="L410" s="36">
        <f t="shared" si="134"/>
        <v>5.9974747474747661E-3</v>
      </c>
      <c r="M410" s="36">
        <f t="shared" si="134"/>
        <v>1.3636363636363648E-2</v>
      </c>
      <c r="N410" s="36" t="str">
        <f t="shared" si="134"/>
        <v>ER4</v>
      </c>
      <c r="O410" s="36">
        <f t="shared" si="134"/>
        <v>50</v>
      </c>
      <c r="P410" s="36" t="str">
        <f t="shared" si="134"/>
        <v>MEX</v>
      </c>
      <c r="R410">
        <v>396</v>
      </c>
      <c r="S410" s="36" t="str">
        <f t="shared" si="110"/>
        <v>MEXICO AEREO</v>
      </c>
      <c r="T410" s="36">
        <f t="shared" si="110"/>
        <v>789</v>
      </c>
      <c r="U410" s="73">
        <v>0.39097222222222222</v>
      </c>
      <c r="V410" s="74">
        <v>0.40416666666666662</v>
      </c>
      <c r="W410" s="75">
        <v>1.3194444444444398E-2</v>
      </c>
      <c r="X410" s="74">
        <v>0.42638888888888887</v>
      </c>
      <c r="Y410" s="75">
        <v>2.2222222222222254E-2</v>
      </c>
      <c r="Z410" s="76">
        <v>41757</v>
      </c>
      <c r="AA410" s="36" t="str">
        <f t="shared" si="127"/>
        <v>Internacional</v>
      </c>
      <c r="AB410" s="36">
        <f t="shared" si="127"/>
        <v>1.0343567251461993E-2</v>
      </c>
      <c r="AC410" s="36">
        <f t="shared" si="127"/>
        <v>1.8201754385964913E-2</v>
      </c>
      <c r="AD410" s="36">
        <f t="shared" si="127"/>
        <v>2.8545321637426908E-2</v>
      </c>
      <c r="AE410" s="36" t="str">
        <f t="shared" si="127"/>
        <v>B737-800</v>
      </c>
      <c r="AF410" s="36">
        <f t="shared" si="127"/>
        <v>189</v>
      </c>
      <c r="AG410" s="36" t="str">
        <f t="shared" si="127"/>
        <v>SMF</v>
      </c>
      <c r="AI410">
        <v>396</v>
      </c>
      <c r="AJ410" s="77" t="str">
        <f t="shared" si="129"/>
        <v>MEXICO AEREO</v>
      </c>
      <c r="AK410" s="77">
        <f t="shared" si="129"/>
        <v>785</v>
      </c>
      <c r="AL410" s="78">
        <v>0.43958333333333338</v>
      </c>
      <c r="AM410" s="79">
        <v>0.45</v>
      </c>
      <c r="AN410" s="80">
        <v>1.041666666666663E-2</v>
      </c>
      <c r="AO410" s="79">
        <v>0.45694444444444443</v>
      </c>
      <c r="AP410" s="80">
        <v>6.9444444444444198E-3</v>
      </c>
      <c r="AQ410" s="81">
        <v>41807</v>
      </c>
      <c r="AR410" s="77" t="str">
        <f t="shared" si="131"/>
        <v>Internacional</v>
      </c>
      <c r="AS410" s="77">
        <f t="shared" si="131"/>
        <v>1.1419753086419758E-2</v>
      </c>
      <c r="AT410" s="77">
        <f t="shared" si="131"/>
        <v>2.3263888888888886E-2</v>
      </c>
      <c r="AU410" s="77">
        <f t="shared" si="131"/>
        <v>3.4683641975308641E-2</v>
      </c>
      <c r="AV410" s="77">
        <f t="shared" si="131"/>
        <v>738</v>
      </c>
      <c r="AW410" s="77">
        <f t="shared" si="131"/>
        <v>189</v>
      </c>
      <c r="AX410" s="77" t="str">
        <f t="shared" si="131"/>
        <v>LAX</v>
      </c>
    </row>
    <row r="411" spans="1:50" x14ac:dyDescent="0.25">
      <c r="A411">
        <v>397</v>
      </c>
      <c r="B411" s="36" t="str">
        <f t="shared" si="133"/>
        <v>MEXICO AEREO</v>
      </c>
      <c r="C411" s="36">
        <f t="shared" si="133"/>
        <v>214</v>
      </c>
      <c r="D411" s="74">
        <v>0.65694444444444444</v>
      </c>
      <c r="E411" s="74">
        <v>0.66388888888888886</v>
      </c>
      <c r="F411" s="75">
        <v>6.9444444444444198E-3</v>
      </c>
      <c r="G411" s="74">
        <v>0.66666666666666663</v>
      </c>
      <c r="H411" s="75">
        <v>2.7777777777777679E-3</v>
      </c>
      <c r="I411" s="76">
        <v>41726</v>
      </c>
      <c r="J411" s="36" t="str">
        <f t="shared" si="134"/>
        <v>Nacional</v>
      </c>
      <c r="K411" s="36">
        <f t="shared" si="134"/>
        <v>7.6388888888888817E-3</v>
      </c>
      <c r="L411" s="36">
        <f t="shared" si="134"/>
        <v>5.9974747474747661E-3</v>
      </c>
      <c r="M411" s="36">
        <f t="shared" si="134"/>
        <v>1.3636363636363648E-2</v>
      </c>
      <c r="N411" s="36" t="str">
        <f t="shared" si="134"/>
        <v>ER4</v>
      </c>
      <c r="O411" s="36">
        <f t="shared" si="134"/>
        <v>50</v>
      </c>
      <c r="P411" s="36" t="str">
        <f t="shared" si="134"/>
        <v>MEX</v>
      </c>
      <c r="R411">
        <v>397</v>
      </c>
      <c r="S411" s="36" t="str">
        <f t="shared" si="110"/>
        <v>MEXICO AEREO</v>
      </c>
      <c r="T411" s="36">
        <f t="shared" si="110"/>
        <v>789</v>
      </c>
      <c r="U411" s="73">
        <v>0.3430555555555555</v>
      </c>
      <c r="V411" s="74">
        <v>0.3527777777777778</v>
      </c>
      <c r="W411" s="75">
        <v>9.7222222222222987E-3</v>
      </c>
      <c r="X411" s="74">
        <v>0.39166666666666666</v>
      </c>
      <c r="Y411" s="75">
        <v>3.8888888888888862E-2</v>
      </c>
      <c r="Z411" s="76">
        <v>41758</v>
      </c>
      <c r="AA411" s="36" t="str">
        <f t="shared" si="127"/>
        <v>Internacional</v>
      </c>
      <c r="AB411" s="36">
        <f t="shared" si="127"/>
        <v>1.0343567251461993E-2</v>
      </c>
      <c r="AC411" s="36">
        <f t="shared" si="127"/>
        <v>1.8201754385964913E-2</v>
      </c>
      <c r="AD411" s="36">
        <f t="shared" si="127"/>
        <v>2.8545321637426908E-2</v>
      </c>
      <c r="AE411" s="36" t="str">
        <f t="shared" si="127"/>
        <v>B737-800</v>
      </c>
      <c r="AF411" s="36">
        <f t="shared" si="127"/>
        <v>189</v>
      </c>
      <c r="AG411" s="36" t="str">
        <f t="shared" si="127"/>
        <v>SMF</v>
      </c>
      <c r="AI411">
        <v>397</v>
      </c>
      <c r="AJ411" s="77" t="str">
        <f t="shared" si="129"/>
        <v>MEXICO AEREO</v>
      </c>
      <c r="AK411" s="77">
        <f t="shared" si="129"/>
        <v>785</v>
      </c>
      <c r="AL411" s="78">
        <v>0.22847222222222222</v>
      </c>
      <c r="AM411" s="79">
        <v>0.25208333333333333</v>
      </c>
      <c r="AN411" s="80">
        <v>2.361111111111111E-2</v>
      </c>
      <c r="AO411" s="79">
        <v>0.28263888888888888</v>
      </c>
      <c r="AP411" s="80">
        <v>3.0555555555555558E-2</v>
      </c>
      <c r="AQ411" s="81">
        <v>41808</v>
      </c>
      <c r="AR411" s="77" t="str">
        <f t="shared" si="131"/>
        <v>Internacional</v>
      </c>
      <c r="AS411" s="77">
        <f t="shared" si="131"/>
        <v>1.1419753086419758E-2</v>
      </c>
      <c r="AT411" s="77">
        <f t="shared" si="131"/>
        <v>2.3263888888888886E-2</v>
      </c>
      <c r="AU411" s="77">
        <f t="shared" si="131"/>
        <v>3.4683641975308641E-2</v>
      </c>
      <c r="AV411" s="77">
        <f t="shared" si="131"/>
        <v>738</v>
      </c>
      <c r="AW411" s="77">
        <f t="shared" si="131"/>
        <v>189</v>
      </c>
      <c r="AX411" s="77" t="str">
        <f t="shared" si="131"/>
        <v>LAX</v>
      </c>
    </row>
    <row r="412" spans="1:50" ht="15.75" thickBot="1" x14ac:dyDescent="0.3">
      <c r="A412">
        <v>398</v>
      </c>
      <c r="B412" s="36" t="str">
        <f t="shared" si="133"/>
        <v>MEXICO AEREO</v>
      </c>
      <c r="C412" s="36">
        <f t="shared" si="133"/>
        <v>214</v>
      </c>
      <c r="D412" s="74">
        <v>0.6381944444444444</v>
      </c>
      <c r="E412" s="74">
        <v>0.65</v>
      </c>
      <c r="F412" s="75">
        <v>1.1805555555555625E-2</v>
      </c>
      <c r="G412" s="74">
        <v>0.65833333333333333</v>
      </c>
      <c r="H412" s="75">
        <v>8.3333333333333037E-3</v>
      </c>
      <c r="I412" s="76">
        <v>41727</v>
      </c>
      <c r="J412" s="36" t="str">
        <f t="shared" si="134"/>
        <v>Nacional</v>
      </c>
      <c r="K412" s="36">
        <f t="shared" si="134"/>
        <v>7.6388888888888817E-3</v>
      </c>
      <c r="L412" s="36">
        <f t="shared" si="134"/>
        <v>5.9974747474747661E-3</v>
      </c>
      <c r="M412" s="36">
        <f t="shared" si="134"/>
        <v>1.3636363636363648E-2</v>
      </c>
      <c r="N412" s="36" t="str">
        <f t="shared" si="134"/>
        <v>ER4</v>
      </c>
      <c r="O412" s="36">
        <f t="shared" si="134"/>
        <v>50</v>
      </c>
      <c r="P412" s="36" t="str">
        <f t="shared" si="134"/>
        <v>MEX</v>
      </c>
      <c r="R412">
        <v>398</v>
      </c>
      <c r="S412" s="36" t="str">
        <f t="shared" ref="S412:T412" si="135">S411</f>
        <v>MEXICO AEREO</v>
      </c>
      <c r="T412" s="36">
        <f t="shared" si="135"/>
        <v>789</v>
      </c>
      <c r="U412" s="83">
        <v>0.36944444444444446</v>
      </c>
      <c r="V412" s="84">
        <v>0.3833333333333333</v>
      </c>
      <c r="W412" s="85">
        <v>1.388888888888884E-2</v>
      </c>
      <c r="X412" s="84">
        <v>0.39583333333333331</v>
      </c>
      <c r="Y412" s="85">
        <v>1.2500000000000011E-2</v>
      </c>
      <c r="Z412" s="86">
        <v>41759</v>
      </c>
      <c r="AA412" s="36" t="str">
        <f t="shared" si="127"/>
        <v>Internacional</v>
      </c>
      <c r="AB412" s="36">
        <f t="shared" si="127"/>
        <v>1.0343567251461993E-2</v>
      </c>
      <c r="AC412" s="36">
        <f t="shared" si="127"/>
        <v>1.8201754385964913E-2</v>
      </c>
      <c r="AD412" s="36">
        <f t="shared" si="127"/>
        <v>2.8545321637426908E-2</v>
      </c>
      <c r="AE412" s="36" t="str">
        <f t="shared" si="127"/>
        <v>B737-800</v>
      </c>
      <c r="AF412" s="36">
        <f t="shared" si="127"/>
        <v>189</v>
      </c>
      <c r="AG412" s="36" t="str">
        <f t="shared" si="127"/>
        <v>SMF</v>
      </c>
      <c r="AI412">
        <v>398</v>
      </c>
      <c r="AJ412" s="77" t="str">
        <f t="shared" si="129"/>
        <v>MEXICO AEREO</v>
      </c>
      <c r="AK412" s="77">
        <f t="shared" si="129"/>
        <v>785</v>
      </c>
      <c r="AL412" s="78">
        <v>0.25</v>
      </c>
      <c r="AM412" s="79">
        <v>0.26041666666666669</v>
      </c>
      <c r="AN412" s="80">
        <v>1.0416666666666685E-2</v>
      </c>
      <c r="AO412" s="79">
        <v>0.28263888888888888</v>
      </c>
      <c r="AP412" s="80">
        <v>2.2222222222222199E-2</v>
      </c>
      <c r="AQ412" s="81">
        <v>41811</v>
      </c>
      <c r="AR412" s="77" t="str">
        <f t="shared" si="131"/>
        <v>Internacional</v>
      </c>
      <c r="AS412" s="77">
        <f t="shared" si="131"/>
        <v>1.1419753086419758E-2</v>
      </c>
      <c r="AT412" s="77">
        <f t="shared" si="131"/>
        <v>2.3263888888888886E-2</v>
      </c>
      <c r="AU412" s="77">
        <f t="shared" si="131"/>
        <v>3.4683641975308641E-2</v>
      </c>
      <c r="AV412" s="77">
        <f t="shared" si="131"/>
        <v>738</v>
      </c>
      <c r="AW412" s="77">
        <f t="shared" si="131"/>
        <v>189</v>
      </c>
      <c r="AX412" s="77" t="str">
        <f t="shared" si="131"/>
        <v>LAX</v>
      </c>
    </row>
    <row r="413" spans="1:50" x14ac:dyDescent="0.25">
      <c r="A413">
        <v>399</v>
      </c>
      <c r="B413" s="36" t="str">
        <f t="shared" si="133"/>
        <v>MEXICO AEREO</v>
      </c>
      <c r="C413" s="36">
        <f t="shared" si="133"/>
        <v>214</v>
      </c>
      <c r="D413" s="74">
        <v>0.66319444444444442</v>
      </c>
      <c r="E413" s="74">
        <v>0.66666666666666663</v>
      </c>
      <c r="F413" s="75">
        <v>3.4722222222222099E-3</v>
      </c>
      <c r="G413" s="74">
        <v>0.67013888888888884</v>
      </c>
      <c r="H413" s="75">
        <v>3.4722222222222099E-3</v>
      </c>
      <c r="I413" s="76">
        <v>41729</v>
      </c>
      <c r="J413" s="36" t="str">
        <f t="shared" si="134"/>
        <v>Nacional</v>
      </c>
      <c r="K413" s="36">
        <f t="shared" si="134"/>
        <v>7.6388888888888817E-3</v>
      </c>
      <c r="L413" s="36">
        <f t="shared" si="134"/>
        <v>5.9974747474747661E-3</v>
      </c>
      <c r="M413" s="36">
        <f t="shared" si="134"/>
        <v>1.3636363636363648E-2</v>
      </c>
      <c r="N413" s="36" t="str">
        <f t="shared" si="134"/>
        <v>ER4</v>
      </c>
      <c r="O413" s="36">
        <f t="shared" si="134"/>
        <v>50</v>
      </c>
      <c r="P413" s="36" t="str">
        <f t="shared" si="134"/>
        <v>MEX</v>
      </c>
      <c r="R413">
        <v>399</v>
      </c>
      <c r="S413" s="45" t="s">
        <v>18</v>
      </c>
      <c r="T413" s="55">
        <v>787</v>
      </c>
      <c r="U413" s="56">
        <v>0.33333333333333331</v>
      </c>
      <c r="V413" s="57">
        <v>0.33680555555555558</v>
      </c>
      <c r="W413" s="58">
        <v>3.4722222222222654E-3</v>
      </c>
      <c r="X413" s="57">
        <v>0.36249999999999999</v>
      </c>
      <c r="Y413" s="58">
        <v>2.5694444444444409E-2</v>
      </c>
      <c r="Z413" s="59">
        <v>41739</v>
      </c>
      <c r="AA413" s="60" t="s">
        <v>22</v>
      </c>
      <c r="AB413" s="61">
        <v>9.0277777777777561E-3</v>
      </c>
      <c r="AC413" s="61">
        <v>2.0208333333333349E-2</v>
      </c>
      <c r="AD413" s="62">
        <v>2.9236111111111105E-2</v>
      </c>
      <c r="AE413" s="87" t="s">
        <v>39</v>
      </c>
      <c r="AF413" s="87">
        <v>189</v>
      </c>
      <c r="AG413" s="87" t="s">
        <v>49</v>
      </c>
      <c r="AI413">
        <v>399</v>
      </c>
      <c r="AJ413" s="77" t="str">
        <f t="shared" si="129"/>
        <v>MEXICO AEREO</v>
      </c>
      <c r="AK413" s="77">
        <f t="shared" si="129"/>
        <v>785</v>
      </c>
      <c r="AL413" s="78">
        <v>0.24652777777777779</v>
      </c>
      <c r="AM413" s="79">
        <v>0.25416666666666665</v>
      </c>
      <c r="AN413" s="80">
        <v>7.6388888888888618E-3</v>
      </c>
      <c r="AO413" s="79">
        <v>0.27847222222222223</v>
      </c>
      <c r="AP413" s="80">
        <v>2.430555555555558E-2</v>
      </c>
      <c r="AQ413" s="81">
        <v>41812</v>
      </c>
      <c r="AR413" s="77" t="str">
        <f t="shared" si="131"/>
        <v>Internacional</v>
      </c>
      <c r="AS413" s="77">
        <f t="shared" si="131"/>
        <v>1.1419753086419758E-2</v>
      </c>
      <c r="AT413" s="77">
        <f t="shared" si="131"/>
        <v>2.3263888888888886E-2</v>
      </c>
      <c r="AU413" s="77">
        <f t="shared" si="131"/>
        <v>3.4683641975308641E-2</v>
      </c>
      <c r="AV413" s="77">
        <f t="shared" si="131"/>
        <v>738</v>
      </c>
      <c r="AW413" s="77">
        <f t="shared" si="131"/>
        <v>189</v>
      </c>
      <c r="AX413" s="77" t="str">
        <f t="shared" si="131"/>
        <v>LAX</v>
      </c>
    </row>
    <row r="414" spans="1:50" ht="15.75" thickBot="1" x14ac:dyDescent="0.3">
      <c r="A414">
        <v>400</v>
      </c>
      <c r="B414" s="36" t="str">
        <f t="shared" si="133"/>
        <v>MEXICO AEREO</v>
      </c>
      <c r="C414" s="36">
        <f t="shared" si="133"/>
        <v>214</v>
      </c>
      <c r="D414" s="84">
        <v>0.62430555555555556</v>
      </c>
      <c r="E414" s="84">
        <v>0.62916666666666665</v>
      </c>
      <c r="F414" s="85">
        <v>4.8611111111110938E-3</v>
      </c>
      <c r="G414" s="84">
        <v>0.64236111111111105</v>
      </c>
      <c r="H414" s="85">
        <v>1.3194444444444398E-2</v>
      </c>
      <c r="I414" s="86">
        <v>41725</v>
      </c>
      <c r="J414" s="36" t="str">
        <f t="shared" si="134"/>
        <v>Nacional</v>
      </c>
      <c r="K414" s="36">
        <f t="shared" si="134"/>
        <v>7.6388888888888817E-3</v>
      </c>
      <c r="L414" s="36">
        <f t="shared" si="134"/>
        <v>5.9974747474747661E-3</v>
      </c>
      <c r="M414" s="36">
        <f t="shared" si="134"/>
        <v>1.3636363636363648E-2</v>
      </c>
      <c r="N414" s="36" t="str">
        <f t="shared" si="134"/>
        <v>ER4</v>
      </c>
      <c r="O414" s="36">
        <f t="shared" si="134"/>
        <v>50</v>
      </c>
      <c r="P414" s="36" t="str">
        <f t="shared" si="134"/>
        <v>MEX</v>
      </c>
      <c r="R414">
        <v>400</v>
      </c>
      <c r="S414" s="36" t="str">
        <f t="shared" ref="S414:T477" si="136">S413</f>
        <v>MEXICO AEREO</v>
      </c>
      <c r="T414" s="36">
        <f t="shared" si="136"/>
        <v>787</v>
      </c>
      <c r="U414" s="73">
        <v>0.33611111111111108</v>
      </c>
      <c r="V414" s="74">
        <v>0.34652777777777777</v>
      </c>
      <c r="W414" s="75">
        <v>1.0416666666666685E-2</v>
      </c>
      <c r="X414" s="74">
        <v>0.3666666666666667</v>
      </c>
      <c r="Y414" s="75">
        <v>2.0138888888888928E-2</v>
      </c>
      <c r="Z414" s="76">
        <v>41741</v>
      </c>
      <c r="AA414" s="36" t="str">
        <f t="shared" ref="AA414:AG422" si="137">AA413</f>
        <v>Internacional</v>
      </c>
      <c r="AB414" s="36">
        <f t="shared" si="137"/>
        <v>9.0277777777777561E-3</v>
      </c>
      <c r="AC414" s="36">
        <f t="shared" si="137"/>
        <v>2.0208333333333349E-2</v>
      </c>
      <c r="AD414" s="36">
        <f t="shared" si="137"/>
        <v>2.9236111111111105E-2</v>
      </c>
      <c r="AE414" s="36" t="str">
        <f t="shared" si="137"/>
        <v>B737-800</v>
      </c>
      <c r="AF414" s="36">
        <f t="shared" si="137"/>
        <v>189</v>
      </c>
      <c r="AG414" s="36" t="str">
        <f t="shared" si="137"/>
        <v>FAT</v>
      </c>
      <c r="AI414">
        <v>400</v>
      </c>
      <c r="AJ414" s="77" t="str">
        <f t="shared" si="129"/>
        <v>MEXICO AEREO</v>
      </c>
      <c r="AK414" s="77">
        <f t="shared" si="129"/>
        <v>785</v>
      </c>
      <c r="AL414" s="94">
        <v>0.23055555555555554</v>
      </c>
      <c r="AM414" s="95">
        <v>0.24236111111111111</v>
      </c>
      <c r="AN414" s="96">
        <v>1.1805555555555569E-2</v>
      </c>
      <c r="AO414" s="95">
        <v>0.27777777777777779</v>
      </c>
      <c r="AP414" s="96">
        <v>3.541666666666668E-2</v>
      </c>
      <c r="AQ414" s="97">
        <v>41813</v>
      </c>
      <c r="AR414" s="77" t="str">
        <f t="shared" si="131"/>
        <v>Internacional</v>
      </c>
      <c r="AS414" s="77">
        <f t="shared" si="131"/>
        <v>1.1419753086419758E-2</v>
      </c>
      <c r="AT414" s="77">
        <f t="shared" si="131"/>
        <v>2.3263888888888886E-2</v>
      </c>
      <c r="AU414" s="77">
        <f t="shared" si="131"/>
        <v>3.4683641975308641E-2</v>
      </c>
      <c r="AV414" s="77">
        <f t="shared" si="131"/>
        <v>738</v>
      </c>
      <c r="AW414" s="77">
        <f t="shared" si="131"/>
        <v>189</v>
      </c>
      <c r="AX414" s="77" t="str">
        <f t="shared" si="131"/>
        <v>LAX</v>
      </c>
    </row>
    <row r="415" spans="1:50" x14ac:dyDescent="0.25">
      <c r="A415">
        <v>401</v>
      </c>
      <c r="B415" s="36" t="str">
        <f t="shared" si="133"/>
        <v>MEXICO AEREO</v>
      </c>
      <c r="C415" s="88">
        <v>186</v>
      </c>
      <c r="D415" s="57">
        <v>0.96527777777777779</v>
      </c>
      <c r="E415" s="57">
        <v>0.97152777777777777</v>
      </c>
      <c r="F415" s="58">
        <v>6.2499999999999778E-3</v>
      </c>
      <c r="G415" s="57">
        <v>0.98472222222222217</v>
      </c>
      <c r="H415" s="58">
        <v>1.3194444444444398E-2</v>
      </c>
      <c r="I415" s="59">
        <v>41715</v>
      </c>
      <c r="J415" s="108" t="s">
        <v>19</v>
      </c>
      <c r="K415" s="61">
        <v>7.7777777777777836E-3</v>
      </c>
      <c r="L415" s="61">
        <v>7.569444444444429E-3</v>
      </c>
      <c r="M415" s="89">
        <v>1.5347222222222213E-2</v>
      </c>
      <c r="N415" s="90" t="s">
        <v>45</v>
      </c>
      <c r="O415" s="91">
        <v>126</v>
      </c>
      <c r="P415" s="92" t="s">
        <v>21</v>
      </c>
      <c r="R415">
        <v>401</v>
      </c>
      <c r="S415" s="36" t="str">
        <f t="shared" si="136"/>
        <v>MEXICO AEREO</v>
      </c>
      <c r="T415" s="36">
        <f t="shared" si="136"/>
        <v>787</v>
      </c>
      <c r="U415" s="73">
        <v>0.34583333333333338</v>
      </c>
      <c r="V415" s="74">
        <v>0.35138888888888892</v>
      </c>
      <c r="W415" s="75">
        <v>5.5555555555555358E-3</v>
      </c>
      <c r="X415" s="74">
        <v>0.37291666666666662</v>
      </c>
      <c r="Y415" s="75">
        <v>2.1527777777777701E-2</v>
      </c>
      <c r="Z415" s="76">
        <v>41744</v>
      </c>
      <c r="AA415" s="36" t="str">
        <f t="shared" si="137"/>
        <v>Internacional</v>
      </c>
      <c r="AB415" s="36">
        <f t="shared" si="137"/>
        <v>9.0277777777777561E-3</v>
      </c>
      <c r="AC415" s="36">
        <f t="shared" si="137"/>
        <v>2.0208333333333349E-2</v>
      </c>
      <c r="AD415" s="36">
        <f t="shared" si="137"/>
        <v>2.9236111111111105E-2</v>
      </c>
      <c r="AE415" s="36" t="str">
        <f t="shared" si="137"/>
        <v>B737-800</v>
      </c>
      <c r="AF415" s="36">
        <f t="shared" si="137"/>
        <v>189</v>
      </c>
      <c r="AG415" s="36" t="str">
        <f t="shared" si="137"/>
        <v>FAT</v>
      </c>
      <c r="AI415">
        <v>401</v>
      </c>
      <c r="AJ415" s="77" t="str">
        <f t="shared" si="129"/>
        <v>MEXICO AEREO</v>
      </c>
      <c r="AK415" s="63">
        <v>783</v>
      </c>
      <c r="AL415" s="64">
        <v>0.72083333333333333</v>
      </c>
      <c r="AM415" s="65">
        <v>0.73055555555555562</v>
      </c>
      <c r="AN415" s="66">
        <v>9.7222222222222987E-3</v>
      </c>
      <c r="AO415" s="65">
        <v>0.74722222222222223</v>
      </c>
      <c r="AP415" s="66">
        <v>1.6666666666666607E-2</v>
      </c>
      <c r="AQ415" s="67">
        <v>41791</v>
      </c>
      <c r="AR415" s="68" t="s">
        <v>22</v>
      </c>
      <c r="AS415" s="69">
        <v>9.2261904761904729E-3</v>
      </c>
      <c r="AT415" s="70">
        <v>1.7096560846560842E-2</v>
      </c>
      <c r="AU415" s="70">
        <v>2.6322751322751317E-2</v>
      </c>
      <c r="AV415" s="71">
        <v>738</v>
      </c>
      <c r="AW415" s="71">
        <v>189</v>
      </c>
      <c r="AX415" s="72" t="s">
        <v>40</v>
      </c>
    </row>
    <row r="416" spans="1:50" x14ac:dyDescent="0.25">
      <c r="A416">
        <v>402</v>
      </c>
      <c r="B416" s="36" t="str">
        <f t="shared" si="133"/>
        <v>MEXICO AEREO</v>
      </c>
      <c r="C416" s="36">
        <f t="shared" si="133"/>
        <v>186</v>
      </c>
      <c r="D416" s="74">
        <v>0.95763888888888893</v>
      </c>
      <c r="E416" s="74">
        <v>0.9604166666666667</v>
      </c>
      <c r="F416" s="75">
        <v>2.7777777777777679E-3</v>
      </c>
      <c r="G416" s="74">
        <v>0.96458333333333324</v>
      </c>
      <c r="H416" s="75">
        <v>4.1666666666665408E-3</v>
      </c>
      <c r="I416" s="76">
        <v>41716</v>
      </c>
      <c r="J416" s="36" t="str">
        <f t="shared" ref="J416:P424" si="138">J415</f>
        <v>Nacional</v>
      </c>
      <c r="K416" s="36">
        <f t="shared" si="138"/>
        <v>7.7777777777777836E-3</v>
      </c>
      <c r="L416" s="36">
        <f t="shared" si="138"/>
        <v>7.569444444444429E-3</v>
      </c>
      <c r="M416" s="36">
        <f t="shared" si="138"/>
        <v>1.5347222222222213E-2</v>
      </c>
      <c r="N416" s="36" t="str">
        <f t="shared" si="138"/>
        <v>B737-700</v>
      </c>
      <c r="O416" s="36">
        <f t="shared" si="138"/>
        <v>126</v>
      </c>
      <c r="P416" s="36" t="str">
        <f t="shared" si="138"/>
        <v>MEX</v>
      </c>
      <c r="R416">
        <v>402</v>
      </c>
      <c r="S416" s="36" t="str">
        <f t="shared" si="136"/>
        <v>MEXICO AEREO</v>
      </c>
      <c r="T416" s="36">
        <f t="shared" si="136"/>
        <v>787</v>
      </c>
      <c r="U416" s="73">
        <v>0.32916666666666666</v>
      </c>
      <c r="V416" s="74">
        <v>0.33819444444444446</v>
      </c>
      <c r="W416" s="75">
        <v>9.0277777777778012E-3</v>
      </c>
      <c r="X416" s="74">
        <v>0.35972222222222222</v>
      </c>
      <c r="Y416" s="75">
        <v>2.1527777777777757E-2</v>
      </c>
      <c r="Z416" s="76">
        <v>41746</v>
      </c>
      <c r="AA416" s="36" t="str">
        <f t="shared" si="137"/>
        <v>Internacional</v>
      </c>
      <c r="AB416" s="36">
        <f t="shared" si="137"/>
        <v>9.0277777777777561E-3</v>
      </c>
      <c r="AC416" s="36">
        <f t="shared" si="137"/>
        <v>2.0208333333333349E-2</v>
      </c>
      <c r="AD416" s="36">
        <f t="shared" si="137"/>
        <v>2.9236111111111105E-2</v>
      </c>
      <c r="AE416" s="36" t="str">
        <f t="shared" si="137"/>
        <v>B737-800</v>
      </c>
      <c r="AF416" s="36">
        <f t="shared" si="137"/>
        <v>189</v>
      </c>
      <c r="AG416" s="36" t="str">
        <f t="shared" si="137"/>
        <v>FAT</v>
      </c>
      <c r="AI416">
        <v>402</v>
      </c>
      <c r="AJ416" s="77" t="str">
        <f t="shared" si="129"/>
        <v>MEXICO AEREO</v>
      </c>
      <c r="AK416" s="77">
        <f t="shared" si="129"/>
        <v>783</v>
      </c>
      <c r="AL416" s="78">
        <v>0.71388888888888891</v>
      </c>
      <c r="AM416" s="79">
        <v>0.72013888888888899</v>
      </c>
      <c r="AN416" s="80">
        <v>6.2500000000000888E-3</v>
      </c>
      <c r="AO416" s="79">
        <v>0.73888888888888893</v>
      </c>
      <c r="AP416" s="80">
        <v>1.8749999999999933E-2</v>
      </c>
      <c r="AQ416" s="81">
        <v>41792</v>
      </c>
      <c r="AR416" s="77" t="str">
        <f t="shared" ref="AR416:AX435" si="139">AR415</f>
        <v>Internacional</v>
      </c>
      <c r="AS416" s="77">
        <f t="shared" si="139"/>
        <v>9.2261904761904729E-3</v>
      </c>
      <c r="AT416" s="77">
        <f t="shared" si="139"/>
        <v>1.7096560846560842E-2</v>
      </c>
      <c r="AU416" s="77">
        <f t="shared" si="139"/>
        <v>2.6322751322751317E-2</v>
      </c>
      <c r="AV416" s="77">
        <f t="shared" si="139"/>
        <v>738</v>
      </c>
      <c r="AW416" s="77">
        <f t="shared" si="139"/>
        <v>189</v>
      </c>
      <c r="AX416" s="77" t="str">
        <f t="shared" si="139"/>
        <v>LAX</v>
      </c>
    </row>
    <row r="417" spans="1:50" x14ac:dyDescent="0.25">
      <c r="A417">
        <v>403</v>
      </c>
      <c r="B417" s="36" t="str">
        <f t="shared" si="133"/>
        <v>MEXICO AEREO</v>
      </c>
      <c r="C417" s="36">
        <f t="shared" si="133"/>
        <v>186</v>
      </c>
      <c r="D417" s="74">
        <v>0.96944444444444444</v>
      </c>
      <c r="E417" s="74">
        <v>0.97430555555555554</v>
      </c>
      <c r="F417" s="75">
        <v>4.8611111111110938E-3</v>
      </c>
      <c r="G417" s="74">
        <v>0.98333333333333339</v>
      </c>
      <c r="H417" s="75">
        <v>9.0277777777778567E-3</v>
      </c>
      <c r="I417" s="76">
        <v>41721</v>
      </c>
      <c r="J417" s="36" t="str">
        <f t="shared" si="138"/>
        <v>Nacional</v>
      </c>
      <c r="K417" s="36">
        <f t="shared" si="138"/>
        <v>7.7777777777777836E-3</v>
      </c>
      <c r="L417" s="36">
        <f t="shared" si="138"/>
        <v>7.569444444444429E-3</v>
      </c>
      <c r="M417" s="36">
        <f t="shared" si="138"/>
        <v>1.5347222222222213E-2</v>
      </c>
      <c r="N417" s="36" t="str">
        <f t="shared" si="138"/>
        <v>B737-700</v>
      </c>
      <c r="O417" s="36">
        <f t="shared" si="138"/>
        <v>126</v>
      </c>
      <c r="P417" s="36" t="str">
        <f t="shared" si="138"/>
        <v>MEX</v>
      </c>
      <c r="R417">
        <v>403</v>
      </c>
      <c r="S417" s="36" t="str">
        <f t="shared" si="136"/>
        <v>MEXICO AEREO</v>
      </c>
      <c r="T417" s="36">
        <f t="shared" si="136"/>
        <v>787</v>
      </c>
      <c r="U417" s="73">
        <v>0.34097222222222223</v>
      </c>
      <c r="V417" s="74">
        <v>0.35069444444444442</v>
      </c>
      <c r="W417" s="75">
        <v>9.7222222222221877E-3</v>
      </c>
      <c r="X417" s="74">
        <v>0.37013888888888885</v>
      </c>
      <c r="Y417" s="75">
        <v>1.9444444444444431E-2</v>
      </c>
      <c r="Z417" s="76">
        <v>41748</v>
      </c>
      <c r="AA417" s="36" t="str">
        <f t="shared" si="137"/>
        <v>Internacional</v>
      </c>
      <c r="AB417" s="36">
        <f t="shared" si="137"/>
        <v>9.0277777777777561E-3</v>
      </c>
      <c r="AC417" s="36">
        <f t="shared" si="137"/>
        <v>2.0208333333333349E-2</v>
      </c>
      <c r="AD417" s="36">
        <f t="shared" si="137"/>
        <v>2.9236111111111105E-2</v>
      </c>
      <c r="AE417" s="36" t="str">
        <f t="shared" si="137"/>
        <v>B737-800</v>
      </c>
      <c r="AF417" s="36">
        <f t="shared" si="137"/>
        <v>189</v>
      </c>
      <c r="AG417" s="36" t="str">
        <f t="shared" si="137"/>
        <v>FAT</v>
      </c>
      <c r="AI417">
        <v>403</v>
      </c>
      <c r="AJ417" s="77" t="str">
        <f t="shared" si="129"/>
        <v>MEXICO AEREO</v>
      </c>
      <c r="AK417" s="77">
        <f t="shared" si="129"/>
        <v>783</v>
      </c>
      <c r="AL417" s="78">
        <v>0.71666666666666667</v>
      </c>
      <c r="AM417" s="79">
        <v>0.72916666666666663</v>
      </c>
      <c r="AN417" s="80">
        <v>1.2499999999999956E-2</v>
      </c>
      <c r="AO417" s="79">
        <v>0.7416666666666667</v>
      </c>
      <c r="AP417" s="80">
        <v>1.2500000000000067E-2</v>
      </c>
      <c r="AQ417" s="81">
        <v>41793</v>
      </c>
      <c r="AR417" s="77" t="str">
        <f t="shared" si="139"/>
        <v>Internacional</v>
      </c>
      <c r="AS417" s="77">
        <f t="shared" si="139"/>
        <v>9.2261904761904729E-3</v>
      </c>
      <c r="AT417" s="77">
        <f t="shared" si="139"/>
        <v>1.7096560846560842E-2</v>
      </c>
      <c r="AU417" s="77">
        <f t="shared" si="139"/>
        <v>2.6322751322751317E-2</v>
      </c>
      <c r="AV417" s="77">
        <f t="shared" si="139"/>
        <v>738</v>
      </c>
      <c r="AW417" s="77">
        <f t="shared" si="139"/>
        <v>189</v>
      </c>
      <c r="AX417" s="77" t="str">
        <f t="shared" si="139"/>
        <v>LAX</v>
      </c>
    </row>
    <row r="418" spans="1:50" x14ac:dyDescent="0.25">
      <c r="A418">
        <v>404</v>
      </c>
      <c r="B418" s="36" t="str">
        <f t="shared" si="133"/>
        <v>MEXICO AEREO</v>
      </c>
      <c r="C418" s="36">
        <f t="shared" si="133"/>
        <v>186</v>
      </c>
      <c r="D418" s="74">
        <v>0.99305555555555547</v>
      </c>
      <c r="E418" s="74">
        <v>1.0173611111111112</v>
      </c>
      <c r="F418" s="75">
        <v>2.4305555555555691E-2</v>
      </c>
      <c r="G418" s="74">
        <v>1.0208333333333333</v>
      </c>
      <c r="H418" s="75">
        <v>3.4722222222220989E-3</v>
      </c>
      <c r="I418" s="76">
        <v>41721</v>
      </c>
      <c r="J418" s="36" t="str">
        <f t="shared" si="138"/>
        <v>Nacional</v>
      </c>
      <c r="K418" s="36">
        <f t="shared" si="138"/>
        <v>7.7777777777777836E-3</v>
      </c>
      <c r="L418" s="36">
        <f t="shared" si="138"/>
        <v>7.569444444444429E-3</v>
      </c>
      <c r="M418" s="36">
        <f t="shared" si="138"/>
        <v>1.5347222222222213E-2</v>
      </c>
      <c r="N418" s="36" t="str">
        <f t="shared" si="138"/>
        <v>B737-700</v>
      </c>
      <c r="O418" s="36">
        <f t="shared" si="138"/>
        <v>126</v>
      </c>
      <c r="P418" s="36" t="str">
        <f t="shared" si="138"/>
        <v>MEX</v>
      </c>
      <c r="R418">
        <v>404</v>
      </c>
      <c r="S418" s="36" t="str">
        <f t="shared" si="136"/>
        <v>MEXICO AEREO</v>
      </c>
      <c r="T418" s="36">
        <f t="shared" si="136"/>
        <v>787</v>
      </c>
      <c r="U418" s="73">
        <v>0.3354166666666667</v>
      </c>
      <c r="V418" s="74">
        <v>0.3430555555555555</v>
      </c>
      <c r="W418" s="75">
        <v>7.6388888888888062E-3</v>
      </c>
      <c r="X418" s="74">
        <v>0.35138888888888892</v>
      </c>
      <c r="Y418" s="75">
        <v>8.3333333333334147E-3</v>
      </c>
      <c r="Z418" s="76">
        <v>41751</v>
      </c>
      <c r="AA418" s="36" t="str">
        <f t="shared" si="137"/>
        <v>Internacional</v>
      </c>
      <c r="AB418" s="36">
        <f t="shared" si="137"/>
        <v>9.0277777777777561E-3</v>
      </c>
      <c r="AC418" s="36">
        <f t="shared" si="137"/>
        <v>2.0208333333333349E-2</v>
      </c>
      <c r="AD418" s="36">
        <f t="shared" si="137"/>
        <v>2.9236111111111105E-2</v>
      </c>
      <c r="AE418" s="36" t="str">
        <f t="shared" si="137"/>
        <v>B737-800</v>
      </c>
      <c r="AF418" s="36">
        <f t="shared" si="137"/>
        <v>189</v>
      </c>
      <c r="AG418" s="36" t="str">
        <f t="shared" si="137"/>
        <v>FAT</v>
      </c>
      <c r="AI418">
        <v>404</v>
      </c>
      <c r="AJ418" s="77" t="str">
        <f t="shared" si="129"/>
        <v>MEXICO AEREO</v>
      </c>
      <c r="AK418" s="77">
        <f t="shared" si="129"/>
        <v>783</v>
      </c>
      <c r="AL418" s="78">
        <v>0.72569444444444453</v>
      </c>
      <c r="AM418" s="79">
        <v>0.73333333333333339</v>
      </c>
      <c r="AN418" s="80">
        <v>7.6388888888888618E-3</v>
      </c>
      <c r="AO418" s="79">
        <v>0.75902777777777775</v>
      </c>
      <c r="AP418" s="80">
        <v>2.5694444444444353E-2</v>
      </c>
      <c r="AQ418" s="81">
        <v>41794</v>
      </c>
      <c r="AR418" s="77" t="str">
        <f t="shared" si="139"/>
        <v>Internacional</v>
      </c>
      <c r="AS418" s="77">
        <f t="shared" si="139"/>
        <v>9.2261904761904729E-3</v>
      </c>
      <c r="AT418" s="77">
        <f t="shared" si="139"/>
        <v>1.7096560846560842E-2</v>
      </c>
      <c r="AU418" s="77">
        <f t="shared" si="139"/>
        <v>2.6322751322751317E-2</v>
      </c>
      <c r="AV418" s="77">
        <f t="shared" si="139"/>
        <v>738</v>
      </c>
      <c r="AW418" s="77">
        <f t="shared" si="139"/>
        <v>189</v>
      </c>
      <c r="AX418" s="77" t="str">
        <f t="shared" si="139"/>
        <v>LAX</v>
      </c>
    </row>
    <row r="419" spans="1:50" x14ac:dyDescent="0.25">
      <c r="A419">
        <v>405</v>
      </c>
      <c r="B419" s="36" t="str">
        <f t="shared" si="133"/>
        <v>MEXICO AEREO</v>
      </c>
      <c r="C419" s="36">
        <f t="shared" si="133"/>
        <v>186</v>
      </c>
      <c r="D419" s="74">
        <v>1.0020833333333334</v>
      </c>
      <c r="E419" s="74">
        <v>1.0069444444444444</v>
      </c>
      <c r="F419" s="75">
        <v>4.8611111111109828E-3</v>
      </c>
      <c r="G419" s="74">
        <v>1.0145833333333334</v>
      </c>
      <c r="H419" s="75">
        <v>7.6388888888889728E-3</v>
      </c>
      <c r="I419" s="76">
        <v>41723</v>
      </c>
      <c r="J419" s="36" t="str">
        <f t="shared" si="138"/>
        <v>Nacional</v>
      </c>
      <c r="K419" s="36">
        <f t="shared" si="138"/>
        <v>7.7777777777777836E-3</v>
      </c>
      <c r="L419" s="36">
        <f t="shared" si="138"/>
        <v>7.569444444444429E-3</v>
      </c>
      <c r="M419" s="36">
        <f t="shared" si="138"/>
        <v>1.5347222222222213E-2</v>
      </c>
      <c r="N419" s="36" t="str">
        <f t="shared" si="138"/>
        <v>B737-700</v>
      </c>
      <c r="O419" s="36">
        <f t="shared" si="138"/>
        <v>126</v>
      </c>
      <c r="P419" s="36" t="str">
        <f t="shared" si="138"/>
        <v>MEX</v>
      </c>
      <c r="R419">
        <v>405</v>
      </c>
      <c r="S419" s="36" t="str">
        <f t="shared" si="136"/>
        <v>MEXICO AEREO</v>
      </c>
      <c r="T419" s="36">
        <f t="shared" si="136"/>
        <v>787</v>
      </c>
      <c r="U419" s="73">
        <v>0.3354166666666667</v>
      </c>
      <c r="V419" s="74">
        <v>0.3430555555555555</v>
      </c>
      <c r="W419" s="75">
        <v>7.6388888888888062E-3</v>
      </c>
      <c r="X419" s="74">
        <v>0.35138888888888892</v>
      </c>
      <c r="Y419" s="75">
        <v>8.3333333333334147E-3</v>
      </c>
      <c r="Z419" s="76">
        <v>41751</v>
      </c>
      <c r="AA419" s="36" t="str">
        <f t="shared" si="137"/>
        <v>Internacional</v>
      </c>
      <c r="AB419" s="36">
        <f t="shared" si="137"/>
        <v>9.0277777777777561E-3</v>
      </c>
      <c r="AC419" s="36">
        <f t="shared" si="137"/>
        <v>2.0208333333333349E-2</v>
      </c>
      <c r="AD419" s="36">
        <f t="shared" si="137"/>
        <v>2.9236111111111105E-2</v>
      </c>
      <c r="AE419" s="36" t="str">
        <f t="shared" si="137"/>
        <v>B737-800</v>
      </c>
      <c r="AF419" s="36">
        <f t="shared" si="137"/>
        <v>189</v>
      </c>
      <c r="AG419" s="36" t="str">
        <f t="shared" si="137"/>
        <v>FAT</v>
      </c>
      <c r="AI419">
        <v>405</v>
      </c>
      <c r="AJ419" s="77" t="str">
        <f t="shared" si="129"/>
        <v>MEXICO AEREO</v>
      </c>
      <c r="AK419" s="77">
        <f t="shared" si="129"/>
        <v>783</v>
      </c>
      <c r="AL419" s="78">
        <v>0.7284722222222223</v>
      </c>
      <c r="AM419" s="79">
        <v>0.73749999999999993</v>
      </c>
      <c r="AN419" s="80">
        <v>9.0277777777776347E-3</v>
      </c>
      <c r="AO419" s="79">
        <v>0.7631944444444444</v>
      </c>
      <c r="AP419" s="80">
        <v>2.5694444444444464E-2</v>
      </c>
      <c r="AQ419" s="81">
        <v>41795</v>
      </c>
      <c r="AR419" s="77" t="str">
        <f t="shared" si="139"/>
        <v>Internacional</v>
      </c>
      <c r="AS419" s="77">
        <f t="shared" si="139"/>
        <v>9.2261904761904729E-3</v>
      </c>
      <c r="AT419" s="77">
        <f t="shared" si="139"/>
        <v>1.7096560846560842E-2</v>
      </c>
      <c r="AU419" s="77">
        <f t="shared" si="139"/>
        <v>2.6322751322751317E-2</v>
      </c>
      <c r="AV419" s="77">
        <f t="shared" si="139"/>
        <v>738</v>
      </c>
      <c r="AW419" s="77">
        <f t="shared" si="139"/>
        <v>189</v>
      </c>
      <c r="AX419" s="77" t="str">
        <f t="shared" si="139"/>
        <v>LAX</v>
      </c>
    </row>
    <row r="420" spans="1:50" x14ac:dyDescent="0.25">
      <c r="A420">
        <v>406</v>
      </c>
      <c r="B420" s="36" t="str">
        <f t="shared" si="133"/>
        <v>MEXICO AEREO</v>
      </c>
      <c r="C420" s="36">
        <f t="shared" si="133"/>
        <v>186</v>
      </c>
      <c r="D420" s="74">
        <v>0.96250000000000002</v>
      </c>
      <c r="E420" s="74">
        <v>0.96736111111111101</v>
      </c>
      <c r="F420" s="75">
        <v>4.8611111111109828E-3</v>
      </c>
      <c r="G420" s="74">
        <v>0.97569444444444453</v>
      </c>
      <c r="H420" s="75">
        <v>8.3333333333335258E-3</v>
      </c>
      <c r="I420" s="76">
        <v>41724</v>
      </c>
      <c r="J420" s="36" t="str">
        <f t="shared" si="138"/>
        <v>Nacional</v>
      </c>
      <c r="K420" s="36">
        <f t="shared" si="138"/>
        <v>7.7777777777777836E-3</v>
      </c>
      <c r="L420" s="36">
        <f t="shared" si="138"/>
        <v>7.569444444444429E-3</v>
      </c>
      <c r="M420" s="36">
        <f t="shared" si="138"/>
        <v>1.5347222222222213E-2</v>
      </c>
      <c r="N420" s="36" t="str">
        <f t="shared" si="138"/>
        <v>B737-700</v>
      </c>
      <c r="O420" s="36">
        <f t="shared" si="138"/>
        <v>126</v>
      </c>
      <c r="P420" s="36" t="str">
        <f t="shared" si="138"/>
        <v>MEX</v>
      </c>
      <c r="R420">
        <v>406</v>
      </c>
      <c r="S420" s="36" t="str">
        <f t="shared" si="136"/>
        <v>MEXICO AEREO</v>
      </c>
      <c r="T420" s="36">
        <f t="shared" si="136"/>
        <v>787</v>
      </c>
      <c r="U420" s="73">
        <v>0.3520833333333333</v>
      </c>
      <c r="V420" s="74">
        <v>0.36736111111111108</v>
      </c>
      <c r="W420" s="75">
        <v>1.5277777777777779E-2</v>
      </c>
      <c r="X420" s="74">
        <v>0.37986111111111115</v>
      </c>
      <c r="Y420" s="75">
        <v>1.2500000000000067E-2</v>
      </c>
      <c r="Z420" s="76">
        <v>41753</v>
      </c>
      <c r="AA420" s="36" t="str">
        <f t="shared" si="137"/>
        <v>Internacional</v>
      </c>
      <c r="AB420" s="36">
        <f t="shared" si="137"/>
        <v>9.0277777777777561E-3</v>
      </c>
      <c r="AC420" s="36">
        <f t="shared" si="137"/>
        <v>2.0208333333333349E-2</v>
      </c>
      <c r="AD420" s="36">
        <f t="shared" si="137"/>
        <v>2.9236111111111105E-2</v>
      </c>
      <c r="AE420" s="36" t="str">
        <f t="shared" si="137"/>
        <v>B737-800</v>
      </c>
      <c r="AF420" s="36">
        <f t="shared" si="137"/>
        <v>189</v>
      </c>
      <c r="AG420" s="36" t="str">
        <f t="shared" si="137"/>
        <v>FAT</v>
      </c>
      <c r="AI420">
        <v>406</v>
      </c>
      <c r="AJ420" s="77" t="str">
        <f t="shared" si="129"/>
        <v>MEXICO AEREO</v>
      </c>
      <c r="AK420" s="77">
        <f t="shared" si="129"/>
        <v>783</v>
      </c>
      <c r="AL420" s="78">
        <v>0.73263888888888884</v>
      </c>
      <c r="AM420" s="79">
        <v>0.73958333333333337</v>
      </c>
      <c r="AN420" s="80">
        <v>6.9444444444445308E-3</v>
      </c>
      <c r="AO420" s="79">
        <v>0.76736111111111116</v>
      </c>
      <c r="AP420" s="80">
        <v>2.777777777777779E-2</v>
      </c>
      <c r="AQ420" s="81">
        <v>41796</v>
      </c>
      <c r="AR420" s="77" t="str">
        <f t="shared" si="139"/>
        <v>Internacional</v>
      </c>
      <c r="AS420" s="77">
        <f t="shared" si="139"/>
        <v>9.2261904761904729E-3</v>
      </c>
      <c r="AT420" s="77">
        <f t="shared" si="139"/>
        <v>1.7096560846560842E-2</v>
      </c>
      <c r="AU420" s="77">
        <f t="shared" si="139"/>
        <v>2.6322751322751317E-2</v>
      </c>
      <c r="AV420" s="77">
        <f t="shared" si="139"/>
        <v>738</v>
      </c>
      <c r="AW420" s="77">
        <f t="shared" si="139"/>
        <v>189</v>
      </c>
      <c r="AX420" s="77" t="str">
        <f t="shared" si="139"/>
        <v>LAX</v>
      </c>
    </row>
    <row r="421" spans="1:50" x14ac:dyDescent="0.25">
      <c r="A421">
        <v>407</v>
      </c>
      <c r="B421" s="36" t="str">
        <f t="shared" si="133"/>
        <v>MEXICO AEREO</v>
      </c>
      <c r="C421" s="36">
        <f t="shared" si="133"/>
        <v>186</v>
      </c>
      <c r="D421" s="74">
        <v>0.95833333333333337</v>
      </c>
      <c r="E421" s="74">
        <v>0.96319444444444446</v>
      </c>
      <c r="F421" s="75">
        <v>4.8611111111110938E-3</v>
      </c>
      <c r="G421" s="74">
        <v>0.97083333333333333</v>
      </c>
      <c r="H421" s="75">
        <v>7.6388888888888618E-3</v>
      </c>
      <c r="I421" s="76">
        <v>41724</v>
      </c>
      <c r="J421" s="36" t="str">
        <f t="shared" si="138"/>
        <v>Nacional</v>
      </c>
      <c r="K421" s="36">
        <f t="shared" si="138"/>
        <v>7.7777777777777836E-3</v>
      </c>
      <c r="L421" s="36">
        <f t="shared" si="138"/>
        <v>7.569444444444429E-3</v>
      </c>
      <c r="M421" s="36">
        <f t="shared" si="138"/>
        <v>1.5347222222222213E-2</v>
      </c>
      <c r="N421" s="36" t="str">
        <f t="shared" si="138"/>
        <v>B737-700</v>
      </c>
      <c r="O421" s="36">
        <f t="shared" si="138"/>
        <v>126</v>
      </c>
      <c r="P421" s="36" t="str">
        <f t="shared" si="138"/>
        <v>MEX</v>
      </c>
      <c r="R421">
        <v>407</v>
      </c>
      <c r="S421" s="36" t="str">
        <f t="shared" si="136"/>
        <v>MEXICO AEREO</v>
      </c>
      <c r="T421" s="36">
        <f t="shared" si="136"/>
        <v>787</v>
      </c>
      <c r="U421" s="73">
        <v>0.34583333333333338</v>
      </c>
      <c r="V421" s="74">
        <v>0.35902777777777778</v>
      </c>
      <c r="W421" s="75">
        <v>1.3194444444444398E-2</v>
      </c>
      <c r="X421" s="74">
        <v>0.38125000000000003</v>
      </c>
      <c r="Y421" s="75">
        <v>2.2222222222222254E-2</v>
      </c>
      <c r="Z421" s="76">
        <v>41754</v>
      </c>
      <c r="AA421" s="36" t="str">
        <f t="shared" si="137"/>
        <v>Internacional</v>
      </c>
      <c r="AB421" s="36">
        <f t="shared" si="137"/>
        <v>9.0277777777777561E-3</v>
      </c>
      <c r="AC421" s="36">
        <f t="shared" si="137"/>
        <v>2.0208333333333349E-2</v>
      </c>
      <c r="AD421" s="36">
        <f t="shared" si="137"/>
        <v>2.9236111111111105E-2</v>
      </c>
      <c r="AE421" s="36" t="str">
        <f t="shared" si="137"/>
        <v>B737-800</v>
      </c>
      <c r="AF421" s="36">
        <f t="shared" si="137"/>
        <v>189</v>
      </c>
      <c r="AG421" s="36" t="str">
        <f t="shared" si="137"/>
        <v>FAT</v>
      </c>
      <c r="AI421">
        <v>407</v>
      </c>
      <c r="AJ421" s="77" t="str">
        <f t="shared" si="129"/>
        <v>MEXICO AEREO</v>
      </c>
      <c r="AK421" s="77">
        <f t="shared" si="129"/>
        <v>783</v>
      </c>
      <c r="AL421" s="78">
        <v>0.72777777777777775</v>
      </c>
      <c r="AM421" s="79">
        <v>0.7368055555555556</v>
      </c>
      <c r="AN421" s="80">
        <v>9.0277777777778567E-3</v>
      </c>
      <c r="AO421" s="79">
        <v>0.75208333333333333</v>
      </c>
      <c r="AP421" s="80">
        <v>1.5277777777777724E-2</v>
      </c>
      <c r="AQ421" s="81">
        <v>41797</v>
      </c>
      <c r="AR421" s="77" t="str">
        <f t="shared" si="139"/>
        <v>Internacional</v>
      </c>
      <c r="AS421" s="77">
        <f t="shared" si="139"/>
        <v>9.2261904761904729E-3</v>
      </c>
      <c r="AT421" s="77">
        <f t="shared" si="139"/>
        <v>1.7096560846560842E-2</v>
      </c>
      <c r="AU421" s="77">
        <f t="shared" si="139"/>
        <v>2.6322751322751317E-2</v>
      </c>
      <c r="AV421" s="77">
        <f t="shared" si="139"/>
        <v>738</v>
      </c>
      <c r="AW421" s="77">
        <f t="shared" si="139"/>
        <v>189</v>
      </c>
      <c r="AX421" s="77" t="str">
        <f t="shared" si="139"/>
        <v>LAX</v>
      </c>
    </row>
    <row r="422" spans="1:50" ht="15.75" thickBot="1" x14ac:dyDescent="0.3">
      <c r="A422">
        <v>408</v>
      </c>
      <c r="B422" s="36" t="str">
        <f t="shared" si="133"/>
        <v>MEXICO AEREO</v>
      </c>
      <c r="C422" s="36">
        <f t="shared" si="133"/>
        <v>186</v>
      </c>
      <c r="D422" s="74">
        <v>0.95972222222222225</v>
      </c>
      <c r="E422" s="74">
        <v>0.97013888888888899</v>
      </c>
      <c r="F422" s="75">
        <v>1.0416666666666741E-2</v>
      </c>
      <c r="G422" s="74">
        <v>0.97499999999999998</v>
      </c>
      <c r="H422" s="75">
        <v>4.8611111111109828E-3</v>
      </c>
      <c r="I422" s="76">
        <v>41725</v>
      </c>
      <c r="J422" s="36" t="str">
        <f t="shared" si="138"/>
        <v>Nacional</v>
      </c>
      <c r="K422" s="36">
        <f t="shared" si="138"/>
        <v>7.7777777777777836E-3</v>
      </c>
      <c r="L422" s="36">
        <f t="shared" si="138"/>
        <v>7.569444444444429E-3</v>
      </c>
      <c r="M422" s="36">
        <f t="shared" si="138"/>
        <v>1.5347222222222213E-2</v>
      </c>
      <c r="N422" s="36" t="str">
        <f t="shared" si="138"/>
        <v>B737-700</v>
      </c>
      <c r="O422" s="36">
        <f t="shared" si="138"/>
        <v>126</v>
      </c>
      <c r="P422" s="36" t="str">
        <f t="shared" si="138"/>
        <v>MEX</v>
      </c>
      <c r="R422">
        <v>408</v>
      </c>
      <c r="S422" s="36" t="str">
        <f t="shared" si="136"/>
        <v>MEXICO AEREO</v>
      </c>
      <c r="T422" s="36">
        <f t="shared" si="136"/>
        <v>787</v>
      </c>
      <c r="U422" s="83">
        <v>0.33819444444444446</v>
      </c>
      <c r="V422" s="84">
        <v>0.34652777777777777</v>
      </c>
      <c r="W422" s="85">
        <v>8.3333333333333037E-3</v>
      </c>
      <c r="X422" s="84">
        <v>0.3888888888888889</v>
      </c>
      <c r="Y422" s="85">
        <v>4.2361111111111127E-2</v>
      </c>
      <c r="Z422" s="86">
        <v>41758</v>
      </c>
      <c r="AA422" s="36" t="str">
        <f t="shared" si="137"/>
        <v>Internacional</v>
      </c>
      <c r="AB422" s="36">
        <f t="shared" si="137"/>
        <v>9.0277777777777561E-3</v>
      </c>
      <c r="AC422" s="36">
        <f t="shared" si="137"/>
        <v>2.0208333333333349E-2</v>
      </c>
      <c r="AD422" s="36">
        <f t="shared" si="137"/>
        <v>2.9236111111111105E-2</v>
      </c>
      <c r="AE422" s="36" t="str">
        <f t="shared" si="137"/>
        <v>B737-800</v>
      </c>
      <c r="AF422" s="36">
        <f t="shared" si="137"/>
        <v>189</v>
      </c>
      <c r="AG422" s="36" t="str">
        <f t="shared" si="137"/>
        <v>FAT</v>
      </c>
      <c r="AI422">
        <v>408</v>
      </c>
      <c r="AJ422" s="77" t="str">
        <f t="shared" si="129"/>
        <v>MEXICO AEREO</v>
      </c>
      <c r="AK422" s="77">
        <f t="shared" si="129"/>
        <v>783</v>
      </c>
      <c r="AL422" s="78">
        <v>0.72499999999999998</v>
      </c>
      <c r="AM422" s="79">
        <v>0.73333333333333339</v>
      </c>
      <c r="AN422" s="80">
        <v>8.3333333333334147E-3</v>
      </c>
      <c r="AO422" s="79">
        <v>0.75694444444444453</v>
      </c>
      <c r="AP422" s="80">
        <v>2.3611111111111138E-2</v>
      </c>
      <c r="AQ422" s="81">
        <v>41798</v>
      </c>
      <c r="AR422" s="77" t="str">
        <f t="shared" si="139"/>
        <v>Internacional</v>
      </c>
      <c r="AS422" s="77">
        <f t="shared" si="139"/>
        <v>9.2261904761904729E-3</v>
      </c>
      <c r="AT422" s="77">
        <f t="shared" si="139"/>
        <v>1.7096560846560842E-2</v>
      </c>
      <c r="AU422" s="77">
        <f t="shared" si="139"/>
        <v>2.6322751322751317E-2</v>
      </c>
      <c r="AV422" s="77">
        <f t="shared" si="139"/>
        <v>738</v>
      </c>
      <c r="AW422" s="77">
        <f t="shared" si="139"/>
        <v>189</v>
      </c>
      <c r="AX422" s="77" t="str">
        <f t="shared" si="139"/>
        <v>LAX</v>
      </c>
    </row>
    <row r="423" spans="1:50" x14ac:dyDescent="0.25">
      <c r="A423">
        <v>409</v>
      </c>
      <c r="B423" s="36" t="str">
        <f t="shared" si="133"/>
        <v>MEXICO AEREO</v>
      </c>
      <c r="C423" s="36">
        <f t="shared" si="133"/>
        <v>186</v>
      </c>
      <c r="D423" s="74">
        <v>0.96458333333333324</v>
      </c>
      <c r="E423" s="74">
        <v>0.96944444444444444</v>
      </c>
      <c r="F423" s="75">
        <v>4.8611111111112049E-3</v>
      </c>
      <c r="G423" s="74">
        <v>0.97638888888888886</v>
      </c>
      <c r="H423" s="75">
        <v>6.9444444444444198E-3</v>
      </c>
      <c r="I423" s="76">
        <v>41726</v>
      </c>
      <c r="J423" s="36" t="str">
        <f t="shared" si="138"/>
        <v>Nacional</v>
      </c>
      <c r="K423" s="36">
        <f t="shared" si="138"/>
        <v>7.7777777777777836E-3</v>
      </c>
      <c r="L423" s="36">
        <f t="shared" si="138"/>
        <v>7.569444444444429E-3</v>
      </c>
      <c r="M423" s="36">
        <f t="shared" si="138"/>
        <v>1.5347222222222213E-2</v>
      </c>
      <c r="N423" s="36" t="str">
        <f t="shared" si="138"/>
        <v>B737-700</v>
      </c>
      <c r="O423" s="36">
        <f t="shared" si="138"/>
        <v>126</v>
      </c>
      <c r="P423" s="36" t="str">
        <f t="shared" si="138"/>
        <v>MEX</v>
      </c>
      <c r="R423">
        <v>409</v>
      </c>
      <c r="S423" s="36" t="str">
        <f t="shared" si="136"/>
        <v>MEXICO AEREO</v>
      </c>
      <c r="T423" s="55">
        <v>785</v>
      </c>
      <c r="U423" s="56">
        <v>0.20555555555555557</v>
      </c>
      <c r="V423" s="57">
        <v>0.21319444444444444</v>
      </c>
      <c r="W423" s="58">
        <v>7.6388888888888618E-3</v>
      </c>
      <c r="X423" s="57">
        <v>0.23611111111111113</v>
      </c>
      <c r="Y423" s="58">
        <v>2.2916666666666696E-2</v>
      </c>
      <c r="Z423" s="59">
        <v>41730</v>
      </c>
      <c r="AA423" s="60" t="s">
        <v>22</v>
      </c>
      <c r="AB423" s="61">
        <v>1.2068965517241372E-2</v>
      </c>
      <c r="AC423" s="61">
        <v>2.227011494252874E-2</v>
      </c>
      <c r="AD423" s="62">
        <v>3.4339080459770112E-2</v>
      </c>
      <c r="AE423" s="109" t="s">
        <v>39</v>
      </c>
      <c r="AF423" s="109">
        <v>189</v>
      </c>
      <c r="AG423" s="109" t="s">
        <v>40</v>
      </c>
      <c r="AI423">
        <v>409</v>
      </c>
      <c r="AJ423" s="77" t="str">
        <f t="shared" si="129"/>
        <v>MEXICO AEREO</v>
      </c>
      <c r="AK423" s="77">
        <f t="shared" si="129"/>
        <v>783</v>
      </c>
      <c r="AL423" s="78">
        <v>0.69305555555555554</v>
      </c>
      <c r="AM423" s="79">
        <v>0.69861111111111107</v>
      </c>
      <c r="AN423" s="80">
        <v>5.5555555555555358E-3</v>
      </c>
      <c r="AO423" s="79">
        <v>0.70138888888888884</v>
      </c>
      <c r="AP423" s="80">
        <v>2.7777777777777679E-3</v>
      </c>
      <c r="AQ423" s="81">
        <v>41801</v>
      </c>
      <c r="AR423" s="77" t="str">
        <f t="shared" si="139"/>
        <v>Internacional</v>
      </c>
      <c r="AS423" s="77">
        <f t="shared" si="139"/>
        <v>9.2261904761904729E-3</v>
      </c>
      <c r="AT423" s="77">
        <f t="shared" si="139"/>
        <v>1.7096560846560842E-2</v>
      </c>
      <c r="AU423" s="77">
        <f t="shared" si="139"/>
        <v>2.6322751322751317E-2</v>
      </c>
      <c r="AV423" s="77">
        <f t="shared" si="139"/>
        <v>738</v>
      </c>
      <c r="AW423" s="77">
        <f t="shared" si="139"/>
        <v>189</v>
      </c>
      <c r="AX423" s="77" t="str">
        <f t="shared" si="139"/>
        <v>LAX</v>
      </c>
    </row>
    <row r="424" spans="1:50" ht="15.75" thickBot="1" x14ac:dyDescent="0.3">
      <c r="A424">
        <v>410</v>
      </c>
      <c r="B424" s="36" t="str">
        <f t="shared" si="133"/>
        <v>MEXICO AEREO</v>
      </c>
      <c r="C424" s="36">
        <f t="shared" si="133"/>
        <v>186</v>
      </c>
      <c r="D424" s="84">
        <v>0.94791666666666663</v>
      </c>
      <c r="E424" s="84">
        <v>0.95763888888888893</v>
      </c>
      <c r="F424" s="85">
        <v>9.7222222222222987E-3</v>
      </c>
      <c r="G424" s="84">
        <v>0.96805555555555556</v>
      </c>
      <c r="H424" s="85">
        <v>1.041666666666663E-2</v>
      </c>
      <c r="I424" s="86">
        <v>41727</v>
      </c>
      <c r="J424" s="36" t="str">
        <f t="shared" si="138"/>
        <v>Nacional</v>
      </c>
      <c r="K424" s="36">
        <f t="shared" si="138"/>
        <v>7.7777777777777836E-3</v>
      </c>
      <c r="L424" s="36">
        <f t="shared" si="138"/>
        <v>7.569444444444429E-3</v>
      </c>
      <c r="M424" s="36">
        <f t="shared" si="138"/>
        <v>1.5347222222222213E-2</v>
      </c>
      <c r="N424" s="36" t="str">
        <f t="shared" si="138"/>
        <v>B737-700</v>
      </c>
      <c r="O424" s="36">
        <f t="shared" si="138"/>
        <v>126</v>
      </c>
      <c r="P424" s="36" t="str">
        <f t="shared" si="138"/>
        <v>MEX</v>
      </c>
      <c r="R424">
        <v>410</v>
      </c>
      <c r="S424" s="36" t="str">
        <f t="shared" si="136"/>
        <v>MEXICO AEREO</v>
      </c>
      <c r="T424" s="36">
        <f t="shared" si="136"/>
        <v>785</v>
      </c>
      <c r="U424" s="73">
        <v>0.20277777777777781</v>
      </c>
      <c r="V424" s="74">
        <v>0.21180555555555555</v>
      </c>
      <c r="W424" s="75">
        <v>9.0277777777777457E-3</v>
      </c>
      <c r="X424" s="74">
        <v>0.22708333333333333</v>
      </c>
      <c r="Y424" s="75">
        <v>1.5277777777777779E-2</v>
      </c>
      <c r="Z424" s="76">
        <v>41731</v>
      </c>
      <c r="AA424" s="36" t="str">
        <f t="shared" ref="AA424:AG451" si="140">AA423</f>
        <v>Internacional</v>
      </c>
      <c r="AB424" s="36">
        <f t="shared" si="140"/>
        <v>1.2068965517241372E-2</v>
      </c>
      <c r="AC424" s="36">
        <f t="shared" si="140"/>
        <v>2.227011494252874E-2</v>
      </c>
      <c r="AD424" s="36">
        <f t="shared" si="140"/>
        <v>3.4339080459770112E-2</v>
      </c>
      <c r="AE424" s="36" t="str">
        <f t="shared" si="140"/>
        <v>B737-800</v>
      </c>
      <c r="AF424" s="36">
        <f t="shared" si="140"/>
        <v>189</v>
      </c>
      <c r="AG424" s="36" t="str">
        <f t="shared" si="140"/>
        <v>LAX</v>
      </c>
      <c r="AI424">
        <v>410</v>
      </c>
      <c r="AJ424" s="77" t="str">
        <f t="shared" si="129"/>
        <v>MEXICO AEREO</v>
      </c>
      <c r="AK424" s="77">
        <f t="shared" si="129"/>
        <v>783</v>
      </c>
      <c r="AL424" s="78">
        <v>0.84791666666666676</v>
      </c>
      <c r="AM424" s="79">
        <v>0.8569444444444444</v>
      </c>
      <c r="AN424" s="80">
        <v>9.0277777777776347E-3</v>
      </c>
      <c r="AO424" s="79">
        <v>0.875</v>
      </c>
      <c r="AP424" s="80">
        <v>1.8055555555555602E-2</v>
      </c>
      <c r="AQ424" s="81">
        <v>41802</v>
      </c>
      <c r="AR424" s="77" t="str">
        <f t="shared" si="139"/>
        <v>Internacional</v>
      </c>
      <c r="AS424" s="77">
        <f t="shared" si="139"/>
        <v>9.2261904761904729E-3</v>
      </c>
      <c r="AT424" s="77">
        <f t="shared" si="139"/>
        <v>1.7096560846560842E-2</v>
      </c>
      <c r="AU424" s="77">
        <f t="shared" si="139"/>
        <v>2.6322751322751317E-2</v>
      </c>
      <c r="AV424" s="77">
        <f t="shared" si="139"/>
        <v>738</v>
      </c>
      <c r="AW424" s="77">
        <f t="shared" si="139"/>
        <v>189</v>
      </c>
      <c r="AX424" s="77" t="str">
        <f t="shared" si="139"/>
        <v>LAX</v>
      </c>
    </row>
    <row r="425" spans="1:50" x14ac:dyDescent="0.25">
      <c r="A425">
        <v>411</v>
      </c>
      <c r="B425" s="36" t="str">
        <f t="shared" si="133"/>
        <v>MEXICO AEREO</v>
      </c>
      <c r="C425" s="88">
        <v>156</v>
      </c>
      <c r="D425" s="57">
        <v>0.54791666666666672</v>
      </c>
      <c r="E425" s="57">
        <v>0.55694444444444446</v>
      </c>
      <c r="F425" s="58">
        <v>9.0277777777777457E-3</v>
      </c>
      <c r="G425" s="57">
        <v>0.55902777777777779</v>
      </c>
      <c r="H425" s="58">
        <v>2.0833333333333259E-3</v>
      </c>
      <c r="I425" s="59">
        <v>41715</v>
      </c>
      <c r="J425" s="108" t="s">
        <v>19</v>
      </c>
      <c r="K425" s="61">
        <v>5.4783950617284007E-3</v>
      </c>
      <c r="L425" s="61">
        <v>6.2499999999999778E-3</v>
      </c>
      <c r="M425" s="89">
        <v>1.1728395061728378E-2</v>
      </c>
      <c r="N425" s="90" t="s">
        <v>45</v>
      </c>
      <c r="O425" s="91">
        <v>126</v>
      </c>
      <c r="P425" s="92" t="s">
        <v>21</v>
      </c>
      <c r="R425">
        <v>411</v>
      </c>
      <c r="S425" s="36" t="str">
        <f t="shared" si="136"/>
        <v>MEXICO AEREO</v>
      </c>
      <c r="T425" s="36">
        <f t="shared" si="136"/>
        <v>785</v>
      </c>
      <c r="U425" s="73">
        <v>0.20902777777777778</v>
      </c>
      <c r="V425" s="74">
        <v>0.22083333333333333</v>
      </c>
      <c r="W425" s="75">
        <v>1.1805555555555541E-2</v>
      </c>
      <c r="X425" s="74">
        <v>0.26805555555555555</v>
      </c>
      <c r="Y425" s="75">
        <v>4.7222222222222221E-2</v>
      </c>
      <c r="Z425" s="76">
        <v>41733</v>
      </c>
      <c r="AA425" s="36" t="str">
        <f t="shared" si="140"/>
        <v>Internacional</v>
      </c>
      <c r="AB425" s="36">
        <f t="shared" si="140"/>
        <v>1.2068965517241372E-2</v>
      </c>
      <c r="AC425" s="36">
        <f t="shared" si="140"/>
        <v>2.227011494252874E-2</v>
      </c>
      <c r="AD425" s="36">
        <f t="shared" si="140"/>
        <v>3.4339080459770112E-2</v>
      </c>
      <c r="AE425" s="36" t="str">
        <f t="shared" si="140"/>
        <v>B737-800</v>
      </c>
      <c r="AF425" s="36">
        <f t="shared" si="140"/>
        <v>189</v>
      </c>
      <c r="AG425" s="36" t="str">
        <f t="shared" si="140"/>
        <v>LAX</v>
      </c>
      <c r="AI425">
        <v>411</v>
      </c>
      <c r="AJ425" s="77" t="str">
        <f t="shared" si="129"/>
        <v>MEXICO AEREO</v>
      </c>
      <c r="AK425" s="77">
        <f t="shared" si="129"/>
        <v>783</v>
      </c>
      <c r="AL425" s="78">
        <v>0.25416666666666665</v>
      </c>
      <c r="AM425" s="79">
        <v>0.26944444444444443</v>
      </c>
      <c r="AN425" s="80">
        <v>1.5277777777777779E-2</v>
      </c>
      <c r="AO425" s="79">
        <v>0.28611111111111115</v>
      </c>
      <c r="AP425" s="80">
        <v>1.6666666666666718E-2</v>
      </c>
      <c r="AQ425" s="81">
        <v>41803</v>
      </c>
      <c r="AR425" s="77" t="str">
        <f t="shared" si="139"/>
        <v>Internacional</v>
      </c>
      <c r="AS425" s="77">
        <f t="shared" si="139"/>
        <v>9.2261904761904729E-3</v>
      </c>
      <c r="AT425" s="77">
        <f t="shared" si="139"/>
        <v>1.7096560846560842E-2</v>
      </c>
      <c r="AU425" s="77">
        <f t="shared" si="139"/>
        <v>2.6322751322751317E-2</v>
      </c>
      <c r="AV425" s="77">
        <f t="shared" si="139"/>
        <v>738</v>
      </c>
      <c r="AW425" s="77">
        <f t="shared" si="139"/>
        <v>189</v>
      </c>
      <c r="AX425" s="77" t="str">
        <f t="shared" si="139"/>
        <v>LAX</v>
      </c>
    </row>
    <row r="426" spans="1:50" x14ac:dyDescent="0.25">
      <c r="A426">
        <v>412</v>
      </c>
      <c r="B426" s="36" t="str">
        <f t="shared" si="133"/>
        <v>MEXICO AEREO</v>
      </c>
      <c r="C426" s="36">
        <f t="shared" si="133"/>
        <v>156</v>
      </c>
      <c r="D426" s="74">
        <v>0.55208333333333337</v>
      </c>
      <c r="E426" s="74">
        <v>0.55555555555555558</v>
      </c>
      <c r="F426" s="75">
        <v>3.4722222222222099E-3</v>
      </c>
      <c r="G426" s="74">
        <v>0.56597222222222221</v>
      </c>
      <c r="H426" s="75">
        <v>1.041666666666663E-2</v>
      </c>
      <c r="I426" s="76">
        <v>41716</v>
      </c>
      <c r="J426" s="36" t="str">
        <f t="shared" ref="J426:P433" si="141">J425</f>
        <v>Nacional</v>
      </c>
      <c r="K426" s="36">
        <f t="shared" si="141"/>
        <v>5.4783950617284007E-3</v>
      </c>
      <c r="L426" s="36">
        <f t="shared" si="141"/>
        <v>6.2499999999999778E-3</v>
      </c>
      <c r="M426" s="36">
        <f t="shared" si="141"/>
        <v>1.1728395061728378E-2</v>
      </c>
      <c r="N426" s="36" t="str">
        <f t="shared" si="141"/>
        <v>B737-700</v>
      </c>
      <c r="O426" s="36">
        <f t="shared" si="141"/>
        <v>126</v>
      </c>
      <c r="P426" s="36" t="str">
        <f t="shared" si="141"/>
        <v>MEX</v>
      </c>
      <c r="R426">
        <v>412</v>
      </c>
      <c r="S426" s="36" t="str">
        <f t="shared" si="136"/>
        <v>MEXICO AEREO</v>
      </c>
      <c r="T426" s="36">
        <f t="shared" si="136"/>
        <v>785</v>
      </c>
      <c r="U426" s="73">
        <v>0.23611111111111113</v>
      </c>
      <c r="V426" s="74">
        <v>0.24930555555555556</v>
      </c>
      <c r="W426" s="75">
        <v>1.3194444444444425E-2</v>
      </c>
      <c r="X426" s="74">
        <v>0.26944444444444443</v>
      </c>
      <c r="Y426" s="75">
        <v>2.0138888888888873E-2</v>
      </c>
      <c r="Z426" s="76">
        <v>41734</v>
      </c>
      <c r="AA426" s="36" t="str">
        <f t="shared" si="140"/>
        <v>Internacional</v>
      </c>
      <c r="AB426" s="36">
        <f t="shared" si="140"/>
        <v>1.2068965517241372E-2</v>
      </c>
      <c r="AC426" s="36">
        <f t="shared" si="140"/>
        <v>2.227011494252874E-2</v>
      </c>
      <c r="AD426" s="36">
        <f t="shared" si="140"/>
        <v>3.4339080459770112E-2</v>
      </c>
      <c r="AE426" s="36" t="str">
        <f t="shared" si="140"/>
        <v>B737-800</v>
      </c>
      <c r="AF426" s="36">
        <f t="shared" si="140"/>
        <v>189</v>
      </c>
      <c r="AG426" s="36" t="str">
        <f t="shared" si="140"/>
        <v>LAX</v>
      </c>
      <c r="AI426">
        <v>412</v>
      </c>
      <c r="AJ426" s="77" t="str">
        <f t="shared" si="129"/>
        <v>MEXICO AEREO</v>
      </c>
      <c r="AK426" s="77">
        <f t="shared" si="129"/>
        <v>783</v>
      </c>
      <c r="AL426" s="78">
        <v>0.93333333333333324</v>
      </c>
      <c r="AM426" s="79">
        <v>0.94444444444444453</v>
      </c>
      <c r="AN426" s="80">
        <v>1.1111111111111294E-2</v>
      </c>
      <c r="AO426" s="79">
        <v>0.95763888888888893</v>
      </c>
      <c r="AP426" s="80">
        <v>1.3194444444444398E-2</v>
      </c>
      <c r="AQ426" s="81">
        <v>41804</v>
      </c>
      <c r="AR426" s="77" t="str">
        <f t="shared" si="139"/>
        <v>Internacional</v>
      </c>
      <c r="AS426" s="77">
        <f t="shared" si="139"/>
        <v>9.2261904761904729E-3</v>
      </c>
      <c r="AT426" s="77">
        <f t="shared" si="139"/>
        <v>1.7096560846560842E-2</v>
      </c>
      <c r="AU426" s="77">
        <f t="shared" si="139"/>
        <v>2.6322751322751317E-2</v>
      </c>
      <c r="AV426" s="77">
        <f t="shared" si="139"/>
        <v>738</v>
      </c>
      <c r="AW426" s="77">
        <f t="shared" si="139"/>
        <v>189</v>
      </c>
      <c r="AX426" s="77" t="str">
        <f t="shared" si="139"/>
        <v>LAX</v>
      </c>
    </row>
    <row r="427" spans="1:50" x14ac:dyDescent="0.25">
      <c r="A427">
        <v>413</v>
      </c>
      <c r="B427" s="36" t="str">
        <f t="shared" si="133"/>
        <v>MEXICO AEREO</v>
      </c>
      <c r="C427" s="36">
        <f t="shared" si="133"/>
        <v>156</v>
      </c>
      <c r="D427" s="74">
        <v>0.55069444444444449</v>
      </c>
      <c r="E427" s="74">
        <v>0.5541666666666667</v>
      </c>
      <c r="F427" s="75">
        <v>3.4722222222222099E-3</v>
      </c>
      <c r="G427" s="74">
        <v>0.55902777777777779</v>
      </c>
      <c r="H427" s="75">
        <v>4.8611111111110938E-3</v>
      </c>
      <c r="I427" s="76">
        <v>41720</v>
      </c>
      <c r="J427" s="36" t="str">
        <f t="shared" si="141"/>
        <v>Nacional</v>
      </c>
      <c r="K427" s="36">
        <f t="shared" si="141"/>
        <v>5.4783950617284007E-3</v>
      </c>
      <c r="L427" s="36">
        <f t="shared" si="141"/>
        <v>6.2499999999999778E-3</v>
      </c>
      <c r="M427" s="36">
        <f t="shared" si="141"/>
        <v>1.1728395061728378E-2</v>
      </c>
      <c r="N427" s="36" t="str">
        <f t="shared" si="141"/>
        <v>B737-700</v>
      </c>
      <c r="O427" s="36">
        <f t="shared" si="141"/>
        <v>126</v>
      </c>
      <c r="P427" s="36" t="str">
        <f t="shared" si="141"/>
        <v>MEX</v>
      </c>
      <c r="R427">
        <v>413</v>
      </c>
      <c r="S427" s="36" t="str">
        <f t="shared" si="136"/>
        <v>MEXICO AEREO</v>
      </c>
      <c r="T427" s="36">
        <f t="shared" si="136"/>
        <v>785</v>
      </c>
      <c r="U427" s="73">
        <v>0.20416666666666669</v>
      </c>
      <c r="V427" s="74">
        <v>0.22777777777777777</v>
      </c>
      <c r="W427" s="75">
        <v>2.3611111111111083E-2</v>
      </c>
      <c r="X427" s="74">
        <v>0.25</v>
      </c>
      <c r="Y427" s="75">
        <v>2.2222222222222227E-2</v>
      </c>
      <c r="Z427" s="76">
        <v>41733</v>
      </c>
      <c r="AA427" s="36" t="str">
        <f t="shared" si="140"/>
        <v>Internacional</v>
      </c>
      <c r="AB427" s="36">
        <f t="shared" si="140"/>
        <v>1.2068965517241372E-2</v>
      </c>
      <c r="AC427" s="36">
        <f t="shared" si="140"/>
        <v>2.227011494252874E-2</v>
      </c>
      <c r="AD427" s="36">
        <f t="shared" si="140"/>
        <v>3.4339080459770112E-2</v>
      </c>
      <c r="AE427" s="36" t="str">
        <f t="shared" si="140"/>
        <v>B737-800</v>
      </c>
      <c r="AF427" s="36">
        <f t="shared" si="140"/>
        <v>189</v>
      </c>
      <c r="AG427" s="36" t="str">
        <f t="shared" si="140"/>
        <v>LAX</v>
      </c>
      <c r="AI427">
        <v>413</v>
      </c>
      <c r="AJ427" s="77" t="str">
        <f t="shared" si="129"/>
        <v>MEXICO AEREO</v>
      </c>
      <c r="AK427" s="77">
        <f t="shared" si="129"/>
        <v>783</v>
      </c>
      <c r="AL427" s="78">
        <v>0.44791666666666669</v>
      </c>
      <c r="AM427" s="79">
        <v>0.4548611111111111</v>
      </c>
      <c r="AN427" s="80">
        <v>6.9444444444444198E-3</v>
      </c>
      <c r="AO427" s="79">
        <v>0.46527777777777773</v>
      </c>
      <c r="AP427" s="80">
        <v>1.041666666666663E-2</v>
      </c>
      <c r="AQ427" s="81">
        <v>41805</v>
      </c>
      <c r="AR427" s="77" t="str">
        <f t="shared" si="139"/>
        <v>Internacional</v>
      </c>
      <c r="AS427" s="77">
        <f t="shared" si="139"/>
        <v>9.2261904761904729E-3</v>
      </c>
      <c r="AT427" s="77">
        <f t="shared" si="139"/>
        <v>1.7096560846560842E-2</v>
      </c>
      <c r="AU427" s="77">
        <f t="shared" si="139"/>
        <v>2.6322751322751317E-2</v>
      </c>
      <c r="AV427" s="77">
        <f t="shared" si="139"/>
        <v>738</v>
      </c>
      <c r="AW427" s="77">
        <f t="shared" si="139"/>
        <v>189</v>
      </c>
      <c r="AX427" s="77" t="str">
        <f t="shared" si="139"/>
        <v>LAX</v>
      </c>
    </row>
    <row r="428" spans="1:50" x14ac:dyDescent="0.25">
      <c r="A428">
        <v>414</v>
      </c>
      <c r="B428" s="36" t="str">
        <f t="shared" si="133"/>
        <v>MEXICO AEREO</v>
      </c>
      <c r="C428" s="36">
        <f t="shared" si="133"/>
        <v>156</v>
      </c>
      <c r="D428" s="74">
        <v>0.55277777777777781</v>
      </c>
      <c r="E428" s="74">
        <v>0.55833333333333335</v>
      </c>
      <c r="F428" s="75">
        <v>5.5555555555555358E-3</v>
      </c>
      <c r="G428" s="74">
        <v>0.56041666666666667</v>
      </c>
      <c r="H428" s="75">
        <v>2.0833333333333259E-3</v>
      </c>
      <c r="I428" s="76">
        <v>41722</v>
      </c>
      <c r="J428" s="36" t="str">
        <f t="shared" si="141"/>
        <v>Nacional</v>
      </c>
      <c r="K428" s="36">
        <f t="shared" si="141"/>
        <v>5.4783950617284007E-3</v>
      </c>
      <c r="L428" s="36">
        <f t="shared" si="141"/>
        <v>6.2499999999999778E-3</v>
      </c>
      <c r="M428" s="36">
        <f t="shared" si="141"/>
        <v>1.1728395061728378E-2</v>
      </c>
      <c r="N428" s="36" t="str">
        <f t="shared" si="141"/>
        <v>B737-700</v>
      </c>
      <c r="O428" s="36">
        <f t="shared" si="141"/>
        <v>126</v>
      </c>
      <c r="P428" s="36" t="str">
        <f t="shared" si="141"/>
        <v>MEX</v>
      </c>
      <c r="R428">
        <v>414</v>
      </c>
      <c r="S428" s="36" t="str">
        <f t="shared" si="136"/>
        <v>MEXICO AEREO</v>
      </c>
      <c r="T428" s="36">
        <f t="shared" si="136"/>
        <v>785</v>
      </c>
      <c r="U428" s="73">
        <v>0.20416666666666669</v>
      </c>
      <c r="V428" s="74">
        <v>0.22777777777777777</v>
      </c>
      <c r="W428" s="75">
        <v>2.3611111111111083E-2</v>
      </c>
      <c r="X428" s="74">
        <v>0.25</v>
      </c>
      <c r="Y428" s="75">
        <v>2.2222222222222227E-2</v>
      </c>
      <c r="Z428" s="76">
        <v>41733</v>
      </c>
      <c r="AA428" s="36" t="str">
        <f t="shared" si="140"/>
        <v>Internacional</v>
      </c>
      <c r="AB428" s="36">
        <f t="shared" si="140"/>
        <v>1.2068965517241372E-2</v>
      </c>
      <c r="AC428" s="36">
        <f t="shared" si="140"/>
        <v>2.227011494252874E-2</v>
      </c>
      <c r="AD428" s="36">
        <f t="shared" si="140"/>
        <v>3.4339080459770112E-2</v>
      </c>
      <c r="AE428" s="36" t="str">
        <f t="shared" si="140"/>
        <v>B737-800</v>
      </c>
      <c r="AF428" s="36">
        <f t="shared" si="140"/>
        <v>189</v>
      </c>
      <c r="AG428" s="36" t="str">
        <f t="shared" si="140"/>
        <v>LAX</v>
      </c>
      <c r="AI428">
        <v>414</v>
      </c>
      <c r="AJ428" s="77" t="str">
        <f t="shared" si="129"/>
        <v>MEXICO AEREO</v>
      </c>
      <c r="AK428" s="77">
        <f t="shared" si="129"/>
        <v>783</v>
      </c>
      <c r="AL428" s="78">
        <v>0.25972222222222224</v>
      </c>
      <c r="AM428" s="79">
        <v>0.27083333333333331</v>
      </c>
      <c r="AN428" s="80">
        <v>1.1111111111111072E-2</v>
      </c>
      <c r="AO428" s="79">
        <v>0.28611111111111115</v>
      </c>
      <c r="AP428" s="80">
        <v>1.5277777777777835E-2</v>
      </c>
      <c r="AQ428" s="81">
        <v>41806</v>
      </c>
      <c r="AR428" s="77" t="str">
        <f t="shared" si="139"/>
        <v>Internacional</v>
      </c>
      <c r="AS428" s="77">
        <f t="shared" si="139"/>
        <v>9.2261904761904729E-3</v>
      </c>
      <c r="AT428" s="77">
        <f t="shared" si="139"/>
        <v>1.7096560846560842E-2</v>
      </c>
      <c r="AU428" s="77">
        <f t="shared" si="139"/>
        <v>2.6322751322751317E-2</v>
      </c>
      <c r="AV428" s="77">
        <f t="shared" si="139"/>
        <v>738</v>
      </c>
      <c r="AW428" s="77">
        <f t="shared" si="139"/>
        <v>189</v>
      </c>
      <c r="AX428" s="77" t="str">
        <f t="shared" si="139"/>
        <v>LAX</v>
      </c>
    </row>
    <row r="429" spans="1:50" x14ac:dyDescent="0.25">
      <c r="A429">
        <v>415</v>
      </c>
      <c r="B429" s="36" t="str">
        <f t="shared" si="133"/>
        <v>MEXICO AEREO</v>
      </c>
      <c r="C429" s="36">
        <f t="shared" si="133"/>
        <v>156</v>
      </c>
      <c r="D429" s="74">
        <v>0.55069444444444449</v>
      </c>
      <c r="E429" s="74">
        <v>0.55555555555555558</v>
      </c>
      <c r="F429" s="75">
        <v>4.8611111111110938E-3</v>
      </c>
      <c r="G429" s="74">
        <v>0.56180555555555556</v>
      </c>
      <c r="H429" s="75">
        <v>6.2499999999999778E-3</v>
      </c>
      <c r="I429" s="76">
        <v>41725</v>
      </c>
      <c r="J429" s="36" t="str">
        <f t="shared" si="141"/>
        <v>Nacional</v>
      </c>
      <c r="K429" s="36">
        <f t="shared" si="141"/>
        <v>5.4783950617284007E-3</v>
      </c>
      <c r="L429" s="36">
        <f t="shared" si="141"/>
        <v>6.2499999999999778E-3</v>
      </c>
      <c r="M429" s="36">
        <f t="shared" si="141"/>
        <v>1.1728395061728378E-2</v>
      </c>
      <c r="N429" s="36" t="str">
        <f t="shared" si="141"/>
        <v>B737-700</v>
      </c>
      <c r="O429" s="36">
        <f t="shared" si="141"/>
        <v>126</v>
      </c>
      <c r="P429" s="36" t="str">
        <f t="shared" si="141"/>
        <v>MEX</v>
      </c>
      <c r="R429">
        <v>415</v>
      </c>
      <c r="S429" s="36" t="str">
        <f t="shared" si="136"/>
        <v>MEXICO AEREO</v>
      </c>
      <c r="T429" s="36">
        <f t="shared" si="136"/>
        <v>785</v>
      </c>
      <c r="U429" s="73">
        <v>0.22569444444444445</v>
      </c>
      <c r="V429" s="74">
        <v>0.23750000000000002</v>
      </c>
      <c r="W429" s="75">
        <v>1.1805555555555569E-2</v>
      </c>
      <c r="X429" s="74">
        <v>0.26180555555555557</v>
      </c>
      <c r="Y429" s="75">
        <v>2.4305555555555552E-2</v>
      </c>
      <c r="Z429" s="76">
        <v>41736</v>
      </c>
      <c r="AA429" s="36" t="str">
        <f t="shared" si="140"/>
        <v>Internacional</v>
      </c>
      <c r="AB429" s="36">
        <f t="shared" si="140"/>
        <v>1.2068965517241372E-2</v>
      </c>
      <c r="AC429" s="36">
        <f t="shared" si="140"/>
        <v>2.227011494252874E-2</v>
      </c>
      <c r="AD429" s="36">
        <f t="shared" si="140"/>
        <v>3.4339080459770112E-2</v>
      </c>
      <c r="AE429" s="36" t="str">
        <f t="shared" si="140"/>
        <v>B737-800</v>
      </c>
      <c r="AF429" s="36">
        <f t="shared" si="140"/>
        <v>189</v>
      </c>
      <c r="AG429" s="36" t="str">
        <f t="shared" si="140"/>
        <v>LAX</v>
      </c>
      <c r="AI429">
        <v>415</v>
      </c>
      <c r="AJ429" s="77" t="str">
        <f t="shared" si="129"/>
        <v>MEXICO AEREO</v>
      </c>
      <c r="AK429" s="77">
        <f t="shared" si="129"/>
        <v>783</v>
      </c>
      <c r="AL429" s="78">
        <v>0.84791666666666676</v>
      </c>
      <c r="AM429" s="79">
        <v>0.8569444444444444</v>
      </c>
      <c r="AN429" s="80">
        <v>9.0277777777776347E-3</v>
      </c>
      <c r="AO429" s="79">
        <v>0.875</v>
      </c>
      <c r="AP429" s="80">
        <v>1.8055555555555602E-2</v>
      </c>
      <c r="AQ429" s="81">
        <v>41807</v>
      </c>
      <c r="AR429" s="77" t="str">
        <f t="shared" si="139"/>
        <v>Internacional</v>
      </c>
      <c r="AS429" s="77">
        <f t="shared" si="139"/>
        <v>9.2261904761904729E-3</v>
      </c>
      <c r="AT429" s="77">
        <f t="shared" si="139"/>
        <v>1.7096560846560842E-2</v>
      </c>
      <c r="AU429" s="77">
        <f t="shared" si="139"/>
        <v>2.6322751322751317E-2</v>
      </c>
      <c r="AV429" s="77">
        <f t="shared" si="139"/>
        <v>738</v>
      </c>
      <c r="AW429" s="77">
        <f t="shared" si="139"/>
        <v>189</v>
      </c>
      <c r="AX429" s="77" t="str">
        <f t="shared" si="139"/>
        <v>LAX</v>
      </c>
    </row>
    <row r="430" spans="1:50" x14ac:dyDescent="0.25">
      <c r="A430">
        <v>416</v>
      </c>
      <c r="B430" s="36" t="str">
        <f t="shared" si="133"/>
        <v>MEXICO AEREO</v>
      </c>
      <c r="C430" s="36">
        <f t="shared" si="133"/>
        <v>156</v>
      </c>
      <c r="D430" s="74">
        <v>0.6069444444444444</v>
      </c>
      <c r="E430" s="74">
        <v>0.61527777777777781</v>
      </c>
      <c r="F430" s="75">
        <v>8.3333333333334147E-3</v>
      </c>
      <c r="G430" s="74">
        <v>0.62013888888888891</v>
      </c>
      <c r="H430" s="75">
        <v>4.8611111111110938E-3</v>
      </c>
      <c r="I430" s="76">
        <v>41725</v>
      </c>
      <c r="J430" s="36" t="str">
        <f t="shared" si="141"/>
        <v>Nacional</v>
      </c>
      <c r="K430" s="36">
        <f t="shared" si="141"/>
        <v>5.4783950617284007E-3</v>
      </c>
      <c r="L430" s="36">
        <f t="shared" si="141"/>
        <v>6.2499999999999778E-3</v>
      </c>
      <c r="M430" s="36">
        <f t="shared" si="141"/>
        <v>1.1728395061728378E-2</v>
      </c>
      <c r="N430" s="36" t="str">
        <f t="shared" si="141"/>
        <v>B737-700</v>
      </c>
      <c r="O430" s="36">
        <f t="shared" si="141"/>
        <v>126</v>
      </c>
      <c r="P430" s="36" t="str">
        <f t="shared" si="141"/>
        <v>MEX</v>
      </c>
      <c r="R430">
        <v>416</v>
      </c>
      <c r="S430" s="36" t="str">
        <f t="shared" si="136"/>
        <v>MEXICO AEREO</v>
      </c>
      <c r="T430" s="36">
        <f t="shared" si="136"/>
        <v>785</v>
      </c>
      <c r="U430" s="73">
        <v>0.23541666666666669</v>
      </c>
      <c r="V430" s="74">
        <v>0.24305555555555555</v>
      </c>
      <c r="W430" s="75">
        <v>7.6388888888888618E-3</v>
      </c>
      <c r="X430" s="74">
        <v>0.24930555555555556</v>
      </c>
      <c r="Y430" s="75">
        <v>6.2500000000000056E-3</v>
      </c>
      <c r="Z430" s="76">
        <v>41736</v>
      </c>
      <c r="AA430" s="36" t="str">
        <f t="shared" si="140"/>
        <v>Internacional</v>
      </c>
      <c r="AB430" s="36">
        <f t="shared" si="140"/>
        <v>1.2068965517241372E-2</v>
      </c>
      <c r="AC430" s="36">
        <f t="shared" si="140"/>
        <v>2.227011494252874E-2</v>
      </c>
      <c r="AD430" s="36">
        <f t="shared" si="140"/>
        <v>3.4339080459770112E-2</v>
      </c>
      <c r="AE430" s="36" t="str">
        <f t="shared" si="140"/>
        <v>B737-800</v>
      </c>
      <c r="AF430" s="36">
        <f t="shared" si="140"/>
        <v>189</v>
      </c>
      <c r="AG430" s="36" t="str">
        <f t="shared" si="140"/>
        <v>LAX</v>
      </c>
      <c r="AI430">
        <v>416</v>
      </c>
      <c r="AJ430" s="77" t="str">
        <f t="shared" si="129"/>
        <v>MEXICO AEREO</v>
      </c>
      <c r="AK430" s="77">
        <f t="shared" si="129"/>
        <v>783</v>
      </c>
      <c r="AL430" s="78">
        <v>0.7319444444444444</v>
      </c>
      <c r="AM430" s="79">
        <v>0.74097222222222225</v>
      </c>
      <c r="AN430" s="80">
        <v>9.0277777777778567E-3</v>
      </c>
      <c r="AO430" s="79">
        <v>0.75763888888888886</v>
      </c>
      <c r="AP430" s="80">
        <v>1.6666666666666607E-2</v>
      </c>
      <c r="AQ430" s="81">
        <v>41808</v>
      </c>
      <c r="AR430" s="77" t="str">
        <f t="shared" si="139"/>
        <v>Internacional</v>
      </c>
      <c r="AS430" s="77">
        <f t="shared" si="139"/>
        <v>9.2261904761904729E-3</v>
      </c>
      <c r="AT430" s="77">
        <f t="shared" si="139"/>
        <v>1.7096560846560842E-2</v>
      </c>
      <c r="AU430" s="77">
        <f t="shared" si="139"/>
        <v>2.6322751322751317E-2</v>
      </c>
      <c r="AV430" s="77">
        <f t="shared" si="139"/>
        <v>738</v>
      </c>
      <c r="AW430" s="77">
        <f t="shared" si="139"/>
        <v>189</v>
      </c>
      <c r="AX430" s="77" t="str">
        <f t="shared" si="139"/>
        <v>LAX</v>
      </c>
    </row>
    <row r="431" spans="1:50" x14ac:dyDescent="0.25">
      <c r="A431">
        <v>417</v>
      </c>
      <c r="B431" s="36" t="str">
        <f t="shared" si="133"/>
        <v>MEXICO AEREO</v>
      </c>
      <c r="C431" s="36">
        <f t="shared" si="133"/>
        <v>156</v>
      </c>
      <c r="D431" s="74">
        <v>0.56041666666666667</v>
      </c>
      <c r="E431" s="74">
        <v>0.56458333333333333</v>
      </c>
      <c r="F431" s="75">
        <v>4.1666666666666519E-3</v>
      </c>
      <c r="G431" s="74">
        <v>0.57152777777777775</v>
      </c>
      <c r="H431" s="75">
        <v>6.9444444444444198E-3</v>
      </c>
      <c r="I431" s="76">
        <v>41726</v>
      </c>
      <c r="J431" s="36" t="str">
        <f t="shared" si="141"/>
        <v>Nacional</v>
      </c>
      <c r="K431" s="36">
        <f t="shared" si="141"/>
        <v>5.4783950617284007E-3</v>
      </c>
      <c r="L431" s="36">
        <f t="shared" si="141"/>
        <v>6.2499999999999778E-3</v>
      </c>
      <c r="M431" s="36">
        <f t="shared" si="141"/>
        <v>1.1728395061728378E-2</v>
      </c>
      <c r="N431" s="36" t="str">
        <f t="shared" si="141"/>
        <v>B737-700</v>
      </c>
      <c r="O431" s="36">
        <f t="shared" si="141"/>
        <v>126</v>
      </c>
      <c r="P431" s="36" t="str">
        <f t="shared" si="141"/>
        <v>MEX</v>
      </c>
      <c r="R431">
        <v>417</v>
      </c>
      <c r="S431" s="36" t="str">
        <f t="shared" si="136"/>
        <v>MEXICO AEREO</v>
      </c>
      <c r="T431" s="36">
        <f t="shared" si="136"/>
        <v>785</v>
      </c>
      <c r="U431" s="73">
        <v>0.25069444444444444</v>
      </c>
      <c r="V431" s="74">
        <v>0.26458333333333334</v>
      </c>
      <c r="W431" s="75">
        <v>1.3888888888888895E-2</v>
      </c>
      <c r="X431" s="74">
        <v>0.28125</v>
      </c>
      <c r="Y431" s="75">
        <v>1.6666666666666663E-2</v>
      </c>
      <c r="Z431" s="76">
        <v>41737</v>
      </c>
      <c r="AA431" s="36" t="str">
        <f t="shared" si="140"/>
        <v>Internacional</v>
      </c>
      <c r="AB431" s="36">
        <f t="shared" si="140"/>
        <v>1.2068965517241372E-2</v>
      </c>
      <c r="AC431" s="36">
        <f t="shared" si="140"/>
        <v>2.227011494252874E-2</v>
      </c>
      <c r="AD431" s="36">
        <f t="shared" si="140"/>
        <v>3.4339080459770112E-2</v>
      </c>
      <c r="AE431" s="36" t="str">
        <f t="shared" si="140"/>
        <v>B737-800</v>
      </c>
      <c r="AF431" s="36">
        <f t="shared" si="140"/>
        <v>189</v>
      </c>
      <c r="AG431" s="36" t="str">
        <f t="shared" si="140"/>
        <v>LAX</v>
      </c>
      <c r="AI431">
        <v>417</v>
      </c>
      <c r="AJ431" s="77" t="str">
        <f t="shared" si="129"/>
        <v>MEXICO AEREO</v>
      </c>
      <c r="AK431" s="77">
        <f t="shared" si="129"/>
        <v>783</v>
      </c>
      <c r="AL431" s="78">
        <v>0.73402777777777783</v>
      </c>
      <c r="AM431" s="79">
        <v>0.74583333333333324</v>
      </c>
      <c r="AN431" s="80">
        <v>1.1805555555555403E-2</v>
      </c>
      <c r="AO431" s="79">
        <v>0.76666666666666661</v>
      </c>
      <c r="AP431" s="80">
        <v>2.083333333333337E-2</v>
      </c>
      <c r="AQ431" s="81">
        <v>41809</v>
      </c>
      <c r="AR431" s="77" t="str">
        <f t="shared" si="139"/>
        <v>Internacional</v>
      </c>
      <c r="AS431" s="77">
        <f t="shared" si="139"/>
        <v>9.2261904761904729E-3</v>
      </c>
      <c r="AT431" s="77">
        <f t="shared" si="139"/>
        <v>1.7096560846560842E-2</v>
      </c>
      <c r="AU431" s="77">
        <f t="shared" si="139"/>
        <v>2.6322751322751317E-2</v>
      </c>
      <c r="AV431" s="77">
        <f t="shared" si="139"/>
        <v>738</v>
      </c>
      <c r="AW431" s="77">
        <f t="shared" si="139"/>
        <v>189</v>
      </c>
      <c r="AX431" s="77" t="str">
        <f t="shared" si="139"/>
        <v>LAX</v>
      </c>
    </row>
    <row r="432" spans="1:50" x14ac:dyDescent="0.25">
      <c r="A432">
        <v>418</v>
      </c>
      <c r="B432" s="36" t="str">
        <f t="shared" si="133"/>
        <v>MEXICO AEREO</v>
      </c>
      <c r="C432" s="36">
        <f t="shared" si="133"/>
        <v>156</v>
      </c>
      <c r="D432" s="74">
        <v>0.54166666666666663</v>
      </c>
      <c r="E432" s="74">
        <v>0.54791666666666672</v>
      </c>
      <c r="F432" s="75">
        <v>6.2500000000000888E-3</v>
      </c>
      <c r="G432" s="74">
        <v>0.55347222222222225</v>
      </c>
      <c r="H432" s="75">
        <v>5.5555555555555358E-3</v>
      </c>
      <c r="I432" s="76">
        <v>41729</v>
      </c>
      <c r="J432" s="36" t="str">
        <f t="shared" si="141"/>
        <v>Nacional</v>
      </c>
      <c r="K432" s="36">
        <f t="shared" si="141"/>
        <v>5.4783950617284007E-3</v>
      </c>
      <c r="L432" s="36">
        <f t="shared" si="141"/>
        <v>6.2499999999999778E-3</v>
      </c>
      <c r="M432" s="36">
        <f t="shared" si="141"/>
        <v>1.1728395061728378E-2</v>
      </c>
      <c r="N432" s="36" t="str">
        <f t="shared" si="141"/>
        <v>B737-700</v>
      </c>
      <c r="O432" s="36">
        <f t="shared" si="141"/>
        <v>126</v>
      </c>
      <c r="P432" s="36" t="str">
        <f t="shared" si="141"/>
        <v>MEX</v>
      </c>
      <c r="R432">
        <v>418</v>
      </c>
      <c r="S432" s="36" t="str">
        <f t="shared" si="136"/>
        <v>MEXICO AEREO</v>
      </c>
      <c r="T432" s="36">
        <f t="shared" si="136"/>
        <v>785</v>
      </c>
      <c r="U432" s="73">
        <v>0.22916666666666666</v>
      </c>
      <c r="V432" s="74">
        <v>0.23958333333333334</v>
      </c>
      <c r="W432" s="75">
        <v>1.0416666666666685E-2</v>
      </c>
      <c r="X432" s="74">
        <v>0.26944444444444443</v>
      </c>
      <c r="Y432" s="75">
        <v>2.9861111111111088E-2</v>
      </c>
      <c r="Z432" s="76">
        <v>41738</v>
      </c>
      <c r="AA432" s="36" t="str">
        <f t="shared" si="140"/>
        <v>Internacional</v>
      </c>
      <c r="AB432" s="36">
        <f t="shared" si="140"/>
        <v>1.2068965517241372E-2</v>
      </c>
      <c r="AC432" s="36">
        <f t="shared" si="140"/>
        <v>2.227011494252874E-2</v>
      </c>
      <c r="AD432" s="36">
        <f t="shared" si="140"/>
        <v>3.4339080459770112E-2</v>
      </c>
      <c r="AE432" s="36" t="str">
        <f t="shared" si="140"/>
        <v>B737-800</v>
      </c>
      <c r="AF432" s="36">
        <f t="shared" si="140"/>
        <v>189</v>
      </c>
      <c r="AG432" s="36" t="str">
        <f t="shared" si="140"/>
        <v>LAX</v>
      </c>
      <c r="AI432">
        <v>418</v>
      </c>
      <c r="AJ432" s="77" t="str">
        <f t="shared" si="129"/>
        <v>MEXICO AEREO</v>
      </c>
      <c r="AK432" s="77">
        <f t="shared" si="129"/>
        <v>783</v>
      </c>
      <c r="AL432" s="78">
        <v>0.72361111111111109</v>
      </c>
      <c r="AM432" s="79">
        <v>0.73263888888888884</v>
      </c>
      <c r="AN432" s="80">
        <v>9.0277777777777457E-3</v>
      </c>
      <c r="AO432" s="79">
        <v>0.75</v>
      </c>
      <c r="AP432" s="80">
        <v>1.736111111111116E-2</v>
      </c>
      <c r="AQ432" s="81">
        <v>41810</v>
      </c>
      <c r="AR432" s="77" t="str">
        <f t="shared" si="139"/>
        <v>Internacional</v>
      </c>
      <c r="AS432" s="77">
        <f t="shared" si="139"/>
        <v>9.2261904761904729E-3</v>
      </c>
      <c r="AT432" s="77">
        <f t="shared" si="139"/>
        <v>1.7096560846560842E-2</v>
      </c>
      <c r="AU432" s="77">
        <f t="shared" si="139"/>
        <v>2.6322751322751317E-2</v>
      </c>
      <c r="AV432" s="77">
        <f t="shared" si="139"/>
        <v>738</v>
      </c>
      <c r="AW432" s="77">
        <f t="shared" si="139"/>
        <v>189</v>
      </c>
      <c r="AX432" s="77" t="str">
        <f t="shared" si="139"/>
        <v>LAX</v>
      </c>
    </row>
    <row r="433" spans="1:50" ht="15.75" thickBot="1" x14ac:dyDescent="0.3">
      <c r="A433">
        <v>419</v>
      </c>
      <c r="B433" s="36" t="str">
        <f t="shared" si="133"/>
        <v>MEXICO AEREO</v>
      </c>
      <c r="C433" s="36">
        <f t="shared" si="133"/>
        <v>156</v>
      </c>
      <c r="D433" s="84">
        <v>0.55208333333333337</v>
      </c>
      <c r="E433" s="84">
        <v>0.55625000000000002</v>
      </c>
      <c r="F433" s="85">
        <v>4.1666666666666519E-3</v>
      </c>
      <c r="G433" s="84">
        <v>0.56944444444444442</v>
      </c>
      <c r="H433" s="85">
        <v>1.3194444444444398E-2</v>
      </c>
      <c r="I433" s="86">
        <v>41717</v>
      </c>
      <c r="J433" s="36" t="str">
        <f t="shared" si="141"/>
        <v>Nacional</v>
      </c>
      <c r="K433" s="36">
        <f t="shared" si="141"/>
        <v>5.4783950617284007E-3</v>
      </c>
      <c r="L433" s="36">
        <f t="shared" si="141"/>
        <v>6.2499999999999778E-3</v>
      </c>
      <c r="M433" s="36">
        <f t="shared" si="141"/>
        <v>1.1728395061728378E-2</v>
      </c>
      <c r="N433" s="36" t="str">
        <f t="shared" si="141"/>
        <v>B737-700</v>
      </c>
      <c r="O433" s="36">
        <f t="shared" si="141"/>
        <v>126</v>
      </c>
      <c r="P433" s="36" t="str">
        <f t="shared" si="141"/>
        <v>MEX</v>
      </c>
      <c r="R433">
        <v>419</v>
      </c>
      <c r="S433" s="36" t="str">
        <f t="shared" si="136"/>
        <v>MEXICO AEREO</v>
      </c>
      <c r="T433" s="36">
        <f t="shared" si="136"/>
        <v>785</v>
      </c>
      <c r="U433" s="73">
        <v>0.24097222222222223</v>
      </c>
      <c r="V433" s="74">
        <v>0.24861111111111112</v>
      </c>
      <c r="W433" s="75">
        <v>7.6388888888888895E-3</v>
      </c>
      <c r="X433" s="74">
        <v>0.27708333333333335</v>
      </c>
      <c r="Y433" s="75">
        <v>2.8472222222222232E-2</v>
      </c>
      <c r="Z433" s="76">
        <v>41739</v>
      </c>
      <c r="AA433" s="36" t="str">
        <f t="shared" si="140"/>
        <v>Internacional</v>
      </c>
      <c r="AB433" s="36">
        <f t="shared" si="140"/>
        <v>1.2068965517241372E-2</v>
      </c>
      <c r="AC433" s="36">
        <f t="shared" si="140"/>
        <v>2.227011494252874E-2</v>
      </c>
      <c r="AD433" s="36">
        <f t="shared" si="140"/>
        <v>3.4339080459770112E-2</v>
      </c>
      <c r="AE433" s="36" t="str">
        <f t="shared" si="140"/>
        <v>B737-800</v>
      </c>
      <c r="AF433" s="36">
        <f t="shared" si="140"/>
        <v>189</v>
      </c>
      <c r="AG433" s="36" t="str">
        <f t="shared" si="140"/>
        <v>LAX</v>
      </c>
      <c r="AI433">
        <v>419</v>
      </c>
      <c r="AJ433" s="77" t="str">
        <f t="shared" si="129"/>
        <v>MEXICO AEREO</v>
      </c>
      <c r="AK433" s="77">
        <f t="shared" si="129"/>
        <v>783</v>
      </c>
      <c r="AL433" s="78">
        <v>0.74375000000000002</v>
      </c>
      <c r="AM433" s="79">
        <v>0.75208333333333333</v>
      </c>
      <c r="AN433" s="80">
        <v>8.3333333333333037E-3</v>
      </c>
      <c r="AO433" s="79">
        <v>0.7715277777777777</v>
      </c>
      <c r="AP433" s="80">
        <v>1.9444444444444375E-2</v>
      </c>
      <c r="AQ433" s="81">
        <v>41811</v>
      </c>
      <c r="AR433" s="77" t="str">
        <f t="shared" si="139"/>
        <v>Internacional</v>
      </c>
      <c r="AS433" s="77">
        <f t="shared" si="139"/>
        <v>9.2261904761904729E-3</v>
      </c>
      <c r="AT433" s="77">
        <f t="shared" si="139"/>
        <v>1.7096560846560842E-2</v>
      </c>
      <c r="AU433" s="77">
        <f t="shared" si="139"/>
        <v>2.6322751322751317E-2</v>
      </c>
      <c r="AV433" s="77">
        <f t="shared" si="139"/>
        <v>738</v>
      </c>
      <c r="AW433" s="77">
        <f t="shared" si="139"/>
        <v>189</v>
      </c>
      <c r="AX433" s="77" t="str">
        <f t="shared" si="139"/>
        <v>LAX</v>
      </c>
    </row>
    <row r="434" spans="1:50" x14ac:dyDescent="0.25">
      <c r="A434">
        <v>420</v>
      </c>
      <c r="B434" s="36" t="str">
        <f t="shared" si="133"/>
        <v>MEXICO AEREO</v>
      </c>
      <c r="C434" s="88">
        <v>128</v>
      </c>
      <c r="D434" s="57">
        <v>0.84930555555555554</v>
      </c>
      <c r="E434" s="57">
        <v>0.85625000000000007</v>
      </c>
      <c r="F434" s="58">
        <v>6.9444444444445308E-3</v>
      </c>
      <c r="G434" s="57">
        <v>0.86041666666666661</v>
      </c>
      <c r="H434" s="58">
        <v>4.1666666666665408E-3</v>
      </c>
      <c r="I434" s="59">
        <v>41713</v>
      </c>
      <c r="J434" s="108" t="s">
        <v>19</v>
      </c>
      <c r="K434" s="61">
        <v>7.5757575757575794E-3</v>
      </c>
      <c r="L434" s="61">
        <v>7.1969696969696913E-3</v>
      </c>
      <c r="M434" s="89">
        <v>1.4772727272727271E-2</v>
      </c>
      <c r="N434" s="90" t="s">
        <v>45</v>
      </c>
      <c r="O434" s="91">
        <v>126</v>
      </c>
      <c r="P434" s="92" t="s">
        <v>21</v>
      </c>
      <c r="R434">
        <v>420</v>
      </c>
      <c r="S434" s="36" t="str">
        <f t="shared" si="136"/>
        <v>MEXICO AEREO</v>
      </c>
      <c r="T434" s="36">
        <f t="shared" si="136"/>
        <v>785</v>
      </c>
      <c r="U434" s="73">
        <v>0.23472222222222219</v>
      </c>
      <c r="V434" s="74">
        <v>0.23680555555555557</v>
      </c>
      <c r="W434" s="75">
        <v>2.0833333333333814E-3</v>
      </c>
      <c r="X434" s="74">
        <v>0.26041666666666669</v>
      </c>
      <c r="Y434" s="75">
        <v>2.361111111111111E-2</v>
      </c>
      <c r="Z434" s="76">
        <v>41740</v>
      </c>
      <c r="AA434" s="36" t="str">
        <f t="shared" si="140"/>
        <v>Internacional</v>
      </c>
      <c r="AB434" s="36">
        <f t="shared" si="140"/>
        <v>1.2068965517241372E-2</v>
      </c>
      <c r="AC434" s="36">
        <f t="shared" si="140"/>
        <v>2.227011494252874E-2</v>
      </c>
      <c r="AD434" s="36">
        <f t="shared" si="140"/>
        <v>3.4339080459770112E-2</v>
      </c>
      <c r="AE434" s="36" t="str">
        <f t="shared" si="140"/>
        <v>B737-800</v>
      </c>
      <c r="AF434" s="36">
        <f t="shared" si="140"/>
        <v>189</v>
      </c>
      <c r="AG434" s="36" t="str">
        <f t="shared" si="140"/>
        <v>LAX</v>
      </c>
      <c r="AI434">
        <v>420</v>
      </c>
      <c r="AJ434" s="77" t="str">
        <f t="shared" si="129"/>
        <v>MEXICO AEREO</v>
      </c>
      <c r="AK434" s="77">
        <f t="shared" si="129"/>
        <v>783</v>
      </c>
      <c r="AL434" s="78">
        <v>0.72083333333333333</v>
      </c>
      <c r="AM434" s="79">
        <v>0.72916666666666663</v>
      </c>
      <c r="AN434" s="80">
        <v>8.3333333333333037E-3</v>
      </c>
      <c r="AO434" s="79">
        <v>0.73958333333333337</v>
      </c>
      <c r="AP434" s="80">
        <v>1.0416666666666741E-2</v>
      </c>
      <c r="AQ434" s="81">
        <v>41813</v>
      </c>
      <c r="AR434" s="77" t="str">
        <f t="shared" si="139"/>
        <v>Internacional</v>
      </c>
      <c r="AS434" s="77">
        <f t="shared" si="139"/>
        <v>9.2261904761904729E-3</v>
      </c>
      <c r="AT434" s="77">
        <f t="shared" si="139"/>
        <v>1.7096560846560842E-2</v>
      </c>
      <c r="AU434" s="77">
        <f t="shared" si="139"/>
        <v>2.6322751322751317E-2</v>
      </c>
      <c r="AV434" s="77">
        <f t="shared" si="139"/>
        <v>738</v>
      </c>
      <c r="AW434" s="77">
        <f t="shared" si="139"/>
        <v>189</v>
      </c>
      <c r="AX434" s="77" t="str">
        <f t="shared" si="139"/>
        <v>LAX</v>
      </c>
    </row>
    <row r="435" spans="1:50" ht="15.75" thickBot="1" x14ac:dyDescent="0.3">
      <c r="A435">
        <v>421</v>
      </c>
      <c r="B435" s="36" t="str">
        <f t="shared" si="133"/>
        <v>MEXICO AEREO</v>
      </c>
      <c r="C435" s="36">
        <f t="shared" si="133"/>
        <v>128</v>
      </c>
      <c r="D435" s="74">
        <v>0.85138888888888886</v>
      </c>
      <c r="E435" s="74">
        <v>0.85486111111111107</v>
      </c>
      <c r="F435" s="75">
        <v>3.4722222222222099E-3</v>
      </c>
      <c r="G435" s="74">
        <v>0.8618055555555556</v>
      </c>
      <c r="H435" s="75">
        <v>6.9444444444445308E-3</v>
      </c>
      <c r="I435" s="76">
        <v>41715</v>
      </c>
      <c r="J435" s="36" t="str">
        <f t="shared" ref="J435:P444" si="142">J434</f>
        <v>Nacional</v>
      </c>
      <c r="K435" s="36">
        <f t="shared" si="142"/>
        <v>7.5757575757575794E-3</v>
      </c>
      <c r="L435" s="36">
        <f t="shared" si="142"/>
        <v>7.1969696969696913E-3</v>
      </c>
      <c r="M435" s="36">
        <f t="shared" si="142"/>
        <v>1.4772727272727271E-2</v>
      </c>
      <c r="N435" s="36" t="str">
        <f t="shared" si="142"/>
        <v>B737-700</v>
      </c>
      <c r="O435" s="36">
        <f t="shared" si="142"/>
        <v>126</v>
      </c>
      <c r="P435" s="36" t="str">
        <f t="shared" si="142"/>
        <v>MEX</v>
      </c>
      <c r="R435">
        <v>421</v>
      </c>
      <c r="S435" s="36" t="str">
        <f t="shared" si="136"/>
        <v>MEXICO AEREO</v>
      </c>
      <c r="T435" s="36">
        <f t="shared" si="136"/>
        <v>785</v>
      </c>
      <c r="U435" s="73">
        <v>0.20555555555555557</v>
      </c>
      <c r="V435" s="74">
        <v>0.21319444444444444</v>
      </c>
      <c r="W435" s="75">
        <v>7.6388888888888618E-3</v>
      </c>
      <c r="X435" s="74">
        <v>0.23611111111111113</v>
      </c>
      <c r="Y435" s="75">
        <v>2.2916666666666696E-2</v>
      </c>
      <c r="Z435" s="76">
        <v>41742</v>
      </c>
      <c r="AA435" s="36" t="str">
        <f t="shared" si="140"/>
        <v>Internacional</v>
      </c>
      <c r="AB435" s="36">
        <f t="shared" si="140"/>
        <v>1.2068965517241372E-2</v>
      </c>
      <c r="AC435" s="36">
        <f t="shared" si="140"/>
        <v>2.227011494252874E-2</v>
      </c>
      <c r="AD435" s="36">
        <f t="shared" si="140"/>
        <v>3.4339080459770112E-2</v>
      </c>
      <c r="AE435" s="36" t="str">
        <f t="shared" si="140"/>
        <v>B737-800</v>
      </c>
      <c r="AF435" s="36">
        <f t="shared" si="140"/>
        <v>189</v>
      </c>
      <c r="AG435" s="36" t="str">
        <f t="shared" si="140"/>
        <v>LAX</v>
      </c>
      <c r="AI435">
        <v>421</v>
      </c>
      <c r="AJ435" s="77" t="str">
        <f t="shared" si="129"/>
        <v>MEXICO AEREO</v>
      </c>
      <c r="AK435" s="77">
        <f t="shared" si="129"/>
        <v>783</v>
      </c>
      <c r="AL435" s="94">
        <v>0.72986111111111107</v>
      </c>
      <c r="AM435" s="95">
        <v>0.73958333333333337</v>
      </c>
      <c r="AN435" s="96">
        <v>9.7222222222222987E-3</v>
      </c>
      <c r="AO435" s="95">
        <v>0.75347222222222221</v>
      </c>
      <c r="AP435" s="96">
        <v>1.388888888888884E-2</v>
      </c>
      <c r="AQ435" s="97">
        <v>41812</v>
      </c>
      <c r="AR435" s="77" t="str">
        <f t="shared" si="139"/>
        <v>Internacional</v>
      </c>
      <c r="AS435" s="77">
        <f t="shared" si="139"/>
        <v>9.2261904761904729E-3</v>
      </c>
      <c r="AT435" s="77">
        <f t="shared" si="139"/>
        <v>1.7096560846560842E-2</v>
      </c>
      <c r="AU435" s="77">
        <f t="shared" si="139"/>
        <v>2.6322751322751317E-2</v>
      </c>
      <c r="AV435" s="77">
        <f t="shared" si="139"/>
        <v>738</v>
      </c>
      <c r="AW435" s="77">
        <f t="shared" si="139"/>
        <v>189</v>
      </c>
      <c r="AX435" s="77" t="str">
        <f t="shared" si="139"/>
        <v>LAX</v>
      </c>
    </row>
    <row r="436" spans="1:50" x14ac:dyDescent="0.25">
      <c r="A436">
        <v>422</v>
      </c>
      <c r="B436" s="36" t="str">
        <f t="shared" si="133"/>
        <v>MEXICO AEREO</v>
      </c>
      <c r="C436" s="36">
        <f t="shared" si="133"/>
        <v>128</v>
      </c>
      <c r="D436" s="74">
        <v>0.84861111111111109</v>
      </c>
      <c r="E436" s="74">
        <v>0.85972222222222217</v>
      </c>
      <c r="F436" s="75">
        <v>1.1111111111111072E-2</v>
      </c>
      <c r="G436" s="74">
        <v>0.86249999999999993</v>
      </c>
      <c r="H436" s="75">
        <v>2.7777777777777679E-3</v>
      </c>
      <c r="I436" s="76">
        <v>41716</v>
      </c>
      <c r="J436" s="36" t="str">
        <f t="shared" si="142"/>
        <v>Nacional</v>
      </c>
      <c r="K436" s="36">
        <f t="shared" si="142"/>
        <v>7.5757575757575794E-3</v>
      </c>
      <c r="L436" s="36">
        <f t="shared" si="142"/>
        <v>7.1969696969696913E-3</v>
      </c>
      <c r="M436" s="36">
        <f t="shared" si="142"/>
        <v>1.4772727272727271E-2</v>
      </c>
      <c r="N436" s="36" t="str">
        <f t="shared" si="142"/>
        <v>B737-700</v>
      </c>
      <c r="O436" s="36">
        <f t="shared" si="142"/>
        <v>126</v>
      </c>
      <c r="P436" s="36" t="str">
        <f t="shared" si="142"/>
        <v>MEX</v>
      </c>
      <c r="R436">
        <v>422</v>
      </c>
      <c r="S436" s="36" t="str">
        <f t="shared" si="136"/>
        <v>MEXICO AEREO</v>
      </c>
      <c r="T436" s="36">
        <f t="shared" si="136"/>
        <v>785</v>
      </c>
      <c r="U436" s="73">
        <v>0.22500000000000001</v>
      </c>
      <c r="V436" s="74">
        <v>0.23333333333333331</v>
      </c>
      <c r="W436" s="75">
        <v>8.3333333333333037E-3</v>
      </c>
      <c r="X436" s="74">
        <v>0.26041666666666669</v>
      </c>
      <c r="Y436" s="75">
        <v>2.7083333333333376E-2</v>
      </c>
      <c r="Z436" s="76">
        <v>41743</v>
      </c>
      <c r="AA436" s="36" t="str">
        <f t="shared" si="140"/>
        <v>Internacional</v>
      </c>
      <c r="AB436" s="36">
        <f t="shared" si="140"/>
        <v>1.2068965517241372E-2</v>
      </c>
      <c r="AC436" s="36">
        <f t="shared" si="140"/>
        <v>2.227011494252874E-2</v>
      </c>
      <c r="AD436" s="36">
        <f t="shared" si="140"/>
        <v>3.4339080459770112E-2</v>
      </c>
      <c r="AE436" s="36" t="str">
        <f t="shared" si="140"/>
        <v>B737-800</v>
      </c>
      <c r="AF436" s="36">
        <f t="shared" si="140"/>
        <v>189</v>
      </c>
      <c r="AG436" s="36" t="str">
        <f t="shared" si="140"/>
        <v>LAX</v>
      </c>
      <c r="AI436">
        <v>422</v>
      </c>
      <c r="AJ436" s="77" t="str">
        <f t="shared" si="129"/>
        <v>MEXICO AEREO</v>
      </c>
      <c r="AK436" s="63">
        <v>781</v>
      </c>
      <c r="AL436" s="64">
        <v>0.24305555555555555</v>
      </c>
      <c r="AM436" s="65">
        <v>0.2590277777777778</v>
      </c>
      <c r="AN436" s="66">
        <v>1.5972222222222249E-2</v>
      </c>
      <c r="AO436" s="65">
        <v>0.2902777777777778</v>
      </c>
      <c r="AP436" s="66">
        <v>3.125E-2</v>
      </c>
      <c r="AQ436" s="67">
        <v>41791</v>
      </c>
      <c r="AR436" s="68" t="s">
        <v>22</v>
      </c>
      <c r="AS436" s="69">
        <v>1.2546296296296269E-2</v>
      </c>
      <c r="AT436" s="70">
        <v>2.1342592592592597E-2</v>
      </c>
      <c r="AU436" s="70">
        <v>3.3888888888888864E-2</v>
      </c>
      <c r="AV436" s="71">
        <v>738</v>
      </c>
      <c r="AW436" s="71">
        <v>189</v>
      </c>
      <c r="AX436" s="72" t="s">
        <v>41</v>
      </c>
    </row>
    <row r="437" spans="1:50" x14ac:dyDescent="0.25">
      <c r="A437">
        <v>423</v>
      </c>
      <c r="B437" s="36" t="str">
        <f t="shared" si="133"/>
        <v>MEXICO AEREO</v>
      </c>
      <c r="C437" s="36">
        <f t="shared" si="133"/>
        <v>128</v>
      </c>
      <c r="D437" s="74">
        <v>0.85</v>
      </c>
      <c r="E437" s="74">
        <v>0.86111111111111116</v>
      </c>
      <c r="F437" s="75">
        <v>1.1111111111111183E-2</v>
      </c>
      <c r="G437" s="74">
        <v>0.86805555555555547</v>
      </c>
      <c r="H437" s="75">
        <v>6.9444444444443088E-3</v>
      </c>
      <c r="I437" s="76">
        <v>41719</v>
      </c>
      <c r="J437" s="36" t="str">
        <f t="shared" si="142"/>
        <v>Nacional</v>
      </c>
      <c r="K437" s="36">
        <f t="shared" si="142"/>
        <v>7.5757575757575794E-3</v>
      </c>
      <c r="L437" s="36">
        <f t="shared" si="142"/>
        <v>7.1969696969696913E-3</v>
      </c>
      <c r="M437" s="36">
        <f t="shared" si="142"/>
        <v>1.4772727272727271E-2</v>
      </c>
      <c r="N437" s="36" t="str">
        <f t="shared" si="142"/>
        <v>B737-700</v>
      </c>
      <c r="O437" s="36">
        <f t="shared" si="142"/>
        <v>126</v>
      </c>
      <c r="P437" s="36" t="str">
        <f t="shared" si="142"/>
        <v>MEX</v>
      </c>
      <c r="R437">
        <v>423</v>
      </c>
      <c r="S437" s="36" t="str">
        <f t="shared" si="136"/>
        <v>MEXICO AEREO</v>
      </c>
      <c r="T437" s="36">
        <f t="shared" si="136"/>
        <v>785</v>
      </c>
      <c r="U437" s="73">
        <v>0.22361111111111109</v>
      </c>
      <c r="V437" s="74">
        <v>0.23680555555555557</v>
      </c>
      <c r="W437" s="75">
        <v>1.3194444444444481E-2</v>
      </c>
      <c r="X437" s="74">
        <v>0.26597222222222222</v>
      </c>
      <c r="Y437" s="75">
        <v>2.9166666666666646E-2</v>
      </c>
      <c r="Z437" s="76">
        <v>41745</v>
      </c>
      <c r="AA437" s="36" t="str">
        <f t="shared" si="140"/>
        <v>Internacional</v>
      </c>
      <c r="AB437" s="36">
        <f t="shared" si="140"/>
        <v>1.2068965517241372E-2</v>
      </c>
      <c r="AC437" s="36">
        <f t="shared" si="140"/>
        <v>2.227011494252874E-2</v>
      </c>
      <c r="AD437" s="36">
        <f t="shared" si="140"/>
        <v>3.4339080459770112E-2</v>
      </c>
      <c r="AE437" s="36" t="str">
        <f t="shared" si="140"/>
        <v>B737-800</v>
      </c>
      <c r="AF437" s="36">
        <f t="shared" si="140"/>
        <v>189</v>
      </c>
      <c r="AG437" s="36" t="str">
        <f t="shared" si="140"/>
        <v>LAX</v>
      </c>
      <c r="AI437">
        <v>423</v>
      </c>
      <c r="AJ437" s="77" t="str">
        <f t="shared" si="129"/>
        <v>MEXICO AEREO</v>
      </c>
      <c r="AK437" s="77">
        <f t="shared" si="129"/>
        <v>781</v>
      </c>
      <c r="AL437" s="78">
        <v>0.25694444444444448</v>
      </c>
      <c r="AM437" s="79">
        <v>0.26805555555555555</v>
      </c>
      <c r="AN437" s="80">
        <v>1.1111111111111072E-2</v>
      </c>
      <c r="AO437" s="79">
        <v>0.29444444444444445</v>
      </c>
      <c r="AP437" s="80">
        <v>2.6388888888888906E-2</v>
      </c>
      <c r="AQ437" s="81">
        <v>41794</v>
      </c>
      <c r="AR437" s="77" t="str">
        <f t="shared" ref="AR437:AX450" si="143">AR436</f>
        <v>Internacional</v>
      </c>
      <c r="AS437" s="77">
        <f t="shared" si="143"/>
        <v>1.2546296296296269E-2</v>
      </c>
      <c r="AT437" s="77">
        <f t="shared" si="143"/>
        <v>2.1342592592592597E-2</v>
      </c>
      <c r="AU437" s="77">
        <f t="shared" si="143"/>
        <v>3.3888888888888864E-2</v>
      </c>
      <c r="AV437" s="77">
        <f t="shared" si="143"/>
        <v>738</v>
      </c>
      <c r="AW437" s="77">
        <f t="shared" si="143"/>
        <v>189</v>
      </c>
      <c r="AX437" s="77" t="str">
        <f t="shared" si="143"/>
        <v>ONT</v>
      </c>
    </row>
    <row r="438" spans="1:50" x14ac:dyDescent="0.25">
      <c r="A438">
        <v>424</v>
      </c>
      <c r="B438" s="36" t="str">
        <f t="shared" si="133"/>
        <v>MEXICO AEREO</v>
      </c>
      <c r="C438" s="36">
        <f t="shared" si="133"/>
        <v>128</v>
      </c>
      <c r="D438" s="74">
        <v>0.86319444444444438</v>
      </c>
      <c r="E438" s="74">
        <v>0.87777777777777777</v>
      </c>
      <c r="F438" s="75">
        <v>1.4583333333333393E-2</v>
      </c>
      <c r="G438" s="74">
        <v>0.8847222222222223</v>
      </c>
      <c r="H438" s="75">
        <v>6.9444444444445308E-3</v>
      </c>
      <c r="I438" s="76">
        <v>41721</v>
      </c>
      <c r="J438" s="36" t="str">
        <f t="shared" si="142"/>
        <v>Nacional</v>
      </c>
      <c r="K438" s="36">
        <f t="shared" si="142"/>
        <v>7.5757575757575794E-3</v>
      </c>
      <c r="L438" s="36">
        <f t="shared" si="142"/>
        <v>7.1969696969696913E-3</v>
      </c>
      <c r="M438" s="36">
        <f t="shared" si="142"/>
        <v>1.4772727272727271E-2</v>
      </c>
      <c r="N438" s="36" t="str">
        <f t="shared" si="142"/>
        <v>B737-700</v>
      </c>
      <c r="O438" s="36">
        <f t="shared" si="142"/>
        <v>126</v>
      </c>
      <c r="P438" s="36" t="str">
        <f t="shared" si="142"/>
        <v>MEX</v>
      </c>
      <c r="R438">
        <v>424</v>
      </c>
      <c r="S438" s="36" t="str">
        <f t="shared" si="136"/>
        <v>MEXICO AEREO</v>
      </c>
      <c r="T438" s="36">
        <f t="shared" si="136"/>
        <v>785</v>
      </c>
      <c r="U438" s="73">
        <v>0.22152777777777777</v>
      </c>
      <c r="V438" s="74">
        <v>0.2298611111111111</v>
      </c>
      <c r="W438" s="75">
        <v>8.3333333333333315E-3</v>
      </c>
      <c r="X438" s="74">
        <v>0.25</v>
      </c>
      <c r="Y438" s="75">
        <v>2.0138888888888901E-2</v>
      </c>
      <c r="Z438" s="76">
        <v>41745</v>
      </c>
      <c r="AA438" s="36" t="str">
        <f t="shared" si="140"/>
        <v>Internacional</v>
      </c>
      <c r="AB438" s="36">
        <f t="shared" si="140"/>
        <v>1.2068965517241372E-2</v>
      </c>
      <c r="AC438" s="36">
        <f t="shared" si="140"/>
        <v>2.227011494252874E-2</v>
      </c>
      <c r="AD438" s="36">
        <f t="shared" si="140"/>
        <v>3.4339080459770112E-2</v>
      </c>
      <c r="AE438" s="36" t="str">
        <f t="shared" si="140"/>
        <v>B737-800</v>
      </c>
      <c r="AF438" s="36">
        <f t="shared" si="140"/>
        <v>189</v>
      </c>
      <c r="AG438" s="36" t="str">
        <f t="shared" si="140"/>
        <v>LAX</v>
      </c>
      <c r="AI438">
        <v>424</v>
      </c>
      <c r="AJ438" s="77" t="str">
        <f t="shared" si="129"/>
        <v>MEXICO AEREO</v>
      </c>
      <c r="AK438" s="77">
        <f t="shared" si="129"/>
        <v>781</v>
      </c>
      <c r="AL438" s="78">
        <v>0.28402777777777777</v>
      </c>
      <c r="AM438" s="79">
        <v>0.29583333333333334</v>
      </c>
      <c r="AN438" s="80">
        <v>1.1805555555555569E-2</v>
      </c>
      <c r="AO438" s="79">
        <v>0.31041666666666667</v>
      </c>
      <c r="AP438" s="80">
        <v>1.4583333333333337E-2</v>
      </c>
      <c r="AQ438" s="81">
        <v>41795</v>
      </c>
      <c r="AR438" s="77" t="str">
        <f t="shared" si="143"/>
        <v>Internacional</v>
      </c>
      <c r="AS438" s="77">
        <f t="shared" si="143"/>
        <v>1.2546296296296269E-2</v>
      </c>
      <c r="AT438" s="77">
        <f t="shared" si="143"/>
        <v>2.1342592592592597E-2</v>
      </c>
      <c r="AU438" s="77">
        <f t="shared" si="143"/>
        <v>3.3888888888888864E-2</v>
      </c>
      <c r="AV438" s="77">
        <f t="shared" si="143"/>
        <v>738</v>
      </c>
      <c r="AW438" s="77">
        <f t="shared" si="143"/>
        <v>189</v>
      </c>
      <c r="AX438" s="77" t="str">
        <f t="shared" si="143"/>
        <v>ONT</v>
      </c>
    </row>
    <row r="439" spans="1:50" x14ac:dyDescent="0.25">
      <c r="A439">
        <v>425</v>
      </c>
      <c r="B439" s="36" t="str">
        <f t="shared" si="133"/>
        <v>MEXICO AEREO</v>
      </c>
      <c r="C439" s="36">
        <f t="shared" si="133"/>
        <v>128</v>
      </c>
      <c r="D439" s="74">
        <v>0.8534722222222223</v>
      </c>
      <c r="E439" s="74">
        <v>0.85416666666666663</v>
      </c>
      <c r="F439" s="75">
        <v>6.9444444444433095E-4</v>
      </c>
      <c r="G439" s="74">
        <v>0.86944444444444446</v>
      </c>
      <c r="H439" s="75">
        <v>1.5277777777777835E-2</v>
      </c>
      <c r="I439" s="76">
        <v>41721</v>
      </c>
      <c r="J439" s="36" t="str">
        <f t="shared" si="142"/>
        <v>Nacional</v>
      </c>
      <c r="K439" s="36">
        <f t="shared" si="142"/>
        <v>7.5757575757575794E-3</v>
      </c>
      <c r="L439" s="36">
        <f t="shared" si="142"/>
        <v>7.1969696969696913E-3</v>
      </c>
      <c r="M439" s="36">
        <f t="shared" si="142"/>
        <v>1.4772727272727271E-2</v>
      </c>
      <c r="N439" s="36" t="str">
        <f t="shared" si="142"/>
        <v>B737-700</v>
      </c>
      <c r="O439" s="36">
        <f t="shared" si="142"/>
        <v>126</v>
      </c>
      <c r="P439" s="36" t="str">
        <f t="shared" si="142"/>
        <v>MEX</v>
      </c>
      <c r="R439">
        <v>425</v>
      </c>
      <c r="S439" s="36" t="str">
        <f t="shared" si="136"/>
        <v>MEXICO AEREO</v>
      </c>
      <c r="T439" s="36">
        <f t="shared" si="136"/>
        <v>785</v>
      </c>
      <c r="U439" s="73">
        <v>0.23124999999999998</v>
      </c>
      <c r="V439" s="74">
        <v>0.23611111111111113</v>
      </c>
      <c r="W439" s="75">
        <v>4.8611111111111494E-3</v>
      </c>
      <c r="X439" s="74">
        <v>0.25208333333333333</v>
      </c>
      <c r="Y439" s="75">
        <v>1.5972222222222193E-2</v>
      </c>
      <c r="Z439" s="76">
        <v>41746</v>
      </c>
      <c r="AA439" s="36" t="str">
        <f t="shared" si="140"/>
        <v>Internacional</v>
      </c>
      <c r="AB439" s="36">
        <f t="shared" si="140"/>
        <v>1.2068965517241372E-2</v>
      </c>
      <c r="AC439" s="36">
        <f t="shared" si="140"/>
        <v>2.227011494252874E-2</v>
      </c>
      <c r="AD439" s="36">
        <f t="shared" si="140"/>
        <v>3.4339080459770112E-2</v>
      </c>
      <c r="AE439" s="36" t="str">
        <f t="shared" si="140"/>
        <v>B737-800</v>
      </c>
      <c r="AF439" s="36">
        <f t="shared" si="140"/>
        <v>189</v>
      </c>
      <c r="AG439" s="36" t="str">
        <f t="shared" si="140"/>
        <v>LAX</v>
      </c>
      <c r="AI439">
        <v>425</v>
      </c>
      <c r="AJ439" s="77" t="str">
        <f t="shared" si="129"/>
        <v>MEXICO AEREO</v>
      </c>
      <c r="AK439" s="77">
        <f t="shared" si="129"/>
        <v>781</v>
      </c>
      <c r="AL439" s="78">
        <v>0.24374999999999999</v>
      </c>
      <c r="AM439" s="79">
        <v>0.25208333333333333</v>
      </c>
      <c r="AN439" s="80">
        <v>8.3333333333333315E-3</v>
      </c>
      <c r="AO439" s="79">
        <v>0.28402777777777777</v>
      </c>
      <c r="AP439" s="80">
        <v>3.1944444444444442E-2</v>
      </c>
      <c r="AQ439" s="81">
        <v>41796</v>
      </c>
      <c r="AR439" s="77" t="str">
        <f t="shared" si="143"/>
        <v>Internacional</v>
      </c>
      <c r="AS439" s="77">
        <f t="shared" si="143"/>
        <v>1.2546296296296269E-2</v>
      </c>
      <c r="AT439" s="77">
        <f t="shared" si="143"/>
        <v>2.1342592592592597E-2</v>
      </c>
      <c r="AU439" s="77">
        <f t="shared" si="143"/>
        <v>3.3888888888888864E-2</v>
      </c>
      <c r="AV439" s="77">
        <f t="shared" si="143"/>
        <v>738</v>
      </c>
      <c r="AW439" s="77">
        <f t="shared" si="143"/>
        <v>189</v>
      </c>
      <c r="AX439" s="77" t="str">
        <f t="shared" si="143"/>
        <v>ONT</v>
      </c>
    </row>
    <row r="440" spans="1:50" x14ac:dyDescent="0.25">
      <c r="A440">
        <v>426</v>
      </c>
      <c r="B440" s="36" t="str">
        <f t="shared" si="133"/>
        <v>MEXICO AEREO</v>
      </c>
      <c r="C440" s="36">
        <f t="shared" si="133"/>
        <v>128</v>
      </c>
      <c r="D440" s="74">
        <v>0.86041666666666661</v>
      </c>
      <c r="E440" s="74">
        <v>0.86736111111111114</v>
      </c>
      <c r="F440" s="75">
        <v>6.9444444444445308E-3</v>
      </c>
      <c r="G440" s="74">
        <v>0.87986111111111109</v>
      </c>
      <c r="H440" s="75">
        <v>1.2499999999999956E-2</v>
      </c>
      <c r="I440" s="76">
        <v>41723</v>
      </c>
      <c r="J440" s="36" t="str">
        <f t="shared" si="142"/>
        <v>Nacional</v>
      </c>
      <c r="K440" s="36">
        <f t="shared" si="142"/>
        <v>7.5757575757575794E-3</v>
      </c>
      <c r="L440" s="36">
        <f t="shared" si="142"/>
        <v>7.1969696969696913E-3</v>
      </c>
      <c r="M440" s="36">
        <f t="shared" si="142"/>
        <v>1.4772727272727271E-2</v>
      </c>
      <c r="N440" s="36" t="str">
        <f t="shared" si="142"/>
        <v>B737-700</v>
      </c>
      <c r="O440" s="36">
        <f t="shared" si="142"/>
        <v>126</v>
      </c>
      <c r="P440" s="36" t="str">
        <f t="shared" si="142"/>
        <v>MEX</v>
      </c>
      <c r="R440">
        <v>426</v>
      </c>
      <c r="S440" s="36" t="str">
        <f t="shared" si="136"/>
        <v>MEXICO AEREO</v>
      </c>
      <c r="T440" s="36">
        <f t="shared" si="136"/>
        <v>785</v>
      </c>
      <c r="U440" s="73">
        <v>0.22430555555555556</v>
      </c>
      <c r="V440" s="74">
        <v>0.25833333333333336</v>
      </c>
      <c r="W440" s="75">
        <v>3.4027777777777796E-2</v>
      </c>
      <c r="X440" s="74">
        <v>0.28541666666666665</v>
      </c>
      <c r="Y440" s="75">
        <v>2.7083333333333293E-2</v>
      </c>
      <c r="Z440" s="76">
        <v>41747</v>
      </c>
      <c r="AA440" s="36" t="str">
        <f t="shared" si="140"/>
        <v>Internacional</v>
      </c>
      <c r="AB440" s="36">
        <f t="shared" si="140"/>
        <v>1.2068965517241372E-2</v>
      </c>
      <c r="AC440" s="36">
        <f t="shared" si="140"/>
        <v>2.227011494252874E-2</v>
      </c>
      <c r="AD440" s="36">
        <f t="shared" si="140"/>
        <v>3.4339080459770112E-2</v>
      </c>
      <c r="AE440" s="36" t="str">
        <f t="shared" si="140"/>
        <v>B737-800</v>
      </c>
      <c r="AF440" s="36">
        <f t="shared" si="140"/>
        <v>189</v>
      </c>
      <c r="AG440" s="36" t="str">
        <f t="shared" si="140"/>
        <v>LAX</v>
      </c>
      <c r="AI440">
        <v>426</v>
      </c>
      <c r="AJ440" s="77" t="str">
        <f t="shared" si="129"/>
        <v>MEXICO AEREO</v>
      </c>
      <c r="AK440" s="77">
        <f t="shared" si="129"/>
        <v>781</v>
      </c>
      <c r="AL440" s="78">
        <v>0.24861111111111112</v>
      </c>
      <c r="AM440" s="79">
        <v>0.27916666666666667</v>
      </c>
      <c r="AN440" s="80">
        <v>3.0555555555555558E-2</v>
      </c>
      <c r="AO440" s="79">
        <v>0.30624999999999997</v>
      </c>
      <c r="AP440" s="80">
        <v>2.7083333333333293E-2</v>
      </c>
      <c r="AQ440" s="81">
        <v>41797</v>
      </c>
      <c r="AR440" s="77" t="str">
        <f t="shared" si="143"/>
        <v>Internacional</v>
      </c>
      <c r="AS440" s="77">
        <f t="shared" si="143"/>
        <v>1.2546296296296269E-2</v>
      </c>
      <c r="AT440" s="77">
        <f t="shared" si="143"/>
        <v>2.1342592592592597E-2</v>
      </c>
      <c r="AU440" s="77">
        <f t="shared" si="143"/>
        <v>3.3888888888888864E-2</v>
      </c>
      <c r="AV440" s="77">
        <f t="shared" si="143"/>
        <v>738</v>
      </c>
      <c r="AW440" s="77">
        <f t="shared" si="143"/>
        <v>189</v>
      </c>
      <c r="AX440" s="77" t="str">
        <f t="shared" si="143"/>
        <v>ONT</v>
      </c>
    </row>
    <row r="441" spans="1:50" x14ac:dyDescent="0.25">
      <c r="A441">
        <v>427</v>
      </c>
      <c r="B441" s="36" t="str">
        <f t="shared" si="133"/>
        <v>MEXICO AEREO</v>
      </c>
      <c r="C441" s="36">
        <f t="shared" si="133"/>
        <v>128</v>
      </c>
      <c r="D441" s="74">
        <v>0.86875000000000002</v>
      </c>
      <c r="E441" s="74">
        <v>0.87847222222222221</v>
      </c>
      <c r="F441" s="75">
        <v>9.7222222222221877E-3</v>
      </c>
      <c r="G441" s="74">
        <v>0.8833333333333333</v>
      </c>
      <c r="H441" s="75">
        <v>4.8611111111110938E-3</v>
      </c>
      <c r="I441" s="76">
        <v>41724</v>
      </c>
      <c r="J441" s="36" t="str">
        <f t="shared" si="142"/>
        <v>Nacional</v>
      </c>
      <c r="K441" s="36">
        <f t="shared" si="142"/>
        <v>7.5757575757575794E-3</v>
      </c>
      <c r="L441" s="36">
        <f t="shared" si="142"/>
        <v>7.1969696969696913E-3</v>
      </c>
      <c r="M441" s="36">
        <f t="shared" si="142"/>
        <v>1.4772727272727271E-2</v>
      </c>
      <c r="N441" s="36" t="str">
        <f t="shared" si="142"/>
        <v>B737-700</v>
      </c>
      <c r="O441" s="36">
        <f t="shared" si="142"/>
        <v>126</v>
      </c>
      <c r="P441" s="36" t="str">
        <f t="shared" si="142"/>
        <v>MEX</v>
      </c>
      <c r="R441">
        <v>427</v>
      </c>
      <c r="S441" s="36" t="str">
        <f t="shared" si="136"/>
        <v>MEXICO AEREO</v>
      </c>
      <c r="T441" s="36">
        <f t="shared" si="136"/>
        <v>785</v>
      </c>
      <c r="U441" s="73">
        <v>0.22847222222222222</v>
      </c>
      <c r="V441" s="74">
        <v>0.23958333333333334</v>
      </c>
      <c r="W441" s="75">
        <v>1.1111111111111127E-2</v>
      </c>
      <c r="X441" s="74">
        <v>0.27430555555555552</v>
      </c>
      <c r="Y441" s="75">
        <v>3.4722222222222182E-2</v>
      </c>
      <c r="Z441" s="76">
        <v>41749</v>
      </c>
      <c r="AA441" s="36" t="str">
        <f t="shared" si="140"/>
        <v>Internacional</v>
      </c>
      <c r="AB441" s="36">
        <f t="shared" si="140"/>
        <v>1.2068965517241372E-2</v>
      </c>
      <c r="AC441" s="36">
        <f t="shared" si="140"/>
        <v>2.227011494252874E-2</v>
      </c>
      <c r="AD441" s="36">
        <f t="shared" si="140"/>
        <v>3.4339080459770112E-2</v>
      </c>
      <c r="AE441" s="36" t="str">
        <f t="shared" si="140"/>
        <v>B737-800</v>
      </c>
      <c r="AF441" s="36">
        <f t="shared" si="140"/>
        <v>189</v>
      </c>
      <c r="AG441" s="36" t="str">
        <f t="shared" si="140"/>
        <v>LAX</v>
      </c>
      <c r="AI441">
        <v>427</v>
      </c>
      <c r="AJ441" s="77" t="str">
        <f t="shared" si="129"/>
        <v>MEXICO AEREO</v>
      </c>
      <c r="AK441" s="77">
        <f t="shared" si="129"/>
        <v>781</v>
      </c>
      <c r="AL441" s="78">
        <v>0.24374999999999999</v>
      </c>
      <c r="AM441" s="79">
        <v>0.25486111111111109</v>
      </c>
      <c r="AN441" s="80">
        <v>1.1111111111111099E-2</v>
      </c>
      <c r="AO441" s="79">
        <v>0.28402777777777777</v>
      </c>
      <c r="AP441" s="80">
        <v>2.9166666666666674E-2</v>
      </c>
      <c r="AQ441" s="81">
        <v>41798</v>
      </c>
      <c r="AR441" s="77" t="str">
        <f t="shared" si="143"/>
        <v>Internacional</v>
      </c>
      <c r="AS441" s="77">
        <f t="shared" si="143"/>
        <v>1.2546296296296269E-2</v>
      </c>
      <c r="AT441" s="77">
        <f t="shared" si="143"/>
        <v>2.1342592592592597E-2</v>
      </c>
      <c r="AU441" s="77">
        <f t="shared" si="143"/>
        <v>3.3888888888888864E-2</v>
      </c>
      <c r="AV441" s="77">
        <f t="shared" si="143"/>
        <v>738</v>
      </c>
      <c r="AW441" s="77">
        <f t="shared" si="143"/>
        <v>189</v>
      </c>
      <c r="AX441" s="77" t="str">
        <f t="shared" si="143"/>
        <v>ONT</v>
      </c>
    </row>
    <row r="442" spans="1:50" x14ac:dyDescent="0.25">
      <c r="A442">
        <v>428</v>
      </c>
      <c r="B442" s="36" t="str">
        <f t="shared" si="133"/>
        <v>MEXICO AEREO</v>
      </c>
      <c r="C442" s="36">
        <f t="shared" si="133"/>
        <v>128</v>
      </c>
      <c r="D442" s="74">
        <v>0.83194444444444438</v>
      </c>
      <c r="E442" s="74">
        <v>0.83611111111111114</v>
      </c>
      <c r="F442" s="75">
        <v>4.1666666666667629E-3</v>
      </c>
      <c r="G442" s="74">
        <v>0.84444444444444444</v>
      </c>
      <c r="H442" s="75">
        <v>8.3333333333333037E-3</v>
      </c>
      <c r="I442" s="76">
        <v>41724</v>
      </c>
      <c r="J442" s="36" t="str">
        <f t="shared" si="142"/>
        <v>Nacional</v>
      </c>
      <c r="K442" s="36">
        <f t="shared" si="142"/>
        <v>7.5757575757575794E-3</v>
      </c>
      <c r="L442" s="36">
        <f t="shared" si="142"/>
        <v>7.1969696969696913E-3</v>
      </c>
      <c r="M442" s="36">
        <f t="shared" si="142"/>
        <v>1.4772727272727271E-2</v>
      </c>
      <c r="N442" s="36" t="str">
        <f t="shared" si="142"/>
        <v>B737-700</v>
      </c>
      <c r="O442" s="36">
        <f t="shared" si="142"/>
        <v>126</v>
      </c>
      <c r="P442" s="36" t="str">
        <f t="shared" si="142"/>
        <v>MEX</v>
      </c>
      <c r="R442">
        <v>428</v>
      </c>
      <c r="S442" s="36" t="str">
        <f t="shared" si="136"/>
        <v>MEXICO AEREO</v>
      </c>
      <c r="T442" s="36">
        <f t="shared" si="136"/>
        <v>785</v>
      </c>
      <c r="U442" s="73">
        <v>0.23819444444444446</v>
      </c>
      <c r="V442" s="74">
        <v>0.25694444444444448</v>
      </c>
      <c r="W442" s="75">
        <v>1.8750000000000017E-2</v>
      </c>
      <c r="X442" s="74">
        <v>0.27916666666666667</v>
      </c>
      <c r="Y442" s="75">
        <v>2.2222222222222199E-2</v>
      </c>
      <c r="Z442" s="76">
        <v>41751</v>
      </c>
      <c r="AA442" s="36" t="str">
        <f t="shared" si="140"/>
        <v>Internacional</v>
      </c>
      <c r="AB442" s="36">
        <f t="shared" si="140"/>
        <v>1.2068965517241372E-2</v>
      </c>
      <c r="AC442" s="36">
        <f t="shared" si="140"/>
        <v>2.227011494252874E-2</v>
      </c>
      <c r="AD442" s="36">
        <f t="shared" si="140"/>
        <v>3.4339080459770112E-2</v>
      </c>
      <c r="AE442" s="36" t="str">
        <f t="shared" si="140"/>
        <v>B737-800</v>
      </c>
      <c r="AF442" s="36">
        <f t="shared" si="140"/>
        <v>189</v>
      </c>
      <c r="AG442" s="36" t="str">
        <f t="shared" si="140"/>
        <v>LAX</v>
      </c>
      <c r="AI442">
        <v>428</v>
      </c>
      <c r="AJ442" s="77" t="str">
        <f t="shared" si="129"/>
        <v>MEXICO AEREO</v>
      </c>
      <c r="AK442" s="77">
        <f t="shared" si="129"/>
        <v>781</v>
      </c>
      <c r="AL442" s="78">
        <v>0.95486111111111116</v>
      </c>
      <c r="AM442" s="79">
        <v>0.96527777777777779</v>
      </c>
      <c r="AN442" s="80">
        <v>1.041666666666663E-2</v>
      </c>
      <c r="AO442" s="79">
        <v>0.97222222222222221</v>
      </c>
      <c r="AP442" s="80">
        <v>6.9444444444444198E-3</v>
      </c>
      <c r="AQ442" s="81">
        <v>41800</v>
      </c>
      <c r="AR442" s="77" t="str">
        <f t="shared" si="143"/>
        <v>Internacional</v>
      </c>
      <c r="AS442" s="77">
        <f t="shared" si="143"/>
        <v>1.2546296296296269E-2</v>
      </c>
      <c r="AT442" s="77">
        <f t="shared" si="143"/>
        <v>2.1342592592592597E-2</v>
      </c>
      <c r="AU442" s="77">
        <f t="shared" si="143"/>
        <v>3.3888888888888864E-2</v>
      </c>
      <c r="AV442" s="77">
        <f t="shared" si="143"/>
        <v>738</v>
      </c>
      <c r="AW442" s="77">
        <f t="shared" si="143"/>
        <v>189</v>
      </c>
      <c r="AX442" s="77" t="str">
        <f t="shared" si="143"/>
        <v>ONT</v>
      </c>
    </row>
    <row r="443" spans="1:50" x14ac:dyDescent="0.25">
      <c r="A443">
        <v>429</v>
      </c>
      <c r="B443" s="36" t="str">
        <f t="shared" si="133"/>
        <v>MEXICO AEREO</v>
      </c>
      <c r="C443" s="36">
        <f t="shared" si="133"/>
        <v>128</v>
      </c>
      <c r="D443" s="74">
        <v>0.85069444444444453</v>
      </c>
      <c r="E443" s="74">
        <v>0.86249999999999993</v>
      </c>
      <c r="F443" s="75">
        <v>1.1805555555555403E-2</v>
      </c>
      <c r="G443" s="74">
        <v>0.86458333333333337</v>
      </c>
      <c r="H443" s="75">
        <v>2.083333333333437E-3</v>
      </c>
      <c r="I443" s="76">
        <v>41725</v>
      </c>
      <c r="J443" s="36" t="str">
        <f t="shared" si="142"/>
        <v>Nacional</v>
      </c>
      <c r="K443" s="36">
        <f t="shared" si="142"/>
        <v>7.5757575757575794E-3</v>
      </c>
      <c r="L443" s="36">
        <f t="shared" si="142"/>
        <v>7.1969696969696913E-3</v>
      </c>
      <c r="M443" s="36">
        <f t="shared" si="142"/>
        <v>1.4772727272727271E-2</v>
      </c>
      <c r="N443" s="36" t="str">
        <f t="shared" si="142"/>
        <v>B737-700</v>
      </c>
      <c r="O443" s="36">
        <f t="shared" si="142"/>
        <v>126</v>
      </c>
      <c r="P443" s="36" t="str">
        <f t="shared" si="142"/>
        <v>MEX</v>
      </c>
      <c r="R443">
        <v>429</v>
      </c>
      <c r="S443" s="36" t="str">
        <f t="shared" si="136"/>
        <v>MEXICO AEREO</v>
      </c>
      <c r="T443" s="36">
        <f t="shared" si="136"/>
        <v>785</v>
      </c>
      <c r="U443" s="73">
        <v>0.22430555555555556</v>
      </c>
      <c r="V443" s="74">
        <v>0.23750000000000002</v>
      </c>
      <c r="W443" s="75">
        <v>1.3194444444444453E-2</v>
      </c>
      <c r="X443" s="74">
        <v>0.25069444444444444</v>
      </c>
      <c r="Y443" s="75">
        <v>1.3194444444444425E-2</v>
      </c>
      <c r="Z443" s="76">
        <v>41751</v>
      </c>
      <c r="AA443" s="36" t="str">
        <f t="shared" si="140"/>
        <v>Internacional</v>
      </c>
      <c r="AB443" s="36">
        <f t="shared" si="140"/>
        <v>1.2068965517241372E-2</v>
      </c>
      <c r="AC443" s="36">
        <f t="shared" si="140"/>
        <v>2.227011494252874E-2</v>
      </c>
      <c r="AD443" s="36">
        <f t="shared" si="140"/>
        <v>3.4339080459770112E-2</v>
      </c>
      <c r="AE443" s="36" t="str">
        <f t="shared" si="140"/>
        <v>B737-800</v>
      </c>
      <c r="AF443" s="36">
        <f t="shared" si="140"/>
        <v>189</v>
      </c>
      <c r="AG443" s="36" t="str">
        <f t="shared" si="140"/>
        <v>LAX</v>
      </c>
      <c r="AI443">
        <v>429</v>
      </c>
      <c r="AJ443" s="77" t="str">
        <f t="shared" si="129"/>
        <v>MEXICO AEREO</v>
      </c>
      <c r="AK443" s="77">
        <f t="shared" si="129"/>
        <v>781</v>
      </c>
      <c r="AL443" s="78">
        <v>0.52083333333333337</v>
      </c>
      <c r="AM443" s="79">
        <v>0.52916666666666667</v>
      </c>
      <c r="AN443" s="80">
        <v>8.3333333333333037E-3</v>
      </c>
      <c r="AO443" s="79">
        <v>0.53402777777777777</v>
      </c>
      <c r="AP443" s="80">
        <v>4.8611111111110938E-3</v>
      </c>
      <c r="AQ443" s="81">
        <v>41802</v>
      </c>
      <c r="AR443" s="77" t="str">
        <f t="shared" si="143"/>
        <v>Internacional</v>
      </c>
      <c r="AS443" s="77">
        <f t="shared" si="143"/>
        <v>1.2546296296296269E-2</v>
      </c>
      <c r="AT443" s="77">
        <f t="shared" si="143"/>
        <v>2.1342592592592597E-2</v>
      </c>
      <c r="AU443" s="77">
        <f t="shared" si="143"/>
        <v>3.3888888888888864E-2</v>
      </c>
      <c r="AV443" s="77">
        <f t="shared" si="143"/>
        <v>738</v>
      </c>
      <c r="AW443" s="77">
        <f t="shared" si="143"/>
        <v>189</v>
      </c>
      <c r="AX443" s="77" t="str">
        <f t="shared" si="143"/>
        <v>ONT</v>
      </c>
    </row>
    <row r="444" spans="1:50" ht="15.75" thickBot="1" x14ac:dyDescent="0.3">
      <c r="A444">
        <v>430</v>
      </c>
      <c r="B444" s="36" t="str">
        <f t="shared" si="133"/>
        <v>MEXICO AEREO</v>
      </c>
      <c r="C444" s="36">
        <f t="shared" si="133"/>
        <v>128</v>
      </c>
      <c r="D444" s="84">
        <v>0.84930555555555554</v>
      </c>
      <c r="E444" s="84">
        <v>0.8520833333333333</v>
      </c>
      <c r="F444" s="85">
        <v>2.7777777777777679E-3</v>
      </c>
      <c r="G444" s="84">
        <v>0.86041666666666661</v>
      </c>
      <c r="H444" s="85">
        <v>8.3333333333333037E-3</v>
      </c>
      <c r="I444" s="86">
        <v>41727</v>
      </c>
      <c r="J444" s="36" t="str">
        <f t="shared" si="142"/>
        <v>Nacional</v>
      </c>
      <c r="K444" s="36">
        <f t="shared" si="142"/>
        <v>7.5757575757575794E-3</v>
      </c>
      <c r="L444" s="36">
        <f t="shared" si="142"/>
        <v>7.1969696969696913E-3</v>
      </c>
      <c r="M444" s="36">
        <f t="shared" si="142"/>
        <v>1.4772727272727271E-2</v>
      </c>
      <c r="N444" s="36" t="str">
        <f t="shared" si="142"/>
        <v>B737-700</v>
      </c>
      <c r="O444" s="36">
        <f t="shared" si="142"/>
        <v>126</v>
      </c>
      <c r="P444" s="36" t="str">
        <f t="shared" si="142"/>
        <v>MEX</v>
      </c>
      <c r="R444">
        <v>430</v>
      </c>
      <c r="S444" s="36" t="str">
        <f t="shared" si="136"/>
        <v>MEXICO AEREO</v>
      </c>
      <c r="T444" s="36">
        <f t="shared" si="136"/>
        <v>785</v>
      </c>
      <c r="U444" s="73">
        <v>0.23402777777777781</v>
      </c>
      <c r="V444" s="74">
        <v>0.24097222222222223</v>
      </c>
      <c r="W444" s="75">
        <v>6.9444444444444198E-3</v>
      </c>
      <c r="X444" s="74">
        <v>0.26041666666666669</v>
      </c>
      <c r="Y444" s="75">
        <v>1.9444444444444459E-2</v>
      </c>
      <c r="Z444" s="76">
        <v>41752</v>
      </c>
      <c r="AA444" s="36" t="str">
        <f t="shared" si="140"/>
        <v>Internacional</v>
      </c>
      <c r="AB444" s="36">
        <f t="shared" si="140"/>
        <v>1.2068965517241372E-2</v>
      </c>
      <c r="AC444" s="36">
        <f t="shared" si="140"/>
        <v>2.227011494252874E-2</v>
      </c>
      <c r="AD444" s="36">
        <f t="shared" si="140"/>
        <v>3.4339080459770112E-2</v>
      </c>
      <c r="AE444" s="36" t="str">
        <f t="shared" si="140"/>
        <v>B737-800</v>
      </c>
      <c r="AF444" s="36">
        <f t="shared" si="140"/>
        <v>189</v>
      </c>
      <c r="AG444" s="36" t="str">
        <f t="shared" si="140"/>
        <v>LAX</v>
      </c>
      <c r="AI444">
        <v>430</v>
      </c>
      <c r="AJ444" s="77" t="str">
        <f t="shared" si="129"/>
        <v>MEXICO AEREO</v>
      </c>
      <c r="AK444" s="77">
        <f t="shared" si="129"/>
        <v>781</v>
      </c>
      <c r="AL444" s="78">
        <v>0.44166666666666665</v>
      </c>
      <c r="AM444" s="79">
        <v>0.4548611111111111</v>
      </c>
      <c r="AN444" s="80">
        <v>1.3194444444444453E-2</v>
      </c>
      <c r="AO444" s="79">
        <v>0.45763888888888887</v>
      </c>
      <c r="AP444" s="80">
        <v>2.7777777777777679E-3</v>
      </c>
      <c r="AQ444" s="81">
        <v>41805</v>
      </c>
      <c r="AR444" s="77" t="str">
        <f t="shared" si="143"/>
        <v>Internacional</v>
      </c>
      <c r="AS444" s="77">
        <f t="shared" si="143"/>
        <v>1.2546296296296269E-2</v>
      </c>
      <c r="AT444" s="77">
        <f t="shared" si="143"/>
        <v>2.1342592592592597E-2</v>
      </c>
      <c r="AU444" s="77">
        <f t="shared" si="143"/>
        <v>3.3888888888888864E-2</v>
      </c>
      <c r="AV444" s="77">
        <f t="shared" si="143"/>
        <v>738</v>
      </c>
      <c r="AW444" s="77">
        <f t="shared" si="143"/>
        <v>189</v>
      </c>
      <c r="AX444" s="77" t="str">
        <f t="shared" si="143"/>
        <v>ONT</v>
      </c>
    </row>
    <row r="445" spans="1:50" x14ac:dyDescent="0.25">
      <c r="A445">
        <v>431</v>
      </c>
      <c r="B445" s="36" t="str">
        <f t="shared" si="133"/>
        <v>MEXICO AEREO</v>
      </c>
      <c r="C445" s="88">
        <v>126</v>
      </c>
      <c r="D445" s="57">
        <v>0.8027777777777777</v>
      </c>
      <c r="E445" s="57">
        <v>0.80763888888888891</v>
      </c>
      <c r="F445" s="58">
        <v>4.8611111111112049E-3</v>
      </c>
      <c r="G445" s="57">
        <v>0.80902777777777779</v>
      </c>
      <c r="H445" s="58">
        <v>1.388888888888884E-3</v>
      </c>
      <c r="I445" s="59">
        <v>41714</v>
      </c>
      <c r="J445" s="108" t="s">
        <v>19</v>
      </c>
      <c r="K445" s="61">
        <v>7.1759259259259372E-3</v>
      </c>
      <c r="L445" s="61">
        <v>3.7037037037037646E-3</v>
      </c>
      <c r="M445" s="142">
        <v>1.0879629629629701E-2</v>
      </c>
      <c r="N445" s="90" t="s">
        <v>45</v>
      </c>
      <c r="O445" s="91">
        <v>126</v>
      </c>
      <c r="P445" s="92" t="s">
        <v>21</v>
      </c>
      <c r="R445">
        <v>431</v>
      </c>
      <c r="S445" s="36" t="str">
        <f t="shared" si="136"/>
        <v>MEXICO AEREO</v>
      </c>
      <c r="T445" s="36">
        <f t="shared" si="136"/>
        <v>785</v>
      </c>
      <c r="U445" s="73">
        <v>0.22361111111111109</v>
      </c>
      <c r="V445" s="74">
        <v>0.23055555555555554</v>
      </c>
      <c r="W445" s="75">
        <v>6.9444444444444475E-3</v>
      </c>
      <c r="X445" s="74">
        <v>0.23680555555555557</v>
      </c>
      <c r="Y445" s="75">
        <v>6.2500000000000333E-3</v>
      </c>
      <c r="Z445" s="76">
        <v>41754</v>
      </c>
      <c r="AA445" s="36" t="str">
        <f t="shared" si="140"/>
        <v>Internacional</v>
      </c>
      <c r="AB445" s="36">
        <f t="shared" si="140"/>
        <v>1.2068965517241372E-2</v>
      </c>
      <c r="AC445" s="36">
        <f t="shared" si="140"/>
        <v>2.227011494252874E-2</v>
      </c>
      <c r="AD445" s="36">
        <f t="shared" si="140"/>
        <v>3.4339080459770112E-2</v>
      </c>
      <c r="AE445" s="36" t="str">
        <f t="shared" si="140"/>
        <v>B737-800</v>
      </c>
      <c r="AF445" s="36">
        <f t="shared" si="140"/>
        <v>189</v>
      </c>
      <c r="AG445" s="36" t="str">
        <f t="shared" si="140"/>
        <v>LAX</v>
      </c>
      <c r="AI445">
        <v>431</v>
      </c>
      <c r="AJ445" s="63" t="s">
        <v>18</v>
      </c>
      <c r="AK445" s="77">
        <f t="shared" ref="AK445:AK458" si="144">AK444</f>
        <v>781</v>
      </c>
      <c r="AL445" s="78">
        <v>0.67986111111111114</v>
      </c>
      <c r="AM445" s="79">
        <v>0.68611111111111101</v>
      </c>
      <c r="AN445" s="80">
        <v>6.2499999999998668E-3</v>
      </c>
      <c r="AO445" s="79">
        <v>0.69652777777777775</v>
      </c>
      <c r="AP445" s="80">
        <v>1.0416666666666741E-2</v>
      </c>
      <c r="AQ445" s="81">
        <v>41805</v>
      </c>
      <c r="AR445" s="77" t="str">
        <f t="shared" si="143"/>
        <v>Internacional</v>
      </c>
      <c r="AS445" s="77">
        <f t="shared" si="143"/>
        <v>1.2546296296296269E-2</v>
      </c>
      <c r="AT445" s="77">
        <f t="shared" si="143"/>
        <v>2.1342592592592597E-2</v>
      </c>
      <c r="AU445" s="77">
        <f t="shared" si="143"/>
        <v>3.3888888888888864E-2</v>
      </c>
      <c r="AV445" s="77">
        <f t="shared" si="143"/>
        <v>738</v>
      </c>
      <c r="AW445" s="77">
        <f t="shared" si="143"/>
        <v>189</v>
      </c>
      <c r="AX445" s="77" t="str">
        <f t="shared" si="143"/>
        <v>ONT</v>
      </c>
    </row>
    <row r="446" spans="1:50" x14ac:dyDescent="0.25">
      <c r="A446">
        <v>432</v>
      </c>
      <c r="B446" s="36" t="str">
        <f t="shared" si="133"/>
        <v>MEXICO AEREO</v>
      </c>
      <c r="C446" s="36">
        <f t="shared" si="133"/>
        <v>126</v>
      </c>
      <c r="D446" s="74">
        <v>0.80208333333333337</v>
      </c>
      <c r="E446" s="74">
        <v>0.80972222222222223</v>
      </c>
      <c r="F446" s="75">
        <v>7.6388888888888618E-3</v>
      </c>
      <c r="G446" s="74">
        <v>0.81388888888888899</v>
      </c>
      <c r="H446" s="75">
        <v>4.1666666666667629E-3</v>
      </c>
      <c r="I446" s="76">
        <v>41716</v>
      </c>
      <c r="J446" s="36" t="str">
        <f t="shared" ref="J446:P447" si="145">J445</f>
        <v>Nacional</v>
      </c>
      <c r="K446" s="36">
        <f t="shared" si="145"/>
        <v>7.1759259259259372E-3</v>
      </c>
      <c r="L446" s="36">
        <f t="shared" si="145"/>
        <v>3.7037037037037646E-3</v>
      </c>
      <c r="M446" s="36">
        <f t="shared" si="145"/>
        <v>1.0879629629629701E-2</v>
      </c>
      <c r="N446" s="36" t="str">
        <f t="shared" si="145"/>
        <v>B737-700</v>
      </c>
      <c r="O446" s="36">
        <f t="shared" si="145"/>
        <v>126</v>
      </c>
      <c r="P446" s="36" t="str">
        <f t="shared" si="145"/>
        <v>MEX</v>
      </c>
      <c r="R446">
        <v>432</v>
      </c>
      <c r="S446" s="36" t="str">
        <f t="shared" si="136"/>
        <v>MEXICO AEREO</v>
      </c>
      <c r="T446" s="36">
        <f t="shared" si="136"/>
        <v>785</v>
      </c>
      <c r="U446" s="73">
        <v>0.22361111111111109</v>
      </c>
      <c r="V446" s="74">
        <v>0.2298611111111111</v>
      </c>
      <c r="W446" s="75">
        <v>6.2500000000000056E-3</v>
      </c>
      <c r="X446" s="74">
        <v>0.23541666666666669</v>
      </c>
      <c r="Y446" s="75">
        <v>5.5555555555555913E-3</v>
      </c>
      <c r="Z446" s="76">
        <v>41754</v>
      </c>
      <c r="AA446" s="36" t="str">
        <f t="shared" si="140"/>
        <v>Internacional</v>
      </c>
      <c r="AB446" s="36">
        <f t="shared" si="140"/>
        <v>1.2068965517241372E-2</v>
      </c>
      <c r="AC446" s="36">
        <f t="shared" si="140"/>
        <v>2.227011494252874E-2</v>
      </c>
      <c r="AD446" s="36">
        <f t="shared" si="140"/>
        <v>3.4339080459770112E-2</v>
      </c>
      <c r="AE446" s="36" t="str">
        <f t="shared" si="140"/>
        <v>B737-800</v>
      </c>
      <c r="AF446" s="36">
        <f t="shared" si="140"/>
        <v>189</v>
      </c>
      <c r="AG446" s="36" t="str">
        <f t="shared" si="140"/>
        <v>LAX</v>
      </c>
      <c r="AI446">
        <v>432</v>
      </c>
      <c r="AJ446" s="77" t="str">
        <f t="shared" ref="AJ446:AK491" si="146">AJ445</f>
        <v>MEXICO AEREO</v>
      </c>
      <c r="AK446" s="77">
        <f t="shared" si="144"/>
        <v>781</v>
      </c>
      <c r="AL446" s="78">
        <v>0.95277777777777783</v>
      </c>
      <c r="AM446" s="79">
        <v>0.96458333333333324</v>
      </c>
      <c r="AN446" s="80">
        <v>1.1805555555555403E-2</v>
      </c>
      <c r="AO446" s="79">
        <v>0.99722222222222223</v>
      </c>
      <c r="AP446" s="80">
        <v>3.2638888888888995E-2</v>
      </c>
      <c r="AQ446" s="81">
        <v>41807</v>
      </c>
      <c r="AR446" s="77" t="str">
        <f t="shared" si="143"/>
        <v>Internacional</v>
      </c>
      <c r="AS446" s="77">
        <f t="shared" si="143"/>
        <v>1.2546296296296269E-2</v>
      </c>
      <c r="AT446" s="77">
        <f t="shared" si="143"/>
        <v>2.1342592592592597E-2</v>
      </c>
      <c r="AU446" s="77">
        <f t="shared" si="143"/>
        <v>3.3888888888888864E-2</v>
      </c>
      <c r="AV446" s="77">
        <f t="shared" si="143"/>
        <v>738</v>
      </c>
      <c r="AW446" s="77">
        <f t="shared" si="143"/>
        <v>189</v>
      </c>
      <c r="AX446" s="77" t="str">
        <f t="shared" si="143"/>
        <v>ONT</v>
      </c>
    </row>
    <row r="447" spans="1:50" ht="15.75" thickBot="1" x14ac:dyDescent="0.3">
      <c r="A447">
        <v>433</v>
      </c>
      <c r="B447" s="36" t="str">
        <f t="shared" si="133"/>
        <v>MEXICO AEREO</v>
      </c>
      <c r="C447" s="36">
        <f t="shared" si="133"/>
        <v>126</v>
      </c>
      <c r="D447" s="84">
        <v>0.84375</v>
      </c>
      <c r="E447" s="84">
        <v>0.85277777777777775</v>
      </c>
      <c r="F447" s="85">
        <v>9.0277777777777457E-3</v>
      </c>
      <c r="G447" s="84">
        <v>0.85833333333333339</v>
      </c>
      <c r="H447" s="85">
        <v>5.5555555555556468E-3</v>
      </c>
      <c r="I447" s="86">
        <v>41716</v>
      </c>
      <c r="J447" s="36" t="str">
        <f t="shared" si="145"/>
        <v>Nacional</v>
      </c>
      <c r="K447" s="36">
        <f t="shared" si="145"/>
        <v>7.1759259259259372E-3</v>
      </c>
      <c r="L447" s="36">
        <f t="shared" si="145"/>
        <v>3.7037037037037646E-3</v>
      </c>
      <c r="M447" s="36">
        <f t="shared" si="145"/>
        <v>1.0879629629629701E-2</v>
      </c>
      <c r="N447" s="36" t="str">
        <f t="shared" si="145"/>
        <v>B737-700</v>
      </c>
      <c r="O447" s="36">
        <f t="shared" si="145"/>
        <v>126</v>
      </c>
      <c r="P447" s="36" t="str">
        <f t="shared" si="145"/>
        <v>MEX</v>
      </c>
      <c r="R447">
        <v>433</v>
      </c>
      <c r="S447" s="36" t="str">
        <f t="shared" si="136"/>
        <v>MEXICO AEREO</v>
      </c>
      <c r="T447" s="36">
        <f t="shared" si="136"/>
        <v>785</v>
      </c>
      <c r="U447" s="73">
        <v>0.23402777777777781</v>
      </c>
      <c r="V447" s="74">
        <v>0.25347222222222221</v>
      </c>
      <c r="W447" s="75">
        <v>1.9444444444444403E-2</v>
      </c>
      <c r="X447" s="74">
        <v>0.27569444444444446</v>
      </c>
      <c r="Y447" s="75">
        <v>2.2222222222222254E-2</v>
      </c>
      <c r="Z447" s="76">
        <v>41755</v>
      </c>
      <c r="AA447" s="36" t="str">
        <f t="shared" si="140"/>
        <v>Internacional</v>
      </c>
      <c r="AB447" s="36">
        <f t="shared" si="140"/>
        <v>1.2068965517241372E-2</v>
      </c>
      <c r="AC447" s="36">
        <f t="shared" si="140"/>
        <v>2.227011494252874E-2</v>
      </c>
      <c r="AD447" s="36">
        <f t="shared" si="140"/>
        <v>3.4339080459770112E-2</v>
      </c>
      <c r="AE447" s="36" t="str">
        <f t="shared" si="140"/>
        <v>B737-800</v>
      </c>
      <c r="AF447" s="36">
        <f t="shared" si="140"/>
        <v>189</v>
      </c>
      <c r="AG447" s="36" t="str">
        <f t="shared" si="140"/>
        <v>LAX</v>
      </c>
      <c r="AI447">
        <v>433</v>
      </c>
      <c r="AJ447" s="77" t="str">
        <f t="shared" si="146"/>
        <v>MEXICO AEREO</v>
      </c>
      <c r="AK447" s="77">
        <f t="shared" si="144"/>
        <v>781</v>
      </c>
      <c r="AL447" s="78">
        <v>0.24583333333333335</v>
      </c>
      <c r="AM447" s="79">
        <v>0.26111111111111113</v>
      </c>
      <c r="AN447" s="80">
        <v>1.5277777777777779E-2</v>
      </c>
      <c r="AO447" s="79">
        <v>0.28541666666666665</v>
      </c>
      <c r="AP447" s="80">
        <v>2.4305555555555525E-2</v>
      </c>
      <c r="AQ447" s="81">
        <v>41809</v>
      </c>
      <c r="AR447" s="77" t="str">
        <f t="shared" si="143"/>
        <v>Internacional</v>
      </c>
      <c r="AS447" s="77">
        <f t="shared" si="143"/>
        <v>1.2546296296296269E-2</v>
      </c>
      <c r="AT447" s="77">
        <f t="shared" si="143"/>
        <v>2.1342592592592597E-2</v>
      </c>
      <c r="AU447" s="77">
        <f t="shared" si="143"/>
        <v>3.3888888888888864E-2</v>
      </c>
      <c r="AV447" s="77">
        <f t="shared" si="143"/>
        <v>738</v>
      </c>
      <c r="AW447" s="77">
        <f t="shared" si="143"/>
        <v>189</v>
      </c>
      <c r="AX447" s="77" t="str">
        <f t="shared" si="143"/>
        <v>ONT</v>
      </c>
    </row>
    <row r="448" spans="1:50" x14ac:dyDescent="0.25">
      <c r="A448">
        <v>434</v>
      </c>
      <c r="B448" s="36" t="str">
        <f t="shared" si="133"/>
        <v>MEXICO AEREO</v>
      </c>
      <c r="C448" s="88">
        <v>120</v>
      </c>
      <c r="D448" s="57">
        <v>0.43124999999999997</v>
      </c>
      <c r="E448" s="57">
        <v>0.43333333333333335</v>
      </c>
      <c r="F448" s="58">
        <v>2.0833333333333814E-3</v>
      </c>
      <c r="G448" s="57">
        <v>0.44097222222222227</v>
      </c>
      <c r="H448" s="58">
        <v>7.6388888888889173E-3</v>
      </c>
      <c r="I448" s="59">
        <v>41714</v>
      </c>
      <c r="J448" s="108" t="s">
        <v>19</v>
      </c>
      <c r="K448" s="61">
        <v>3.7808641975308633E-3</v>
      </c>
      <c r="L448" s="61">
        <v>6.944444444444451E-3</v>
      </c>
      <c r="M448" s="142">
        <v>1.0725308641975314E-2</v>
      </c>
      <c r="N448" s="90" t="s">
        <v>39</v>
      </c>
      <c r="O448" s="91">
        <v>189</v>
      </c>
      <c r="P448" s="92" t="s">
        <v>43</v>
      </c>
      <c r="R448">
        <v>434</v>
      </c>
      <c r="S448" s="36" t="str">
        <f t="shared" si="136"/>
        <v>MEXICO AEREO</v>
      </c>
      <c r="T448" s="36">
        <f t="shared" si="136"/>
        <v>785</v>
      </c>
      <c r="U448" s="73">
        <v>0.24166666666666667</v>
      </c>
      <c r="V448" s="74">
        <v>0.26319444444444445</v>
      </c>
      <c r="W448" s="75">
        <v>2.1527777777777785E-2</v>
      </c>
      <c r="X448" s="74">
        <v>0.28611111111111115</v>
      </c>
      <c r="Y448" s="75">
        <v>2.2916666666666696E-2</v>
      </c>
      <c r="Z448" s="76">
        <v>41756</v>
      </c>
      <c r="AA448" s="36" t="str">
        <f t="shared" si="140"/>
        <v>Internacional</v>
      </c>
      <c r="AB448" s="36">
        <f t="shared" si="140"/>
        <v>1.2068965517241372E-2</v>
      </c>
      <c r="AC448" s="36">
        <f t="shared" si="140"/>
        <v>2.227011494252874E-2</v>
      </c>
      <c r="AD448" s="36">
        <f t="shared" si="140"/>
        <v>3.4339080459770112E-2</v>
      </c>
      <c r="AE448" s="36" t="str">
        <f t="shared" si="140"/>
        <v>B737-800</v>
      </c>
      <c r="AF448" s="36">
        <f t="shared" si="140"/>
        <v>189</v>
      </c>
      <c r="AG448" s="36" t="str">
        <f t="shared" si="140"/>
        <v>LAX</v>
      </c>
      <c r="AI448">
        <v>434</v>
      </c>
      <c r="AJ448" s="77" t="str">
        <f t="shared" si="146"/>
        <v>MEXICO AEREO</v>
      </c>
      <c r="AK448" s="77">
        <f t="shared" si="144"/>
        <v>781</v>
      </c>
      <c r="AL448" s="78">
        <v>0.24166666666666667</v>
      </c>
      <c r="AM448" s="79">
        <v>0.25069444444444444</v>
      </c>
      <c r="AN448" s="80">
        <v>9.0277777777777735E-3</v>
      </c>
      <c r="AO448" s="79">
        <v>0.28194444444444444</v>
      </c>
      <c r="AP448" s="80">
        <v>3.125E-2</v>
      </c>
      <c r="AQ448" s="81">
        <v>41810</v>
      </c>
      <c r="AR448" s="77" t="str">
        <f t="shared" si="143"/>
        <v>Internacional</v>
      </c>
      <c r="AS448" s="77">
        <f t="shared" si="143"/>
        <v>1.2546296296296269E-2</v>
      </c>
      <c r="AT448" s="77">
        <f t="shared" si="143"/>
        <v>2.1342592592592597E-2</v>
      </c>
      <c r="AU448" s="77">
        <f t="shared" si="143"/>
        <v>3.3888888888888864E-2</v>
      </c>
      <c r="AV448" s="77">
        <f t="shared" si="143"/>
        <v>738</v>
      </c>
      <c r="AW448" s="77">
        <f t="shared" si="143"/>
        <v>189</v>
      </c>
      <c r="AX448" s="77" t="str">
        <f t="shared" si="143"/>
        <v>ONT</v>
      </c>
    </row>
    <row r="449" spans="1:50" x14ac:dyDescent="0.25">
      <c r="A449">
        <v>435</v>
      </c>
      <c r="B449" s="36" t="str">
        <f t="shared" si="133"/>
        <v>MEXICO AEREO</v>
      </c>
      <c r="C449" s="36">
        <f t="shared" si="133"/>
        <v>120</v>
      </c>
      <c r="D449" s="74">
        <v>0.4201388888888889</v>
      </c>
      <c r="E449" s="74">
        <v>0.4236111111111111</v>
      </c>
      <c r="F449" s="75">
        <v>3.4722222222222099E-3</v>
      </c>
      <c r="G449" s="74">
        <v>0.43055555555555558</v>
      </c>
      <c r="H449" s="75">
        <v>6.9444444444444753E-3</v>
      </c>
      <c r="I449" s="76">
        <v>41715</v>
      </c>
      <c r="J449" s="36" t="str">
        <f t="shared" ref="J449:P456" si="147">J448</f>
        <v>Nacional</v>
      </c>
      <c r="K449" s="36">
        <f t="shared" si="147"/>
        <v>3.7808641975308633E-3</v>
      </c>
      <c r="L449" s="36">
        <f t="shared" si="147"/>
        <v>6.944444444444451E-3</v>
      </c>
      <c r="M449" s="36">
        <f t="shared" si="147"/>
        <v>1.0725308641975314E-2</v>
      </c>
      <c r="N449" s="36" t="str">
        <f t="shared" si="147"/>
        <v>B737-800</v>
      </c>
      <c r="O449" s="36">
        <f t="shared" si="147"/>
        <v>189</v>
      </c>
      <c r="P449" s="36" t="str">
        <f t="shared" si="147"/>
        <v>SFO</v>
      </c>
      <c r="R449">
        <v>435</v>
      </c>
      <c r="S449" s="36" t="str">
        <f t="shared" si="136"/>
        <v>MEXICO AEREO</v>
      </c>
      <c r="T449" s="36">
        <f t="shared" si="136"/>
        <v>785</v>
      </c>
      <c r="U449" s="73">
        <v>0.23402777777777781</v>
      </c>
      <c r="V449" s="74">
        <v>0.24305555555555555</v>
      </c>
      <c r="W449" s="75">
        <v>9.0277777777777457E-3</v>
      </c>
      <c r="X449" s="74">
        <v>0.25694444444444448</v>
      </c>
      <c r="Y449" s="75">
        <v>1.3888888888888923E-2</v>
      </c>
      <c r="Z449" s="76">
        <v>41757</v>
      </c>
      <c r="AA449" s="36" t="str">
        <f t="shared" si="140"/>
        <v>Internacional</v>
      </c>
      <c r="AB449" s="36">
        <f t="shared" si="140"/>
        <v>1.2068965517241372E-2</v>
      </c>
      <c r="AC449" s="36">
        <f t="shared" si="140"/>
        <v>2.227011494252874E-2</v>
      </c>
      <c r="AD449" s="36">
        <f t="shared" si="140"/>
        <v>3.4339080459770112E-2</v>
      </c>
      <c r="AE449" s="36" t="str">
        <f t="shared" si="140"/>
        <v>B737-800</v>
      </c>
      <c r="AF449" s="36">
        <f t="shared" si="140"/>
        <v>189</v>
      </c>
      <c r="AG449" s="36" t="str">
        <f t="shared" si="140"/>
        <v>LAX</v>
      </c>
      <c r="AI449">
        <v>435</v>
      </c>
      <c r="AJ449" s="77" t="str">
        <f t="shared" si="146"/>
        <v>MEXICO AEREO</v>
      </c>
      <c r="AK449" s="77">
        <f t="shared" si="144"/>
        <v>781</v>
      </c>
      <c r="AL449" s="78">
        <v>0.25555555555555559</v>
      </c>
      <c r="AM449" s="79">
        <v>0.27083333333333331</v>
      </c>
      <c r="AN449" s="80">
        <v>1.5277777777777724E-2</v>
      </c>
      <c r="AO449" s="79">
        <v>0.29305555555555557</v>
      </c>
      <c r="AP449" s="80">
        <v>2.2222222222222254E-2</v>
      </c>
      <c r="AQ449" s="81">
        <v>41811</v>
      </c>
      <c r="AR449" s="77" t="str">
        <f t="shared" si="143"/>
        <v>Internacional</v>
      </c>
      <c r="AS449" s="77">
        <f t="shared" si="143"/>
        <v>1.2546296296296269E-2</v>
      </c>
      <c r="AT449" s="77">
        <f t="shared" si="143"/>
        <v>2.1342592592592597E-2</v>
      </c>
      <c r="AU449" s="77">
        <f t="shared" si="143"/>
        <v>3.3888888888888864E-2</v>
      </c>
      <c r="AV449" s="77">
        <f t="shared" si="143"/>
        <v>738</v>
      </c>
      <c r="AW449" s="77">
        <f t="shared" si="143"/>
        <v>189</v>
      </c>
      <c r="AX449" s="77" t="str">
        <f t="shared" si="143"/>
        <v>ONT</v>
      </c>
    </row>
    <row r="450" spans="1:50" ht="15.75" thickBot="1" x14ac:dyDescent="0.3">
      <c r="A450">
        <v>436</v>
      </c>
      <c r="B450" s="36" t="str">
        <f t="shared" si="133"/>
        <v>MEXICO AEREO</v>
      </c>
      <c r="C450" s="36">
        <f t="shared" si="133"/>
        <v>120</v>
      </c>
      <c r="D450" s="74">
        <v>0.42777777777777781</v>
      </c>
      <c r="E450" s="74">
        <v>0.43263888888888885</v>
      </c>
      <c r="F450" s="75">
        <v>4.8611111111110383E-3</v>
      </c>
      <c r="G450" s="74">
        <v>0.43958333333333338</v>
      </c>
      <c r="H450" s="75">
        <v>6.9444444444445308E-3</v>
      </c>
      <c r="I450" s="76">
        <v>41717</v>
      </c>
      <c r="J450" s="36" t="str">
        <f t="shared" si="147"/>
        <v>Nacional</v>
      </c>
      <c r="K450" s="36">
        <f t="shared" si="147"/>
        <v>3.7808641975308633E-3</v>
      </c>
      <c r="L450" s="36">
        <f t="shared" si="147"/>
        <v>6.944444444444451E-3</v>
      </c>
      <c r="M450" s="36">
        <f t="shared" si="147"/>
        <v>1.0725308641975314E-2</v>
      </c>
      <c r="N450" s="36" t="str">
        <f t="shared" si="147"/>
        <v>B737-800</v>
      </c>
      <c r="O450" s="36">
        <f t="shared" si="147"/>
        <v>189</v>
      </c>
      <c r="P450" s="36" t="str">
        <f t="shared" si="147"/>
        <v>SFO</v>
      </c>
      <c r="R450">
        <v>436</v>
      </c>
      <c r="S450" s="36" t="str">
        <f t="shared" si="136"/>
        <v>MEXICO AEREO</v>
      </c>
      <c r="T450" s="36">
        <f t="shared" si="136"/>
        <v>785</v>
      </c>
      <c r="U450" s="73">
        <v>0.23402777777777781</v>
      </c>
      <c r="V450" s="74">
        <v>0.24166666666666667</v>
      </c>
      <c r="W450" s="75">
        <v>7.6388888888888618E-3</v>
      </c>
      <c r="X450" s="74">
        <v>0.27986111111111112</v>
      </c>
      <c r="Y450" s="75">
        <v>3.8194444444444448E-2</v>
      </c>
      <c r="Z450" s="76">
        <v>41758</v>
      </c>
      <c r="AA450" s="36" t="str">
        <f t="shared" si="140"/>
        <v>Internacional</v>
      </c>
      <c r="AB450" s="36">
        <f t="shared" si="140"/>
        <v>1.2068965517241372E-2</v>
      </c>
      <c r="AC450" s="36">
        <f t="shared" si="140"/>
        <v>2.227011494252874E-2</v>
      </c>
      <c r="AD450" s="36">
        <f t="shared" si="140"/>
        <v>3.4339080459770112E-2</v>
      </c>
      <c r="AE450" s="36" t="str">
        <f t="shared" si="140"/>
        <v>B737-800</v>
      </c>
      <c r="AF450" s="36">
        <f t="shared" si="140"/>
        <v>189</v>
      </c>
      <c r="AG450" s="36" t="str">
        <f t="shared" si="140"/>
        <v>LAX</v>
      </c>
      <c r="AI450">
        <v>436</v>
      </c>
      <c r="AJ450" s="77" t="str">
        <f t="shared" si="146"/>
        <v>MEXICO AEREO</v>
      </c>
      <c r="AK450" s="77">
        <f t="shared" si="144"/>
        <v>781</v>
      </c>
      <c r="AL450" s="94">
        <v>0.24097222222222223</v>
      </c>
      <c r="AM450" s="95">
        <v>0.25069444444444444</v>
      </c>
      <c r="AN450" s="96">
        <v>9.7222222222222154E-3</v>
      </c>
      <c r="AO450" s="95">
        <v>0.27499999999999997</v>
      </c>
      <c r="AP450" s="96">
        <v>2.4305555555555525E-2</v>
      </c>
      <c r="AQ450" s="97">
        <v>41812</v>
      </c>
      <c r="AR450" s="77" t="str">
        <f t="shared" si="143"/>
        <v>Internacional</v>
      </c>
      <c r="AS450" s="77">
        <f t="shared" si="143"/>
        <v>1.2546296296296269E-2</v>
      </c>
      <c r="AT450" s="77">
        <f t="shared" si="143"/>
        <v>2.1342592592592597E-2</v>
      </c>
      <c r="AU450" s="77">
        <f t="shared" si="143"/>
        <v>3.3888888888888864E-2</v>
      </c>
      <c r="AV450" s="77">
        <f t="shared" si="143"/>
        <v>738</v>
      </c>
      <c r="AW450" s="77">
        <f t="shared" si="143"/>
        <v>189</v>
      </c>
      <c r="AX450" s="77" t="str">
        <f t="shared" si="143"/>
        <v>ONT</v>
      </c>
    </row>
    <row r="451" spans="1:50" ht="15.75" thickBot="1" x14ac:dyDescent="0.3">
      <c r="A451">
        <v>437</v>
      </c>
      <c r="B451" s="36" t="str">
        <f t="shared" si="133"/>
        <v>MEXICO AEREO</v>
      </c>
      <c r="C451" s="36">
        <f t="shared" si="133"/>
        <v>120</v>
      </c>
      <c r="D451" s="74">
        <v>0.43611111111111112</v>
      </c>
      <c r="E451" s="74">
        <v>0.44097222222222227</v>
      </c>
      <c r="F451" s="75">
        <v>4.8611111111111494E-3</v>
      </c>
      <c r="G451" s="74">
        <v>0.44444444444444442</v>
      </c>
      <c r="H451" s="75">
        <v>3.4722222222221544E-3</v>
      </c>
      <c r="I451" s="76">
        <v>41721</v>
      </c>
      <c r="J451" s="36" t="str">
        <f t="shared" si="147"/>
        <v>Nacional</v>
      </c>
      <c r="K451" s="36">
        <f t="shared" si="147"/>
        <v>3.7808641975308633E-3</v>
      </c>
      <c r="L451" s="36">
        <f t="shared" si="147"/>
        <v>6.944444444444451E-3</v>
      </c>
      <c r="M451" s="36">
        <f t="shared" si="147"/>
        <v>1.0725308641975314E-2</v>
      </c>
      <c r="N451" s="36" t="str">
        <f t="shared" si="147"/>
        <v>B737-800</v>
      </c>
      <c r="O451" s="36">
        <f t="shared" si="147"/>
        <v>189</v>
      </c>
      <c r="P451" s="36" t="str">
        <f t="shared" si="147"/>
        <v>SFO</v>
      </c>
      <c r="R451">
        <v>437</v>
      </c>
      <c r="S451" s="36" t="str">
        <f t="shared" si="136"/>
        <v>MEXICO AEREO</v>
      </c>
      <c r="T451" s="36">
        <f t="shared" si="136"/>
        <v>785</v>
      </c>
      <c r="U451" s="83">
        <v>0.25069444444444444</v>
      </c>
      <c r="V451" s="84">
        <v>0.26111111111111113</v>
      </c>
      <c r="W451" s="85">
        <v>1.0416666666666685E-2</v>
      </c>
      <c r="X451" s="84">
        <v>0.28680555555555554</v>
      </c>
      <c r="Y451" s="85">
        <v>2.5694444444444409E-2</v>
      </c>
      <c r="Z451" s="86">
        <v>41759</v>
      </c>
      <c r="AA451" s="36" t="str">
        <f t="shared" si="140"/>
        <v>Internacional</v>
      </c>
      <c r="AB451" s="36">
        <f t="shared" si="140"/>
        <v>1.2068965517241372E-2</v>
      </c>
      <c r="AC451" s="36">
        <f t="shared" si="140"/>
        <v>2.227011494252874E-2</v>
      </c>
      <c r="AD451" s="36">
        <f t="shared" si="140"/>
        <v>3.4339080459770112E-2</v>
      </c>
      <c r="AE451" s="36" t="str">
        <f t="shared" si="140"/>
        <v>B737-800</v>
      </c>
      <c r="AF451" s="36">
        <f t="shared" si="140"/>
        <v>189</v>
      </c>
      <c r="AG451" s="36" t="str">
        <f t="shared" si="140"/>
        <v>LAX</v>
      </c>
      <c r="AI451">
        <v>437</v>
      </c>
      <c r="AJ451" s="77" t="str">
        <f t="shared" si="146"/>
        <v>MEXICO AEREO</v>
      </c>
      <c r="AK451" s="63">
        <v>773</v>
      </c>
      <c r="AL451" s="64">
        <v>0.79305555555555562</v>
      </c>
      <c r="AM451" s="65">
        <v>0.79722222222222217</v>
      </c>
      <c r="AN451" s="66">
        <v>4.1666666666665408E-3</v>
      </c>
      <c r="AO451" s="65">
        <v>0.80208333333333337</v>
      </c>
      <c r="AP451" s="66">
        <v>4.8611111111112049E-3</v>
      </c>
      <c r="AQ451" s="67">
        <v>41799</v>
      </c>
      <c r="AR451" s="68" t="s">
        <v>19</v>
      </c>
      <c r="AS451" s="69">
        <v>3.8194444444444031E-3</v>
      </c>
      <c r="AT451" s="70">
        <v>6.5972222222222821E-3</v>
      </c>
      <c r="AU451" s="70">
        <v>1.0416666666666685E-2</v>
      </c>
      <c r="AV451" s="71">
        <v>738</v>
      </c>
      <c r="AW451" s="71">
        <v>189</v>
      </c>
      <c r="AX451" s="72" t="s">
        <v>34</v>
      </c>
    </row>
    <row r="452" spans="1:50" x14ac:dyDescent="0.25">
      <c r="A452">
        <v>438</v>
      </c>
      <c r="B452" s="36" t="str">
        <f t="shared" si="133"/>
        <v>MEXICO AEREO</v>
      </c>
      <c r="C452" s="36">
        <f t="shared" si="133"/>
        <v>120</v>
      </c>
      <c r="D452" s="74">
        <v>0.44513888888888892</v>
      </c>
      <c r="E452" s="74">
        <v>0.45</v>
      </c>
      <c r="F452" s="75">
        <v>4.8611111111110938E-3</v>
      </c>
      <c r="G452" s="74">
        <v>0.45694444444444443</v>
      </c>
      <c r="H452" s="75">
        <v>6.9444444444444198E-3</v>
      </c>
      <c r="I452" s="76">
        <v>41722</v>
      </c>
      <c r="J452" s="36" t="str">
        <f t="shared" si="147"/>
        <v>Nacional</v>
      </c>
      <c r="K452" s="36">
        <f t="shared" si="147"/>
        <v>3.7808641975308633E-3</v>
      </c>
      <c r="L452" s="36">
        <f t="shared" si="147"/>
        <v>6.944444444444451E-3</v>
      </c>
      <c r="M452" s="36">
        <f t="shared" si="147"/>
        <v>1.0725308641975314E-2</v>
      </c>
      <c r="N452" s="36" t="str">
        <f t="shared" si="147"/>
        <v>B737-800</v>
      </c>
      <c r="O452" s="36">
        <f t="shared" si="147"/>
        <v>189</v>
      </c>
      <c r="P452" s="36" t="str">
        <f t="shared" si="147"/>
        <v>SFO</v>
      </c>
      <c r="R452">
        <v>438</v>
      </c>
      <c r="S452" s="36" t="str">
        <f t="shared" si="136"/>
        <v>MEXICO AEREO</v>
      </c>
      <c r="T452" s="55">
        <v>783</v>
      </c>
      <c r="U452" s="56">
        <v>0.67708333333333337</v>
      </c>
      <c r="V452" s="57">
        <v>0.68611111111111101</v>
      </c>
      <c r="W452" s="58">
        <v>9.0277777777776347E-3</v>
      </c>
      <c r="X452" s="57">
        <v>0.6972222222222223</v>
      </c>
      <c r="Y452" s="58">
        <v>1.1111111111111294E-2</v>
      </c>
      <c r="Z452" s="59">
        <v>41730</v>
      </c>
      <c r="AA452" s="60" t="s">
        <v>22</v>
      </c>
      <c r="AB452" s="61">
        <v>8.9763374485596764E-3</v>
      </c>
      <c r="AC452" s="61">
        <v>1.9135802469135807E-2</v>
      </c>
      <c r="AD452" s="62">
        <v>2.8112139917695483E-2</v>
      </c>
      <c r="AE452" s="109" t="s">
        <v>39</v>
      </c>
      <c r="AF452" s="109">
        <v>189</v>
      </c>
      <c r="AG452" s="109" t="s">
        <v>40</v>
      </c>
      <c r="AI452">
        <v>438</v>
      </c>
      <c r="AJ452" s="77" t="str">
        <f t="shared" si="146"/>
        <v>MEXICO AEREO</v>
      </c>
      <c r="AK452" s="77">
        <f t="shared" si="146"/>
        <v>773</v>
      </c>
      <c r="AL452" s="78">
        <v>0.6777777777777777</v>
      </c>
      <c r="AM452" s="79">
        <v>0.68125000000000002</v>
      </c>
      <c r="AN452" s="80">
        <v>3.4722222222223209E-3</v>
      </c>
      <c r="AO452" s="79">
        <v>0.69166666666666676</v>
      </c>
      <c r="AP452" s="80">
        <v>1.0416666666666741E-2</v>
      </c>
      <c r="AQ452" s="81">
        <v>41801</v>
      </c>
      <c r="AR452" s="77" t="str">
        <f t="shared" ref="AR452:AX454" si="148">AR451</f>
        <v>Nacional</v>
      </c>
      <c r="AS452" s="77">
        <f t="shared" si="148"/>
        <v>3.8194444444444031E-3</v>
      </c>
      <c r="AT452" s="77">
        <f t="shared" si="148"/>
        <v>6.5972222222222821E-3</v>
      </c>
      <c r="AU452" s="77">
        <f t="shared" si="148"/>
        <v>1.0416666666666685E-2</v>
      </c>
      <c r="AV452" s="77">
        <f t="shared" si="148"/>
        <v>738</v>
      </c>
      <c r="AW452" s="77">
        <f t="shared" si="148"/>
        <v>189</v>
      </c>
      <c r="AX452" s="77" t="str">
        <f t="shared" si="148"/>
        <v>TIJ</v>
      </c>
    </row>
    <row r="453" spans="1:50" x14ac:dyDescent="0.25">
      <c r="A453">
        <v>439</v>
      </c>
      <c r="B453" s="36" t="str">
        <f t="shared" si="133"/>
        <v>MEXICO AEREO</v>
      </c>
      <c r="C453" s="36">
        <f t="shared" si="133"/>
        <v>120</v>
      </c>
      <c r="D453" s="74">
        <v>0.42569444444444443</v>
      </c>
      <c r="E453" s="74">
        <v>0.43194444444444446</v>
      </c>
      <c r="F453" s="75">
        <v>6.2500000000000333E-3</v>
      </c>
      <c r="G453" s="74">
        <v>0.43888888888888888</v>
      </c>
      <c r="H453" s="75">
        <v>6.9444444444444198E-3</v>
      </c>
      <c r="I453" s="76">
        <v>41725</v>
      </c>
      <c r="J453" s="36" t="str">
        <f t="shared" si="147"/>
        <v>Nacional</v>
      </c>
      <c r="K453" s="36">
        <f t="shared" si="147"/>
        <v>3.7808641975308633E-3</v>
      </c>
      <c r="L453" s="36">
        <f t="shared" si="147"/>
        <v>6.944444444444451E-3</v>
      </c>
      <c r="M453" s="36">
        <f t="shared" si="147"/>
        <v>1.0725308641975314E-2</v>
      </c>
      <c r="N453" s="36" t="str">
        <f t="shared" si="147"/>
        <v>B737-800</v>
      </c>
      <c r="O453" s="36">
        <f t="shared" si="147"/>
        <v>189</v>
      </c>
      <c r="P453" s="36" t="str">
        <f t="shared" si="147"/>
        <v>SFO</v>
      </c>
      <c r="R453">
        <v>439</v>
      </c>
      <c r="S453" s="36" t="str">
        <f t="shared" si="136"/>
        <v>MEXICO AEREO</v>
      </c>
      <c r="T453" s="36">
        <f t="shared" si="136"/>
        <v>783</v>
      </c>
      <c r="U453" s="73">
        <v>0.63680555555555551</v>
      </c>
      <c r="V453" s="74">
        <v>0.64722222222222225</v>
      </c>
      <c r="W453" s="75">
        <v>1.0416666666666741E-2</v>
      </c>
      <c r="X453" s="74">
        <v>0.66041666666666665</v>
      </c>
      <c r="Y453" s="75">
        <v>1.3194444444444398E-2</v>
      </c>
      <c r="Z453" s="76">
        <v>41731</v>
      </c>
      <c r="AA453" s="36" t="str">
        <f t="shared" ref="AA453:AG478" si="149">AA452</f>
        <v>Internacional</v>
      </c>
      <c r="AB453" s="36">
        <f t="shared" si="149"/>
        <v>8.9763374485596764E-3</v>
      </c>
      <c r="AC453" s="36">
        <f t="shared" si="149"/>
        <v>1.9135802469135807E-2</v>
      </c>
      <c r="AD453" s="36">
        <f t="shared" si="149"/>
        <v>2.8112139917695483E-2</v>
      </c>
      <c r="AE453" s="36" t="str">
        <f t="shared" si="149"/>
        <v>B737-800</v>
      </c>
      <c r="AF453" s="36">
        <f t="shared" si="149"/>
        <v>189</v>
      </c>
      <c r="AG453" s="36" t="str">
        <f t="shared" si="149"/>
        <v>LAX</v>
      </c>
      <c r="AI453">
        <v>439</v>
      </c>
      <c r="AJ453" s="77" t="str">
        <f t="shared" si="146"/>
        <v>MEXICO AEREO</v>
      </c>
      <c r="AK453" s="77">
        <f t="shared" si="146"/>
        <v>773</v>
      </c>
      <c r="AL453" s="78">
        <v>0.71388888888888891</v>
      </c>
      <c r="AM453" s="79">
        <v>0.71944444444444444</v>
      </c>
      <c r="AN453" s="80">
        <v>5.5555555555555358E-3</v>
      </c>
      <c r="AO453" s="79">
        <v>0.72569444444444453</v>
      </c>
      <c r="AP453" s="80">
        <v>6.2500000000000888E-3</v>
      </c>
      <c r="AQ453" s="81">
        <v>41805</v>
      </c>
      <c r="AR453" s="77" t="str">
        <f t="shared" si="148"/>
        <v>Nacional</v>
      </c>
      <c r="AS453" s="77">
        <f t="shared" si="148"/>
        <v>3.8194444444444031E-3</v>
      </c>
      <c r="AT453" s="77">
        <f t="shared" si="148"/>
        <v>6.5972222222222821E-3</v>
      </c>
      <c r="AU453" s="77">
        <f t="shared" si="148"/>
        <v>1.0416666666666685E-2</v>
      </c>
      <c r="AV453" s="77">
        <f t="shared" si="148"/>
        <v>738</v>
      </c>
      <c r="AW453" s="77">
        <f t="shared" si="148"/>
        <v>189</v>
      </c>
      <c r="AX453" s="77" t="str">
        <f t="shared" si="148"/>
        <v>TIJ</v>
      </c>
    </row>
    <row r="454" spans="1:50" ht="15.75" thickBot="1" x14ac:dyDescent="0.3">
      <c r="A454">
        <v>440</v>
      </c>
      <c r="B454" s="36" t="str">
        <f t="shared" si="133"/>
        <v>MEXICO AEREO</v>
      </c>
      <c r="C454" s="36">
        <f t="shared" si="133"/>
        <v>120</v>
      </c>
      <c r="D454" s="74">
        <v>0.42222222222222222</v>
      </c>
      <c r="E454" s="74">
        <v>0.4236111111111111</v>
      </c>
      <c r="F454" s="75">
        <v>1.388888888888884E-3</v>
      </c>
      <c r="G454" s="74">
        <v>0.43611111111111112</v>
      </c>
      <c r="H454" s="75">
        <v>1.2500000000000011E-2</v>
      </c>
      <c r="I454" s="76">
        <v>41725</v>
      </c>
      <c r="J454" s="36" t="str">
        <f t="shared" si="147"/>
        <v>Nacional</v>
      </c>
      <c r="K454" s="36">
        <f t="shared" si="147"/>
        <v>3.7808641975308633E-3</v>
      </c>
      <c r="L454" s="36">
        <f t="shared" si="147"/>
        <v>6.944444444444451E-3</v>
      </c>
      <c r="M454" s="36">
        <f t="shared" si="147"/>
        <v>1.0725308641975314E-2</v>
      </c>
      <c r="N454" s="36" t="str">
        <f t="shared" si="147"/>
        <v>B737-800</v>
      </c>
      <c r="O454" s="36">
        <f t="shared" si="147"/>
        <v>189</v>
      </c>
      <c r="P454" s="36" t="str">
        <f t="shared" si="147"/>
        <v>SFO</v>
      </c>
      <c r="R454">
        <v>440</v>
      </c>
      <c r="S454" s="36" t="str">
        <f t="shared" si="136"/>
        <v>MEXICO AEREO</v>
      </c>
      <c r="T454" s="36">
        <f t="shared" si="136"/>
        <v>783</v>
      </c>
      <c r="U454" s="73">
        <v>0.63680555555555551</v>
      </c>
      <c r="V454" s="74">
        <v>0.64722222222222225</v>
      </c>
      <c r="W454" s="75">
        <v>1.0416666666666741E-2</v>
      </c>
      <c r="X454" s="74">
        <v>0.66041666666666665</v>
      </c>
      <c r="Y454" s="75">
        <v>1.3194444444444398E-2</v>
      </c>
      <c r="Z454" s="76">
        <v>41731</v>
      </c>
      <c r="AA454" s="36" t="str">
        <f t="shared" si="149"/>
        <v>Internacional</v>
      </c>
      <c r="AB454" s="36">
        <f t="shared" si="149"/>
        <v>8.9763374485596764E-3</v>
      </c>
      <c r="AC454" s="36">
        <f t="shared" si="149"/>
        <v>1.9135802469135807E-2</v>
      </c>
      <c r="AD454" s="36">
        <f t="shared" si="149"/>
        <v>2.8112139917695483E-2</v>
      </c>
      <c r="AE454" s="36" t="str">
        <f t="shared" si="149"/>
        <v>B737-800</v>
      </c>
      <c r="AF454" s="36">
        <f t="shared" si="149"/>
        <v>189</v>
      </c>
      <c r="AG454" s="36" t="str">
        <f t="shared" si="149"/>
        <v>LAX</v>
      </c>
      <c r="AI454">
        <v>440</v>
      </c>
      <c r="AJ454" s="77" t="str">
        <f t="shared" si="146"/>
        <v>MEXICO AEREO</v>
      </c>
      <c r="AK454" s="77">
        <f t="shared" si="146"/>
        <v>773</v>
      </c>
      <c r="AL454" s="94">
        <v>0.79861111111111116</v>
      </c>
      <c r="AM454" s="95">
        <v>0.80069444444444438</v>
      </c>
      <c r="AN454" s="96">
        <v>2.0833333333332149E-3</v>
      </c>
      <c r="AO454" s="95">
        <v>0.80555555555555547</v>
      </c>
      <c r="AP454" s="96">
        <v>4.8611111111110938E-3</v>
      </c>
      <c r="AQ454" s="97">
        <v>41808</v>
      </c>
      <c r="AR454" s="77" t="str">
        <f t="shared" si="148"/>
        <v>Nacional</v>
      </c>
      <c r="AS454" s="77">
        <f t="shared" si="148"/>
        <v>3.8194444444444031E-3</v>
      </c>
      <c r="AT454" s="77">
        <f t="shared" si="148"/>
        <v>6.5972222222222821E-3</v>
      </c>
      <c r="AU454" s="77">
        <f t="shared" si="148"/>
        <v>1.0416666666666685E-2</v>
      </c>
      <c r="AV454" s="77">
        <f t="shared" si="148"/>
        <v>738</v>
      </c>
      <c r="AW454" s="77">
        <f t="shared" si="148"/>
        <v>189</v>
      </c>
      <c r="AX454" s="77" t="str">
        <f t="shared" si="148"/>
        <v>TIJ</v>
      </c>
    </row>
    <row r="455" spans="1:50" x14ac:dyDescent="0.25">
      <c r="A455">
        <v>441</v>
      </c>
      <c r="B455" s="36" t="str">
        <f t="shared" si="133"/>
        <v>MEXICO AEREO</v>
      </c>
      <c r="C455" s="36">
        <f t="shared" si="133"/>
        <v>120</v>
      </c>
      <c r="D455" s="74">
        <v>0.41944444444444445</v>
      </c>
      <c r="E455" s="74">
        <v>0.4236111111111111</v>
      </c>
      <c r="F455" s="75">
        <v>4.1666666666666519E-3</v>
      </c>
      <c r="G455" s="74">
        <v>0.4291666666666667</v>
      </c>
      <c r="H455" s="75">
        <v>5.5555555555555913E-3</v>
      </c>
      <c r="I455" s="76">
        <v>41729</v>
      </c>
      <c r="J455" s="36" t="str">
        <f t="shared" si="147"/>
        <v>Nacional</v>
      </c>
      <c r="K455" s="36">
        <f t="shared" si="147"/>
        <v>3.7808641975308633E-3</v>
      </c>
      <c r="L455" s="36">
        <f t="shared" si="147"/>
        <v>6.944444444444451E-3</v>
      </c>
      <c r="M455" s="36">
        <f t="shared" si="147"/>
        <v>1.0725308641975314E-2</v>
      </c>
      <c r="N455" s="36" t="str">
        <f t="shared" si="147"/>
        <v>B737-800</v>
      </c>
      <c r="O455" s="36">
        <f t="shared" si="147"/>
        <v>189</v>
      </c>
      <c r="P455" s="36" t="str">
        <f t="shared" si="147"/>
        <v>SFO</v>
      </c>
      <c r="R455">
        <v>441</v>
      </c>
      <c r="S455" s="36" t="str">
        <f t="shared" si="136"/>
        <v>MEXICO AEREO</v>
      </c>
      <c r="T455" s="36">
        <f t="shared" si="136"/>
        <v>783</v>
      </c>
      <c r="U455" s="73">
        <v>0.6381944444444444</v>
      </c>
      <c r="V455" s="74">
        <v>0.64652777777777781</v>
      </c>
      <c r="W455" s="75">
        <v>8.3333333333334147E-3</v>
      </c>
      <c r="X455" s="74">
        <v>0.67013888888888884</v>
      </c>
      <c r="Y455" s="75">
        <v>2.3611111111111027E-2</v>
      </c>
      <c r="Z455" s="76">
        <v>41732</v>
      </c>
      <c r="AA455" s="36" t="str">
        <f t="shared" si="149"/>
        <v>Internacional</v>
      </c>
      <c r="AB455" s="36">
        <f t="shared" si="149"/>
        <v>8.9763374485596764E-3</v>
      </c>
      <c r="AC455" s="36">
        <f t="shared" si="149"/>
        <v>1.9135802469135807E-2</v>
      </c>
      <c r="AD455" s="36">
        <f t="shared" si="149"/>
        <v>2.8112139917695483E-2</v>
      </c>
      <c r="AE455" s="36" t="str">
        <f t="shared" si="149"/>
        <v>B737-800</v>
      </c>
      <c r="AF455" s="36">
        <f t="shared" si="149"/>
        <v>189</v>
      </c>
      <c r="AG455" s="36" t="str">
        <f t="shared" si="149"/>
        <v>LAX</v>
      </c>
      <c r="AI455">
        <v>441</v>
      </c>
      <c r="AJ455" s="77" t="str">
        <f t="shared" si="146"/>
        <v>MEXICO AEREO</v>
      </c>
      <c r="AK455" s="63">
        <v>771</v>
      </c>
      <c r="AL455" s="64">
        <v>0.8979166666666667</v>
      </c>
      <c r="AM455" s="65">
        <v>0.90138888888888891</v>
      </c>
      <c r="AN455" s="66">
        <v>3.4722222222222099E-3</v>
      </c>
      <c r="AO455" s="65">
        <v>0.91180555555555554</v>
      </c>
      <c r="AP455" s="66">
        <v>1.041666666666663E-2</v>
      </c>
      <c r="AQ455" s="67">
        <v>41791</v>
      </c>
      <c r="AR455" s="68" t="s">
        <v>19</v>
      </c>
      <c r="AS455" s="69">
        <v>7.8914141414141419E-3</v>
      </c>
      <c r="AT455" s="70">
        <v>1.1142676767676768E-2</v>
      </c>
      <c r="AU455" s="70">
        <v>1.903409090909091E-2</v>
      </c>
      <c r="AV455" s="71">
        <v>738</v>
      </c>
      <c r="AW455" s="71">
        <v>189</v>
      </c>
      <c r="AX455" s="72" t="s">
        <v>34</v>
      </c>
    </row>
    <row r="456" spans="1:50" ht="15.75" thickBot="1" x14ac:dyDescent="0.3">
      <c r="A456">
        <v>442</v>
      </c>
      <c r="B456" s="36" t="str">
        <f t="shared" si="133"/>
        <v>MEXICO AEREO</v>
      </c>
      <c r="C456" s="36">
        <f t="shared" si="133"/>
        <v>120</v>
      </c>
      <c r="D456" s="84">
        <v>0.41875000000000001</v>
      </c>
      <c r="E456" s="84">
        <v>0.42083333333333334</v>
      </c>
      <c r="F456" s="85">
        <v>2.0833333333333259E-3</v>
      </c>
      <c r="G456" s="84">
        <v>0.42638888888888887</v>
      </c>
      <c r="H456" s="85">
        <v>5.5555555555555358E-3</v>
      </c>
      <c r="I456" s="86">
        <v>41716</v>
      </c>
      <c r="J456" s="36" t="str">
        <f t="shared" si="147"/>
        <v>Nacional</v>
      </c>
      <c r="K456" s="36">
        <f t="shared" si="147"/>
        <v>3.7808641975308633E-3</v>
      </c>
      <c r="L456" s="36">
        <f t="shared" si="147"/>
        <v>6.944444444444451E-3</v>
      </c>
      <c r="M456" s="36">
        <f t="shared" si="147"/>
        <v>1.0725308641975314E-2</v>
      </c>
      <c r="N456" s="36" t="str">
        <f t="shared" si="147"/>
        <v>B737-800</v>
      </c>
      <c r="O456" s="36">
        <f t="shared" si="147"/>
        <v>189</v>
      </c>
      <c r="P456" s="36" t="str">
        <f t="shared" si="147"/>
        <v>SFO</v>
      </c>
      <c r="R456">
        <v>442</v>
      </c>
      <c r="S456" s="36" t="str">
        <f t="shared" si="136"/>
        <v>MEXICO AEREO</v>
      </c>
      <c r="T456" s="36">
        <f t="shared" si="136"/>
        <v>783</v>
      </c>
      <c r="U456" s="73">
        <v>0.64930555555555558</v>
      </c>
      <c r="V456" s="74">
        <v>0.65972222222222221</v>
      </c>
      <c r="W456" s="75">
        <v>1.041666666666663E-2</v>
      </c>
      <c r="X456" s="74">
        <v>0.68541666666666667</v>
      </c>
      <c r="Y456" s="75">
        <v>2.5694444444444464E-2</v>
      </c>
      <c r="Z456" s="76">
        <v>41733</v>
      </c>
      <c r="AA456" s="36" t="str">
        <f t="shared" si="149"/>
        <v>Internacional</v>
      </c>
      <c r="AB456" s="36">
        <f t="shared" si="149"/>
        <v>8.9763374485596764E-3</v>
      </c>
      <c r="AC456" s="36">
        <f t="shared" si="149"/>
        <v>1.9135802469135807E-2</v>
      </c>
      <c r="AD456" s="36">
        <f t="shared" si="149"/>
        <v>2.8112139917695483E-2</v>
      </c>
      <c r="AE456" s="36" t="str">
        <f t="shared" si="149"/>
        <v>B737-800</v>
      </c>
      <c r="AF456" s="36">
        <f t="shared" si="149"/>
        <v>189</v>
      </c>
      <c r="AG456" s="36" t="str">
        <f t="shared" si="149"/>
        <v>LAX</v>
      </c>
      <c r="AI456">
        <v>442</v>
      </c>
      <c r="AJ456" s="77" t="str">
        <f t="shared" si="146"/>
        <v>MEXICO AEREO</v>
      </c>
      <c r="AK456" s="77">
        <f t="shared" si="146"/>
        <v>771</v>
      </c>
      <c r="AL456" s="78">
        <v>0.93055555555555547</v>
      </c>
      <c r="AM456" s="79">
        <v>0.93541666666666667</v>
      </c>
      <c r="AN456" s="80">
        <v>4.8611111111112049E-3</v>
      </c>
      <c r="AO456" s="79">
        <v>0.94652777777777775</v>
      </c>
      <c r="AP456" s="80">
        <v>1.1111111111111072E-2</v>
      </c>
      <c r="AQ456" s="81">
        <v>41792</v>
      </c>
      <c r="AR456" s="77" t="str">
        <f t="shared" ref="AR456:AX476" si="150">AR455</f>
        <v>Nacional</v>
      </c>
      <c r="AS456" s="77">
        <f t="shared" si="150"/>
        <v>7.8914141414141419E-3</v>
      </c>
      <c r="AT456" s="77">
        <f t="shared" si="150"/>
        <v>1.1142676767676768E-2</v>
      </c>
      <c r="AU456" s="77">
        <f t="shared" si="150"/>
        <v>1.903409090909091E-2</v>
      </c>
      <c r="AV456" s="77">
        <f t="shared" si="150"/>
        <v>738</v>
      </c>
      <c r="AW456" s="77">
        <f t="shared" si="150"/>
        <v>189</v>
      </c>
      <c r="AX456" s="77" t="str">
        <f t="shared" si="150"/>
        <v>TIJ</v>
      </c>
    </row>
    <row r="457" spans="1:50" x14ac:dyDescent="0.25">
      <c r="A457">
        <v>443</v>
      </c>
      <c r="B457" s="36" t="str">
        <f t="shared" si="133"/>
        <v>MEXICO AEREO</v>
      </c>
      <c r="C457" s="88">
        <v>108</v>
      </c>
      <c r="D457" s="57">
        <v>0.49027777777777781</v>
      </c>
      <c r="E457" s="57">
        <v>0.50069444444444444</v>
      </c>
      <c r="F457" s="58">
        <v>1.041666666666663E-2</v>
      </c>
      <c r="G457" s="57">
        <v>0.50694444444444442</v>
      </c>
      <c r="H457" s="58">
        <v>6.2499999999999778E-3</v>
      </c>
      <c r="I457" s="59">
        <v>41715</v>
      </c>
      <c r="J457" s="108" t="s">
        <v>19</v>
      </c>
      <c r="K457" s="61">
        <v>5.1767676767676381E-3</v>
      </c>
      <c r="L457" s="61">
        <v>6.3762626262626743E-3</v>
      </c>
      <c r="M457" s="142">
        <v>1.1553030303030312E-2</v>
      </c>
      <c r="N457" s="90" t="s">
        <v>45</v>
      </c>
      <c r="O457" s="91">
        <v>126</v>
      </c>
      <c r="P457" s="92" t="s">
        <v>21</v>
      </c>
      <c r="R457">
        <v>443</v>
      </c>
      <c r="S457" s="36" t="str">
        <f t="shared" si="136"/>
        <v>MEXICO AEREO</v>
      </c>
      <c r="T457" s="36">
        <f t="shared" si="136"/>
        <v>783</v>
      </c>
      <c r="U457" s="73">
        <v>0.6791666666666667</v>
      </c>
      <c r="V457" s="74">
        <v>0.69305555555555554</v>
      </c>
      <c r="W457" s="75">
        <v>1.388888888888884E-2</v>
      </c>
      <c r="X457" s="74">
        <v>0.70763888888888893</v>
      </c>
      <c r="Y457" s="75">
        <v>1.4583333333333393E-2</v>
      </c>
      <c r="Z457" s="76">
        <v>41734</v>
      </c>
      <c r="AA457" s="36" t="str">
        <f t="shared" si="149"/>
        <v>Internacional</v>
      </c>
      <c r="AB457" s="36">
        <f t="shared" si="149"/>
        <v>8.9763374485596764E-3</v>
      </c>
      <c r="AC457" s="36">
        <f t="shared" si="149"/>
        <v>1.9135802469135807E-2</v>
      </c>
      <c r="AD457" s="36">
        <f t="shared" si="149"/>
        <v>2.8112139917695483E-2</v>
      </c>
      <c r="AE457" s="36" t="str">
        <f t="shared" si="149"/>
        <v>B737-800</v>
      </c>
      <c r="AF457" s="36">
        <f t="shared" si="149"/>
        <v>189</v>
      </c>
      <c r="AG457" s="36" t="str">
        <f t="shared" si="149"/>
        <v>LAX</v>
      </c>
      <c r="AI457">
        <v>443</v>
      </c>
      <c r="AJ457" s="77" t="str">
        <f t="shared" si="146"/>
        <v>MEXICO AEREO</v>
      </c>
      <c r="AK457" s="77">
        <f t="shared" si="146"/>
        <v>771</v>
      </c>
      <c r="AL457" s="78">
        <v>0.89236111111111116</v>
      </c>
      <c r="AM457" s="79">
        <v>0.90069444444444446</v>
      </c>
      <c r="AN457" s="80">
        <v>8.3333333333333037E-3</v>
      </c>
      <c r="AO457" s="79">
        <v>0.90972222222222221</v>
      </c>
      <c r="AP457" s="80">
        <v>9.0277777777777457E-3</v>
      </c>
      <c r="AQ457" s="81">
        <v>41793</v>
      </c>
      <c r="AR457" s="77" t="str">
        <f t="shared" si="150"/>
        <v>Nacional</v>
      </c>
      <c r="AS457" s="77">
        <f t="shared" si="150"/>
        <v>7.8914141414141419E-3</v>
      </c>
      <c r="AT457" s="77">
        <f t="shared" si="150"/>
        <v>1.1142676767676768E-2</v>
      </c>
      <c r="AU457" s="77">
        <f t="shared" si="150"/>
        <v>1.903409090909091E-2</v>
      </c>
      <c r="AV457" s="77">
        <f t="shared" si="150"/>
        <v>738</v>
      </c>
      <c r="AW457" s="77">
        <f t="shared" si="150"/>
        <v>189</v>
      </c>
      <c r="AX457" s="77" t="str">
        <f t="shared" si="150"/>
        <v>TIJ</v>
      </c>
    </row>
    <row r="458" spans="1:50" x14ac:dyDescent="0.25">
      <c r="A458">
        <v>444</v>
      </c>
      <c r="B458" s="36" t="str">
        <f t="shared" si="133"/>
        <v>MEXICO AEREO</v>
      </c>
      <c r="C458" s="36">
        <f t="shared" si="133"/>
        <v>108</v>
      </c>
      <c r="D458" s="74">
        <v>0.50416666666666665</v>
      </c>
      <c r="E458" s="74">
        <v>0.50902777777777775</v>
      </c>
      <c r="F458" s="75">
        <v>4.8611111111110938E-3</v>
      </c>
      <c r="G458" s="74">
        <v>0.51250000000000007</v>
      </c>
      <c r="H458" s="75">
        <v>3.4722222222223209E-3</v>
      </c>
      <c r="I458" s="76">
        <v>41716</v>
      </c>
      <c r="J458" s="36" t="str">
        <f t="shared" ref="J458:P467" si="151">J457</f>
        <v>Nacional</v>
      </c>
      <c r="K458" s="36">
        <f t="shared" si="151"/>
        <v>5.1767676767676381E-3</v>
      </c>
      <c r="L458" s="36">
        <f t="shared" si="151"/>
        <v>6.3762626262626743E-3</v>
      </c>
      <c r="M458" s="36">
        <f t="shared" si="151"/>
        <v>1.1553030303030312E-2</v>
      </c>
      <c r="N458" s="36" t="str">
        <f t="shared" si="151"/>
        <v>B737-700</v>
      </c>
      <c r="O458" s="36">
        <f t="shared" si="151"/>
        <v>126</v>
      </c>
      <c r="P458" s="36" t="str">
        <f t="shared" si="151"/>
        <v>MEX</v>
      </c>
      <c r="R458">
        <v>444</v>
      </c>
      <c r="S458" s="36" t="str">
        <f t="shared" si="136"/>
        <v>MEXICO AEREO</v>
      </c>
      <c r="T458" s="36">
        <f t="shared" si="136"/>
        <v>783</v>
      </c>
      <c r="U458" s="73">
        <v>0.6791666666666667</v>
      </c>
      <c r="V458" s="74">
        <v>0.68402777777777779</v>
      </c>
      <c r="W458" s="75">
        <v>4.8611111111110938E-3</v>
      </c>
      <c r="X458" s="74">
        <v>0.6958333333333333</v>
      </c>
      <c r="Y458" s="75">
        <v>1.1805555555555514E-2</v>
      </c>
      <c r="Z458" s="76">
        <v>41735</v>
      </c>
      <c r="AA458" s="36" t="str">
        <f t="shared" si="149"/>
        <v>Internacional</v>
      </c>
      <c r="AB458" s="36">
        <f t="shared" si="149"/>
        <v>8.9763374485596764E-3</v>
      </c>
      <c r="AC458" s="36">
        <f t="shared" si="149"/>
        <v>1.9135802469135807E-2</v>
      </c>
      <c r="AD458" s="36">
        <f t="shared" si="149"/>
        <v>2.8112139917695483E-2</v>
      </c>
      <c r="AE458" s="36" t="str">
        <f t="shared" si="149"/>
        <v>B737-800</v>
      </c>
      <c r="AF458" s="36">
        <f t="shared" si="149"/>
        <v>189</v>
      </c>
      <c r="AG458" s="36" t="str">
        <f t="shared" si="149"/>
        <v>LAX</v>
      </c>
      <c r="AI458">
        <v>444</v>
      </c>
      <c r="AJ458" s="77" t="str">
        <f t="shared" si="146"/>
        <v>MEXICO AEREO</v>
      </c>
      <c r="AK458" s="77">
        <f t="shared" si="146"/>
        <v>771</v>
      </c>
      <c r="AL458" s="78">
        <v>0.90625</v>
      </c>
      <c r="AM458" s="79">
        <v>0.91249999999999998</v>
      </c>
      <c r="AN458" s="80">
        <v>6.2499999999999778E-3</v>
      </c>
      <c r="AO458" s="79">
        <v>0.92013888888888884</v>
      </c>
      <c r="AP458" s="80">
        <v>7.6388888888888618E-3</v>
      </c>
      <c r="AQ458" s="81">
        <v>41794</v>
      </c>
      <c r="AR458" s="77" t="str">
        <f t="shared" si="150"/>
        <v>Nacional</v>
      </c>
      <c r="AS458" s="77">
        <f t="shared" si="150"/>
        <v>7.8914141414141419E-3</v>
      </c>
      <c r="AT458" s="77">
        <f t="shared" si="150"/>
        <v>1.1142676767676768E-2</v>
      </c>
      <c r="AU458" s="77">
        <f t="shared" si="150"/>
        <v>1.903409090909091E-2</v>
      </c>
      <c r="AV458" s="77">
        <f t="shared" si="150"/>
        <v>738</v>
      </c>
      <c r="AW458" s="77">
        <f t="shared" si="150"/>
        <v>189</v>
      </c>
      <c r="AX458" s="77" t="str">
        <f t="shared" si="150"/>
        <v>TIJ</v>
      </c>
    </row>
    <row r="459" spans="1:50" x14ac:dyDescent="0.25">
      <c r="A459">
        <v>445</v>
      </c>
      <c r="B459" s="36" t="s">
        <v>18</v>
      </c>
      <c r="C459" s="36">
        <f t="shared" ref="C459:C468" si="152">C458</f>
        <v>108</v>
      </c>
      <c r="D459" s="74">
        <v>0.50486111111111109</v>
      </c>
      <c r="E459" s="74">
        <v>0.50972222222222219</v>
      </c>
      <c r="F459" s="75">
        <v>4.8611111111110938E-3</v>
      </c>
      <c r="G459" s="74">
        <v>0.51736111111111105</v>
      </c>
      <c r="H459" s="75">
        <v>7.6388888888888618E-3</v>
      </c>
      <c r="I459" s="76">
        <v>41717</v>
      </c>
      <c r="J459" s="36" t="str">
        <f t="shared" si="151"/>
        <v>Nacional</v>
      </c>
      <c r="K459" s="36">
        <f t="shared" si="151"/>
        <v>5.1767676767676381E-3</v>
      </c>
      <c r="L459" s="36">
        <f t="shared" si="151"/>
        <v>6.3762626262626743E-3</v>
      </c>
      <c r="M459" s="36">
        <f t="shared" si="151"/>
        <v>1.1553030303030312E-2</v>
      </c>
      <c r="N459" s="36" t="str">
        <f t="shared" si="151"/>
        <v>B737-700</v>
      </c>
      <c r="O459" s="36">
        <f t="shared" si="151"/>
        <v>126</v>
      </c>
      <c r="P459" s="36" t="str">
        <f t="shared" si="151"/>
        <v>MEX</v>
      </c>
      <c r="R459">
        <v>445</v>
      </c>
      <c r="S459" s="36" t="str">
        <f t="shared" si="136"/>
        <v>MEXICO AEREO</v>
      </c>
      <c r="T459" s="36">
        <f t="shared" si="136"/>
        <v>783</v>
      </c>
      <c r="U459" s="73">
        <v>0.72638888888888886</v>
      </c>
      <c r="V459" s="74">
        <v>0.73333333333333339</v>
      </c>
      <c r="W459" s="75">
        <v>6.9444444444445308E-3</v>
      </c>
      <c r="X459" s="74">
        <v>0.75138888888888899</v>
      </c>
      <c r="Y459" s="75">
        <v>1.8055555555555602E-2</v>
      </c>
      <c r="Z459" s="76">
        <v>41736</v>
      </c>
      <c r="AA459" s="36" t="str">
        <f t="shared" si="149"/>
        <v>Internacional</v>
      </c>
      <c r="AB459" s="36">
        <f t="shared" si="149"/>
        <v>8.9763374485596764E-3</v>
      </c>
      <c r="AC459" s="36">
        <f t="shared" si="149"/>
        <v>1.9135802469135807E-2</v>
      </c>
      <c r="AD459" s="36">
        <f t="shared" si="149"/>
        <v>2.8112139917695483E-2</v>
      </c>
      <c r="AE459" s="36" t="str">
        <f t="shared" si="149"/>
        <v>B737-800</v>
      </c>
      <c r="AF459" s="36">
        <f t="shared" si="149"/>
        <v>189</v>
      </c>
      <c r="AG459" s="36" t="str">
        <f t="shared" si="149"/>
        <v>LAX</v>
      </c>
      <c r="AI459">
        <v>445</v>
      </c>
      <c r="AJ459" s="77" t="str">
        <f t="shared" si="146"/>
        <v>MEXICO AEREO</v>
      </c>
      <c r="AK459" s="77">
        <f t="shared" si="146"/>
        <v>771</v>
      </c>
      <c r="AL459" s="78">
        <v>0.9</v>
      </c>
      <c r="AM459" s="79">
        <v>0.9145833333333333</v>
      </c>
      <c r="AN459" s="80">
        <v>1.4583333333333282E-2</v>
      </c>
      <c r="AO459" s="79">
        <v>0.92083333333333339</v>
      </c>
      <c r="AP459" s="80">
        <v>6.2500000000000888E-3</v>
      </c>
      <c r="AQ459" s="81">
        <v>41795</v>
      </c>
      <c r="AR459" s="77" t="str">
        <f t="shared" si="150"/>
        <v>Nacional</v>
      </c>
      <c r="AS459" s="77">
        <f t="shared" si="150"/>
        <v>7.8914141414141419E-3</v>
      </c>
      <c r="AT459" s="77">
        <f t="shared" si="150"/>
        <v>1.1142676767676768E-2</v>
      </c>
      <c r="AU459" s="77">
        <f t="shared" si="150"/>
        <v>1.903409090909091E-2</v>
      </c>
      <c r="AV459" s="77">
        <f t="shared" si="150"/>
        <v>738</v>
      </c>
      <c r="AW459" s="77">
        <f t="shared" si="150"/>
        <v>189</v>
      </c>
      <c r="AX459" s="77" t="str">
        <f t="shared" si="150"/>
        <v>TIJ</v>
      </c>
    </row>
    <row r="460" spans="1:50" x14ac:dyDescent="0.25">
      <c r="A460">
        <v>446</v>
      </c>
      <c r="B460" s="36" t="str">
        <f t="shared" ref="B460:C489" si="153">B459</f>
        <v>MEXICO AEREO</v>
      </c>
      <c r="C460" s="36">
        <f t="shared" si="152"/>
        <v>108</v>
      </c>
      <c r="D460" s="74">
        <v>0.51111111111111118</v>
      </c>
      <c r="E460" s="74">
        <v>0.51597222222222217</v>
      </c>
      <c r="F460" s="75">
        <v>4.8611111111109828E-3</v>
      </c>
      <c r="G460" s="74">
        <v>0.5229166666666667</v>
      </c>
      <c r="H460" s="75">
        <v>6.9444444444445308E-3</v>
      </c>
      <c r="I460" s="76">
        <v>41718</v>
      </c>
      <c r="J460" s="36" t="str">
        <f t="shared" si="151"/>
        <v>Nacional</v>
      </c>
      <c r="K460" s="36">
        <f t="shared" si="151"/>
        <v>5.1767676767676381E-3</v>
      </c>
      <c r="L460" s="36">
        <f t="shared" si="151"/>
        <v>6.3762626262626743E-3</v>
      </c>
      <c r="M460" s="36">
        <f t="shared" si="151"/>
        <v>1.1553030303030312E-2</v>
      </c>
      <c r="N460" s="36" t="str">
        <f t="shared" si="151"/>
        <v>B737-700</v>
      </c>
      <c r="O460" s="36">
        <f t="shared" si="151"/>
        <v>126</v>
      </c>
      <c r="P460" s="36" t="str">
        <f t="shared" si="151"/>
        <v>MEX</v>
      </c>
      <c r="R460">
        <v>446</v>
      </c>
      <c r="S460" s="36" t="str">
        <f t="shared" si="136"/>
        <v>MEXICO AEREO</v>
      </c>
      <c r="T460" s="36">
        <f t="shared" si="136"/>
        <v>783</v>
      </c>
      <c r="U460" s="73">
        <v>0.71944444444444444</v>
      </c>
      <c r="V460" s="74">
        <v>0.72638888888888886</v>
      </c>
      <c r="W460" s="75">
        <v>6.9444444444444198E-3</v>
      </c>
      <c r="X460" s="74">
        <v>0.74375000000000002</v>
      </c>
      <c r="Y460" s="75">
        <v>1.736111111111116E-2</v>
      </c>
      <c r="Z460" s="76">
        <v>41739</v>
      </c>
      <c r="AA460" s="36" t="str">
        <f t="shared" si="149"/>
        <v>Internacional</v>
      </c>
      <c r="AB460" s="36">
        <f t="shared" si="149"/>
        <v>8.9763374485596764E-3</v>
      </c>
      <c r="AC460" s="36">
        <f t="shared" si="149"/>
        <v>1.9135802469135807E-2</v>
      </c>
      <c r="AD460" s="36">
        <f t="shared" si="149"/>
        <v>2.8112139917695483E-2</v>
      </c>
      <c r="AE460" s="36" t="str">
        <f t="shared" si="149"/>
        <v>B737-800</v>
      </c>
      <c r="AF460" s="36">
        <f t="shared" si="149"/>
        <v>189</v>
      </c>
      <c r="AG460" s="36" t="str">
        <f t="shared" si="149"/>
        <v>LAX</v>
      </c>
      <c r="AI460">
        <v>446</v>
      </c>
      <c r="AJ460" s="77" t="str">
        <f t="shared" si="146"/>
        <v>MEXICO AEREO</v>
      </c>
      <c r="AK460" s="77">
        <f t="shared" si="146"/>
        <v>771</v>
      </c>
      <c r="AL460" s="78">
        <v>0.90069444444444446</v>
      </c>
      <c r="AM460" s="79">
        <v>0.90694444444444444</v>
      </c>
      <c r="AN460" s="80">
        <v>6.2499999999999778E-3</v>
      </c>
      <c r="AO460" s="79">
        <v>0.9159722222222223</v>
      </c>
      <c r="AP460" s="80">
        <v>9.0277777777778567E-3</v>
      </c>
      <c r="AQ460" s="81">
        <v>41796</v>
      </c>
      <c r="AR460" s="77" t="str">
        <f t="shared" si="150"/>
        <v>Nacional</v>
      </c>
      <c r="AS460" s="77">
        <f t="shared" si="150"/>
        <v>7.8914141414141419E-3</v>
      </c>
      <c r="AT460" s="77">
        <f t="shared" si="150"/>
        <v>1.1142676767676768E-2</v>
      </c>
      <c r="AU460" s="77">
        <f t="shared" si="150"/>
        <v>1.903409090909091E-2</v>
      </c>
      <c r="AV460" s="77">
        <f t="shared" si="150"/>
        <v>738</v>
      </c>
      <c r="AW460" s="77">
        <f t="shared" si="150"/>
        <v>189</v>
      </c>
      <c r="AX460" s="77" t="str">
        <f t="shared" si="150"/>
        <v>TIJ</v>
      </c>
    </row>
    <row r="461" spans="1:50" x14ac:dyDescent="0.25">
      <c r="A461">
        <v>447</v>
      </c>
      <c r="B461" s="36" t="str">
        <f t="shared" si="153"/>
        <v>MEXICO AEREO</v>
      </c>
      <c r="C461" s="36">
        <f t="shared" si="152"/>
        <v>108</v>
      </c>
      <c r="D461" s="74">
        <v>0.50138888888888888</v>
      </c>
      <c r="E461" s="74">
        <v>0.50347222222222221</v>
      </c>
      <c r="F461" s="75">
        <v>2.0833333333333259E-3</v>
      </c>
      <c r="G461" s="74">
        <v>0.51041666666666663</v>
      </c>
      <c r="H461" s="75">
        <v>6.9444444444444198E-3</v>
      </c>
      <c r="I461" s="76">
        <v>41720</v>
      </c>
      <c r="J461" s="36" t="str">
        <f t="shared" si="151"/>
        <v>Nacional</v>
      </c>
      <c r="K461" s="36">
        <f t="shared" si="151"/>
        <v>5.1767676767676381E-3</v>
      </c>
      <c r="L461" s="36">
        <f t="shared" si="151"/>
        <v>6.3762626262626743E-3</v>
      </c>
      <c r="M461" s="36">
        <f t="shared" si="151"/>
        <v>1.1553030303030312E-2</v>
      </c>
      <c r="N461" s="36" t="str">
        <f t="shared" si="151"/>
        <v>B737-700</v>
      </c>
      <c r="O461" s="36">
        <f t="shared" si="151"/>
        <v>126</v>
      </c>
      <c r="P461" s="36" t="str">
        <f t="shared" si="151"/>
        <v>MEX</v>
      </c>
      <c r="R461">
        <v>447</v>
      </c>
      <c r="S461" s="36" t="str">
        <f t="shared" si="136"/>
        <v>MEXICO AEREO</v>
      </c>
      <c r="T461" s="36">
        <f t="shared" si="136"/>
        <v>783</v>
      </c>
      <c r="U461" s="73">
        <v>0.7270833333333333</v>
      </c>
      <c r="V461" s="74">
        <v>0.73611111111111116</v>
      </c>
      <c r="W461" s="75">
        <v>9.0277777777778567E-3</v>
      </c>
      <c r="X461" s="74">
        <v>0.75277777777777777</v>
      </c>
      <c r="Y461" s="75">
        <v>1.6666666666666607E-2</v>
      </c>
      <c r="Z461" s="76">
        <v>41741</v>
      </c>
      <c r="AA461" s="36" t="str">
        <f t="shared" si="149"/>
        <v>Internacional</v>
      </c>
      <c r="AB461" s="36">
        <f t="shared" si="149"/>
        <v>8.9763374485596764E-3</v>
      </c>
      <c r="AC461" s="36">
        <f t="shared" si="149"/>
        <v>1.9135802469135807E-2</v>
      </c>
      <c r="AD461" s="36">
        <f t="shared" si="149"/>
        <v>2.8112139917695483E-2</v>
      </c>
      <c r="AE461" s="36" t="str">
        <f t="shared" si="149"/>
        <v>B737-800</v>
      </c>
      <c r="AF461" s="36">
        <f t="shared" si="149"/>
        <v>189</v>
      </c>
      <c r="AG461" s="36" t="str">
        <f t="shared" si="149"/>
        <v>LAX</v>
      </c>
      <c r="AI461">
        <v>447</v>
      </c>
      <c r="AJ461" s="77" t="str">
        <f t="shared" si="146"/>
        <v>MEXICO AEREO</v>
      </c>
      <c r="AK461" s="77">
        <f t="shared" si="146"/>
        <v>771</v>
      </c>
      <c r="AL461" s="78">
        <v>0.89097222222222217</v>
      </c>
      <c r="AM461" s="79">
        <v>0.89583333333333337</v>
      </c>
      <c r="AN461" s="80">
        <v>4.8611111111112049E-3</v>
      </c>
      <c r="AO461" s="79">
        <v>0.91180555555555554</v>
      </c>
      <c r="AP461" s="80">
        <v>1.5972222222222165E-2</v>
      </c>
      <c r="AQ461" s="81">
        <v>41797</v>
      </c>
      <c r="AR461" s="77" t="str">
        <f t="shared" si="150"/>
        <v>Nacional</v>
      </c>
      <c r="AS461" s="77">
        <f t="shared" si="150"/>
        <v>7.8914141414141419E-3</v>
      </c>
      <c r="AT461" s="77">
        <f t="shared" si="150"/>
        <v>1.1142676767676768E-2</v>
      </c>
      <c r="AU461" s="77">
        <f t="shared" si="150"/>
        <v>1.903409090909091E-2</v>
      </c>
      <c r="AV461" s="77">
        <f t="shared" si="150"/>
        <v>738</v>
      </c>
      <c r="AW461" s="77">
        <f t="shared" si="150"/>
        <v>189</v>
      </c>
      <c r="AX461" s="77" t="str">
        <f t="shared" si="150"/>
        <v>TIJ</v>
      </c>
    </row>
    <row r="462" spans="1:50" x14ac:dyDescent="0.25">
      <c r="A462">
        <v>448</v>
      </c>
      <c r="B462" s="36" t="str">
        <f t="shared" si="153"/>
        <v>MEXICO AEREO</v>
      </c>
      <c r="C462" s="36">
        <f t="shared" si="152"/>
        <v>108</v>
      </c>
      <c r="D462" s="74">
        <v>0.51111111111111118</v>
      </c>
      <c r="E462" s="74">
        <v>0.51597222222222217</v>
      </c>
      <c r="F462" s="75">
        <v>4.8611111111109828E-3</v>
      </c>
      <c r="G462" s="74">
        <v>0.52222222222222225</v>
      </c>
      <c r="H462" s="75">
        <v>6.2500000000000888E-3</v>
      </c>
      <c r="I462" s="76">
        <v>41722</v>
      </c>
      <c r="J462" s="36" t="str">
        <f t="shared" si="151"/>
        <v>Nacional</v>
      </c>
      <c r="K462" s="36">
        <f t="shared" si="151"/>
        <v>5.1767676767676381E-3</v>
      </c>
      <c r="L462" s="36">
        <f t="shared" si="151"/>
        <v>6.3762626262626743E-3</v>
      </c>
      <c r="M462" s="36">
        <f t="shared" si="151"/>
        <v>1.1553030303030312E-2</v>
      </c>
      <c r="N462" s="36" t="str">
        <f t="shared" si="151"/>
        <v>B737-700</v>
      </c>
      <c r="O462" s="36">
        <f t="shared" si="151"/>
        <v>126</v>
      </c>
      <c r="P462" s="36" t="str">
        <f t="shared" si="151"/>
        <v>MEX</v>
      </c>
      <c r="R462">
        <v>448</v>
      </c>
      <c r="S462" s="36" t="str">
        <f t="shared" si="136"/>
        <v>MEXICO AEREO</v>
      </c>
      <c r="T462" s="36">
        <f t="shared" si="136"/>
        <v>783</v>
      </c>
      <c r="U462" s="73">
        <v>0.72430555555555554</v>
      </c>
      <c r="V462" s="74">
        <v>0.73402777777777783</v>
      </c>
      <c r="W462" s="75">
        <v>9.7222222222222987E-3</v>
      </c>
      <c r="X462" s="74">
        <v>0.74722222222222223</v>
      </c>
      <c r="Y462" s="75">
        <v>1.3194444444444398E-2</v>
      </c>
      <c r="Z462" s="76">
        <v>41743</v>
      </c>
      <c r="AA462" s="36" t="str">
        <f t="shared" si="149"/>
        <v>Internacional</v>
      </c>
      <c r="AB462" s="36">
        <f t="shared" si="149"/>
        <v>8.9763374485596764E-3</v>
      </c>
      <c r="AC462" s="36">
        <f t="shared" si="149"/>
        <v>1.9135802469135807E-2</v>
      </c>
      <c r="AD462" s="36">
        <f t="shared" si="149"/>
        <v>2.8112139917695483E-2</v>
      </c>
      <c r="AE462" s="36" t="str">
        <f t="shared" si="149"/>
        <v>B737-800</v>
      </c>
      <c r="AF462" s="36">
        <f t="shared" si="149"/>
        <v>189</v>
      </c>
      <c r="AG462" s="36" t="str">
        <f t="shared" si="149"/>
        <v>LAX</v>
      </c>
      <c r="AI462">
        <v>448</v>
      </c>
      <c r="AJ462" s="77" t="str">
        <f t="shared" si="146"/>
        <v>MEXICO AEREO</v>
      </c>
      <c r="AK462" s="77">
        <f t="shared" si="146"/>
        <v>771</v>
      </c>
      <c r="AL462" s="78">
        <v>0.91111111111111109</v>
      </c>
      <c r="AM462" s="79">
        <v>0.91805555555555562</v>
      </c>
      <c r="AN462" s="80">
        <v>6.9444444444445308E-3</v>
      </c>
      <c r="AO462" s="79">
        <v>0.94236111111111109</v>
      </c>
      <c r="AP462" s="80">
        <v>2.4305555555555469E-2</v>
      </c>
      <c r="AQ462" s="81">
        <v>41798</v>
      </c>
      <c r="AR462" s="77" t="str">
        <f t="shared" si="150"/>
        <v>Nacional</v>
      </c>
      <c r="AS462" s="77">
        <f t="shared" si="150"/>
        <v>7.8914141414141419E-3</v>
      </c>
      <c r="AT462" s="77">
        <f t="shared" si="150"/>
        <v>1.1142676767676768E-2</v>
      </c>
      <c r="AU462" s="77">
        <f t="shared" si="150"/>
        <v>1.903409090909091E-2</v>
      </c>
      <c r="AV462" s="77">
        <f t="shared" si="150"/>
        <v>738</v>
      </c>
      <c r="AW462" s="77">
        <f t="shared" si="150"/>
        <v>189</v>
      </c>
      <c r="AX462" s="77" t="str">
        <f t="shared" si="150"/>
        <v>TIJ</v>
      </c>
    </row>
    <row r="463" spans="1:50" x14ac:dyDescent="0.25">
      <c r="A463">
        <v>449</v>
      </c>
      <c r="B463" s="36" t="str">
        <f t="shared" si="153"/>
        <v>MEXICO AEREO</v>
      </c>
      <c r="C463" s="36">
        <f t="shared" si="152"/>
        <v>108</v>
      </c>
      <c r="D463" s="74">
        <v>0.5083333333333333</v>
      </c>
      <c r="E463" s="74">
        <v>0.51458333333333328</v>
      </c>
      <c r="F463" s="75">
        <v>6.2499999999999778E-3</v>
      </c>
      <c r="G463" s="74">
        <v>0.52152777777777781</v>
      </c>
      <c r="H463" s="75">
        <v>6.9444444444445308E-3</v>
      </c>
      <c r="I463" s="76">
        <v>41725</v>
      </c>
      <c r="J463" s="36" t="str">
        <f t="shared" si="151"/>
        <v>Nacional</v>
      </c>
      <c r="K463" s="36">
        <f t="shared" si="151"/>
        <v>5.1767676767676381E-3</v>
      </c>
      <c r="L463" s="36">
        <f t="shared" si="151"/>
        <v>6.3762626262626743E-3</v>
      </c>
      <c r="M463" s="36">
        <f t="shared" si="151"/>
        <v>1.1553030303030312E-2</v>
      </c>
      <c r="N463" s="36" t="str">
        <f t="shared" si="151"/>
        <v>B737-700</v>
      </c>
      <c r="O463" s="36">
        <f t="shared" si="151"/>
        <v>126</v>
      </c>
      <c r="P463" s="36" t="str">
        <f t="shared" si="151"/>
        <v>MEX</v>
      </c>
      <c r="R463">
        <v>449</v>
      </c>
      <c r="S463" s="36" t="str">
        <f t="shared" si="136"/>
        <v>MEXICO AEREO</v>
      </c>
      <c r="T463" s="36">
        <f t="shared" si="136"/>
        <v>783</v>
      </c>
      <c r="U463" s="73">
        <v>0.71319444444444446</v>
      </c>
      <c r="V463" s="74">
        <v>0.72430555555555554</v>
      </c>
      <c r="W463" s="75">
        <v>1.1111111111111072E-2</v>
      </c>
      <c r="X463" s="74">
        <v>0.73958333333333337</v>
      </c>
      <c r="Y463" s="75">
        <v>1.5277777777777835E-2</v>
      </c>
      <c r="Z463" s="76">
        <v>41744</v>
      </c>
      <c r="AA463" s="36" t="str">
        <f t="shared" si="149"/>
        <v>Internacional</v>
      </c>
      <c r="AB463" s="36">
        <f t="shared" si="149"/>
        <v>8.9763374485596764E-3</v>
      </c>
      <c r="AC463" s="36">
        <f t="shared" si="149"/>
        <v>1.9135802469135807E-2</v>
      </c>
      <c r="AD463" s="36">
        <f t="shared" si="149"/>
        <v>2.8112139917695483E-2</v>
      </c>
      <c r="AE463" s="36" t="str">
        <f t="shared" si="149"/>
        <v>B737-800</v>
      </c>
      <c r="AF463" s="36">
        <f t="shared" si="149"/>
        <v>189</v>
      </c>
      <c r="AG463" s="36" t="str">
        <f t="shared" si="149"/>
        <v>LAX</v>
      </c>
      <c r="AI463">
        <v>449</v>
      </c>
      <c r="AJ463" s="77" t="str">
        <f t="shared" si="146"/>
        <v>MEXICO AEREO</v>
      </c>
      <c r="AK463" s="77">
        <f t="shared" si="146"/>
        <v>771</v>
      </c>
      <c r="AL463" s="78">
        <v>0.90416666666666667</v>
      </c>
      <c r="AM463" s="79">
        <v>0.91319444444444453</v>
      </c>
      <c r="AN463" s="80">
        <v>9.0277777777778567E-3</v>
      </c>
      <c r="AO463" s="79">
        <v>0.92361111111111116</v>
      </c>
      <c r="AP463" s="80">
        <v>1.041666666666663E-2</v>
      </c>
      <c r="AQ463" s="81">
        <v>41799</v>
      </c>
      <c r="AR463" s="77" t="str">
        <f t="shared" si="150"/>
        <v>Nacional</v>
      </c>
      <c r="AS463" s="77">
        <f t="shared" si="150"/>
        <v>7.8914141414141419E-3</v>
      </c>
      <c r="AT463" s="77">
        <f t="shared" si="150"/>
        <v>1.1142676767676768E-2</v>
      </c>
      <c r="AU463" s="77">
        <f t="shared" si="150"/>
        <v>1.903409090909091E-2</v>
      </c>
      <c r="AV463" s="77">
        <f t="shared" si="150"/>
        <v>738</v>
      </c>
      <c r="AW463" s="77">
        <f t="shared" si="150"/>
        <v>189</v>
      </c>
      <c r="AX463" s="77" t="str">
        <f t="shared" si="150"/>
        <v>TIJ</v>
      </c>
    </row>
    <row r="464" spans="1:50" x14ac:dyDescent="0.25">
      <c r="A464">
        <v>450</v>
      </c>
      <c r="B464" s="36" t="str">
        <f t="shared" si="153"/>
        <v>MEXICO AEREO</v>
      </c>
      <c r="C464" s="36">
        <f t="shared" si="152"/>
        <v>108</v>
      </c>
      <c r="D464" s="74">
        <v>0.50416666666666665</v>
      </c>
      <c r="E464" s="74">
        <v>0.51180555555555551</v>
      </c>
      <c r="F464" s="75">
        <v>7.6388888888888618E-3</v>
      </c>
      <c r="G464" s="74">
        <v>0.51388888888888895</v>
      </c>
      <c r="H464" s="75">
        <v>2.083333333333437E-3</v>
      </c>
      <c r="I464" s="76">
        <v>41725</v>
      </c>
      <c r="J464" s="36" t="str">
        <f t="shared" si="151"/>
        <v>Nacional</v>
      </c>
      <c r="K464" s="36">
        <f t="shared" si="151"/>
        <v>5.1767676767676381E-3</v>
      </c>
      <c r="L464" s="36">
        <f t="shared" si="151"/>
        <v>6.3762626262626743E-3</v>
      </c>
      <c r="M464" s="36">
        <f t="shared" si="151"/>
        <v>1.1553030303030312E-2</v>
      </c>
      <c r="N464" s="36" t="str">
        <f t="shared" si="151"/>
        <v>B737-700</v>
      </c>
      <c r="O464" s="36">
        <f t="shared" si="151"/>
        <v>126</v>
      </c>
      <c r="P464" s="36" t="str">
        <f t="shared" si="151"/>
        <v>MEX</v>
      </c>
      <c r="R464">
        <v>450</v>
      </c>
      <c r="S464" s="36" t="str">
        <f t="shared" si="136"/>
        <v>MEXICO AEREO</v>
      </c>
      <c r="T464" s="36">
        <f t="shared" si="136"/>
        <v>783</v>
      </c>
      <c r="U464" s="73">
        <v>0.72986111111111107</v>
      </c>
      <c r="V464" s="74">
        <v>0.73402777777777783</v>
      </c>
      <c r="W464" s="75">
        <v>4.1666666666667629E-3</v>
      </c>
      <c r="X464" s="74">
        <v>0.75416666666666676</v>
      </c>
      <c r="Y464" s="75">
        <v>2.0138888888888928E-2</v>
      </c>
      <c r="Z464" s="76">
        <v>41745</v>
      </c>
      <c r="AA464" s="36" t="str">
        <f t="shared" si="149"/>
        <v>Internacional</v>
      </c>
      <c r="AB464" s="36">
        <f t="shared" si="149"/>
        <v>8.9763374485596764E-3</v>
      </c>
      <c r="AC464" s="36">
        <f t="shared" si="149"/>
        <v>1.9135802469135807E-2</v>
      </c>
      <c r="AD464" s="36">
        <f t="shared" si="149"/>
        <v>2.8112139917695483E-2</v>
      </c>
      <c r="AE464" s="36" t="str">
        <f t="shared" si="149"/>
        <v>B737-800</v>
      </c>
      <c r="AF464" s="36">
        <f t="shared" si="149"/>
        <v>189</v>
      </c>
      <c r="AG464" s="36" t="str">
        <f t="shared" si="149"/>
        <v>LAX</v>
      </c>
      <c r="AI464">
        <v>450</v>
      </c>
      <c r="AJ464" s="77" t="str">
        <f t="shared" si="146"/>
        <v>MEXICO AEREO</v>
      </c>
      <c r="AK464" s="77">
        <f t="shared" si="146"/>
        <v>771</v>
      </c>
      <c r="AL464" s="143">
        <v>0.38055555555555554</v>
      </c>
      <c r="AM464" s="144">
        <v>0.38611111111111113</v>
      </c>
      <c r="AN464" s="80">
        <v>5.5555555555555913E-3</v>
      </c>
      <c r="AO464" s="144">
        <v>0.3923611111111111</v>
      </c>
      <c r="AP464" s="80">
        <v>6.2499999999999778E-3</v>
      </c>
      <c r="AQ464" s="81">
        <v>41801</v>
      </c>
      <c r="AR464" s="77" t="str">
        <f t="shared" si="150"/>
        <v>Nacional</v>
      </c>
      <c r="AS464" s="77">
        <f t="shared" si="150"/>
        <v>7.8914141414141419E-3</v>
      </c>
      <c r="AT464" s="77">
        <f t="shared" si="150"/>
        <v>1.1142676767676768E-2</v>
      </c>
      <c r="AU464" s="77">
        <f t="shared" si="150"/>
        <v>1.903409090909091E-2</v>
      </c>
      <c r="AV464" s="77">
        <f t="shared" si="150"/>
        <v>738</v>
      </c>
      <c r="AW464" s="77">
        <f t="shared" si="150"/>
        <v>189</v>
      </c>
      <c r="AX464" s="77" t="str">
        <f t="shared" si="150"/>
        <v>TIJ</v>
      </c>
    </row>
    <row r="465" spans="1:50" x14ac:dyDescent="0.25">
      <c r="A465">
        <v>451</v>
      </c>
      <c r="B465" s="36" t="str">
        <f t="shared" si="153"/>
        <v>MEXICO AEREO</v>
      </c>
      <c r="C465" s="36">
        <f t="shared" si="152"/>
        <v>108</v>
      </c>
      <c r="D465" s="74">
        <v>0.5083333333333333</v>
      </c>
      <c r="E465" s="74">
        <v>0.51180555555555551</v>
      </c>
      <c r="F465" s="75">
        <v>3.4722222222222099E-3</v>
      </c>
      <c r="G465" s="74">
        <v>0.52152777777777781</v>
      </c>
      <c r="H465" s="75">
        <v>9.7222222222222987E-3</v>
      </c>
      <c r="I465" s="76">
        <v>41726</v>
      </c>
      <c r="J465" s="36" t="str">
        <f t="shared" si="151"/>
        <v>Nacional</v>
      </c>
      <c r="K465" s="36">
        <f t="shared" si="151"/>
        <v>5.1767676767676381E-3</v>
      </c>
      <c r="L465" s="36">
        <f t="shared" si="151"/>
        <v>6.3762626262626743E-3</v>
      </c>
      <c r="M465" s="36">
        <f t="shared" si="151"/>
        <v>1.1553030303030312E-2</v>
      </c>
      <c r="N465" s="36" t="str">
        <f t="shared" si="151"/>
        <v>B737-700</v>
      </c>
      <c r="O465" s="36">
        <f t="shared" si="151"/>
        <v>126</v>
      </c>
      <c r="P465" s="36" t="str">
        <f t="shared" si="151"/>
        <v>MEX</v>
      </c>
      <c r="R465">
        <v>451</v>
      </c>
      <c r="S465" s="36" t="str">
        <f t="shared" si="136"/>
        <v>MEXICO AEREO</v>
      </c>
      <c r="T465" s="36">
        <f t="shared" si="136"/>
        <v>783</v>
      </c>
      <c r="U465" s="73">
        <v>0.72638888888888886</v>
      </c>
      <c r="V465" s="74">
        <v>0.73125000000000007</v>
      </c>
      <c r="W465" s="75">
        <v>4.8611111111112049E-3</v>
      </c>
      <c r="X465" s="74">
        <v>0.75624999999999998</v>
      </c>
      <c r="Y465" s="75">
        <v>2.4999999999999911E-2</v>
      </c>
      <c r="Z465" s="76">
        <v>41746</v>
      </c>
      <c r="AA465" s="36" t="str">
        <f t="shared" si="149"/>
        <v>Internacional</v>
      </c>
      <c r="AB465" s="36">
        <f t="shared" si="149"/>
        <v>8.9763374485596764E-3</v>
      </c>
      <c r="AC465" s="36">
        <f t="shared" si="149"/>
        <v>1.9135802469135807E-2</v>
      </c>
      <c r="AD465" s="36">
        <f t="shared" si="149"/>
        <v>2.8112139917695483E-2</v>
      </c>
      <c r="AE465" s="36" t="str">
        <f t="shared" si="149"/>
        <v>B737-800</v>
      </c>
      <c r="AF465" s="36">
        <f t="shared" si="149"/>
        <v>189</v>
      </c>
      <c r="AG465" s="36" t="str">
        <f t="shared" si="149"/>
        <v>LAX</v>
      </c>
      <c r="AI465">
        <v>451</v>
      </c>
      <c r="AJ465" s="77" t="str">
        <f t="shared" si="146"/>
        <v>MEXICO AEREO</v>
      </c>
      <c r="AK465" s="77">
        <f t="shared" si="146"/>
        <v>771</v>
      </c>
      <c r="AL465" s="78">
        <v>0.56597222222222221</v>
      </c>
      <c r="AM465" s="79">
        <v>0.57638888888888895</v>
      </c>
      <c r="AN465" s="80">
        <v>1.0416666666666741E-2</v>
      </c>
      <c r="AO465" s="79">
        <v>0.58888888888888891</v>
      </c>
      <c r="AP465" s="80">
        <v>1.2499999999999956E-2</v>
      </c>
      <c r="AQ465" s="81">
        <v>41802</v>
      </c>
      <c r="AR465" s="77" t="str">
        <f t="shared" si="150"/>
        <v>Nacional</v>
      </c>
      <c r="AS465" s="77">
        <f t="shared" si="150"/>
        <v>7.8914141414141419E-3</v>
      </c>
      <c r="AT465" s="77">
        <f t="shared" si="150"/>
        <v>1.1142676767676768E-2</v>
      </c>
      <c r="AU465" s="77">
        <f t="shared" si="150"/>
        <v>1.903409090909091E-2</v>
      </c>
      <c r="AV465" s="77">
        <f t="shared" si="150"/>
        <v>738</v>
      </c>
      <c r="AW465" s="77">
        <f t="shared" si="150"/>
        <v>189</v>
      </c>
      <c r="AX465" s="77" t="str">
        <f t="shared" si="150"/>
        <v>TIJ</v>
      </c>
    </row>
    <row r="466" spans="1:50" x14ac:dyDescent="0.25">
      <c r="A466">
        <v>452</v>
      </c>
      <c r="B466" s="36" t="str">
        <f t="shared" si="153"/>
        <v>MEXICO AEREO</v>
      </c>
      <c r="C466" s="36">
        <f t="shared" si="152"/>
        <v>108</v>
      </c>
      <c r="D466" s="74">
        <v>0.50624999999999998</v>
      </c>
      <c r="E466" s="74">
        <v>0.51041666666666663</v>
      </c>
      <c r="F466" s="75">
        <v>4.1666666666666519E-3</v>
      </c>
      <c r="G466" s="74">
        <v>0.51736111111111105</v>
      </c>
      <c r="H466" s="75">
        <v>6.9444444444444198E-3</v>
      </c>
      <c r="I466" s="76">
        <v>41727</v>
      </c>
      <c r="J466" s="36" t="str">
        <f t="shared" si="151"/>
        <v>Nacional</v>
      </c>
      <c r="K466" s="36">
        <f t="shared" si="151"/>
        <v>5.1767676767676381E-3</v>
      </c>
      <c r="L466" s="36">
        <f t="shared" si="151"/>
        <v>6.3762626262626743E-3</v>
      </c>
      <c r="M466" s="36">
        <f t="shared" si="151"/>
        <v>1.1553030303030312E-2</v>
      </c>
      <c r="N466" s="36" t="str">
        <f t="shared" si="151"/>
        <v>B737-700</v>
      </c>
      <c r="O466" s="36">
        <f t="shared" si="151"/>
        <v>126</v>
      </c>
      <c r="P466" s="36" t="str">
        <f t="shared" si="151"/>
        <v>MEX</v>
      </c>
      <c r="R466">
        <v>452</v>
      </c>
      <c r="S466" s="36" t="str">
        <f t="shared" si="136"/>
        <v>MEXICO AEREO</v>
      </c>
      <c r="T466" s="36">
        <f t="shared" si="136"/>
        <v>783</v>
      </c>
      <c r="U466" s="73">
        <v>0.72499999999999998</v>
      </c>
      <c r="V466" s="74">
        <v>0.73263888888888884</v>
      </c>
      <c r="W466" s="75">
        <v>7.6388888888888618E-3</v>
      </c>
      <c r="X466" s="74">
        <v>0.75138888888888899</v>
      </c>
      <c r="Y466" s="75">
        <v>1.8750000000000155E-2</v>
      </c>
      <c r="Z466" s="76">
        <v>41747</v>
      </c>
      <c r="AA466" s="36" t="str">
        <f t="shared" si="149"/>
        <v>Internacional</v>
      </c>
      <c r="AB466" s="36">
        <f t="shared" si="149"/>
        <v>8.9763374485596764E-3</v>
      </c>
      <c r="AC466" s="36">
        <f t="shared" si="149"/>
        <v>1.9135802469135807E-2</v>
      </c>
      <c r="AD466" s="36">
        <f t="shared" si="149"/>
        <v>2.8112139917695483E-2</v>
      </c>
      <c r="AE466" s="36" t="str">
        <f t="shared" si="149"/>
        <v>B737-800</v>
      </c>
      <c r="AF466" s="36">
        <f t="shared" si="149"/>
        <v>189</v>
      </c>
      <c r="AG466" s="36" t="str">
        <f t="shared" si="149"/>
        <v>LAX</v>
      </c>
      <c r="AI466">
        <v>452</v>
      </c>
      <c r="AJ466" s="77" t="str">
        <f t="shared" si="146"/>
        <v>MEXICO AEREO</v>
      </c>
      <c r="AK466" s="77">
        <f t="shared" si="146"/>
        <v>771</v>
      </c>
      <c r="AL466" s="78">
        <v>0.91388888888888886</v>
      </c>
      <c r="AM466" s="79">
        <v>0.92083333333333339</v>
      </c>
      <c r="AN466" s="80">
        <v>6.9444444444445308E-3</v>
      </c>
      <c r="AO466" s="79">
        <v>0.92291666666666661</v>
      </c>
      <c r="AP466" s="80">
        <v>2.0833333333332149E-3</v>
      </c>
      <c r="AQ466" s="81">
        <v>41803</v>
      </c>
      <c r="AR466" s="77" t="str">
        <f t="shared" si="150"/>
        <v>Nacional</v>
      </c>
      <c r="AS466" s="77">
        <f t="shared" si="150"/>
        <v>7.8914141414141419E-3</v>
      </c>
      <c r="AT466" s="77">
        <f t="shared" si="150"/>
        <v>1.1142676767676768E-2</v>
      </c>
      <c r="AU466" s="77">
        <f t="shared" si="150"/>
        <v>1.903409090909091E-2</v>
      </c>
      <c r="AV466" s="77">
        <f t="shared" si="150"/>
        <v>738</v>
      </c>
      <c r="AW466" s="77">
        <f t="shared" si="150"/>
        <v>189</v>
      </c>
      <c r="AX466" s="77" t="str">
        <f t="shared" si="150"/>
        <v>TIJ</v>
      </c>
    </row>
    <row r="467" spans="1:50" ht="15.75" thickBot="1" x14ac:dyDescent="0.3">
      <c r="A467">
        <v>453</v>
      </c>
      <c r="B467" s="36" t="str">
        <f t="shared" si="153"/>
        <v>MEXICO AEREO</v>
      </c>
      <c r="C467" s="36">
        <f t="shared" si="152"/>
        <v>108</v>
      </c>
      <c r="D467" s="84">
        <v>0.50347222222222221</v>
      </c>
      <c r="E467" s="84">
        <v>0.50694444444444442</v>
      </c>
      <c r="F467" s="85">
        <v>3.4722222222222099E-3</v>
      </c>
      <c r="G467" s="84">
        <v>0.51388888888888895</v>
      </c>
      <c r="H467" s="85">
        <v>6.9444444444445308E-3</v>
      </c>
      <c r="I467" s="86">
        <v>41729</v>
      </c>
      <c r="J467" s="36" t="str">
        <f t="shared" si="151"/>
        <v>Nacional</v>
      </c>
      <c r="K467" s="36">
        <f t="shared" si="151"/>
        <v>5.1767676767676381E-3</v>
      </c>
      <c r="L467" s="36">
        <f t="shared" si="151"/>
        <v>6.3762626262626743E-3</v>
      </c>
      <c r="M467" s="36">
        <f t="shared" si="151"/>
        <v>1.1553030303030312E-2</v>
      </c>
      <c r="N467" s="36" t="str">
        <f t="shared" si="151"/>
        <v>B737-700</v>
      </c>
      <c r="O467" s="36">
        <f t="shared" si="151"/>
        <v>126</v>
      </c>
      <c r="P467" s="36" t="str">
        <f t="shared" si="151"/>
        <v>MEX</v>
      </c>
      <c r="R467">
        <v>453</v>
      </c>
      <c r="S467" s="36" t="str">
        <f t="shared" si="136"/>
        <v>MEXICO AEREO</v>
      </c>
      <c r="T467" s="36">
        <f t="shared" si="136"/>
        <v>783</v>
      </c>
      <c r="U467" s="73">
        <v>0.71736111111111101</v>
      </c>
      <c r="V467" s="74">
        <v>0.72499999999999998</v>
      </c>
      <c r="W467" s="75">
        <v>7.6388888888889728E-3</v>
      </c>
      <c r="X467" s="74">
        <v>0.74305555555555547</v>
      </c>
      <c r="Y467" s="75">
        <v>1.8055555555555491E-2</v>
      </c>
      <c r="Z467" s="76">
        <v>41748</v>
      </c>
      <c r="AA467" s="36" t="str">
        <f t="shared" si="149"/>
        <v>Internacional</v>
      </c>
      <c r="AB467" s="36">
        <f t="shared" si="149"/>
        <v>8.9763374485596764E-3</v>
      </c>
      <c r="AC467" s="36">
        <f t="shared" si="149"/>
        <v>1.9135802469135807E-2</v>
      </c>
      <c r="AD467" s="36">
        <f t="shared" si="149"/>
        <v>2.8112139917695483E-2</v>
      </c>
      <c r="AE467" s="36" t="str">
        <f t="shared" si="149"/>
        <v>B737-800</v>
      </c>
      <c r="AF467" s="36">
        <f t="shared" si="149"/>
        <v>189</v>
      </c>
      <c r="AG467" s="36" t="str">
        <f t="shared" si="149"/>
        <v>LAX</v>
      </c>
      <c r="AI467">
        <v>453</v>
      </c>
      <c r="AJ467" s="77" t="str">
        <f t="shared" si="146"/>
        <v>MEXICO AEREO</v>
      </c>
      <c r="AK467" s="77">
        <f t="shared" si="146"/>
        <v>771</v>
      </c>
      <c r="AL467" s="78">
        <v>0.70000000000000007</v>
      </c>
      <c r="AM467" s="79">
        <v>0.70624999999999993</v>
      </c>
      <c r="AN467" s="80">
        <v>6.2499999999998668E-3</v>
      </c>
      <c r="AO467" s="79">
        <v>0.7104166666666667</v>
      </c>
      <c r="AP467" s="80">
        <v>4.1666666666667629E-3</v>
      </c>
      <c r="AQ467" s="81">
        <v>41804</v>
      </c>
      <c r="AR467" s="77" t="str">
        <f t="shared" si="150"/>
        <v>Nacional</v>
      </c>
      <c r="AS467" s="77">
        <f t="shared" si="150"/>
        <v>7.8914141414141419E-3</v>
      </c>
      <c r="AT467" s="77">
        <f t="shared" si="150"/>
        <v>1.1142676767676768E-2</v>
      </c>
      <c r="AU467" s="77">
        <f t="shared" si="150"/>
        <v>1.903409090909091E-2</v>
      </c>
      <c r="AV467" s="77">
        <f t="shared" si="150"/>
        <v>738</v>
      </c>
      <c r="AW467" s="77">
        <f t="shared" si="150"/>
        <v>189</v>
      </c>
      <c r="AX467" s="77" t="str">
        <f t="shared" si="150"/>
        <v>TIJ</v>
      </c>
    </row>
    <row r="468" spans="1:50" x14ac:dyDescent="0.25">
      <c r="A468">
        <v>454</v>
      </c>
      <c r="B468" s="36" t="str">
        <f t="shared" si="153"/>
        <v>MEXICO AEREO</v>
      </c>
      <c r="C468" s="88">
        <v>104</v>
      </c>
      <c r="D468" s="57">
        <v>0.4680555555555555</v>
      </c>
      <c r="E468" s="57">
        <v>0.47152777777777777</v>
      </c>
      <c r="F468" s="58">
        <v>3.4722222222222654E-3</v>
      </c>
      <c r="G468" s="57">
        <v>0.4770833333333333</v>
      </c>
      <c r="H468" s="58">
        <v>5.5555555555555358E-3</v>
      </c>
      <c r="I468" s="59">
        <v>41714</v>
      </c>
      <c r="J468" s="108" t="s">
        <v>19</v>
      </c>
      <c r="K468" s="61">
        <v>4.8611111111111494E-3</v>
      </c>
      <c r="L468" s="61">
        <v>7.5231481481481217E-3</v>
      </c>
      <c r="M468" s="142">
        <v>1.2384259259259272E-2</v>
      </c>
      <c r="N468" s="90" t="s">
        <v>50</v>
      </c>
      <c r="O468" s="91">
        <v>99</v>
      </c>
      <c r="P468" s="92" t="s">
        <v>21</v>
      </c>
      <c r="R468">
        <v>454</v>
      </c>
      <c r="S468" s="36" t="str">
        <f t="shared" si="136"/>
        <v>MEXICO AEREO</v>
      </c>
      <c r="T468" s="36">
        <f t="shared" si="136"/>
        <v>783</v>
      </c>
      <c r="U468" s="73">
        <v>0.71527777777777779</v>
      </c>
      <c r="V468" s="74">
        <v>0.72291666666666676</v>
      </c>
      <c r="W468" s="75">
        <v>7.6388888888889728E-3</v>
      </c>
      <c r="X468" s="74">
        <v>0.73819444444444438</v>
      </c>
      <c r="Y468" s="75">
        <v>1.5277777777777612E-2</v>
      </c>
      <c r="Z468" s="76">
        <v>41749</v>
      </c>
      <c r="AA468" s="36" t="str">
        <f t="shared" si="149"/>
        <v>Internacional</v>
      </c>
      <c r="AB468" s="36">
        <f t="shared" si="149"/>
        <v>8.9763374485596764E-3</v>
      </c>
      <c r="AC468" s="36">
        <f t="shared" si="149"/>
        <v>1.9135802469135807E-2</v>
      </c>
      <c r="AD468" s="36">
        <f t="shared" si="149"/>
        <v>2.8112139917695483E-2</v>
      </c>
      <c r="AE468" s="36" t="str">
        <f t="shared" si="149"/>
        <v>B737-800</v>
      </c>
      <c r="AF468" s="36">
        <f t="shared" si="149"/>
        <v>189</v>
      </c>
      <c r="AG468" s="36" t="str">
        <f t="shared" si="149"/>
        <v>LAX</v>
      </c>
      <c r="AI468">
        <v>454</v>
      </c>
      <c r="AJ468" s="77" t="str">
        <f t="shared" si="146"/>
        <v>MEXICO AEREO</v>
      </c>
      <c r="AK468" s="77">
        <f t="shared" si="146"/>
        <v>771</v>
      </c>
      <c r="AL468" s="78">
        <v>0.7104166666666667</v>
      </c>
      <c r="AM468" s="79">
        <v>0.72222222222222221</v>
      </c>
      <c r="AN468" s="80">
        <v>1.1805555555555514E-2</v>
      </c>
      <c r="AO468" s="79">
        <v>0.72986111111111107</v>
      </c>
      <c r="AP468" s="80">
        <v>7.6388888888888618E-3</v>
      </c>
      <c r="AQ468" s="81">
        <v>41805</v>
      </c>
      <c r="AR468" s="77" t="str">
        <f t="shared" si="150"/>
        <v>Nacional</v>
      </c>
      <c r="AS468" s="77">
        <f t="shared" si="150"/>
        <v>7.8914141414141419E-3</v>
      </c>
      <c r="AT468" s="77">
        <f t="shared" si="150"/>
        <v>1.1142676767676768E-2</v>
      </c>
      <c r="AU468" s="77">
        <f t="shared" si="150"/>
        <v>1.903409090909091E-2</v>
      </c>
      <c r="AV468" s="77">
        <f t="shared" si="150"/>
        <v>738</v>
      </c>
      <c r="AW468" s="77">
        <f t="shared" si="150"/>
        <v>189</v>
      </c>
      <c r="AX468" s="77" t="str">
        <f t="shared" si="150"/>
        <v>TIJ</v>
      </c>
    </row>
    <row r="469" spans="1:50" x14ac:dyDescent="0.25">
      <c r="A469">
        <v>455</v>
      </c>
      <c r="B469" s="36" t="str">
        <f t="shared" si="153"/>
        <v>MEXICO AEREO</v>
      </c>
      <c r="C469" s="36">
        <f t="shared" si="153"/>
        <v>104</v>
      </c>
      <c r="D469" s="74">
        <v>0.49374999999999997</v>
      </c>
      <c r="E469" s="74">
        <v>0.5</v>
      </c>
      <c r="F469" s="75">
        <v>6.2500000000000333E-3</v>
      </c>
      <c r="G469" s="74">
        <v>0.50694444444444442</v>
      </c>
      <c r="H469" s="75">
        <v>6.9444444444444198E-3</v>
      </c>
      <c r="I469" s="76">
        <v>41716</v>
      </c>
      <c r="J469" s="36" t="str">
        <f t="shared" ref="J469:P473" si="154">J468</f>
        <v>Nacional</v>
      </c>
      <c r="K469" s="36">
        <f t="shared" si="154"/>
        <v>4.8611111111111494E-3</v>
      </c>
      <c r="L469" s="36">
        <f t="shared" si="154"/>
        <v>7.5231481481481217E-3</v>
      </c>
      <c r="M469" s="36">
        <f t="shared" si="154"/>
        <v>1.2384259259259272E-2</v>
      </c>
      <c r="N469" s="36" t="str">
        <f t="shared" si="154"/>
        <v>E90</v>
      </c>
      <c r="O469" s="36">
        <f t="shared" si="154"/>
        <v>99</v>
      </c>
      <c r="P469" s="36" t="str">
        <f t="shared" si="154"/>
        <v>MEX</v>
      </c>
      <c r="R469">
        <v>455</v>
      </c>
      <c r="S469" s="36" t="str">
        <f t="shared" si="136"/>
        <v>MEXICO AEREO</v>
      </c>
      <c r="T469" s="36">
        <f t="shared" si="136"/>
        <v>783</v>
      </c>
      <c r="U469" s="73">
        <v>0.73055555555555562</v>
      </c>
      <c r="V469" s="74">
        <v>0.7402777777777777</v>
      </c>
      <c r="W469" s="75">
        <v>9.7222222222220767E-3</v>
      </c>
      <c r="X469" s="74">
        <v>0.75902777777777775</v>
      </c>
      <c r="Y469" s="75">
        <v>1.8750000000000044E-2</v>
      </c>
      <c r="Z469" s="76">
        <v>41750</v>
      </c>
      <c r="AA469" s="36" t="str">
        <f t="shared" si="149"/>
        <v>Internacional</v>
      </c>
      <c r="AB469" s="36">
        <f t="shared" si="149"/>
        <v>8.9763374485596764E-3</v>
      </c>
      <c r="AC469" s="36">
        <f t="shared" si="149"/>
        <v>1.9135802469135807E-2</v>
      </c>
      <c r="AD469" s="36">
        <f t="shared" si="149"/>
        <v>2.8112139917695483E-2</v>
      </c>
      <c r="AE469" s="36" t="str">
        <f t="shared" si="149"/>
        <v>B737-800</v>
      </c>
      <c r="AF469" s="36">
        <f t="shared" si="149"/>
        <v>189</v>
      </c>
      <c r="AG469" s="36" t="str">
        <f t="shared" si="149"/>
        <v>LAX</v>
      </c>
      <c r="AI469">
        <v>455</v>
      </c>
      <c r="AJ469" s="77" t="str">
        <f t="shared" si="146"/>
        <v>MEXICO AEREO</v>
      </c>
      <c r="AK469" s="77">
        <f t="shared" si="146"/>
        <v>771</v>
      </c>
      <c r="AL469" s="78">
        <v>0.90416666666666667</v>
      </c>
      <c r="AM469" s="79">
        <v>0.91666666666666663</v>
      </c>
      <c r="AN469" s="80">
        <v>1.2499999999999956E-2</v>
      </c>
      <c r="AO469" s="79">
        <v>0.93263888888888891</v>
      </c>
      <c r="AP469" s="80">
        <v>1.5972222222222276E-2</v>
      </c>
      <c r="AQ469" s="81">
        <v>41806</v>
      </c>
      <c r="AR469" s="77" t="str">
        <f t="shared" si="150"/>
        <v>Nacional</v>
      </c>
      <c r="AS469" s="77">
        <f t="shared" si="150"/>
        <v>7.8914141414141419E-3</v>
      </c>
      <c r="AT469" s="77">
        <f t="shared" si="150"/>
        <v>1.1142676767676768E-2</v>
      </c>
      <c r="AU469" s="77">
        <f t="shared" si="150"/>
        <v>1.903409090909091E-2</v>
      </c>
      <c r="AV469" s="77">
        <f t="shared" si="150"/>
        <v>738</v>
      </c>
      <c r="AW469" s="77">
        <f t="shared" si="150"/>
        <v>189</v>
      </c>
      <c r="AX469" s="77" t="str">
        <f t="shared" si="150"/>
        <v>TIJ</v>
      </c>
    </row>
    <row r="470" spans="1:50" x14ac:dyDescent="0.25">
      <c r="A470">
        <v>456</v>
      </c>
      <c r="B470" s="36" t="str">
        <f t="shared" si="153"/>
        <v>MEXICO AEREO</v>
      </c>
      <c r="C470" s="36">
        <f t="shared" si="153"/>
        <v>104</v>
      </c>
      <c r="D470" s="74">
        <v>0.49513888888888885</v>
      </c>
      <c r="E470" s="74">
        <v>0.5</v>
      </c>
      <c r="F470" s="75">
        <v>4.8611111111111494E-3</v>
      </c>
      <c r="G470" s="74">
        <v>0.50694444444444442</v>
      </c>
      <c r="H470" s="75">
        <v>6.9444444444444198E-3</v>
      </c>
      <c r="I470" s="76">
        <v>41718</v>
      </c>
      <c r="J470" s="36" t="str">
        <f t="shared" si="154"/>
        <v>Nacional</v>
      </c>
      <c r="K470" s="36">
        <f t="shared" si="154"/>
        <v>4.8611111111111494E-3</v>
      </c>
      <c r="L470" s="36">
        <f t="shared" si="154"/>
        <v>7.5231481481481217E-3</v>
      </c>
      <c r="M470" s="36">
        <f t="shared" si="154"/>
        <v>1.2384259259259272E-2</v>
      </c>
      <c r="N470" s="36" t="str">
        <f t="shared" si="154"/>
        <v>E90</v>
      </c>
      <c r="O470" s="36">
        <f t="shared" si="154"/>
        <v>99</v>
      </c>
      <c r="P470" s="36" t="str">
        <f t="shared" si="154"/>
        <v>MEX</v>
      </c>
      <c r="R470">
        <v>456</v>
      </c>
      <c r="S470" s="36" t="str">
        <f t="shared" si="136"/>
        <v>MEXICO AEREO</v>
      </c>
      <c r="T470" s="36">
        <f t="shared" si="136"/>
        <v>783</v>
      </c>
      <c r="U470" s="73">
        <v>0.71597222222222223</v>
      </c>
      <c r="V470" s="74">
        <v>0.72777777777777775</v>
      </c>
      <c r="W470" s="75">
        <v>1.1805555555555514E-2</v>
      </c>
      <c r="X470" s="74">
        <v>0.74722222222222223</v>
      </c>
      <c r="Y470" s="75">
        <v>1.9444444444444486E-2</v>
      </c>
      <c r="Z470" s="76">
        <v>41751</v>
      </c>
      <c r="AA470" s="36" t="str">
        <f t="shared" si="149"/>
        <v>Internacional</v>
      </c>
      <c r="AB470" s="36">
        <f t="shared" si="149"/>
        <v>8.9763374485596764E-3</v>
      </c>
      <c r="AC470" s="36">
        <f t="shared" si="149"/>
        <v>1.9135802469135807E-2</v>
      </c>
      <c r="AD470" s="36">
        <f t="shared" si="149"/>
        <v>2.8112139917695483E-2</v>
      </c>
      <c r="AE470" s="36" t="str">
        <f t="shared" si="149"/>
        <v>B737-800</v>
      </c>
      <c r="AF470" s="36">
        <f t="shared" si="149"/>
        <v>189</v>
      </c>
      <c r="AG470" s="36" t="str">
        <f t="shared" si="149"/>
        <v>LAX</v>
      </c>
      <c r="AI470">
        <v>456</v>
      </c>
      <c r="AJ470" s="77" t="str">
        <f t="shared" si="146"/>
        <v>MEXICO AEREO</v>
      </c>
      <c r="AK470" s="77">
        <f t="shared" si="146"/>
        <v>771</v>
      </c>
      <c r="AL470" s="78">
        <v>0.65486111111111112</v>
      </c>
      <c r="AM470" s="79">
        <v>0.66388888888888886</v>
      </c>
      <c r="AN470" s="80">
        <v>9.0277777777777457E-3</v>
      </c>
      <c r="AO470" s="79">
        <v>0.67291666666666661</v>
      </c>
      <c r="AP470" s="80">
        <v>9.0277777777777457E-3</v>
      </c>
      <c r="AQ470" s="81">
        <v>41807</v>
      </c>
      <c r="AR470" s="77" t="str">
        <f t="shared" si="150"/>
        <v>Nacional</v>
      </c>
      <c r="AS470" s="77">
        <f t="shared" si="150"/>
        <v>7.8914141414141419E-3</v>
      </c>
      <c r="AT470" s="77">
        <f t="shared" si="150"/>
        <v>1.1142676767676768E-2</v>
      </c>
      <c r="AU470" s="77">
        <f t="shared" si="150"/>
        <v>1.903409090909091E-2</v>
      </c>
      <c r="AV470" s="77">
        <f t="shared" si="150"/>
        <v>738</v>
      </c>
      <c r="AW470" s="77">
        <f t="shared" si="150"/>
        <v>189</v>
      </c>
      <c r="AX470" s="77" t="str">
        <f t="shared" si="150"/>
        <v>TIJ</v>
      </c>
    </row>
    <row r="471" spans="1:50" x14ac:dyDescent="0.25">
      <c r="A471">
        <v>457</v>
      </c>
      <c r="B471" s="36" t="str">
        <f t="shared" si="153"/>
        <v>MEXICO AEREO</v>
      </c>
      <c r="C471" s="36">
        <f t="shared" si="153"/>
        <v>104</v>
      </c>
      <c r="D471" s="74">
        <v>0.46180555555555558</v>
      </c>
      <c r="E471" s="74">
        <v>0.46875</v>
      </c>
      <c r="F471" s="75">
        <v>6.9444444444444198E-3</v>
      </c>
      <c r="G471" s="74">
        <v>0.47569444444444442</v>
      </c>
      <c r="H471" s="75">
        <v>6.9444444444444198E-3</v>
      </c>
      <c r="I471" s="76">
        <v>41720</v>
      </c>
      <c r="J471" s="36" t="str">
        <f t="shared" si="154"/>
        <v>Nacional</v>
      </c>
      <c r="K471" s="36">
        <f t="shared" si="154"/>
        <v>4.8611111111111494E-3</v>
      </c>
      <c r="L471" s="36">
        <f t="shared" si="154"/>
        <v>7.5231481481481217E-3</v>
      </c>
      <c r="M471" s="36">
        <f t="shared" si="154"/>
        <v>1.2384259259259272E-2</v>
      </c>
      <c r="N471" s="36" t="str">
        <f t="shared" si="154"/>
        <v>E90</v>
      </c>
      <c r="O471" s="36">
        <f t="shared" si="154"/>
        <v>99</v>
      </c>
      <c r="P471" s="36" t="str">
        <f t="shared" si="154"/>
        <v>MEX</v>
      </c>
      <c r="R471">
        <v>457</v>
      </c>
      <c r="S471" s="36" t="str">
        <f t="shared" si="136"/>
        <v>MEXICO AEREO</v>
      </c>
      <c r="T471" s="36">
        <f t="shared" si="136"/>
        <v>783</v>
      </c>
      <c r="U471" s="73">
        <v>0.71597222222222223</v>
      </c>
      <c r="V471" s="74">
        <v>0.72777777777777775</v>
      </c>
      <c r="W471" s="75">
        <v>1.1805555555555514E-2</v>
      </c>
      <c r="X471" s="74">
        <v>0.74722222222222223</v>
      </c>
      <c r="Y471" s="75">
        <v>1.9444444444444486E-2</v>
      </c>
      <c r="Z471" s="76">
        <v>41751</v>
      </c>
      <c r="AA471" s="36" t="str">
        <f t="shared" si="149"/>
        <v>Internacional</v>
      </c>
      <c r="AB471" s="36">
        <f t="shared" si="149"/>
        <v>8.9763374485596764E-3</v>
      </c>
      <c r="AC471" s="36">
        <f t="shared" si="149"/>
        <v>1.9135802469135807E-2</v>
      </c>
      <c r="AD471" s="36">
        <f t="shared" si="149"/>
        <v>2.8112139917695483E-2</v>
      </c>
      <c r="AE471" s="36" t="str">
        <f t="shared" si="149"/>
        <v>B737-800</v>
      </c>
      <c r="AF471" s="36">
        <f t="shared" si="149"/>
        <v>189</v>
      </c>
      <c r="AG471" s="36" t="str">
        <f t="shared" si="149"/>
        <v>LAX</v>
      </c>
      <c r="AI471">
        <v>457</v>
      </c>
      <c r="AJ471" s="77" t="str">
        <f t="shared" si="146"/>
        <v>MEXICO AEREO</v>
      </c>
      <c r="AK471" s="77">
        <f t="shared" si="146"/>
        <v>771</v>
      </c>
      <c r="AL471" s="78">
        <v>0.89930555555555547</v>
      </c>
      <c r="AM471" s="79">
        <v>0.90902777777777777</v>
      </c>
      <c r="AN471" s="80">
        <v>9.7222222222222987E-3</v>
      </c>
      <c r="AO471" s="79">
        <v>0.9159722222222223</v>
      </c>
      <c r="AP471" s="80">
        <v>6.9444444444445308E-3</v>
      </c>
      <c r="AQ471" s="81">
        <v>41808</v>
      </c>
      <c r="AR471" s="77" t="str">
        <f t="shared" si="150"/>
        <v>Nacional</v>
      </c>
      <c r="AS471" s="77">
        <f t="shared" si="150"/>
        <v>7.8914141414141419E-3</v>
      </c>
      <c r="AT471" s="77">
        <f t="shared" si="150"/>
        <v>1.1142676767676768E-2</v>
      </c>
      <c r="AU471" s="77">
        <f t="shared" si="150"/>
        <v>1.903409090909091E-2</v>
      </c>
      <c r="AV471" s="77">
        <f t="shared" si="150"/>
        <v>738</v>
      </c>
      <c r="AW471" s="77">
        <f t="shared" si="150"/>
        <v>189</v>
      </c>
      <c r="AX471" s="77" t="str">
        <f t="shared" si="150"/>
        <v>TIJ</v>
      </c>
    </row>
    <row r="472" spans="1:50" x14ac:dyDescent="0.25">
      <c r="A472">
        <v>458</v>
      </c>
      <c r="B472" s="36" t="str">
        <f t="shared" si="153"/>
        <v>MEXICO AEREO</v>
      </c>
      <c r="C472" s="36">
        <f t="shared" si="153"/>
        <v>104</v>
      </c>
      <c r="D472" s="74">
        <v>0.4680555555555555</v>
      </c>
      <c r="E472" s="74">
        <v>0.47222222222222227</v>
      </c>
      <c r="F472" s="75">
        <v>4.1666666666667629E-3</v>
      </c>
      <c r="G472" s="74">
        <v>0.48194444444444445</v>
      </c>
      <c r="H472" s="75">
        <v>9.7222222222221877E-3</v>
      </c>
      <c r="I472" s="76">
        <v>41721</v>
      </c>
      <c r="J472" s="36" t="str">
        <f t="shared" si="154"/>
        <v>Nacional</v>
      </c>
      <c r="K472" s="36">
        <f t="shared" si="154"/>
        <v>4.8611111111111494E-3</v>
      </c>
      <c r="L472" s="36">
        <f t="shared" si="154"/>
        <v>7.5231481481481217E-3</v>
      </c>
      <c r="M472" s="36">
        <f t="shared" si="154"/>
        <v>1.2384259259259272E-2</v>
      </c>
      <c r="N472" s="36" t="str">
        <f t="shared" si="154"/>
        <v>E90</v>
      </c>
      <c r="O472" s="36">
        <f t="shared" si="154"/>
        <v>99</v>
      </c>
      <c r="P472" s="36" t="str">
        <f t="shared" si="154"/>
        <v>MEX</v>
      </c>
      <c r="R472">
        <v>458</v>
      </c>
      <c r="S472" s="36" t="str">
        <f t="shared" si="136"/>
        <v>MEXICO AEREO</v>
      </c>
      <c r="T472" s="36">
        <f t="shared" si="136"/>
        <v>783</v>
      </c>
      <c r="U472" s="73">
        <v>0.73055555555555562</v>
      </c>
      <c r="V472" s="74">
        <v>0.74097222222222225</v>
      </c>
      <c r="W472" s="75">
        <v>1.041666666666663E-2</v>
      </c>
      <c r="X472" s="74">
        <v>0.75694444444444453</v>
      </c>
      <c r="Y472" s="75">
        <v>1.5972222222222276E-2</v>
      </c>
      <c r="Z472" s="76">
        <v>41753</v>
      </c>
      <c r="AA472" s="36" t="str">
        <f t="shared" si="149"/>
        <v>Internacional</v>
      </c>
      <c r="AB472" s="36">
        <f t="shared" si="149"/>
        <v>8.9763374485596764E-3</v>
      </c>
      <c r="AC472" s="36">
        <f t="shared" si="149"/>
        <v>1.9135802469135807E-2</v>
      </c>
      <c r="AD472" s="36">
        <f t="shared" si="149"/>
        <v>2.8112139917695483E-2</v>
      </c>
      <c r="AE472" s="36" t="str">
        <f t="shared" si="149"/>
        <v>B737-800</v>
      </c>
      <c r="AF472" s="36">
        <f t="shared" si="149"/>
        <v>189</v>
      </c>
      <c r="AG472" s="36" t="str">
        <f t="shared" si="149"/>
        <v>LAX</v>
      </c>
      <c r="AI472">
        <v>458</v>
      </c>
      <c r="AJ472" s="77" t="str">
        <f t="shared" si="146"/>
        <v>MEXICO AEREO</v>
      </c>
      <c r="AK472" s="77">
        <f t="shared" si="146"/>
        <v>771</v>
      </c>
      <c r="AL472" s="78">
        <v>0.90833333333333333</v>
      </c>
      <c r="AM472" s="79">
        <v>0.9194444444444444</v>
      </c>
      <c r="AN472" s="80">
        <v>1.1111111111111072E-2</v>
      </c>
      <c r="AO472" s="79">
        <v>0.93263888888888891</v>
      </c>
      <c r="AP472" s="80">
        <v>1.3194444444444509E-2</v>
      </c>
      <c r="AQ472" s="81">
        <v>41809</v>
      </c>
      <c r="AR472" s="77" t="str">
        <f t="shared" si="150"/>
        <v>Nacional</v>
      </c>
      <c r="AS472" s="77">
        <f t="shared" si="150"/>
        <v>7.8914141414141419E-3</v>
      </c>
      <c r="AT472" s="77">
        <f t="shared" si="150"/>
        <v>1.1142676767676768E-2</v>
      </c>
      <c r="AU472" s="77">
        <f t="shared" si="150"/>
        <v>1.903409090909091E-2</v>
      </c>
      <c r="AV472" s="77">
        <f t="shared" si="150"/>
        <v>738</v>
      </c>
      <c r="AW472" s="77">
        <f t="shared" si="150"/>
        <v>189</v>
      </c>
      <c r="AX472" s="77" t="str">
        <f t="shared" si="150"/>
        <v>TIJ</v>
      </c>
    </row>
    <row r="473" spans="1:50" ht="15.75" thickBot="1" x14ac:dyDescent="0.3">
      <c r="A473">
        <v>459</v>
      </c>
      <c r="B473" s="36" t="str">
        <f t="shared" si="153"/>
        <v>MEXICO AEREO</v>
      </c>
      <c r="C473" s="36">
        <f t="shared" si="153"/>
        <v>104</v>
      </c>
      <c r="D473" s="84">
        <v>0.47152777777777777</v>
      </c>
      <c r="E473" s="84">
        <v>0.47500000000000003</v>
      </c>
      <c r="F473" s="85">
        <v>3.4722222222222654E-3</v>
      </c>
      <c r="G473" s="84">
        <v>0.48402777777777778</v>
      </c>
      <c r="H473" s="85">
        <v>9.0277777777777457E-3</v>
      </c>
      <c r="I473" s="86">
        <v>41727</v>
      </c>
      <c r="J473" s="36" t="str">
        <f t="shared" si="154"/>
        <v>Nacional</v>
      </c>
      <c r="K473" s="36">
        <f t="shared" si="154"/>
        <v>4.8611111111111494E-3</v>
      </c>
      <c r="L473" s="36">
        <f t="shared" si="154"/>
        <v>7.5231481481481217E-3</v>
      </c>
      <c r="M473" s="36">
        <f t="shared" si="154"/>
        <v>1.2384259259259272E-2</v>
      </c>
      <c r="N473" s="36" t="str">
        <f t="shared" si="154"/>
        <v>E90</v>
      </c>
      <c r="O473" s="36">
        <f t="shared" si="154"/>
        <v>99</v>
      </c>
      <c r="P473" s="36" t="str">
        <f t="shared" si="154"/>
        <v>MEX</v>
      </c>
      <c r="R473">
        <v>459</v>
      </c>
      <c r="S473" s="36" t="str">
        <f t="shared" si="136"/>
        <v>MEXICO AEREO</v>
      </c>
      <c r="T473" s="36">
        <f t="shared" si="136"/>
        <v>783</v>
      </c>
      <c r="U473" s="73">
        <v>0.72569444444444453</v>
      </c>
      <c r="V473" s="74">
        <v>0.73333333333333339</v>
      </c>
      <c r="W473" s="75">
        <v>7.6388888888888618E-3</v>
      </c>
      <c r="X473" s="74">
        <v>0.75208333333333333</v>
      </c>
      <c r="Y473" s="75">
        <v>1.8749999999999933E-2</v>
      </c>
      <c r="Z473" s="76">
        <v>41754</v>
      </c>
      <c r="AA473" s="36" t="str">
        <f t="shared" si="149"/>
        <v>Internacional</v>
      </c>
      <c r="AB473" s="36">
        <f t="shared" si="149"/>
        <v>8.9763374485596764E-3</v>
      </c>
      <c r="AC473" s="36">
        <f t="shared" si="149"/>
        <v>1.9135802469135807E-2</v>
      </c>
      <c r="AD473" s="36">
        <f t="shared" si="149"/>
        <v>2.8112139917695483E-2</v>
      </c>
      <c r="AE473" s="36" t="str">
        <f t="shared" si="149"/>
        <v>B737-800</v>
      </c>
      <c r="AF473" s="36">
        <f t="shared" si="149"/>
        <v>189</v>
      </c>
      <c r="AG473" s="36" t="str">
        <f t="shared" si="149"/>
        <v>LAX</v>
      </c>
      <c r="AI473">
        <v>459</v>
      </c>
      <c r="AJ473" s="77" t="str">
        <f t="shared" si="146"/>
        <v>MEXICO AEREO</v>
      </c>
      <c r="AK473" s="77">
        <f t="shared" si="146"/>
        <v>771</v>
      </c>
      <c r="AL473" s="78">
        <v>0.90138888888888891</v>
      </c>
      <c r="AM473" s="79">
        <v>0.90902777777777777</v>
      </c>
      <c r="AN473" s="80">
        <v>7.6388888888888618E-3</v>
      </c>
      <c r="AO473" s="79">
        <v>0.92361111111111116</v>
      </c>
      <c r="AP473" s="80">
        <v>1.4583333333333393E-2</v>
      </c>
      <c r="AQ473" s="81">
        <v>41810</v>
      </c>
      <c r="AR473" s="77" t="str">
        <f t="shared" si="150"/>
        <v>Nacional</v>
      </c>
      <c r="AS473" s="77">
        <f t="shared" si="150"/>
        <v>7.8914141414141419E-3</v>
      </c>
      <c r="AT473" s="77">
        <f t="shared" si="150"/>
        <v>1.1142676767676768E-2</v>
      </c>
      <c r="AU473" s="77">
        <f t="shared" si="150"/>
        <v>1.903409090909091E-2</v>
      </c>
      <c r="AV473" s="77">
        <f t="shared" si="150"/>
        <v>738</v>
      </c>
      <c r="AW473" s="77">
        <f t="shared" si="150"/>
        <v>189</v>
      </c>
      <c r="AX473" s="77" t="str">
        <f t="shared" si="150"/>
        <v>TIJ</v>
      </c>
    </row>
    <row r="474" spans="1:50" x14ac:dyDescent="0.25">
      <c r="A474">
        <v>460</v>
      </c>
      <c r="B474" s="36" t="str">
        <f t="shared" si="153"/>
        <v>MEXICO AEREO</v>
      </c>
      <c r="C474" s="88">
        <v>102</v>
      </c>
      <c r="D474" s="57">
        <v>0.33263888888888887</v>
      </c>
      <c r="E474" s="57">
        <v>0.34027777777777773</v>
      </c>
      <c r="F474" s="58">
        <v>7.6388888888888618E-3</v>
      </c>
      <c r="G474" s="57">
        <v>0.34652777777777777</v>
      </c>
      <c r="H474" s="58">
        <v>6.2500000000000333E-3</v>
      </c>
      <c r="I474" s="59">
        <v>41718</v>
      </c>
      <c r="J474" s="108" t="s">
        <v>19</v>
      </c>
      <c r="K474" s="61">
        <v>6.249999999999996E-3</v>
      </c>
      <c r="L474" s="61">
        <v>3.703703703703709E-3</v>
      </c>
      <c r="M474" s="142">
        <v>9.9537037037037042E-3</v>
      </c>
      <c r="N474" s="90" t="s">
        <v>20</v>
      </c>
      <c r="O474" s="91">
        <v>50</v>
      </c>
      <c r="P474" s="92" t="s">
        <v>21</v>
      </c>
      <c r="R474">
        <v>460</v>
      </c>
      <c r="S474" s="36" t="str">
        <f t="shared" si="136"/>
        <v>MEXICO AEREO</v>
      </c>
      <c r="T474" s="36">
        <f t="shared" si="136"/>
        <v>783</v>
      </c>
      <c r="U474" s="73">
        <v>0.72222222222222221</v>
      </c>
      <c r="V474" s="74">
        <v>0.73611111111111116</v>
      </c>
      <c r="W474" s="75">
        <v>1.3888888888888951E-2</v>
      </c>
      <c r="X474" s="74">
        <v>0.77777777777777779</v>
      </c>
      <c r="Y474" s="75">
        <v>4.166666666666663E-2</v>
      </c>
      <c r="Z474" s="76">
        <v>41754</v>
      </c>
      <c r="AA474" s="36" t="str">
        <f t="shared" si="149"/>
        <v>Internacional</v>
      </c>
      <c r="AB474" s="36">
        <f t="shared" si="149"/>
        <v>8.9763374485596764E-3</v>
      </c>
      <c r="AC474" s="36">
        <f t="shared" si="149"/>
        <v>1.9135802469135807E-2</v>
      </c>
      <c r="AD474" s="36">
        <f t="shared" si="149"/>
        <v>2.8112139917695483E-2</v>
      </c>
      <c r="AE474" s="36" t="str">
        <f t="shared" si="149"/>
        <v>B737-800</v>
      </c>
      <c r="AF474" s="36">
        <f t="shared" si="149"/>
        <v>189</v>
      </c>
      <c r="AG474" s="36" t="str">
        <f t="shared" si="149"/>
        <v>LAX</v>
      </c>
      <c r="AI474">
        <v>460</v>
      </c>
      <c r="AJ474" s="77" t="str">
        <f t="shared" si="146"/>
        <v>MEXICO AEREO</v>
      </c>
      <c r="AK474" s="77">
        <f t="shared" si="146"/>
        <v>771</v>
      </c>
      <c r="AL474" s="78">
        <v>0.90763888888888899</v>
      </c>
      <c r="AM474" s="79">
        <v>0.90972222222222221</v>
      </c>
      <c r="AN474" s="80">
        <v>2.0833333333332149E-3</v>
      </c>
      <c r="AO474" s="79">
        <v>0.93055555555555547</v>
      </c>
      <c r="AP474" s="80">
        <v>2.0833333333333259E-2</v>
      </c>
      <c r="AQ474" s="81">
        <v>41811</v>
      </c>
      <c r="AR474" s="77" t="str">
        <f t="shared" si="150"/>
        <v>Nacional</v>
      </c>
      <c r="AS474" s="77">
        <f t="shared" si="150"/>
        <v>7.8914141414141419E-3</v>
      </c>
      <c r="AT474" s="77">
        <f t="shared" si="150"/>
        <v>1.1142676767676768E-2</v>
      </c>
      <c r="AU474" s="77">
        <f t="shared" si="150"/>
        <v>1.903409090909091E-2</v>
      </c>
      <c r="AV474" s="77">
        <f t="shared" si="150"/>
        <v>738</v>
      </c>
      <c r="AW474" s="77">
        <f t="shared" si="150"/>
        <v>189</v>
      </c>
      <c r="AX474" s="77" t="str">
        <f t="shared" si="150"/>
        <v>TIJ</v>
      </c>
    </row>
    <row r="475" spans="1:50" x14ac:dyDescent="0.25">
      <c r="A475">
        <v>461</v>
      </c>
      <c r="B475" s="36" t="str">
        <f t="shared" si="153"/>
        <v>MEXICO AEREO</v>
      </c>
      <c r="C475" s="36">
        <f t="shared" si="153"/>
        <v>102</v>
      </c>
      <c r="D475" s="74">
        <v>0.3125</v>
      </c>
      <c r="E475" s="74">
        <v>0.32222222222222224</v>
      </c>
      <c r="F475" s="75">
        <v>9.7222222222222432E-3</v>
      </c>
      <c r="G475" s="74">
        <v>0.32500000000000001</v>
      </c>
      <c r="H475" s="75">
        <v>2.7777777777777679E-3</v>
      </c>
      <c r="I475" s="76">
        <v>41720</v>
      </c>
      <c r="J475" s="36" t="str">
        <f t="shared" ref="J475:P476" si="155">J474</f>
        <v>Nacional</v>
      </c>
      <c r="K475" s="36">
        <f t="shared" si="155"/>
        <v>6.249999999999996E-3</v>
      </c>
      <c r="L475" s="36">
        <f t="shared" si="155"/>
        <v>3.703703703703709E-3</v>
      </c>
      <c r="M475" s="36">
        <f t="shared" si="155"/>
        <v>9.9537037037037042E-3</v>
      </c>
      <c r="N475" s="36" t="str">
        <f t="shared" si="155"/>
        <v>ER4</v>
      </c>
      <c r="O475" s="36">
        <f t="shared" si="155"/>
        <v>50</v>
      </c>
      <c r="P475" s="36" t="str">
        <f t="shared" si="155"/>
        <v>MEX</v>
      </c>
      <c r="R475">
        <v>461</v>
      </c>
      <c r="S475" s="36" t="str">
        <f t="shared" si="136"/>
        <v>MEXICO AEREO</v>
      </c>
      <c r="T475" s="36">
        <f t="shared" si="136"/>
        <v>783</v>
      </c>
      <c r="U475" s="73">
        <v>0.7284722222222223</v>
      </c>
      <c r="V475" s="74">
        <v>0.73472222222222217</v>
      </c>
      <c r="W475" s="75">
        <v>6.2499999999998668E-3</v>
      </c>
      <c r="X475" s="74">
        <v>0.7583333333333333</v>
      </c>
      <c r="Y475" s="75">
        <v>2.3611111111111138E-2</v>
      </c>
      <c r="Z475" s="76">
        <v>41756</v>
      </c>
      <c r="AA475" s="36" t="str">
        <f t="shared" si="149"/>
        <v>Internacional</v>
      </c>
      <c r="AB475" s="36">
        <f t="shared" si="149"/>
        <v>8.9763374485596764E-3</v>
      </c>
      <c r="AC475" s="36">
        <f t="shared" si="149"/>
        <v>1.9135802469135807E-2</v>
      </c>
      <c r="AD475" s="36">
        <f t="shared" si="149"/>
        <v>2.8112139917695483E-2</v>
      </c>
      <c r="AE475" s="36" t="str">
        <f t="shared" si="149"/>
        <v>B737-800</v>
      </c>
      <c r="AF475" s="36">
        <f t="shared" si="149"/>
        <v>189</v>
      </c>
      <c r="AG475" s="36" t="str">
        <f t="shared" si="149"/>
        <v>LAX</v>
      </c>
      <c r="AI475">
        <v>461</v>
      </c>
      <c r="AJ475" s="77" t="str">
        <f t="shared" si="146"/>
        <v>MEXICO AEREO</v>
      </c>
      <c r="AK475" s="77">
        <f t="shared" si="146"/>
        <v>771</v>
      </c>
      <c r="AL475" s="78">
        <v>0.90416666666666667</v>
      </c>
      <c r="AM475" s="79">
        <v>0.91180555555555554</v>
      </c>
      <c r="AN475" s="80">
        <v>7.6388888888888618E-3</v>
      </c>
      <c r="AO475" s="79">
        <v>0.92986111111111114</v>
      </c>
      <c r="AP475" s="80">
        <v>1.8055555555555602E-2</v>
      </c>
      <c r="AQ475" s="81">
        <v>41812</v>
      </c>
      <c r="AR475" s="77" t="str">
        <f t="shared" si="150"/>
        <v>Nacional</v>
      </c>
      <c r="AS475" s="77">
        <f t="shared" si="150"/>
        <v>7.8914141414141419E-3</v>
      </c>
      <c r="AT475" s="77">
        <f t="shared" si="150"/>
        <v>1.1142676767676768E-2</v>
      </c>
      <c r="AU475" s="77">
        <f t="shared" si="150"/>
        <v>1.903409090909091E-2</v>
      </c>
      <c r="AV475" s="77">
        <f t="shared" si="150"/>
        <v>738</v>
      </c>
      <c r="AW475" s="77">
        <f t="shared" si="150"/>
        <v>189</v>
      </c>
      <c r="AX475" s="77" t="str">
        <f t="shared" si="150"/>
        <v>TIJ</v>
      </c>
    </row>
    <row r="476" spans="1:50" ht="15.75" thickBot="1" x14ac:dyDescent="0.3">
      <c r="A476">
        <v>462</v>
      </c>
      <c r="B476" s="36" t="str">
        <f t="shared" si="153"/>
        <v>MEXICO AEREO</v>
      </c>
      <c r="C476" s="36">
        <f t="shared" si="153"/>
        <v>102</v>
      </c>
      <c r="D476" s="84">
        <v>0.3298611111111111</v>
      </c>
      <c r="E476" s="84">
        <v>0.33124999999999999</v>
      </c>
      <c r="F476" s="85">
        <v>1.388888888888884E-3</v>
      </c>
      <c r="G476" s="84">
        <v>0.33333333333333331</v>
      </c>
      <c r="H476" s="85">
        <v>2.0833333333333259E-3</v>
      </c>
      <c r="I476" s="86">
        <v>41717</v>
      </c>
      <c r="J476" s="36" t="str">
        <f t="shared" si="155"/>
        <v>Nacional</v>
      </c>
      <c r="K476" s="36">
        <f t="shared" si="155"/>
        <v>6.249999999999996E-3</v>
      </c>
      <c r="L476" s="36">
        <f t="shared" si="155"/>
        <v>3.703703703703709E-3</v>
      </c>
      <c r="M476" s="36">
        <f t="shared" si="155"/>
        <v>9.9537037037037042E-3</v>
      </c>
      <c r="N476" s="36" t="str">
        <f t="shared" si="155"/>
        <v>ER4</v>
      </c>
      <c r="O476" s="36">
        <f t="shared" si="155"/>
        <v>50</v>
      </c>
      <c r="P476" s="36" t="str">
        <f t="shared" si="155"/>
        <v>MEX</v>
      </c>
      <c r="R476">
        <v>462</v>
      </c>
      <c r="S476" s="36" t="str">
        <f t="shared" si="136"/>
        <v>MEXICO AEREO</v>
      </c>
      <c r="T476" s="36">
        <f t="shared" si="136"/>
        <v>783</v>
      </c>
      <c r="U476" s="73">
        <v>0.72638888888888886</v>
      </c>
      <c r="V476" s="74">
        <v>0.73611111111111116</v>
      </c>
      <c r="W476" s="75">
        <v>9.7222222222222987E-3</v>
      </c>
      <c r="X476" s="74">
        <v>0.75277777777777777</v>
      </c>
      <c r="Y476" s="75">
        <v>1.6666666666666607E-2</v>
      </c>
      <c r="Z476" s="76">
        <v>41757</v>
      </c>
      <c r="AA476" s="36" t="str">
        <f t="shared" si="149"/>
        <v>Internacional</v>
      </c>
      <c r="AB476" s="36">
        <f t="shared" si="149"/>
        <v>8.9763374485596764E-3</v>
      </c>
      <c r="AC476" s="36">
        <f t="shared" si="149"/>
        <v>1.9135802469135807E-2</v>
      </c>
      <c r="AD476" s="36">
        <f t="shared" si="149"/>
        <v>2.8112139917695483E-2</v>
      </c>
      <c r="AE476" s="36" t="str">
        <f t="shared" si="149"/>
        <v>B737-800</v>
      </c>
      <c r="AF476" s="36">
        <f t="shared" si="149"/>
        <v>189</v>
      </c>
      <c r="AG476" s="36" t="str">
        <f t="shared" si="149"/>
        <v>LAX</v>
      </c>
      <c r="AI476">
        <v>462</v>
      </c>
      <c r="AJ476" s="77" t="str">
        <f t="shared" si="146"/>
        <v>MEXICO AEREO</v>
      </c>
      <c r="AK476" s="77">
        <f t="shared" si="146"/>
        <v>771</v>
      </c>
      <c r="AL476" s="94">
        <v>0.8979166666666667</v>
      </c>
      <c r="AM476" s="95">
        <v>0.90625</v>
      </c>
      <c r="AN476" s="96">
        <v>8.3333333333333037E-3</v>
      </c>
      <c r="AO476" s="95">
        <v>0.9159722222222223</v>
      </c>
      <c r="AP476" s="96">
        <v>9.7222222222222987E-3</v>
      </c>
      <c r="AQ476" s="97">
        <v>41813</v>
      </c>
      <c r="AR476" s="77" t="str">
        <f t="shared" si="150"/>
        <v>Nacional</v>
      </c>
      <c r="AS476" s="77">
        <f t="shared" si="150"/>
        <v>7.8914141414141419E-3</v>
      </c>
      <c r="AT476" s="77">
        <f t="shared" si="150"/>
        <v>1.1142676767676768E-2</v>
      </c>
      <c r="AU476" s="77">
        <f t="shared" si="150"/>
        <v>1.903409090909091E-2</v>
      </c>
      <c r="AV476" s="77">
        <f t="shared" si="150"/>
        <v>738</v>
      </c>
      <c r="AW476" s="77">
        <f t="shared" si="150"/>
        <v>189</v>
      </c>
      <c r="AX476" s="77" t="str">
        <f t="shared" si="150"/>
        <v>TIJ</v>
      </c>
    </row>
    <row r="477" spans="1:50" ht="15.75" thickBot="1" x14ac:dyDescent="0.3">
      <c r="A477">
        <v>463</v>
      </c>
      <c r="B477" s="36" t="str">
        <f t="shared" si="153"/>
        <v>MEXICO AEREO</v>
      </c>
      <c r="C477" s="88">
        <v>100</v>
      </c>
      <c r="D477" s="57">
        <v>0.34027777777777773</v>
      </c>
      <c r="E477" s="57">
        <v>0.34583333333333338</v>
      </c>
      <c r="F477" s="58">
        <v>5.5555555555556468E-3</v>
      </c>
      <c r="G477" s="57">
        <v>0.3527777777777778</v>
      </c>
      <c r="H477" s="58">
        <v>6.9444444444444198E-3</v>
      </c>
      <c r="I477" s="59">
        <v>41714</v>
      </c>
      <c r="J477" s="108" t="s">
        <v>19</v>
      </c>
      <c r="K477" s="61">
        <v>5.6623931623931683E-3</v>
      </c>
      <c r="L477" s="61">
        <v>8.8675213675213568E-3</v>
      </c>
      <c r="M477" s="142">
        <v>1.4529914529914525E-2</v>
      </c>
      <c r="N477" s="90" t="s">
        <v>45</v>
      </c>
      <c r="O477" s="91">
        <v>126</v>
      </c>
      <c r="P477" s="92" t="s">
        <v>21</v>
      </c>
      <c r="R477">
        <v>463</v>
      </c>
      <c r="S477" s="36" t="str">
        <f t="shared" si="136"/>
        <v>MEXICO AEREO</v>
      </c>
      <c r="T477" s="36">
        <f t="shared" si="136"/>
        <v>783</v>
      </c>
      <c r="U477" s="73">
        <v>0.74583333333333324</v>
      </c>
      <c r="V477" s="74">
        <v>0.75763888888888886</v>
      </c>
      <c r="W477" s="75">
        <v>1.1805555555555625E-2</v>
      </c>
      <c r="X477" s="74">
        <v>0.78749999999999998</v>
      </c>
      <c r="Y477" s="75">
        <v>2.9861111111111116E-2</v>
      </c>
      <c r="Z477" s="76">
        <v>41758</v>
      </c>
      <c r="AA477" s="36" t="str">
        <f t="shared" si="149"/>
        <v>Internacional</v>
      </c>
      <c r="AB477" s="36">
        <f t="shared" si="149"/>
        <v>8.9763374485596764E-3</v>
      </c>
      <c r="AC477" s="36">
        <f t="shared" si="149"/>
        <v>1.9135802469135807E-2</v>
      </c>
      <c r="AD477" s="36">
        <f t="shared" si="149"/>
        <v>2.8112139917695483E-2</v>
      </c>
      <c r="AE477" s="36" t="str">
        <f t="shared" si="149"/>
        <v>B737-800</v>
      </c>
      <c r="AF477" s="36">
        <f t="shared" si="149"/>
        <v>189</v>
      </c>
      <c r="AG477" s="36" t="str">
        <f t="shared" si="149"/>
        <v>LAX</v>
      </c>
      <c r="AI477">
        <v>463</v>
      </c>
      <c r="AJ477" s="77" t="str">
        <f t="shared" si="146"/>
        <v>MEXICO AEREO</v>
      </c>
      <c r="AK477" s="99">
        <v>677</v>
      </c>
      <c r="AL477" s="100">
        <v>0.89861111111111114</v>
      </c>
      <c r="AM477" s="101">
        <v>0.90833333333333333</v>
      </c>
      <c r="AN477" s="102">
        <v>9.7222222222221877E-3</v>
      </c>
      <c r="AO477" s="101">
        <v>0.91388888888888886</v>
      </c>
      <c r="AP477" s="102">
        <v>5.5555555555555358E-3</v>
      </c>
      <c r="AQ477" s="103">
        <v>41796</v>
      </c>
      <c r="AR477" s="104" t="s">
        <v>19</v>
      </c>
      <c r="AS477" s="105">
        <v>9.7222222222221877E-3</v>
      </c>
      <c r="AT477" s="105">
        <v>5.5555555555555358E-3</v>
      </c>
      <c r="AU477" s="105">
        <v>1.5277777777777724E-2</v>
      </c>
      <c r="AV477" s="106">
        <v>320</v>
      </c>
      <c r="AW477" s="106">
        <v>179</v>
      </c>
      <c r="AX477" s="107" t="s">
        <v>28</v>
      </c>
    </row>
    <row r="478" spans="1:50" ht="15.75" thickBot="1" x14ac:dyDescent="0.3">
      <c r="A478">
        <v>464</v>
      </c>
      <c r="B478" s="36" t="str">
        <f t="shared" si="153"/>
        <v>MEXICO AEREO</v>
      </c>
      <c r="C478" s="36">
        <f t="shared" si="153"/>
        <v>100</v>
      </c>
      <c r="D478" s="74">
        <v>0.34236111111111112</v>
      </c>
      <c r="E478" s="74">
        <v>0.35069444444444442</v>
      </c>
      <c r="F478" s="75">
        <v>8.3333333333333037E-3</v>
      </c>
      <c r="G478" s="74">
        <v>0.3576388888888889</v>
      </c>
      <c r="H478" s="75">
        <v>6.9444444444444753E-3</v>
      </c>
      <c r="I478" s="76">
        <v>41715</v>
      </c>
      <c r="J478" s="36" t="str">
        <f t="shared" ref="J478:P489" si="156">J477</f>
        <v>Nacional</v>
      </c>
      <c r="K478" s="36">
        <f t="shared" si="156"/>
        <v>5.6623931623931683E-3</v>
      </c>
      <c r="L478" s="36">
        <f t="shared" si="156"/>
        <v>8.8675213675213568E-3</v>
      </c>
      <c r="M478" s="36">
        <f t="shared" si="156"/>
        <v>1.4529914529914525E-2</v>
      </c>
      <c r="N478" s="36" t="str">
        <f t="shared" si="156"/>
        <v>B737-700</v>
      </c>
      <c r="O478" s="36">
        <f t="shared" si="156"/>
        <v>126</v>
      </c>
      <c r="P478" s="36" t="str">
        <f t="shared" si="156"/>
        <v>MEX</v>
      </c>
      <c r="R478">
        <v>464</v>
      </c>
      <c r="S478" s="36" t="str">
        <f t="shared" ref="S478:T478" si="157">S477</f>
        <v>MEXICO AEREO</v>
      </c>
      <c r="T478" s="36">
        <f t="shared" si="157"/>
        <v>783</v>
      </c>
      <c r="U478" s="83">
        <v>0.7368055555555556</v>
      </c>
      <c r="V478" s="84">
        <v>0.74305555555555547</v>
      </c>
      <c r="W478" s="85">
        <v>6.2499999999998668E-3</v>
      </c>
      <c r="X478" s="84">
        <v>0.76458333333333339</v>
      </c>
      <c r="Y478" s="85">
        <v>2.1527777777777923E-2</v>
      </c>
      <c r="Z478" s="86">
        <v>41759</v>
      </c>
      <c r="AA478" s="36" t="str">
        <f t="shared" si="149"/>
        <v>Internacional</v>
      </c>
      <c r="AB478" s="36">
        <f t="shared" si="149"/>
        <v>8.9763374485596764E-3</v>
      </c>
      <c r="AC478" s="36">
        <f t="shared" si="149"/>
        <v>1.9135802469135807E-2</v>
      </c>
      <c r="AD478" s="36">
        <f t="shared" si="149"/>
        <v>2.8112139917695483E-2</v>
      </c>
      <c r="AE478" s="36" t="str">
        <f t="shared" si="149"/>
        <v>B737-800</v>
      </c>
      <c r="AF478" s="36">
        <f t="shared" si="149"/>
        <v>189</v>
      </c>
      <c r="AG478" s="36" t="str">
        <f t="shared" si="149"/>
        <v>LAX</v>
      </c>
      <c r="AI478">
        <v>464</v>
      </c>
      <c r="AJ478" s="77" t="str">
        <f t="shared" si="146"/>
        <v>MEXICO AEREO</v>
      </c>
      <c r="AK478" s="63">
        <v>663</v>
      </c>
      <c r="AL478" s="64">
        <v>0.64097222222222217</v>
      </c>
      <c r="AM478" s="65">
        <v>0.65486111111111112</v>
      </c>
      <c r="AN478" s="66">
        <v>1.3888888888888951E-2</v>
      </c>
      <c r="AO478" s="65">
        <v>0.6694444444444444</v>
      </c>
      <c r="AP478" s="66">
        <v>1.4583333333333282E-2</v>
      </c>
      <c r="AQ478" s="67">
        <v>41793</v>
      </c>
      <c r="AR478" s="68" t="s">
        <v>22</v>
      </c>
      <c r="AS478" s="69">
        <v>1.0937500000000013E-2</v>
      </c>
      <c r="AT478" s="70">
        <v>1.8923611111111096E-2</v>
      </c>
      <c r="AU478" s="70">
        <v>2.9861111111111109E-2</v>
      </c>
      <c r="AV478" s="71">
        <v>738</v>
      </c>
      <c r="AW478" s="71">
        <v>189</v>
      </c>
      <c r="AX478" s="72" t="s">
        <v>43</v>
      </c>
    </row>
    <row r="479" spans="1:50" x14ac:dyDescent="0.25">
      <c r="A479">
        <v>465</v>
      </c>
      <c r="B479" s="36" t="str">
        <f t="shared" si="153"/>
        <v>MEXICO AEREO</v>
      </c>
      <c r="C479" s="36">
        <f t="shared" si="153"/>
        <v>100</v>
      </c>
      <c r="D479" s="74">
        <v>0.34375</v>
      </c>
      <c r="E479" s="74">
        <v>0.34930555555555554</v>
      </c>
      <c r="F479" s="75">
        <v>5.5555555555555358E-3</v>
      </c>
      <c r="G479" s="74">
        <v>0.3840277777777778</v>
      </c>
      <c r="H479" s="75">
        <v>3.4722222222222265E-2</v>
      </c>
      <c r="I479" s="76">
        <v>41716</v>
      </c>
      <c r="J479" s="36" t="str">
        <f t="shared" si="156"/>
        <v>Nacional</v>
      </c>
      <c r="K479" s="36">
        <f t="shared" si="156"/>
        <v>5.6623931623931683E-3</v>
      </c>
      <c r="L479" s="36">
        <f t="shared" si="156"/>
        <v>8.8675213675213568E-3</v>
      </c>
      <c r="M479" s="36">
        <f t="shared" si="156"/>
        <v>1.4529914529914525E-2</v>
      </c>
      <c r="N479" s="36" t="str">
        <f t="shared" si="156"/>
        <v>B737-700</v>
      </c>
      <c r="O479" s="36">
        <f t="shared" si="156"/>
        <v>126</v>
      </c>
      <c r="P479" s="36" t="str">
        <f t="shared" si="156"/>
        <v>MEX</v>
      </c>
      <c r="R479">
        <v>465</v>
      </c>
      <c r="S479" s="45" t="s">
        <v>18</v>
      </c>
      <c r="T479" s="55">
        <v>781</v>
      </c>
      <c r="U479" s="56">
        <v>0.20902777777777778</v>
      </c>
      <c r="V479" s="57">
        <v>0.21736111111111112</v>
      </c>
      <c r="W479" s="58">
        <v>8.3333333333333315E-3</v>
      </c>
      <c r="X479" s="57">
        <v>0.23958333333333334</v>
      </c>
      <c r="Y479" s="58">
        <v>2.2222222222222227E-2</v>
      </c>
      <c r="Z479" s="59">
        <v>41730</v>
      </c>
      <c r="AA479" s="60" t="s">
        <v>22</v>
      </c>
      <c r="AB479" s="61">
        <v>1.0995370370370371E-2</v>
      </c>
      <c r="AC479" s="61">
        <v>2.4652777777777773E-2</v>
      </c>
      <c r="AD479" s="62">
        <v>3.5648148148148144E-2</v>
      </c>
      <c r="AE479" s="109" t="s">
        <v>39</v>
      </c>
      <c r="AF479" s="109">
        <v>189</v>
      </c>
      <c r="AG479" s="109" t="s">
        <v>41</v>
      </c>
      <c r="AI479">
        <v>465</v>
      </c>
      <c r="AJ479" s="77" t="str">
        <f t="shared" si="146"/>
        <v>MEXICO AEREO</v>
      </c>
      <c r="AK479" s="77">
        <f t="shared" si="146"/>
        <v>663</v>
      </c>
      <c r="AL479" s="78">
        <v>0.63958333333333328</v>
      </c>
      <c r="AM479" s="79">
        <v>0.64861111111111114</v>
      </c>
      <c r="AN479" s="80">
        <v>9.0277777777778567E-3</v>
      </c>
      <c r="AO479" s="79">
        <v>0.66041666666666665</v>
      </c>
      <c r="AP479" s="80">
        <v>1.1805555555555514E-2</v>
      </c>
      <c r="AQ479" s="81">
        <v>41795</v>
      </c>
      <c r="AR479" s="77" t="str">
        <f t="shared" ref="AR479:AX493" si="158">AR478</f>
        <v>Internacional</v>
      </c>
      <c r="AS479" s="77">
        <f t="shared" si="158"/>
        <v>1.0937500000000013E-2</v>
      </c>
      <c r="AT479" s="77">
        <f t="shared" si="158"/>
        <v>1.8923611111111096E-2</v>
      </c>
      <c r="AU479" s="77">
        <f t="shared" si="158"/>
        <v>2.9861111111111109E-2</v>
      </c>
      <c r="AV479" s="77">
        <f t="shared" si="158"/>
        <v>738</v>
      </c>
      <c r="AW479" s="77">
        <f t="shared" si="158"/>
        <v>189</v>
      </c>
      <c r="AX479" s="77" t="str">
        <f t="shared" si="158"/>
        <v>SFO</v>
      </c>
    </row>
    <row r="480" spans="1:50" x14ac:dyDescent="0.25">
      <c r="A480">
        <v>466</v>
      </c>
      <c r="B480" s="36" t="str">
        <f t="shared" si="153"/>
        <v>MEXICO AEREO</v>
      </c>
      <c r="C480" s="36">
        <f t="shared" si="153"/>
        <v>100</v>
      </c>
      <c r="D480" s="74">
        <v>0.3520833333333333</v>
      </c>
      <c r="E480" s="74">
        <v>0.35694444444444445</v>
      </c>
      <c r="F480" s="75">
        <v>4.8611111111111494E-3</v>
      </c>
      <c r="G480" s="74">
        <v>0.36458333333333331</v>
      </c>
      <c r="H480" s="75">
        <v>7.6388888888888618E-3</v>
      </c>
      <c r="I480" s="76">
        <v>41717</v>
      </c>
      <c r="J480" s="36" t="str">
        <f t="shared" si="156"/>
        <v>Nacional</v>
      </c>
      <c r="K480" s="36">
        <f t="shared" si="156"/>
        <v>5.6623931623931683E-3</v>
      </c>
      <c r="L480" s="36">
        <f t="shared" si="156"/>
        <v>8.8675213675213568E-3</v>
      </c>
      <c r="M480" s="36">
        <f t="shared" si="156"/>
        <v>1.4529914529914525E-2</v>
      </c>
      <c r="N480" s="36" t="str">
        <f t="shared" si="156"/>
        <v>B737-700</v>
      </c>
      <c r="O480" s="36">
        <f t="shared" si="156"/>
        <v>126</v>
      </c>
      <c r="P480" s="36" t="str">
        <f t="shared" si="156"/>
        <v>MEX</v>
      </c>
      <c r="R480">
        <v>466</v>
      </c>
      <c r="S480" s="36" t="str">
        <f t="shared" ref="S480:T543" si="159">S479</f>
        <v>MEXICO AEREO</v>
      </c>
      <c r="T480" s="36">
        <f t="shared" si="159"/>
        <v>781</v>
      </c>
      <c r="U480" s="73">
        <v>0.21388888888888891</v>
      </c>
      <c r="V480" s="74">
        <v>0.22569444444444445</v>
      </c>
      <c r="W480" s="75">
        <v>1.1805555555555541E-2</v>
      </c>
      <c r="X480" s="74">
        <v>0.26458333333333334</v>
      </c>
      <c r="Y480" s="75">
        <v>3.888888888888889E-2</v>
      </c>
      <c r="Z480" s="76">
        <v>41733</v>
      </c>
      <c r="AA480" s="36" t="str">
        <f t="shared" ref="AA480:AG496" si="160">AA479</f>
        <v>Internacional</v>
      </c>
      <c r="AB480" s="36">
        <f t="shared" si="160"/>
        <v>1.0995370370370371E-2</v>
      </c>
      <c r="AC480" s="36">
        <f t="shared" si="160"/>
        <v>2.4652777777777773E-2</v>
      </c>
      <c r="AD480" s="36">
        <f t="shared" si="160"/>
        <v>3.5648148148148144E-2</v>
      </c>
      <c r="AE480" s="36" t="str">
        <f t="shared" si="160"/>
        <v>B737-800</v>
      </c>
      <c r="AF480" s="36">
        <f t="shared" si="160"/>
        <v>189</v>
      </c>
      <c r="AG480" s="36" t="str">
        <f t="shared" si="160"/>
        <v>ONT</v>
      </c>
      <c r="AI480">
        <v>466</v>
      </c>
      <c r="AJ480" s="77" t="str">
        <f t="shared" si="146"/>
        <v>MEXICO AEREO</v>
      </c>
      <c r="AK480" s="77">
        <f t="shared" si="146"/>
        <v>663</v>
      </c>
      <c r="AL480" s="78">
        <v>0.62291666666666667</v>
      </c>
      <c r="AM480" s="79">
        <v>0.63958333333333328</v>
      </c>
      <c r="AN480" s="80">
        <v>1.6666666666666607E-2</v>
      </c>
      <c r="AO480" s="79">
        <v>0.65416666666666667</v>
      </c>
      <c r="AP480" s="80">
        <v>1.4583333333333393E-2</v>
      </c>
      <c r="AQ480" s="81">
        <v>41796</v>
      </c>
      <c r="AR480" s="77" t="str">
        <f t="shared" si="158"/>
        <v>Internacional</v>
      </c>
      <c r="AS480" s="77">
        <f t="shared" si="158"/>
        <v>1.0937500000000013E-2</v>
      </c>
      <c r="AT480" s="77">
        <f t="shared" si="158"/>
        <v>1.8923611111111096E-2</v>
      </c>
      <c r="AU480" s="77">
        <f t="shared" si="158"/>
        <v>2.9861111111111109E-2</v>
      </c>
      <c r="AV480" s="77">
        <f t="shared" si="158"/>
        <v>738</v>
      </c>
      <c r="AW480" s="77">
        <f t="shared" si="158"/>
        <v>189</v>
      </c>
      <c r="AX480" s="77" t="str">
        <f t="shared" si="158"/>
        <v>SFO</v>
      </c>
    </row>
    <row r="481" spans="1:50" x14ac:dyDescent="0.25">
      <c r="A481">
        <v>467</v>
      </c>
      <c r="B481" s="36" t="str">
        <f t="shared" si="153"/>
        <v>MEXICO AEREO</v>
      </c>
      <c r="C481" s="36">
        <f t="shared" si="153"/>
        <v>100</v>
      </c>
      <c r="D481" s="74">
        <v>0.34375</v>
      </c>
      <c r="E481" s="74">
        <v>0.34791666666666665</v>
      </c>
      <c r="F481" s="75">
        <v>4.1666666666666519E-3</v>
      </c>
      <c r="G481" s="74">
        <v>0.35347222222222219</v>
      </c>
      <c r="H481" s="75">
        <v>5.5555555555555358E-3</v>
      </c>
      <c r="I481" s="76">
        <v>41718</v>
      </c>
      <c r="J481" s="36" t="str">
        <f t="shared" si="156"/>
        <v>Nacional</v>
      </c>
      <c r="K481" s="36">
        <f t="shared" si="156"/>
        <v>5.6623931623931683E-3</v>
      </c>
      <c r="L481" s="36">
        <f t="shared" si="156"/>
        <v>8.8675213675213568E-3</v>
      </c>
      <c r="M481" s="36">
        <f t="shared" si="156"/>
        <v>1.4529914529914525E-2</v>
      </c>
      <c r="N481" s="36" t="str">
        <f t="shared" si="156"/>
        <v>B737-700</v>
      </c>
      <c r="O481" s="36">
        <f t="shared" si="156"/>
        <v>126</v>
      </c>
      <c r="P481" s="36" t="str">
        <f t="shared" si="156"/>
        <v>MEX</v>
      </c>
      <c r="R481">
        <v>467</v>
      </c>
      <c r="S481" s="36" t="str">
        <f t="shared" si="159"/>
        <v>MEXICO AEREO</v>
      </c>
      <c r="T481" s="36">
        <f t="shared" si="159"/>
        <v>781</v>
      </c>
      <c r="U481" s="73">
        <v>0.26250000000000001</v>
      </c>
      <c r="V481" s="74">
        <v>0.27569444444444446</v>
      </c>
      <c r="W481" s="75">
        <v>1.3194444444444453E-2</v>
      </c>
      <c r="X481" s="74">
        <v>0.2902777777777778</v>
      </c>
      <c r="Y481" s="75">
        <v>1.4583333333333337E-2</v>
      </c>
      <c r="Z481" s="76">
        <v>41734</v>
      </c>
      <c r="AA481" s="36" t="str">
        <f t="shared" si="160"/>
        <v>Internacional</v>
      </c>
      <c r="AB481" s="36">
        <f t="shared" si="160"/>
        <v>1.0995370370370371E-2</v>
      </c>
      <c r="AC481" s="36">
        <f t="shared" si="160"/>
        <v>2.4652777777777773E-2</v>
      </c>
      <c r="AD481" s="36">
        <f t="shared" si="160"/>
        <v>3.5648148148148144E-2</v>
      </c>
      <c r="AE481" s="36" t="str">
        <f t="shared" si="160"/>
        <v>B737-800</v>
      </c>
      <c r="AF481" s="36">
        <f t="shared" si="160"/>
        <v>189</v>
      </c>
      <c r="AG481" s="36" t="str">
        <f t="shared" si="160"/>
        <v>ONT</v>
      </c>
      <c r="AI481">
        <v>467</v>
      </c>
      <c r="AJ481" s="77" t="str">
        <f t="shared" si="146"/>
        <v>MEXICO AEREO</v>
      </c>
      <c r="AK481" s="77">
        <f t="shared" si="146"/>
        <v>663</v>
      </c>
      <c r="AL481" s="78">
        <v>0.8354166666666667</v>
      </c>
      <c r="AM481" s="79">
        <v>0.84791666666666676</v>
      </c>
      <c r="AN481" s="80">
        <v>1.2500000000000067E-2</v>
      </c>
      <c r="AO481" s="79">
        <v>0.88750000000000007</v>
      </c>
      <c r="AP481" s="80">
        <v>3.9583333333333304E-2</v>
      </c>
      <c r="AQ481" s="81">
        <v>41797</v>
      </c>
      <c r="AR481" s="77" t="str">
        <f t="shared" si="158"/>
        <v>Internacional</v>
      </c>
      <c r="AS481" s="77">
        <f t="shared" si="158"/>
        <v>1.0937500000000013E-2</v>
      </c>
      <c r="AT481" s="77">
        <f t="shared" si="158"/>
        <v>1.8923611111111096E-2</v>
      </c>
      <c r="AU481" s="77">
        <f t="shared" si="158"/>
        <v>2.9861111111111109E-2</v>
      </c>
      <c r="AV481" s="77">
        <f t="shared" si="158"/>
        <v>738</v>
      </c>
      <c r="AW481" s="77">
        <f t="shared" si="158"/>
        <v>189</v>
      </c>
      <c r="AX481" s="77" t="str">
        <f t="shared" si="158"/>
        <v>SFO</v>
      </c>
    </row>
    <row r="482" spans="1:50" x14ac:dyDescent="0.25">
      <c r="A482">
        <v>468</v>
      </c>
      <c r="B482" s="36" t="str">
        <f t="shared" si="153"/>
        <v>MEXICO AEREO</v>
      </c>
      <c r="C482" s="36">
        <f t="shared" si="153"/>
        <v>100</v>
      </c>
      <c r="D482" s="74">
        <v>0.34097222222222223</v>
      </c>
      <c r="E482" s="74">
        <v>0.34722222222222227</v>
      </c>
      <c r="F482" s="75">
        <v>6.2500000000000333E-3</v>
      </c>
      <c r="G482" s="74">
        <v>0.34791666666666665</v>
      </c>
      <c r="H482" s="75">
        <v>6.9444444444438647E-4</v>
      </c>
      <c r="I482" s="76">
        <v>41720</v>
      </c>
      <c r="J482" s="36" t="str">
        <f t="shared" si="156"/>
        <v>Nacional</v>
      </c>
      <c r="K482" s="36">
        <f t="shared" si="156"/>
        <v>5.6623931623931683E-3</v>
      </c>
      <c r="L482" s="36">
        <f t="shared" si="156"/>
        <v>8.8675213675213568E-3</v>
      </c>
      <c r="M482" s="36">
        <f t="shared" si="156"/>
        <v>1.4529914529914525E-2</v>
      </c>
      <c r="N482" s="36" t="str">
        <f t="shared" si="156"/>
        <v>B737-700</v>
      </c>
      <c r="O482" s="36">
        <f t="shared" si="156"/>
        <v>126</v>
      </c>
      <c r="P482" s="36" t="str">
        <f t="shared" si="156"/>
        <v>MEX</v>
      </c>
      <c r="R482">
        <v>468</v>
      </c>
      <c r="S482" s="36" t="str">
        <f t="shared" si="159"/>
        <v>MEXICO AEREO</v>
      </c>
      <c r="T482" s="36">
        <f t="shared" si="159"/>
        <v>781</v>
      </c>
      <c r="U482" s="73">
        <v>0.2076388888888889</v>
      </c>
      <c r="V482" s="74">
        <v>0.21944444444444444</v>
      </c>
      <c r="W482" s="75">
        <v>1.1805555555555541E-2</v>
      </c>
      <c r="X482" s="74">
        <v>0.22916666666666666</v>
      </c>
      <c r="Y482" s="75">
        <v>9.7222222222222154E-3</v>
      </c>
      <c r="Z482" s="76">
        <v>41733</v>
      </c>
      <c r="AA482" s="36" t="str">
        <f t="shared" si="160"/>
        <v>Internacional</v>
      </c>
      <c r="AB482" s="36">
        <f t="shared" si="160"/>
        <v>1.0995370370370371E-2</v>
      </c>
      <c r="AC482" s="36">
        <f t="shared" si="160"/>
        <v>2.4652777777777773E-2</v>
      </c>
      <c r="AD482" s="36">
        <f t="shared" si="160"/>
        <v>3.5648148148148144E-2</v>
      </c>
      <c r="AE482" s="36" t="str">
        <f t="shared" si="160"/>
        <v>B737-800</v>
      </c>
      <c r="AF482" s="36">
        <f t="shared" si="160"/>
        <v>189</v>
      </c>
      <c r="AG482" s="36" t="str">
        <f t="shared" si="160"/>
        <v>ONT</v>
      </c>
      <c r="AI482">
        <v>468</v>
      </c>
      <c r="AJ482" s="77" t="str">
        <f t="shared" si="146"/>
        <v>MEXICO AEREO</v>
      </c>
      <c r="AK482" s="77">
        <f t="shared" si="146"/>
        <v>663</v>
      </c>
      <c r="AL482" s="78">
        <v>0.62152777777777779</v>
      </c>
      <c r="AM482" s="79">
        <v>0.62777777777777777</v>
      </c>
      <c r="AN482" s="80">
        <v>6.2499999999999778E-3</v>
      </c>
      <c r="AO482" s="79">
        <v>0.65972222222222221</v>
      </c>
      <c r="AP482" s="80">
        <v>3.1944444444444442E-2</v>
      </c>
      <c r="AQ482" s="81">
        <v>41798</v>
      </c>
      <c r="AR482" s="77" t="str">
        <f t="shared" si="158"/>
        <v>Internacional</v>
      </c>
      <c r="AS482" s="77">
        <f t="shared" si="158"/>
        <v>1.0937500000000013E-2</v>
      </c>
      <c r="AT482" s="77">
        <f t="shared" si="158"/>
        <v>1.8923611111111096E-2</v>
      </c>
      <c r="AU482" s="77">
        <f t="shared" si="158"/>
        <v>2.9861111111111109E-2</v>
      </c>
      <c r="AV482" s="77">
        <f t="shared" si="158"/>
        <v>738</v>
      </c>
      <c r="AW482" s="77">
        <f t="shared" si="158"/>
        <v>189</v>
      </c>
      <c r="AX482" s="77" t="str">
        <f t="shared" si="158"/>
        <v>SFO</v>
      </c>
    </row>
    <row r="483" spans="1:50" x14ac:dyDescent="0.25">
      <c r="A483">
        <v>469</v>
      </c>
      <c r="B483" s="36" t="str">
        <f t="shared" si="153"/>
        <v>MEXICO AEREO</v>
      </c>
      <c r="C483" s="36">
        <f t="shared" si="153"/>
        <v>100</v>
      </c>
      <c r="D483" s="74">
        <v>0.33680555555555558</v>
      </c>
      <c r="E483" s="74">
        <v>0.34236111111111112</v>
      </c>
      <c r="F483" s="75">
        <v>5.5555555555555358E-3</v>
      </c>
      <c r="G483" s="74">
        <v>0.3520833333333333</v>
      </c>
      <c r="H483" s="75">
        <v>9.7222222222221877E-3</v>
      </c>
      <c r="I483" s="76">
        <v>41721</v>
      </c>
      <c r="J483" s="36" t="str">
        <f t="shared" si="156"/>
        <v>Nacional</v>
      </c>
      <c r="K483" s="36">
        <f t="shared" si="156"/>
        <v>5.6623931623931683E-3</v>
      </c>
      <c r="L483" s="36">
        <f t="shared" si="156"/>
        <v>8.8675213675213568E-3</v>
      </c>
      <c r="M483" s="36">
        <f t="shared" si="156"/>
        <v>1.4529914529914525E-2</v>
      </c>
      <c r="N483" s="36" t="str">
        <f t="shared" si="156"/>
        <v>B737-700</v>
      </c>
      <c r="O483" s="36">
        <f t="shared" si="156"/>
        <v>126</v>
      </c>
      <c r="P483" s="36" t="str">
        <f t="shared" si="156"/>
        <v>MEX</v>
      </c>
      <c r="R483">
        <v>469</v>
      </c>
      <c r="S483" s="36" t="str">
        <f t="shared" si="159"/>
        <v>MEXICO AEREO</v>
      </c>
      <c r="T483" s="36">
        <f t="shared" si="159"/>
        <v>781</v>
      </c>
      <c r="U483" s="73">
        <v>0.24027777777777778</v>
      </c>
      <c r="V483" s="74">
        <v>0.25138888888888888</v>
      </c>
      <c r="W483" s="75">
        <v>1.1111111111111099E-2</v>
      </c>
      <c r="X483" s="74">
        <v>0.27777777777777779</v>
      </c>
      <c r="Y483" s="75">
        <v>2.6388888888888906E-2</v>
      </c>
      <c r="Z483" s="76">
        <v>41736</v>
      </c>
      <c r="AA483" s="36" t="str">
        <f t="shared" si="160"/>
        <v>Internacional</v>
      </c>
      <c r="AB483" s="36">
        <f t="shared" si="160"/>
        <v>1.0995370370370371E-2</v>
      </c>
      <c r="AC483" s="36">
        <f t="shared" si="160"/>
        <v>2.4652777777777773E-2</v>
      </c>
      <c r="AD483" s="36">
        <f t="shared" si="160"/>
        <v>3.5648148148148144E-2</v>
      </c>
      <c r="AE483" s="36" t="str">
        <f t="shared" si="160"/>
        <v>B737-800</v>
      </c>
      <c r="AF483" s="36">
        <f t="shared" si="160"/>
        <v>189</v>
      </c>
      <c r="AG483" s="36" t="str">
        <f t="shared" si="160"/>
        <v>ONT</v>
      </c>
      <c r="AI483">
        <v>469</v>
      </c>
      <c r="AJ483" s="77" t="str">
        <f t="shared" si="146"/>
        <v>MEXICO AEREO</v>
      </c>
      <c r="AK483" s="77">
        <f t="shared" si="146"/>
        <v>663</v>
      </c>
      <c r="AL483" s="78">
        <v>0.56666666666666665</v>
      </c>
      <c r="AM483" s="79">
        <v>0.57430555555555551</v>
      </c>
      <c r="AN483" s="80">
        <v>7.6388888888888618E-3</v>
      </c>
      <c r="AO483" s="79">
        <v>0.57916666666666672</v>
      </c>
      <c r="AP483" s="80">
        <v>4.8611111111112049E-3</v>
      </c>
      <c r="AQ483" s="81">
        <v>41801</v>
      </c>
      <c r="AR483" s="77" t="str">
        <f t="shared" si="158"/>
        <v>Internacional</v>
      </c>
      <c r="AS483" s="77">
        <f t="shared" si="158"/>
        <v>1.0937500000000013E-2</v>
      </c>
      <c r="AT483" s="77">
        <f t="shared" si="158"/>
        <v>1.8923611111111096E-2</v>
      </c>
      <c r="AU483" s="77">
        <f t="shared" si="158"/>
        <v>2.9861111111111109E-2</v>
      </c>
      <c r="AV483" s="77">
        <f t="shared" si="158"/>
        <v>738</v>
      </c>
      <c r="AW483" s="77">
        <f t="shared" si="158"/>
        <v>189</v>
      </c>
      <c r="AX483" s="77" t="str">
        <f t="shared" si="158"/>
        <v>SFO</v>
      </c>
    </row>
    <row r="484" spans="1:50" x14ac:dyDescent="0.25">
      <c r="A484">
        <v>470</v>
      </c>
      <c r="B484" s="36" t="str">
        <f t="shared" si="153"/>
        <v>MEXICO AEREO</v>
      </c>
      <c r="C484" s="36">
        <f t="shared" si="153"/>
        <v>100</v>
      </c>
      <c r="D484" s="74">
        <v>0.34236111111111112</v>
      </c>
      <c r="E484" s="74">
        <v>0.34930555555555554</v>
      </c>
      <c r="F484" s="75">
        <v>6.9444444444444198E-3</v>
      </c>
      <c r="G484" s="74">
        <v>0.35416666666666669</v>
      </c>
      <c r="H484" s="75">
        <v>4.8611111111111494E-3</v>
      </c>
      <c r="I484" s="76">
        <v>41722</v>
      </c>
      <c r="J484" s="36" t="str">
        <f t="shared" si="156"/>
        <v>Nacional</v>
      </c>
      <c r="K484" s="36">
        <f t="shared" si="156"/>
        <v>5.6623931623931683E-3</v>
      </c>
      <c r="L484" s="36">
        <f t="shared" si="156"/>
        <v>8.8675213675213568E-3</v>
      </c>
      <c r="M484" s="36">
        <f t="shared" si="156"/>
        <v>1.4529914529914525E-2</v>
      </c>
      <c r="N484" s="36" t="str">
        <f t="shared" si="156"/>
        <v>B737-700</v>
      </c>
      <c r="O484" s="36">
        <f t="shared" si="156"/>
        <v>126</v>
      </c>
      <c r="P484" s="36" t="str">
        <f t="shared" si="156"/>
        <v>MEX</v>
      </c>
      <c r="R484">
        <v>470</v>
      </c>
      <c r="S484" s="36" t="str">
        <f t="shared" si="159"/>
        <v>MEXICO AEREO</v>
      </c>
      <c r="T484" s="36">
        <f t="shared" si="159"/>
        <v>781</v>
      </c>
      <c r="U484" s="73">
        <v>0.23124999999999998</v>
      </c>
      <c r="V484" s="74">
        <v>0.23263888888888887</v>
      </c>
      <c r="W484" s="75">
        <v>1.388888888888884E-3</v>
      </c>
      <c r="X484" s="74">
        <v>0.2638888888888889</v>
      </c>
      <c r="Y484" s="75">
        <v>3.1250000000000028E-2</v>
      </c>
      <c r="Z484" s="76">
        <v>41737</v>
      </c>
      <c r="AA484" s="36" t="str">
        <f t="shared" si="160"/>
        <v>Internacional</v>
      </c>
      <c r="AB484" s="36">
        <f t="shared" si="160"/>
        <v>1.0995370370370371E-2</v>
      </c>
      <c r="AC484" s="36">
        <f t="shared" si="160"/>
        <v>2.4652777777777773E-2</v>
      </c>
      <c r="AD484" s="36">
        <f t="shared" si="160"/>
        <v>3.5648148148148144E-2</v>
      </c>
      <c r="AE484" s="36" t="str">
        <f t="shared" si="160"/>
        <v>B737-800</v>
      </c>
      <c r="AF484" s="36">
        <f t="shared" si="160"/>
        <v>189</v>
      </c>
      <c r="AG484" s="36" t="str">
        <f t="shared" si="160"/>
        <v>ONT</v>
      </c>
      <c r="AI484">
        <v>470</v>
      </c>
      <c r="AJ484" s="77" t="str">
        <f t="shared" si="146"/>
        <v>MEXICO AEREO</v>
      </c>
      <c r="AK484" s="77">
        <f t="shared" si="146"/>
        <v>663</v>
      </c>
      <c r="AL484" s="78">
        <v>0.83472222222222225</v>
      </c>
      <c r="AM484" s="79">
        <v>0.84722222222222221</v>
      </c>
      <c r="AN484" s="80">
        <v>1.2499999999999956E-2</v>
      </c>
      <c r="AO484" s="79">
        <v>0.85833333333333339</v>
      </c>
      <c r="AP484" s="80">
        <v>1.1111111111111183E-2</v>
      </c>
      <c r="AQ484" s="81">
        <v>41802</v>
      </c>
      <c r="AR484" s="77" t="str">
        <f t="shared" si="158"/>
        <v>Internacional</v>
      </c>
      <c r="AS484" s="77">
        <f t="shared" si="158"/>
        <v>1.0937500000000013E-2</v>
      </c>
      <c r="AT484" s="77">
        <f t="shared" si="158"/>
        <v>1.8923611111111096E-2</v>
      </c>
      <c r="AU484" s="77">
        <f t="shared" si="158"/>
        <v>2.9861111111111109E-2</v>
      </c>
      <c r="AV484" s="77">
        <f t="shared" si="158"/>
        <v>738</v>
      </c>
      <c r="AW484" s="77">
        <f t="shared" si="158"/>
        <v>189</v>
      </c>
      <c r="AX484" s="77" t="str">
        <f t="shared" si="158"/>
        <v>SFO</v>
      </c>
    </row>
    <row r="485" spans="1:50" x14ac:dyDescent="0.25">
      <c r="A485">
        <v>471</v>
      </c>
      <c r="B485" s="36" t="str">
        <f t="shared" si="153"/>
        <v>MEXICO AEREO</v>
      </c>
      <c r="C485" s="36">
        <f t="shared" si="153"/>
        <v>100</v>
      </c>
      <c r="D485" s="74">
        <v>0.34791666666666665</v>
      </c>
      <c r="E485" s="74">
        <v>0.35416666666666669</v>
      </c>
      <c r="F485" s="75">
        <v>6.2500000000000333E-3</v>
      </c>
      <c r="G485" s="74">
        <v>0.36319444444444443</v>
      </c>
      <c r="H485" s="75">
        <v>9.0277777777777457E-3</v>
      </c>
      <c r="I485" s="76">
        <v>41725</v>
      </c>
      <c r="J485" s="36" t="str">
        <f t="shared" si="156"/>
        <v>Nacional</v>
      </c>
      <c r="K485" s="36">
        <f t="shared" si="156"/>
        <v>5.6623931623931683E-3</v>
      </c>
      <c r="L485" s="36">
        <f t="shared" si="156"/>
        <v>8.8675213675213568E-3</v>
      </c>
      <c r="M485" s="36">
        <f t="shared" si="156"/>
        <v>1.4529914529914525E-2</v>
      </c>
      <c r="N485" s="36" t="str">
        <f t="shared" si="156"/>
        <v>B737-700</v>
      </c>
      <c r="O485" s="36">
        <f t="shared" si="156"/>
        <v>126</v>
      </c>
      <c r="P485" s="36" t="str">
        <f t="shared" si="156"/>
        <v>MEX</v>
      </c>
      <c r="R485">
        <v>471</v>
      </c>
      <c r="S485" s="36" t="str">
        <f t="shared" si="159"/>
        <v>MEXICO AEREO</v>
      </c>
      <c r="T485" s="36">
        <f t="shared" si="159"/>
        <v>781</v>
      </c>
      <c r="U485" s="73">
        <v>0.24097222222222223</v>
      </c>
      <c r="V485" s="74">
        <v>0.26319444444444445</v>
      </c>
      <c r="W485" s="75">
        <v>2.2222222222222227E-2</v>
      </c>
      <c r="X485" s="74">
        <v>0.27986111111111112</v>
      </c>
      <c r="Y485" s="75">
        <v>1.6666666666666663E-2</v>
      </c>
      <c r="Z485" s="76">
        <v>41739</v>
      </c>
      <c r="AA485" s="36" t="str">
        <f t="shared" si="160"/>
        <v>Internacional</v>
      </c>
      <c r="AB485" s="36">
        <f t="shared" si="160"/>
        <v>1.0995370370370371E-2</v>
      </c>
      <c r="AC485" s="36">
        <f t="shared" si="160"/>
        <v>2.4652777777777773E-2</v>
      </c>
      <c r="AD485" s="36">
        <f t="shared" si="160"/>
        <v>3.5648148148148144E-2</v>
      </c>
      <c r="AE485" s="36" t="str">
        <f t="shared" si="160"/>
        <v>B737-800</v>
      </c>
      <c r="AF485" s="36">
        <f t="shared" si="160"/>
        <v>189</v>
      </c>
      <c r="AG485" s="36" t="str">
        <f t="shared" si="160"/>
        <v>ONT</v>
      </c>
      <c r="AI485">
        <v>471</v>
      </c>
      <c r="AJ485" s="77" t="str">
        <f t="shared" si="146"/>
        <v>MEXICO AEREO</v>
      </c>
      <c r="AK485" s="77">
        <f t="shared" si="146"/>
        <v>663</v>
      </c>
      <c r="AL485" s="78">
        <v>0.8520833333333333</v>
      </c>
      <c r="AM485" s="79">
        <v>0.86458333333333337</v>
      </c>
      <c r="AN485" s="80">
        <v>1.2500000000000067E-2</v>
      </c>
      <c r="AO485" s="79">
        <v>0.89583333333333337</v>
      </c>
      <c r="AP485" s="80">
        <v>3.125E-2</v>
      </c>
      <c r="AQ485" s="81">
        <v>41803</v>
      </c>
      <c r="AR485" s="77" t="str">
        <f t="shared" si="158"/>
        <v>Internacional</v>
      </c>
      <c r="AS485" s="77">
        <f t="shared" si="158"/>
        <v>1.0937500000000013E-2</v>
      </c>
      <c r="AT485" s="77">
        <f t="shared" si="158"/>
        <v>1.8923611111111096E-2</v>
      </c>
      <c r="AU485" s="77">
        <f t="shared" si="158"/>
        <v>2.9861111111111109E-2</v>
      </c>
      <c r="AV485" s="77">
        <f t="shared" si="158"/>
        <v>738</v>
      </c>
      <c r="AW485" s="77">
        <f t="shared" si="158"/>
        <v>189</v>
      </c>
      <c r="AX485" s="77" t="str">
        <f t="shared" si="158"/>
        <v>SFO</v>
      </c>
    </row>
    <row r="486" spans="1:50" x14ac:dyDescent="0.25">
      <c r="A486">
        <v>472</v>
      </c>
      <c r="B486" s="36" t="str">
        <f t="shared" si="153"/>
        <v>MEXICO AEREO</v>
      </c>
      <c r="C486" s="36">
        <f t="shared" si="153"/>
        <v>100</v>
      </c>
      <c r="D486" s="74">
        <v>0.34861111111111115</v>
      </c>
      <c r="E486" s="74">
        <v>0.35416666666666669</v>
      </c>
      <c r="F486" s="75">
        <v>5.5555555555555358E-3</v>
      </c>
      <c r="G486" s="74">
        <v>0.36180555555555555</v>
      </c>
      <c r="H486" s="75">
        <v>7.6388888888888618E-3</v>
      </c>
      <c r="I486" s="76">
        <v>41725</v>
      </c>
      <c r="J486" s="36" t="str">
        <f t="shared" si="156"/>
        <v>Nacional</v>
      </c>
      <c r="K486" s="36">
        <f t="shared" si="156"/>
        <v>5.6623931623931683E-3</v>
      </c>
      <c r="L486" s="36">
        <f t="shared" si="156"/>
        <v>8.8675213675213568E-3</v>
      </c>
      <c r="M486" s="36">
        <f t="shared" si="156"/>
        <v>1.4529914529914525E-2</v>
      </c>
      <c r="N486" s="36" t="str">
        <f t="shared" si="156"/>
        <v>B737-700</v>
      </c>
      <c r="O486" s="36">
        <f t="shared" si="156"/>
        <v>126</v>
      </c>
      <c r="P486" s="36" t="str">
        <f t="shared" si="156"/>
        <v>MEX</v>
      </c>
      <c r="R486">
        <v>472</v>
      </c>
      <c r="S486" s="36" t="str">
        <f t="shared" si="159"/>
        <v>MEXICO AEREO</v>
      </c>
      <c r="T486" s="36">
        <f t="shared" si="159"/>
        <v>781</v>
      </c>
      <c r="U486" s="73">
        <v>0.24305555555555555</v>
      </c>
      <c r="V486" s="74">
        <v>0.25347222222222221</v>
      </c>
      <c r="W486" s="75">
        <v>1.0416666666666657E-2</v>
      </c>
      <c r="X486" s="74">
        <v>0.28750000000000003</v>
      </c>
      <c r="Y486" s="75">
        <v>3.4027777777777823E-2</v>
      </c>
      <c r="Z486" s="76">
        <v>41740</v>
      </c>
      <c r="AA486" s="36" t="str">
        <f t="shared" si="160"/>
        <v>Internacional</v>
      </c>
      <c r="AB486" s="36">
        <f t="shared" si="160"/>
        <v>1.0995370370370371E-2</v>
      </c>
      <c r="AC486" s="36">
        <f t="shared" si="160"/>
        <v>2.4652777777777773E-2</v>
      </c>
      <c r="AD486" s="36">
        <f t="shared" si="160"/>
        <v>3.5648148148148144E-2</v>
      </c>
      <c r="AE486" s="36" t="str">
        <f t="shared" si="160"/>
        <v>B737-800</v>
      </c>
      <c r="AF486" s="36">
        <f t="shared" si="160"/>
        <v>189</v>
      </c>
      <c r="AG486" s="36" t="str">
        <f t="shared" si="160"/>
        <v>ONT</v>
      </c>
      <c r="AI486">
        <v>472</v>
      </c>
      <c r="AJ486" s="77" t="str">
        <f t="shared" si="146"/>
        <v>MEXICO AEREO</v>
      </c>
      <c r="AK486" s="77">
        <f t="shared" si="146"/>
        <v>663</v>
      </c>
      <c r="AL486" s="78">
        <v>0.93611111111111101</v>
      </c>
      <c r="AM486" s="79">
        <v>0.9472222222222223</v>
      </c>
      <c r="AN486" s="80">
        <v>1.1111111111111294E-2</v>
      </c>
      <c r="AO486" s="79">
        <v>0.95486111111111116</v>
      </c>
      <c r="AP486" s="80">
        <v>7.6388888888888618E-3</v>
      </c>
      <c r="AQ486" s="81">
        <v>41804</v>
      </c>
      <c r="AR486" s="77" t="str">
        <f t="shared" si="158"/>
        <v>Internacional</v>
      </c>
      <c r="AS486" s="77">
        <f t="shared" si="158"/>
        <v>1.0937500000000013E-2</v>
      </c>
      <c r="AT486" s="77">
        <f t="shared" si="158"/>
        <v>1.8923611111111096E-2</v>
      </c>
      <c r="AU486" s="77">
        <f t="shared" si="158"/>
        <v>2.9861111111111109E-2</v>
      </c>
      <c r="AV486" s="77">
        <f t="shared" si="158"/>
        <v>738</v>
      </c>
      <c r="AW486" s="77">
        <f t="shared" si="158"/>
        <v>189</v>
      </c>
      <c r="AX486" s="77" t="str">
        <f t="shared" si="158"/>
        <v>SFO</v>
      </c>
    </row>
    <row r="487" spans="1:50" x14ac:dyDescent="0.25">
      <c r="A487">
        <v>473</v>
      </c>
      <c r="B487" s="36" t="str">
        <f t="shared" si="153"/>
        <v>MEXICO AEREO</v>
      </c>
      <c r="C487" s="36">
        <f t="shared" si="153"/>
        <v>100</v>
      </c>
      <c r="D487" s="74">
        <v>0.33888888888888885</v>
      </c>
      <c r="E487" s="74">
        <v>0.34166666666666662</v>
      </c>
      <c r="F487" s="75">
        <v>2.7777777777777679E-3</v>
      </c>
      <c r="G487" s="74">
        <v>0.3520833333333333</v>
      </c>
      <c r="H487" s="75">
        <v>1.0416666666666685E-2</v>
      </c>
      <c r="I487" s="76">
        <v>41726</v>
      </c>
      <c r="J487" s="36" t="str">
        <f t="shared" si="156"/>
        <v>Nacional</v>
      </c>
      <c r="K487" s="36">
        <f t="shared" si="156"/>
        <v>5.6623931623931683E-3</v>
      </c>
      <c r="L487" s="36">
        <f t="shared" si="156"/>
        <v>8.8675213675213568E-3</v>
      </c>
      <c r="M487" s="36">
        <f t="shared" si="156"/>
        <v>1.4529914529914525E-2</v>
      </c>
      <c r="N487" s="36" t="str">
        <f t="shared" si="156"/>
        <v>B737-700</v>
      </c>
      <c r="O487" s="36">
        <f t="shared" si="156"/>
        <v>126</v>
      </c>
      <c r="P487" s="36" t="str">
        <f t="shared" si="156"/>
        <v>MEX</v>
      </c>
      <c r="R487">
        <v>473</v>
      </c>
      <c r="S487" s="36" t="str">
        <f t="shared" si="159"/>
        <v>MEXICO AEREO</v>
      </c>
      <c r="T487" s="36">
        <f t="shared" si="159"/>
        <v>781</v>
      </c>
      <c r="U487" s="73">
        <v>0.20902777777777778</v>
      </c>
      <c r="V487" s="74">
        <v>0.21736111111111112</v>
      </c>
      <c r="W487" s="75">
        <v>8.3333333333333315E-3</v>
      </c>
      <c r="X487" s="74">
        <v>0.23958333333333334</v>
      </c>
      <c r="Y487" s="75">
        <v>2.2222222222222227E-2</v>
      </c>
      <c r="Z487" s="76">
        <v>41742</v>
      </c>
      <c r="AA487" s="36" t="str">
        <f t="shared" si="160"/>
        <v>Internacional</v>
      </c>
      <c r="AB487" s="36">
        <f t="shared" si="160"/>
        <v>1.0995370370370371E-2</v>
      </c>
      <c r="AC487" s="36">
        <f t="shared" si="160"/>
        <v>2.4652777777777773E-2</v>
      </c>
      <c r="AD487" s="36">
        <f t="shared" si="160"/>
        <v>3.5648148148148144E-2</v>
      </c>
      <c r="AE487" s="36" t="str">
        <f t="shared" si="160"/>
        <v>B737-800</v>
      </c>
      <c r="AF487" s="36">
        <f t="shared" si="160"/>
        <v>189</v>
      </c>
      <c r="AG487" s="36" t="str">
        <f t="shared" si="160"/>
        <v>ONT</v>
      </c>
      <c r="AI487">
        <v>473</v>
      </c>
      <c r="AJ487" s="77" t="str">
        <f t="shared" si="146"/>
        <v>MEXICO AEREO</v>
      </c>
      <c r="AK487" s="77">
        <f t="shared" si="146"/>
        <v>663</v>
      </c>
      <c r="AL487" s="78">
        <v>0.46180555555555558</v>
      </c>
      <c r="AM487" s="79">
        <v>0.4680555555555555</v>
      </c>
      <c r="AN487" s="80">
        <v>6.2499999999999223E-3</v>
      </c>
      <c r="AO487" s="79">
        <v>0.4770833333333333</v>
      </c>
      <c r="AP487" s="80">
        <v>9.0277777777778012E-3</v>
      </c>
      <c r="AQ487" s="81">
        <v>41805</v>
      </c>
      <c r="AR487" s="77" t="str">
        <f t="shared" si="158"/>
        <v>Internacional</v>
      </c>
      <c r="AS487" s="77">
        <f t="shared" si="158"/>
        <v>1.0937500000000013E-2</v>
      </c>
      <c r="AT487" s="77">
        <f t="shared" si="158"/>
        <v>1.8923611111111096E-2</v>
      </c>
      <c r="AU487" s="77">
        <f t="shared" si="158"/>
        <v>2.9861111111111109E-2</v>
      </c>
      <c r="AV487" s="77">
        <f t="shared" si="158"/>
        <v>738</v>
      </c>
      <c r="AW487" s="77">
        <f t="shared" si="158"/>
        <v>189</v>
      </c>
      <c r="AX487" s="77" t="str">
        <f t="shared" si="158"/>
        <v>SFO</v>
      </c>
    </row>
    <row r="488" spans="1:50" x14ac:dyDescent="0.25">
      <c r="A488">
        <v>474</v>
      </c>
      <c r="B488" s="36" t="str">
        <f t="shared" si="153"/>
        <v>MEXICO AEREO</v>
      </c>
      <c r="C488" s="36">
        <f t="shared" si="153"/>
        <v>100</v>
      </c>
      <c r="D488" s="74">
        <v>0.34375</v>
      </c>
      <c r="E488" s="74">
        <v>0.35000000000000003</v>
      </c>
      <c r="F488" s="75">
        <v>6.2500000000000333E-3</v>
      </c>
      <c r="G488" s="74">
        <v>0.35416666666666669</v>
      </c>
      <c r="H488" s="75">
        <v>4.1666666666666519E-3</v>
      </c>
      <c r="I488" s="76">
        <v>41727</v>
      </c>
      <c r="J488" s="36" t="str">
        <f t="shared" si="156"/>
        <v>Nacional</v>
      </c>
      <c r="K488" s="36">
        <f t="shared" si="156"/>
        <v>5.6623931623931683E-3</v>
      </c>
      <c r="L488" s="36">
        <f t="shared" si="156"/>
        <v>8.8675213675213568E-3</v>
      </c>
      <c r="M488" s="36">
        <f t="shared" si="156"/>
        <v>1.4529914529914525E-2</v>
      </c>
      <c r="N488" s="36" t="str">
        <f t="shared" si="156"/>
        <v>B737-700</v>
      </c>
      <c r="O488" s="36">
        <f t="shared" si="156"/>
        <v>126</v>
      </c>
      <c r="P488" s="36" t="str">
        <f t="shared" si="156"/>
        <v>MEX</v>
      </c>
      <c r="R488">
        <v>474</v>
      </c>
      <c r="S488" s="36" t="str">
        <f t="shared" si="159"/>
        <v>MEXICO AEREO</v>
      </c>
      <c r="T488" s="36">
        <f t="shared" si="159"/>
        <v>781</v>
      </c>
      <c r="U488" s="73">
        <v>0.23541666666666669</v>
      </c>
      <c r="V488" s="74">
        <v>0.24652777777777779</v>
      </c>
      <c r="W488" s="75">
        <v>1.1111111111111099E-2</v>
      </c>
      <c r="X488" s="74">
        <v>0.2673611111111111</v>
      </c>
      <c r="Y488" s="75">
        <v>2.0833333333333315E-2</v>
      </c>
      <c r="Z488" s="76">
        <v>41745</v>
      </c>
      <c r="AA488" s="36" t="str">
        <f t="shared" si="160"/>
        <v>Internacional</v>
      </c>
      <c r="AB488" s="36">
        <f t="shared" si="160"/>
        <v>1.0995370370370371E-2</v>
      </c>
      <c r="AC488" s="36">
        <f t="shared" si="160"/>
        <v>2.4652777777777773E-2</v>
      </c>
      <c r="AD488" s="36">
        <f t="shared" si="160"/>
        <v>3.5648148148148144E-2</v>
      </c>
      <c r="AE488" s="36" t="str">
        <f t="shared" si="160"/>
        <v>B737-800</v>
      </c>
      <c r="AF488" s="36">
        <f t="shared" si="160"/>
        <v>189</v>
      </c>
      <c r="AG488" s="36" t="str">
        <f t="shared" si="160"/>
        <v>ONT</v>
      </c>
      <c r="AI488">
        <v>474</v>
      </c>
      <c r="AJ488" s="77" t="str">
        <f t="shared" si="146"/>
        <v>MEXICO AEREO</v>
      </c>
      <c r="AK488" s="77">
        <f t="shared" si="146"/>
        <v>663</v>
      </c>
      <c r="AL488" s="78">
        <v>0.27291666666666664</v>
      </c>
      <c r="AM488" s="79">
        <v>0.29097222222222224</v>
      </c>
      <c r="AN488" s="80">
        <v>1.8055555555555602E-2</v>
      </c>
      <c r="AO488" s="79">
        <v>0.30416666666666664</v>
      </c>
      <c r="AP488" s="80">
        <v>1.3194444444444398E-2</v>
      </c>
      <c r="AQ488" s="81">
        <v>41806</v>
      </c>
      <c r="AR488" s="77" t="str">
        <f t="shared" si="158"/>
        <v>Internacional</v>
      </c>
      <c r="AS488" s="77">
        <f t="shared" si="158"/>
        <v>1.0937500000000013E-2</v>
      </c>
      <c r="AT488" s="77">
        <f t="shared" si="158"/>
        <v>1.8923611111111096E-2</v>
      </c>
      <c r="AU488" s="77">
        <f t="shared" si="158"/>
        <v>2.9861111111111109E-2</v>
      </c>
      <c r="AV488" s="77">
        <f t="shared" si="158"/>
        <v>738</v>
      </c>
      <c r="AW488" s="77">
        <f t="shared" si="158"/>
        <v>189</v>
      </c>
      <c r="AX488" s="77" t="str">
        <f t="shared" si="158"/>
        <v>SFO</v>
      </c>
    </row>
    <row r="489" spans="1:50" ht="15.75" thickBot="1" x14ac:dyDescent="0.3">
      <c r="A489">
        <v>475</v>
      </c>
      <c r="B489" s="36" t="str">
        <f t="shared" si="153"/>
        <v>MEXICO AEREO</v>
      </c>
      <c r="C489" s="36">
        <f t="shared" si="153"/>
        <v>100</v>
      </c>
      <c r="D489" s="84">
        <v>0.34722222222222227</v>
      </c>
      <c r="E489" s="84">
        <v>0.3527777777777778</v>
      </c>
      <c r="F489" s="85">
        <v>5.5555555555555358E-3</v>
      </c>
      <c r="G489" s="84">
        <v>0.35972222222222222</v>
      </c>
      <c r="H489" s="85">
        <v>6.9444444444444198E-3</v>
      </c>
      <c r="I489" s="86">
        <v>41729</v>
      </c>
      <c r="J489" s="36" t="str">
        <f t="shared" si="156"/>
        <v>Nacional</v>
      </c>
      <c r="K489" s="36">
        <f t="shared" si="156"/>
        <v>5.6623931623931683E-3</v>
      </c>
      <c r="L489" s="36">
        <f t="shared" si="156"/>
        <v>8.8675213675213568E-3</v>
      </c>
      <c r="M489" s="36">
        <f t="shared" si="156"/>
        <v>1.4529914529914525E-2</v>
      </c>
      <c r="N489" s="36" t="str">
        <f t="shared" si="156"/>
        <v>B737-700</v>
      </c>
      <c r="O489" s="36">
        <f t="shared" si="156"/>
        <v>126</v>
      </c>
      <c r="P489" s="36" t="str">
        <f t="shared" si="156"/>
        <v>MEX</v>
      </c>
      <c r="R489">
        <v>475</v>
      </c>
      <c r="S489" s="36" t="str">
        <f t="shared" si="159"/>
        <v>MEXICO AEREO</v>
      </c>
      <c r="T489" s="36">
        <f t="shared" si="159"/>
        <v>781</v>
      </c>
      <c r="U489" s="73">
        <v>0.23750000000000002</v>
      </c>
      <c r="V489" s="74">
        <v>0.25277777777777777</v>
      </c>
      <c r="W489" s="75">
        <v>1.5277777777777751E-2</v>
      </c>
      <c r="X489" s="74">
        <v>0.28263888888888888</v>
      </c>
      <c r="Y489" s="75">
        <v>2.9861111111111116E-2</v>
      </c>
      <c r="Z489" s="76">
        <v>41747</v>
      </c>
      <c r="AA489" s="36" t="str">
        <f t="shared" si="160"/>
        <v>Internacional</v>
      </c>
      <c r="AB489" s="36">
        <f t="shared" si="160"/>
        <v>1.0995370370370371E-2</v>
      </c>
      <c r="AC489" s="36">
        <f t="shared" si="160"/>
        <v>2.4652777777777773E-2</v>
      </c>
      <c r="AD489" s="36">
        <f t="shared" si="160"/>
        <v>3.5648148148148144E-2</v>
      </c>
      <c r="AE489" s="36" t="str">
        <f t="shared" si="160"/>
        <v>B737-800</v>
      </c>
      <c r="AF489" s="36">
        <f t="shared" si="160"/>
        <v>189</v>
      </c>
      <c r="AG489" s="36" t="str">
        <f t="shared" si="160"/>
        <v>ONT</v>
      </c>
      <c r="AI489">
        <v>475</v>
      </c>
      <c r="AJ489" s="77" t="str">
        <f t="shared" si="146"/>
        <v>MEXICO AEREO</v>
      </c>
      <c r="AK489" s="77">
        <f t="shared" si="146"/>
        <v>663</v>
      </c>
      <c r="AL489" s="78">
        <v>0.83819444444444446</v>
      </c>
      <c r="AM489" s="79">
        <v>0.84861111111111109</v>
      </c>
      <c r="AN489" s="80">
        <v>1.041666666666663E-2</v>
      </c>
      <c r="AO489" s="79">
        <v>0.87083333333333324</v>
      </c>
      <c r="AP489" s="80">
        <v>2.2222222222222143E-2</v>
      </c>
      <c r="AQ489" s="81">
        <v>41807</v>
      </c>
      <c r="AR489" s="77" t="str">
        <f t="shared" si="158"/>
        <v>Internacional</v>
      </c>
      <c r="AS489" s="77">
        <f t="shared" si="158"/>
        <v>1.0937500000000013E-2</v>
      </c>
      <c r="AT489" s="77">
        <f t="shared" si="158"/>
        <v>1.8923611111111096E-2</v>
      </c>
      <c r="AU489" s="77">
        <f t="shared" si="158"/>
        <v>2.9861111111111109E-2</v>
      </c>
      <c r="AV489" s="77">
        <f t="shared" si="158"/>
        <v>738</v>
      </c>
      <c r="AW489" s="77">
        <f t="shared" si="158"/>
        <v>189</v>
      </c>
      <c r="AX489" s="77" t="str">
        <f t="shared" si="158"/>
        <v>SFO</v>
      </c>
    </row>
    <row r="490" spans="1:50" ht="15.75" thickBot="1" x14ac:dyDescent="0.3">
      <c r="A490">
        <v>476</v>
      </c>
      <c r="B490" s="45" t="s">
        <v>51</v>
      </c>
      <c r="C490" s="46">
        <v>783</v>
      </c>
      <c r="D490" s="47">
        <v>0.68333333333333324</v>
      </c>
      <c r="E490" s="47">
        <v>0.69791666666666663</v>
      </c>
      <c r="F490" s="48">
        <v>1.4583333333333393E-2</v>
      </c>
      <c r="G490" s="47">
        <v>0.71805555555555556</v>
      </c>
      <c r="H490" s="48">
        <v>2.0138888888888928E-2</v>
      </c>
      <c r="I490" s="49">
        <v>41715</v>
      </c>
      <c r="J490" s="49" t="s">
        <v>22</v>
      </c>
      <c r="K490" s="139">
        <v>1.4583333333333393E-2</v>
      </c>
      <c r="L490" s="139">
        <v>2.0138888888888928E-2</v>
      </c>
      <c r="M490" s="145">
        <v>3.4722222222222321E-2</v>
      </c>
      <c r="N490" s="52" t="s">
        <v>39</v>
      </c>
      <c r="O490" s="53">
        <v>189</v>
      </c>
      <c r="P490" s="54" t="s">
        <v>40</v>
      </c>
      <c r="R490">
        <v>476</v>
      </c>
      <c r="S490" s="36" t="str">
        <f t="shared" si="159"/>
        <v>MEXICO AEREO</v>
      </c>
      <c r="T490" s="36">
        <f t="shared" si="159"/>
        <v>781</v>
      </c>
      <c r="U490" s="73">
        <v>0.23611111111111113</v>
      </c>
      <c r="V490" s="74">
        <v>0.25694444444444448</v>
      </c>
      <c r="W490" s="75">
        <v>2.0833333333333343E-2</v>
      </c>
      <c r="X490" s="74">
        <v>0.28333333333333333</v>
      </c>
      <c r="Y490" s="75">
        <v>2.6388888888888851E-2</v>
      </c>
      <c r="Z490" s="76">
        <v>41749</v>
      </c>
      <c r="AA490" s="36" t="str">
        <f t="shared" si="160"/>
        <v>Internacional</v>
      </c>
      <c r="AB490" s="36">
        <f t="shared" si="160"/>
        <v>1.0995370370370371E-2</v>
      </c>
      <c r="AC490" s="36">
        <f t="shared" si="160"/>
        <v>2.4652777777777773E-2</v>
      </c>
      <c r="AD490" s="36">
        <f t="shared" si="160"/>
        <v>3.5648148148148144E-2</v>
      </c>
      <c r="AE490" s="36" t="str">
        <f t="shared" si="160"/>
        <v>B737-800</v>
      </c>
      <c r="AF490" s="36">
        <f t="shared" si="160"/>
        <v>189</v>
      </c>
      <c r="AG490" s="36" t="str">
        <f t="shared" si="160"/>
        <v>ONT</v>
      </c>
      <c r="AI490">
        <v>476</v>
      </c>
      <c r="AJ490" s="77" t="str">
        <f t="shared" si="146"/>
        <v>MEXICO AEREO</v>
      </c>
      <c r="AK490" s="77">
        <f t="shared" si="146"/>
        <v>663</v>
      </c>
      <c r="AL490" s="78">
        <v>0.64652777777777781</v>
      </c>
      <c r="AM490" s="79">
        <v>0.65833333333333333</v>
      </c>
      <c r="AN490" s="80">
        <v>1.1805555555555514E-2</v>
      </c>
      <c r="AO490" s="79">
        <v>0.68402777777777779</v>
      </c>
      <c r="AP490" s="80">
        <v>2.5694444444444464E-2</v>
      </c>
      <c r="AQ490" s="81">
        <v>41809</v>
      </c>
      <c r="AR490" s="77" t="str">
        <f t="shared" si="158"/>
        <v>Internacional</v>
      </c>
      <c r="AS490" s="77">
        <f t="shared" si="158"/>
        <v>1.0937500000000013E-2</v>
      </c>
      <c r="AT490" s="77">
        <f t="shared" si="158"/>
        <v>1.8923611111111096E-2</v>
      </c>
      <c r="AU490" s="77">
        <f t="shared" si="158"/>
        <v>2.9861111111111109E-2</v>
      </c>
      <c r="AV490" s="77">
        <f t="shared" si="158"/>
        <v>738</v>
      </c>
      <c r="AW490" s="77">
        <f t="shared" si="158"/>
        <v>189</v>
      </c>
      <c r="AX490" s="77" t="str">
        <f t="shared" si="158"/>
        <v>SFO</v>
      </c>
    </row>
    <row r="491" spans="1:50" ht="15.75" thickBot="1" x14ac:dyDescent="0.3">
      <c r="A491">
        <v>477</v>
      </c>
      <c r="B491" s="36" t="str">
        <f t="shared" ref="B491:C516" si="161">B490</f>
        <v>VUELOS AL NORTE</v>
      </c>
      <c r="C491" s="88">
        <v>248</v>
      </c>
      <c r="D491" s="57">
        <v>0.47500000000000003</v>
      </c>
      <c r="E491" s="57">
        <v>0.48472222222222222</v>
      </c>
      <c r="F491" s="58">
        <v>9.7222222222221877E-3</v>
      </c>
      <c r="G491" s="57">
        <v>0.50208333333333333</v>
      </c>
      <c r="H491" s="58">
        <v>1.7361111111111105E-2</v>
      </c>
      <c r="I491" s="59">
        <v>41714</v>
      </c>
      <c r="J491" s="108" t="s">
        <v>22</v>
      </c>
      <c r="K491" s="61">
        <v>1.4236111111111111E-2</v>
      </c>
      <c r="L491" s="61">
        <v>1.4236111111111093E-2</v>
      </c>
      <c r="M491" s="142">
        <v>2.8472222222222204E-2</v>
      </c>
      <c r="N491" s="90" t="s">
        <v>39</v>
      </c>
      <c r="O491" s="91">
        <v>189</v>
      </c>
      <c r="P491" s="92" t="s">
        <v>40</v>
      </c>
      <c r="R491">
        <v>477</v>
      </c>
      <c r="S491" s="36" t="str">
        <f t="shared" si="159"/>
        <v>MEXICO AEREO</v>
      </c>
      <c r="T491" s="36">
        <f t="shared" si="159"/>
        <v>781</v>
      </c>
      <c r="U491" s="73">
        <v>0.24652777777777779</v>
      </c>
      <c r="V491" s="74">
        <v>0.25486111111111109</v>
      </c>
      <c r="W491" s="75">
        <v>8.3333333333333037E-3</v>
      </c>
      <c r="X491" s="74">
        <v>0.27499999999999997</v>
      </c>
      <c r="Y491" s="75">
        <v>2.0138888888888873E-2</v>
      </c>
      <c r="Z491" s="76">
        <v>41749</v>
      </c>
      <c r="AA491" s="36" t="str">
        <f t="shared" si="160"/>
        <v>Internacional</v>
      </c>
      <c r="AB491" s="36">
        <f t="shared" si="160"/>
        <v>1.0995370370370371E-2</v>
      </c>
      <c r="AC491" s="36">
        <f t="shared" si="160"/>
        <v>2.4652777777777773E-2</v>
      </c>
      <c r="AD491" s="36">
        <f t="shared" si="160"/>
        <v>3.5648148148148144E-2</v>
      </c>
      <c r="AE491" s="36" t="str">
        <f t="shared" si="160"/>
        <v>B737-800</v>
      </c>
      <c r="AF491" s="36">
        <f t="shared" si="160"/>
        <v>189</v>
      </c>
      <c r="AG491" s="36" t="str">
        <f t="shared" si="160"/>
        <v>ONT</v>
      </c>
      <c r="AI491">
        <v>477</v>
      </c>
      <c r="AJ491" s="77" t="str">
        <f t="shared" si="146"/>
        <v>MEXICO AEREO</v>
      </c>
      <c r="AK491" s="77">
        <f t="shared" si="146"/>
        <v>663</v>
      </c>
      <c r="AL491" s="78">
        <v>0.6333333333333333</v>
      </c>
      <c r="AM491" s="79">
        <v>0.64166666666666672</v>
      </c>
      <c r="AN491" s="80">
        <v>8.3333333333334147E-3</v>
      </c>
      <c r="AO491" s="79">
        <v>0.65347222222222223</v>
      </c>
      <c r="AP491" s="80">
        <v>1.1805555555555514E-2</v>
      </c>
      <c r="AQ491" s="81">
        <v>41810</v>
      </c>
      <c r="AR491" s="77" t="str">
        <f t="shared" si="158"/>
        <v>Internacional</v>
      </c>
      <c r="AS491" s="77">
        <f t="shared" si="158"/>
        <v>1.0937500000000013E-2</v>
      </c>
      <c r="AT491" s="77">
        <f t="shared" si="158"/>
        <v>1.8923611111111096E-2</v>
      </c>
      <c r="AU491" s="77">
        <f t="shared" si="158"/>
        <v>2.9861111111111109E-2</v>
      </c>
      <c r="AV491" s="77">
        <f t="shared" si="158"/>
        <v>738</v>
      </c>
      <c r="AW491" s="77">
        <f t="shared" si="158"/>
        <v>189</v>
      </c>
      <c r="AX491" s="77" t="str">
        <f t="shared" si="158"/>
        <v>SFO</v>
      </c>
    </row>
    <row r="492" spans="1:50" x14ac:dyDescent="0.25">
      <c r="A492">
        <v>478</v>
      </c>
      <c r="B492" s="36" t="str">
        <f t="shared" si="161"/>
        <v>VUELOS AL NORTE</v>
      </c>
      <c r="C492" s="36">
        <f t="shared" si="161"/>
        <v>248</v>
      </c>
      <c r="D492" s="74">
        <v>0.4694444444444445</v>
      </c>
      <c r="E492" s="74">
        <v>0.48541666666666666</v>
      </c>
      <c r="F492" s="75">
        <v>1.5972222222222165E-2</v>
      </c>
      <c r="G492" s="74">
        <v>0.50347222222222221</v>
      </c>
      <c r="H492" s="75">
        <v>1.8055555555555547E-2</v>
      </c>
      <c r="I492" s="76">
        <v>41717</v>
      </c>
      <c r="J492" s="36" t="str">
        <f t="shared" ref="J492:P500" si="162">J491</f>
        <v>Internacional</v>
      </c>
      <c r="K492" s="36">
        <f t="shared" si="162"/>
        <v>1.4236111111111111E-2</v>
      </c>
      <c r="L492" s="36">
        <f t="shared" si="162"/>
        <v>1.4236111111111093E-2</v>
      </c>
      <c r="M492" s="36">
        <f t="shared" si="162"/>
        <v>2.8472222222222204E-2</v>
      </c>
      <c r="N492" s="36" t="str">
        <f t="shared" si="162"/>
        <v>B737-800</v>
      </c>
      <c r="O492" s="36">
        <f t="shared" si="162"/>
        <v>189</v>
      </c>
      <c r="P492" s="36" t="str">
        <f t="shared" si="162"/>
        <v>LAX</v>
      </c>
      <c r="R492">
        <v>478</v>
      </c>
      <c r="S492" s="36" t="str">
        <f t="shared" si="159"/>
        <v>MEXICO AEREO</v>
      </c>
      <c r="T492" s="36">
        <f t="shared" si="159"/>
        <v>781</v>
      </c>
      <c r="U492" s="73">
        <v>0.23194444444444443</v>
      </c>
      <c r="V492" s="74">
        <v>0.23958333333333334</v>
      </c>
      <c r="W492" s="75">
        <v>7.6388888888889173E-3</v>
      </c>
      <c r="X492" s="74">
        <v>0.27013888888888887</v>
      </c>
      <c r="Y492" s="75">
        <v>3.055555555555553E-2</v>
      </c>
      <c r="Z492" s="76">
        <v>41749</v>
      </c>
      <c r="AA492" s="36" t="str">
        <f t="shared" si="160"/>
        <v>Internacional</v>
      </c>
      <c r="AB492" s="36">
        <f t="shared" si="160"/>
        <v>1.0995370370370371E-2</v>
      </c>
      <c r="AC492" s="36">
        <f t="shared" si="160"/>
        <v>2.4652777777777773E-2</v>
      </c>
      <c r="AD492" s="36">
        <f t="shared" si="160"/>
        <v>3.5648148148148144E-2</v>
      </c>
      <c r="AE492" s="36" t="str">
        <f t="shared" si="160"/>
        <v>B737-800</v>
      </c>
      <c r="AF492" s="36">
        <f t="shared" si="160"/>
        <v>189</v>
      </c>
      <c r="AG492" s="36" t="str">
        <f t="shared" si="160"/>
        <v>ONT</v>
      </c>
      <c r="AI492">
        <v>478</v>
      </c>
      <c r="AJ492" s="63" t="s">
        <v>18</v>
      </c>
      <c r="AK492" s="77">
        <f t="shared" ref="AK492:AK506" si="163">AK491</f>
        <v>663</v>
      </c>
      <c r="AL492" s="78">
        <v>0.64583333333333337</v>
      </c>
      <c r="AM492" s="79">
        <v>0.65833333333333333</v>
      </c>
      <c r="AN492" s="80">
        <v>1.2499999999999956E-2</v>
      </c>
      <c r="AO492" s="79">
        <v>0.68611111111111101</v>
      </c>
      <c r="AP492" s="80">
        <v>2.7777777777777679E-2</v>
      </c>
      <c r="AQ492" s="81">
        <v>41811</v>
      </c>
      <c r="AR492" s="77" t="str">
        <f t="shared" si="158"/>
        <v>Internacional</v>
      </c>
      <c r="AS492" s="77">
        <f t="shared" si="158"/>
        <v>1.0937500000000013E-2</v>
      </c>
      <c r="AT492" s="77">
        <f t="shared" si="158"/>
        <v>1.8923611111111096E-2</v>
      </c>
      <c r="AU492" s="77">
        <f t="shared" si="158"/>
        <v>2.9861111111111109E-2</v>
      </c>
      <c r="AV492" s="77">
        <f t="shared" si="158"/>
        <v>738</v>
      </c>
      <c r="AW492" s="77">
        <f t="shared" si="158"/>
        <v>189</v>
      </c>
      <c r="AX492" s="77" t="str">
        <f t="shared" si="158"/>
        <v>SFO</v>
      </c>
    </row>
    <row r="493" spans="1:50" ht="15.75" thickBot="1" x14ac:dyDescent="0.3">
      <c r="A493">
        <v>479</v>
      </c>
      <c r="B493" s="36" t="str">
        <f t="shared" si="161"/>
        <v>VUELOS AL NORTE</v>
      </c>
      <c r="C493" s="36">
        <f t="shared" si="161"/>
        <v>248</v>
      </c>
      <c r="D493" s="74">
        <v>0.46180555555555558</v>
      </c>
      <c r="E493" s="74">
        <v>0.47500000000000003</v>
      </c>
      <c r="F493" s="75">
        <v>1.3194444444444453E-2</v>
      </c>
      <c r="G493" s="74">
        <v>0.49305555555555558</v>
      </c>
      <c r="H493" s="75">
        <v>1.8055555555555547E-2</v>
      </c>
      <c r="I493" s="76">
        <v>41720</v>
      </c>
      <c r="J493" s="36" t="str">
        <f t="shared" si="162"/>
        <v>Internacional</v>
      </c>
      <c r="K493" s="36">
        <f t="shared" si="162"/>
        <v>1.4236111111111111E-2</v>
      </c>
      <c r="L493" s="36">
        <f t="shared" si="162"/>
        <v>1.4236111111111093E-2</v>
      </c>
      <c r="M493" s="36">
        <f t="shared" si="162"/>
        <v>2.8472222222222204E-2</v>
      </c>
      <c r="N493" s="36" t="str">
        <f t="shared" si="162"/>
        <v>B737-800</v>
      </c>
      <c r="O493" s="36">
        <f t="shared" si="162"/>
        <v>189</v>
      </c>
      <c r="P493" s="36" t="str">
        <f t="shared" si="162"/>
        <v>LAX</v>
      </c>
      <c r="R493">
        <v>479</v>
      </c>
      <c r="S493" s="36" t="str">
        <f t="shared" si="159"/>
        <v>MEXICO AEREO</v>
      </c>
      <c r="T493" s="36">
        <f t="shared" si="159"/>
        <v>781</v>
      </c>
      <c r="U493" s="73">
        <v>0.25</v>
      </c>
      <c r="V493" s="74">
        <v>0.2590277777777778</v>
      </c>
      <c r="W493" s="75">
        <v>9.0277777777778012E-3</v>
      </c>
      <c r="X493" s="74">
        <v>0.28125</v>
      </c>
      <c r="Y493" s="75">
        <v>2.2222222222222199E-2</v>
      </c>
      <c r="Z493" s="76">
        <v>41751</v>
      </c>
      <c r="AA493" s="36" t="str">
        <f t="shared" si="160"/>
        <v>Internacional</v>
      </c>
      <c r="AB493" s="36">
        <f t="shared" si="160"/>
        <v>1.0995370370370371E-2</v>
      </c>
      <c r="AC493" s="36">
        <f t="shared" si="160"/>
        <v>2.4652777777777773E-2</v>
      </c>
      <c r="AD493" s="36">
        <f t="shared" si="160"/>
        <v>3.5648148148148144E-2</v>
      </c>
      <c r="AE493" s="36" t="str">
        <f t="shared" si="160"/>
        <v>B737-800</v>
      </c>
      <c r="AF493" s="36">
        <f t="shared" si="160"/>
        <v>189</v>
      </c>
      <c r="AG493" s="36" t="str">
        <f t="shared" si="160"/>
        <v>ONT</v>
      </c>
      <c r="AI493">
        <v>479</v>
      </c>
      <c r="AJ493" s="77" t="str">
        <f t="shared" ref="AJ493:AK538" si="164">AJ492</f>
        <v>MEXICO AEREO</v>
      </c>
      <c r="AK493" s="77">
        <f t="shared" si="163"/>
        <v>663</v>
      </c>
      <c r="AL493" s="94">
        <v>0.64930555555555558</v>
      </c>
      <c r="AM493" s="95">
        <v>0.65486111111111112</v>
      </c>
      <c r="AN493" s="96">
        <v>5.5555555555555358E-3</v>
      </c>
      <c r="AO493" s="95">
        <v>0.68055555555555547</v>
      </c>
      <c r="AP493" s="96">
        <v>2.5694444444444353E-2</v>
      </c>
      <c r="AQ493" s="97">
        <v>41813</v>
      </c>
      <c r="AR493" s="77" t="str">
        <f t="shared" si="158"/>
        <v>Internacional</v>
      </c>
      <c r="AS493" s="77">
        <f t="shared" si="158"/>
        <v>1.0937500000000013E-2</v>
      </c>
      <c r="AT493" s="77">
        <f t="shared" si="158"/>
        <v>1.8923611111111096E-2</v>
      </c>
      <c r="AU493" s="77">
        <f t="shared" si="158"/>
        <v>2.9861111111111109E-2</v>
      </c>
      <c r="AV493" s="77">
        <f t="shared" si="158"/>
        <v>738</v>
      </c>
      <c r="AW493" s="77">
        <f t="shared" si="158"/>
        <v>189</v>
      </c>
      <c r="AX493" s="77" t="str">
        <f t="shared" si="158"/>
        <v>SFO</v>
      </c>
    </row>
    <row r="494" spans="1:50" x14ac:dyDescent="0.25">
      <c r="A494">
        <v>480</v>
      </c>
      <c r="B494" s="36" t="str">
        <f t="shared" si="161"/>
        <v>VUELOS AL NORTE</v>
      </c>
      <c r="C494" s="36">
        <f t="shared" si="161"/>
        <v>248</v>
      </c>
      <c r="D494" s="74">
        <v>0.4826388888888889</v>
      </c>
      <c r="E494" s="74">
        <v>0.49861111111111112</v>
      </c>
      <c r="F494" s="75">
        <v>1.5972222222222221E-2</v>
      </c>
      <c r="G494" s="74">
        <v>0.51874999999999993</v>
      </c>
      <c r="H494" s="75">
        <v>2.0138888888888817E-2</v>
      </c>
      <c r="I494" s="76">
        <v>41721</v>
      </c>
      <c r="J494" s="36" t="str">
        <f t="shared" si="162"/>
        <v>Internacional</v>
      </c>
      <c r="K494" s="36">
        <f t="shared" si="162"/>
        <v>1.4236111111111111E-2</v>
      </c>
      <c r="L494" s="36">
        <f t="shared" si="162"/>
        <v>1.4236111111111093E-2</v>
      </c>
      <c r="M494" s="36">
        <f t="shared" si="162"/>
        <v>2.8472222222222204E-2</v>
      </c>
      <c r="N494" s="36" t="str">
        <f t="shared" si="162"/>
        <v>B737-800</v>
      </c>
      <c r="O494" s="36">
        <f t="shared" si="162"/>
        <v>189</v>
      </c>
      <c r="P494" s="36" t="str">
        <f t="shared" si="162"/>
        <v>LAX</v>
      </c>
      <c r="R494">
        <v>480</v>
      </c>
      <c r="S494" s="36" t="str">
        <f t="shared" si="159"/>
        <v>MEXICO AEREO</v>
      </c>
      <c r="T494" s="36">
        <f t="shared" si="159"/>
        <v>781</v>
      </c>
      <c r="U494" s="73">
        <v>0.24930555555555556</v>
      </c>
      <c r="V494" s="74">
        <v>0.25694444444444448</v>
      </c>
      <c r="W494" s="75">
        <v>7.6388888888889173E-3</v>
      </c>
      <c r="X494" s="74">
        <v>0.26250000000000001</v>
      </c>
      <c r="Y494" s="75">
        <v>5.5555555555555358E-3</v>
      </c>
      <c r="Z494" s="76">
        <v>41754</v>
      </c>
      <c r="AA494" s="36" t="str">
        <f t="shared" si="160"/>
        <v>Internacional</v>
      </c>
      <c r="AB494" s="36">
        <f t="shared" si="160"/>
        <v>1.0995370370370371E-2</v>
      </c>
      <c r="AC494" s="36">
        <f t="shared" si="160"/>
        <v>2.4652777777777773E-2</v>
      </c>
      <c r="AD494" s="36">
        <f t="shared" si="160"/>
        <v>3.5648148148148144E-2</v>
      </c>
      <c r="AE494" s="36" t="str">
        <f t="shared" si="160"/>
        <v>B737-800</v>
      </c>
      <c r="AF494" s="36">
        <f t="shared" si="160"/>
        <v>189</v>
      </c>
      <c r="AG494" s="36" t="str">
        <f t="shared" si="160"/>
        <v>ONT</v>
      </c>
      <c r="AI494">
        <v>480</v>
      </c>
      <c r="AJ494" s="77" t="str">
        <f t="shared" si="164"/>
        <v>MEXICO AEREO</v>
      </c>
      <c r="AK494" s="63">
        <v>661</v>
      </c>
      <c r="AL494" s="64">
        <v>0.27361111111111108</v>
      </c>
      <c r="AM494" s="65">
        <v>0.27986111111111112</v>
      </c>
      <c r="AN494" s="66">
        <v>6.2500000000000333E-3</v>
      </c>
      <c r="AO494" s="65">
        <v>0.3</v>
      </c>
      <c r="AP494" s="66">
        <v>2.0138888888888873E-2</v>
      </c>
      <c r="AQ494" s="67">
        <v>41792</v>
      </c>
      <c r="AR494" s="68" t="s">
        <v>22</v>
      </c>
      <c r="AS494" s="69">
        <v>1.0294117647058827E-2</v>
      </c>
      <c r="AT494" s="70">
        <v>1.9485294117647069E-2</v>
      </c>
      <c r="AU494" s="70">
        <v>2.9779411764705895E-2</v>
      </c>
      <c r="AV494" s="71">
        <v>738</v>
      </c>
      <c r="AW494" s="71">
        <v>189</v>
      </c>
      <c r="AX494" s="72" t="s">
        <v>44</v>
      </c>
    </row>
    <row r="495" spans="1:50" x14ac:dyDescent="0.25">
      <c r="A495">
        <v>481</v>
      </c>
      <c r="B495" s="36" t="str">
        <f t="shared" si="161"/>
        <v>VUELOS AL NORTE</v>
      </c>
      <c r="C495" s="36">
        <f t="shared" si="161"/>
        <v>248</v>
      </c>
      <c r="D495" s="74">
        <v>0.46527777777777773</v>
      </c>
      <c r="E495" s="74">
        <v>0.4770833333333333</v>
      </c>
      <c r="F495" s="75">
        <v>1.1805555555555569E-2</v>
      </c>
      <c r="G495" s="74">
        <v>0.4861111111111111</v>
      </c>
      <c r="H495" s="75">
        <v>9.0277777777778012E-3</v>
      </c>
      <c r="I495" s="76">
        <v>41723</v>
      </c>
      <c r="J495" s="36" t="str">
        <f t="shared" si="162"/>
        <v>Internacional</v>
      </c>
      <c r="K495" s="36">
        <f t="shared" si="162"/>
        <v>1.4236111111111111E-2</v>
      </c>
      <c r="L495" s="36">
        <f t="shared" si="162"/>
        <v>1.4236111111111093E-2</v>
      </c>
      <c r="M495" s="36">
        <f t="shared" si="162"/>
        <v>2.8472222222222204E-2</v>
      </c>
      <c r="N495" s="36" t="str">
        <f t="shared" si="162"/>
        <v>B737-800</v>
      </c>
      <c r="O495" s="36">
        <f t="shared" si="162"/>
        <v>189</v>
      </c>
      <c r="P495" s="36" t="str">
        <f t="shared" si="162"/>
        <v>LAX</v>
      </c>
      <c r="R495">
        <v>481</v>
      </c>
      <c r="S495" s="36" t="str">
        <f t="shared" si="159"/>
        <v>MEXICO AEREO</v>
      </c>
      <c r="T495" s="36">
        <f t="shared" si="159"/>
        <v>781</v>
      </c>
      <c r="U495" s="73">
        <v>0.24444444444444446</v>
      </c>
      <c r="V495" s="74">
        <v>0.25694444444444448</v>
      </c>
      <c r="W495" s="75">
        <v>1.2500000000000011E-2</v>
      </c>
      <c r="X495" s="74">
        <v>0.29375000000000001</v>
      </c>
      <c r="Y495" s="75">
        <v>3.6805555555555536E-2</v>
      </c>
      <c r="Z495" s="76">
        <v>41756</v>
      </c>
      <c r="AA495" s="36" t="str">
        <f t="shared" si="160"/>
        <v>Internacional</v>
      </c>
      <c r="AB495" s="36">
        <f t="shared" si="160"/>
        <v>1.0995370370370371E-2</v>
      </c>
      <c r="AC495" s="36">
        <f t="shared" si="160"/>
        <v>2.4652777777777773E-2</v>
      </c>
      <c r="AD495" s="36">
        <f t="shared" si="160"/>
        <v>3.5648148148148144E-2</v>
      </c>
      <c r="AE495" s="36" t="str">
        <f t="shared" si="160"/>
        <v>B737-800</v>
      </c>
      <c r="AF495" s="36">
        <f t="shared" si="160"/>
        <v>189</v>
      </c>
      <c r="AG495" s="36" t="str">
        <f t="shared" si="160"/>
        <v>ONT</v>
      </c>
      <c r="AI495">
        <v>481</v>
      </c>
      <c r="AJ495" s="77" t="str">
        <f t="shared" si="164"/>
        <v>MEXICO AEREO</v>
      </c>
      <c r="AK495" s="77">
        <f t="shared" si="164"/>
        <v>661</v>
      </c>
      <c r="AL495" s="78">
        <v>0.26250000000000001</v>
      </c>
      <c r="AM495" s="79">
        <v>0.27083333333333331</v>
      </c>
      <c r="AN495" s="80">
        <v>8.3333333333333037E-3</v>
      </c>
      <c r="AO495" s="79">
        <v>0.29722222222222222</v>
      </c>
      <c r="AP495" s="80">
        <v>2.6388888888888906E-2</v>
      </c>
      <c r="AQ495" s="81">
        <v>41793</v>
      </c>
      <c r="AR495" s="77" t="str">
        <f t="shared" ref="AR495:AX510" si="165">AR494</f>
        <v>Internacional</v>
      </c>
      <c r="AS495" s="77">
        <f t="shared" si="165"/>
        <v>1.0294117647058827E-2</v>
      </c>
      <c r="AT495" s="77">
        <f t="shared" si="165"/>
        <v>1.9485294117647069E-2</v>
      </c>
      <c r="AU495" s="77">
        <f t="shared" si="165"/>
        <v>2.9779411764705895E-2</v>
      </c>
      <c r="AV495" s="77">
        <f t="shared" si="165"/>
        <v>738</v>
      </c>
      <c r="AW495" s="77">
        <f t="shared" si="165"/>
        <v>189</v>
      </c>
      <c r="AX495" s="77" t="str">
        <f t="shared" si="165"/>
        <v>ORD</v>
      </c>
    </row>
    <row r="496" spans="1:50" ht="15.75" thickBot="1" x14ac:dyDescent="0.3">
      <c r="A496">
        <v>482</v>
      </c>
      <c r="B496" s="36" t="str">
        <f t="shared" si="161"/>
        <v>VUELOS AL NORTE</v>
      </c>
      <c r="C496" s="36">
        <f t="shared" si="161"/>
        <v>248</v>
      </c>
      <c r="D496" s="74">
        <v>0.46458333333333335</v>
      </c>
      <c r="E496" s="74">
        <v>0.48819444444444443</v>
      </c>
      <c r="F496" s="75">
        <v>2.3611111111111083E-2</v>
      </c>
      <c r="G496" s="74">
        <v>0.4993055555555555</v>
      </c>
      <c r="H496" s="75">
        <v>1.1111111111111072E-2</v>
      </c>
      <c r="I496" s="76">
        <v>41725</v>
      </c>
      <c r="J496" s="36" t="str">
        <f t="shared" si="162"/>
        <v>Internacional</v>
      </c>
      <c r="K496" s="36">
        <f t="shared" si="162"/>
        <v>1.4236111111111111E-2</v>
      </c>
      <c r="L496" s="36">
        <f t="shared" si="162"/>
        <v>1.4236111111111093E-2</v>
      </c>
      <c r="M496" s="36">
        <f t="shared" si="162"/>
        <v>2.8472222222222204E-2</v>
      </c>
      <c r="N496" s="36" t="str">
        <f t="shared" si="162"/>
        <v>B737-800</v>
      </c>
      <c r="O496" s="36">
        <f t="shared" si="162"/>
        <v>189</v>
      </c>
      <c r="P496" s="36" t="str">
        <f t="shared" si="162"/>
        <v>LAX</v>
      </c>
      <c r="R496">
        <v>482</v>
      </c>
      <c r="S496" s="36" t="str">
        <f t="shared" si="159"/>
        <v>MEXICO AEREO</v>
      </c>
      <c r="T496" s="36">
        <f t="shared" si="159"/>
        <v>781</v>
      </c>
      <c r="U496" s="83">
        <v>0.24097222222222223</v>
      </c>
      <c r="V496" s="84">
        <v>0.24791666666666667</v>
      </c>
      <c r="W496" s="85">
        <v>6.9444444444444475E-3</v>
      </c>
      <c r="X496" s="84">
        <v>0.28333333333333333</v>
      </c>
      <c r="Y496" s="85">
        <v>3.5416666666666652E-2</v>
      </c>
      <c r="Z496" s="86">
        <v>41758</v>
      </c>
      <c r="AA496" s="36" t="str">
        <f t="shared" si="160"/>
        <v>Internacional</v>
      </c>
      <c r="AB496" s="36">
        <f t="shared" si="160"/>
        <v>1.0995370370370371E-2</v>
      </c>
      <c r="AC496" s="36">
        <f t="shared" si="160"/>
        <v>2.4652777777777773E-2</v>
      </c>
      <c r="AD496" s="36">
        <f t="shared" si="160"/>
        <v>3.5648148148148144E-2</v>
      </c>
      <c r="AE496" s="36" t="str">
        <f t="shared" si="160"/>
        <v>B737-800</v>
      </c>
      <c r="AF496" s="36">
        <f t="shared" si="160"/>
        <v>189</v>
      </c>
      <c r="AG496" s="36" t="str">
        <f t="shared" si="160"/>
        <v>ONT</v>
      </c>
      <c r="AI496">
        <v>482</v>
      </c>
      <c r="AJ496" s="77" t="str">
        <f t="shared" si="164"/>
        <v>MEXICO AEREO</v>
      </c>
      <c r="AK496" s="77">
        <f t="shared" si="164"/>
        <v>661</v>
      </c>
      <c r="AL496" s="78">
        <v>0.25347222222222221</v>
      </c>
      <c r="AM496" s="79">
        <v>0.27083333333333331</v>
      </c>
      <c r="AN496" s="80">
        <v>1.7361111111111105E-2</v>
      </c>
      <c r="AO496" s="79">
        <v>0.29166666666666669</v>
      </c>
      <c r="AP496" s="80">
        <v>2.083333333333337E-2</v>
      </c>
      <c r="AQ496" s="81">
        <v>41794</v>
      </c>
      <c r="AR496" s="77" t="str">
        <f t="shared" si="165"/>
        <v>Internacional</v>
      </c>
      <c r="AS496" s="77">
        <f t="shared" si="165"/>
        <v>1.0294117647058827E-2</v>
      </c>
      <c r="AT496" s="77">
        <f t="shared" si="165"/>
        <v>1.9485294117647069E-2</v>
      </c>
      <c r="AU496" s="77">
        <f t="shared" si="165"/>
        <v>2.9779411764705895E-2</v>
      </c>
      <c r="AV496" s="77">
        <f t="shared" si="165"/>
        <v>738</v>
      </c>
      <c r="AW496" s="77">
        <f t="shared" si="165"/>
        <v>189</v>
      </c>
      <c r="AX496" s="77" t="str">
        <f t="shared" si="165"/>
        <v>ORD</v>
      </c>
    </row>
    <row r="497" spans="1:50" x14ac:dyDescent="0.25">
      <c r="A497">
        <v>483</v>
      </c>
      <c r="B497" s="36" t="str">
        <f t="shared" si="161"/>
        <v>VUELOS AL NORTE</v>
      </c>
      <c r="C497" s="36">
        <f t="shared" si="161"/>
        <v>248</v>
      </c>
      <c r="D497" s="74">
        <v>0.4597222222222222</v>
      </c>
      <c r="E497" s="74">
        <v>0.47222222222222227</v>
      </c>
      <c r="F497" s="75">
        <v>1.2500000000000067E-2</v>
      </c>
      <c r="G497" s="74">
        <v>0.48888888888888887</v>
      </c>
      <c r="H497" s="75">
        <v>1.6666666666666607E-2</v>
      </c>
      <c r="I497" s="76">
        <v>41726</v>
      </c>
      <c r="J497" s="36" t="str">
        <f t="shared" si="162"/>
        <v>Internacional</v>
      </c>
      <c r="K497" s="36">
        <f t="shared" si="162"/>
        <v>1.4236111111111111E-2</v>
      </c>
      <c r="L497" s="36">
        <f t="shared" si="162"/>
        <v>1.4236111111111093E-2</v>
      </c>
      <c r="M497" s="36">
        <f t="shared" si="162"/>
        <v>2.8472222222222204E-2</v>
      </c>
      <c r="N497" s="36" t="str">
        <f t="shared" si="162"/>
        <v>B737-800</v>
      </c>
      <c r="O497" s="36">
        <f t="shared" si="162"/>
        <v>189</v>
      </c>
      <c r="P497" s="36" t="str">
        <f t="shared" si="162"/>
        <v>LAX</v>
      </c>
      <c r="R497">
        <v>483</v>
      </c>
      <c r="S497" s="36" t="str">
        <f t="shared" si="159"/>
        <v>MEXICO AEREO</v>
      </c>
      <c r="T497" s="55">
        <v>779</v>
      </c>
      <c r="U497" s="56">
        <v>0.92361111111111116</v>
      </c>
      <c r="V497" s="57">
        <v>0.92986111111111114</v>
      </c>
      <c r="W497" s="58">
        <v>6.2499999999999778E-3</v>
      </c>
      <c r="X497" s="57">
        <v>0.93472222222222223</v>
      </c>
      <c r="Y497" s="58">
        <v>4.8611111111110938E-3</v>
      </c>
      <c r="Z497" s="59">
        <v>41730</v>
      </c>
      <c r="AA497" s="60" t="s">
        <v>19</v>
      </c>
      <c r="AB497" s="61">
        <v>7.2916666666666408E-3</v>
      </c>
      <c r="AC497" s="61">
        <v>3.9062500000000139E-3</v>
      </c>
      <c r="AD497" s="62">
        <v>1.1197916666666655E-2</v>
      </c>
      <c r="AE497" s="109" t="s">
        <v>39</v>
      </c>
      <c r="AF497" s="109">
        <v>189</v>
      </c>
      <c r="AG497" s="109" t="s">
        <v>35</v>
      </c>
      <c r="AI497">
        <v>483</v>
      </c>
      <c r="AJ497" s="77" t="str">
        <f t="shared" si="164"/>
        <v>MEXICO AEREO</v>
      </c>
      <c r="AK497" s="77">
        <f t="shared" si="164"/>
        <v>661</v>
      </c>
      <c r="AL497" s="78">
        <v>0.23541666666666669</v>
      </c>
      <c r="AM497" s="79">
        <v>0.24374999999999999</v>
      </c>
      <c r="AN497" s="80">
        <v>8.3333333333333037E-3</v>
      </c>
      <c r="AO497" s="79">
        <v>0.28750000000000003</v>
      </c>
      <c r="AP497" s="80">
        <v>4.3750000000000039E-2</v>
      </c>
      <c r="AQ497" s="81">
        <v>41795</v>
      </c>
      <c r="AR497" s="77" t="str">
        <f t="shared" si="165"/>
        <v>Internacional</v>
      </c>
      <c r="AS497" s="77">
        <f t="shared" si="165"/>
        <v>1.0294117647058827E-2</v>
      </c>
      <c r="AT497" s="77">
        <f t="shared" si="165"/>
        <v>1.9485294117647069E-2</v>
      </c>
      <c r="AU497" s="77">
        <f t="shared" si="165"/>
        <v>2.9779411764705895E-2</v>
      </c>
      <c r="AV497" s="77">
        <f t="shared" si="165"/>
        <v>738</v>
      </c>
      <c r="AW497" s="77">
        <f t="shared" si="165"/>
        <v>189</v>
      </c>
      <c r="AX497" s="77" t="str">
        <f t="shared" si="165"/>
        <v>ORD</v>
      </c>
    </row>
    <row r="498" spans="1:50" x14ac:dyDescent="0.25">
      <c r="A498">
        <v>484</v>
      </c>
      <c r="B498" s="36" t="str">
        <f t="shared" si="161"/>
        <v>VUELOS AL NORTE</v>
      </c>
      <c r="C498" s="36">
        <f t="shared" si="161"/>
        <v>248</v>
      </c>
      <c r="D498" s="74">
        <v>0.46875</v>
      </c>
      <c r="E498" s="74">
        <v>0.48055555555555557</v>
      </c>
      <c r="F498" s="75">
        <v>1.1805555555555569E-2</v>
      </c>
      <c r="G498" s="74">
        <v>0.49513888888888885</v>
      </c>
      <c r="H498" s="75">
        <v>1.4583333333333282E-2</v>
      </c>
      <c r="I498" s="76">
        <v>41727</v>
      </c>
      <c r="J498" s="36" t="str">
        <f t="shared" si="162"/>
        <v>Internacional</v>
      </c>
      <c r="K498" s="36">
        <f t="shared" si="162"/>
        <v>1.4236111111111111E-2</v>
      </c>
      <c r="L498" s="36">
        <f t="shared" si="162"/>
        <v>1.4236111111111093E-2</v>
      </c>
      <c r="M498" s="36">
        <f t="shared" si="162"/>
        <v>2.8472222222222204E-2</v>
      </c>
      <c r="N498" s="36" t="str">
        <f t="shared" si="162"/>
        <v>B737-800</v>
      </c>
      <c r="O498" s="36">
        <f t="shared" si="162"/>
        <v>189</v>
      </c>
      <c r="P498" s="36" t="str">
        <f t="shared" si="162"/>
        <v>LAX</v>
      </c>
      <c r="R498">
        <v>484</v>
      </c>
      <c r="S498" s="36" t="str">
        <f t="shared" si="159"/>
        <v>MEXICO AEREO</v>
      </c>
      <c r="T498" s="36">
        <f t="shared" si="159"/>
        <v>779</v>
      </c>
      <c r="U498" s="73">
        <v>0.9159722222222223</v>
      </c>
      <c r="V498" s="74">
        <v>0.92569444444444438</v>
      </c>
      <c r="W498" s="75">
        <v>9.7222222222220767E-3</v>
      </c>
      <c r="X498" s="74">
        <v>0.92986111111111114</v>
      </c>
      <c r="Y498" s="75">
        <v>4.1666666666667629E-3</v>
      </c>
      <c r="Z498" s="76">
        <v>41731</v>
      </c>
      <c r="AA498" s="36" t="str">
        <f t="shared" ref="AA498:AG504" si="166">AA497</f>
        <v>Nacional</v>
      </c>
      <c r="AB498" s="36">
        <f t="shared" si="166"/>
        <v>7.2916666666666408E-3</v>
      </c>
      <c r="AC498" s="36">
        <f t="shared" si="166"/>
        <v>3.9062500000000139E-3</v>
      </c>
      <c r="AD498" s="36">
        <f t="shared" si="166"/>
        <v>1.1197916666666655E-2</v>
      </c>
      <c r="AE498" s="36" t="str">
        <f t="shared" si="166"/>
        <v>B737-800</v>
      </c>
      <c r="AF498" s="36">
        <f t="shared" si="166"/>
        <v>189</v>
      </c>
      <c r="AG498" s="36" t="str">
        <f t="shared" si="166"/>
        <v>CUL</v>
      </c>
      <c r="AI498">
        <v>484</v>
      </c>
      <c r="AJ498" s="77" t="str">
        <f t="shared" si="164"/>
        <v>MEXICO AEREO</v>
      </c>
      <c r="AK498" s="77">
        <f t="shared" si="164"/>
        <v>661</v>
      </c>
      <c r="AL498" s="78">
        <v>0.25625000000000003</v>
      </c>
      <c r="AM498" s="79">
        <v>0.28680555555555554</v>
      </c>
      <c r="AN498" s="80">
        <v>3.0555555555555503E-2</v>
      </c>
      <c r="AO498" s="79">
        <v>0.30416666666666664</v>
      </c>
      <c r="AP498" s="80">
        <v>1.7361111111111105E-2</v>
      </c>
      <c r="AQ498" s="81">
        <v>41798</v>
      </c>
      <c r="AR498" s="77" t="str">
        <f t="shared" si="165"/>
        <v>Internacional</v>
      </c>
      <c r="AS498" s="77">
        <f t="shared" si="165"/>
        <v>1.0294117647058827E-2</v>
      </c>
      <c r="AT498" s="77">
        <f t="shared" si="165"/>
        <v>1.9485294117647069E-2</v>
      </c>
      <c r="AU498" s="77">
        <f t="shared" si="165"/>
        <v>2.9779411764705895E-2</v>
      </c>
      <c r="AV498" s="77">
        <f t="shared" si="165"/>
        <v>738</v>
      </c>
      <c r="AW498" s="77">
        <f t="shared" si="165"/>
        <v>189</v>
      </c>
      <c r="AX498" s="77" t="str">
        <f t="shared" si="165"/>
        <v>ORD</v>
      </c>
    </row>
    <row r="499" spans="1:50" x14ac:dyDescent="0.25">
      <c r="A499">
        <v>485</v>
      </c>
      <c r="B499" s="36" t="str">
        <f t="shared" si="161"/>
        <v>VUELOS AL NORTE</v>
      </c>
      <c r="C499" s="36">
        <f t="shared" si="161"/>
        <v>248</v>
      </c>
      <c r="D499" s="74">
        <v>0.45555555555555555</v>
      </c>
      <c r="E499" s="74">
        <v>0.46736111111111112</v>
      </c>
      <c r="F499" s="75">
        <v>1.1805555555555569E-2</v>
      </c>
      <c r="G499" s="74">
        <v>0.4694444444444445</v>
      </c>
      <c r="H499" s="75">
        <v>2.0833333333333814E-3</v>
      </c>
      <c r="I499" s="76">
        <v>41728</v>
      </c>
      <c r="J499" s="36" t="str">
        <f t="shared" si="162"/>
        <v>Internacional</v>
      </c>
      <c r="K499" s="36">
        <f t="shared" si="162"/>
        <v>1.4236111111111111E-2</v>
      </c>
      <c r="L499" s="36">
        <f t="shared" si="162"/>
        <v>1.4236111111111093E-2</v>
      </c>
      <c r="M499" s="36">
        <f t="shared" si="162"/>
        <v>2.8472222222222204E-2</v>
      </c>
      <c r="N499" s="36" t="str">
        <f t="shared" si="162"/>
        <v>B737-800</v>
      </c>
      <c r="O499" s="36">
        <f t="shared" si="162"/>
        <v>189</v>
      </c>
      <c r="P499" s="36" t="str">
        <f t="shared" si="162"/>
        <v>LAX</v>
      </c>
      <c r="R499">
        <v>485</v>
      </c>
      <c r="S499" s="36" t="str">
        <f t="shared" si="159"/>
        <v>MEXICO AEREO</v>
      </c>
      <c r="T499" s="36">
        <f t="shared" si="159"/>
        <v>779</v>
      </c>
      <c r="U499" s="73">
        <v>0.91180555555555554</v>
      </c>
      <c r="V499" s="74">
        <v>0.91527777777777775</v>
      </c>
      <c r="W499" s="75">
        <v>3.4722222222222099E-3</v>
      </c>
      <c r="X499" s="74">
        <v>0.92152777777777783</v>
      </c>
      <c r="Y499" s="75">
        <v>6.2500000000000888E-3</v>
      </c>
      <c r="Z499" s="76">
        <v>41732</v>
      </c>
      <c r="AA499" s="36" t="str">
        <f t="shared" si="166"/>
        <v>Nacional</v>
      </c>
      <c r="AB499" s="36">
        <f t="shared" si="166"/>
        <v>7.2916666666666408E-3</v>
      </c>
      <c r="AC499" s="36">
        <f t="shared" si="166"/>
        <v>3.9062500000000139E-3</v>
      </c>
      <c r="AD499" s="36">
        <f t="shared" si="166"/>
        <v>1.1197916666666655E-2</v>
      </c>
      <c r="AE499" s="36" t="str">
        <f t="shared" si="166"/>
        <v>B737-800</v>
      </c>
      <c r="AF499" s="36">
        <f t="shared" si="166"/>
        <v>189</v>
      </c>
      <c r="AG499" s="36" t="str">
        <f t="shared" si="166"/>
        <v>CUL</v>
      </c>
      <c r="AI499">
        <v>485</v>
      </c>
      <c r="AJ499" s="77" t="str">
        <f t="shared" si="164"/>
        <v>MEXICO AEREO</v>
      </c>
      <c r="AK499" s="77">
        <f t="shared" si="164"/>
        <v>661</v>
      </c>
      <c r="AL499" s="78">
        <v>0.24374999999999999</v>
      </c>
      <c r="AM499" s="79">
        <v>0.2673611111111111</v>
      </c>
      <c r="AN499" s="80">
        <v>2.361111111111111E-2</v>
      </c>
      <c r="AO499" s="79">
        <v>0.30069444444444443</v>
      </c>
      <c r="AP499" s="80">
        <v>3.3333333333333326E-2</v>
      </c>
      <c r="AQ499" s="81">
        <v>41800</v>
      </c>
      <c r="AR499" s="77" t="str">
        <f t="shared" si="165"/>
        <v>Internacional</v>
      </c>
      <c r="AS499" s="77">
        <f t="shared" si="165"/>
        <v>1.0294117647058827E-2</v>
      </c>
      <c r="AT499" s="77">
        <f t="shared" si="165"/>
        <v>1.9485294117647069E-2</v>
      </c>
      <c r="AU499" s="77">
        <f t="shared" si="165"/>
        <v>2.9779411764705895E-2</v>
      </c>
      <c r="AV499" s="77">
        <f t="shared" si="165"/>
        <v>738</v>
      </c>
      <c r="AW499" s="77">
        <f t="shared" si="165"/>
        <v>189</v>
      </c>
      <c r="AX499" s="77" t="str">
        <f t="shared" si="165"/>
        <v>ORD</v>
      </c>
    </row>
    <row r="500" spans="1:50" ht="15.75" thickBot="1" x14ac:dyDescent="0.3">
      <c r="A500">
        <v>486</v>
      </c>
      <c r="B500" s="36" t="str">
        <f t="shared" si="161"/>
        <v>VUELOS AL NORTE</v>
      </c>
      <c r="C500" s="36">
        <f t="shared" si="161"/>
        <v>248</v>
      </c>
      <c r="D500" s="84">
        <v>0.46458333333333335</v>
      </c>
      <c r="E500" s="84">
        <v>0.48055555555555557</v>
      </c>
      <c r="F500" s="85">
        <v>1.5972222222222221E-2</v>
      </c>
      <c r="G500" s="84">
        <v>0.49583333333333335</v>
      </c>
      <c r="H500" s="85">
        <v>1.5277777777777779E-2</v>
      </c>
      <c r="I500" s="86">
        <v>41729</v>
      </c>
      <c r="J500" s="36" t="str">
        <f t="shared" si="162"/>
        <v>Internacional</v>
      </c>
      <c r="K500" s="36">
        <f t="shared" si="162"/>
        <v>1.4236111111111111E-2</v>
      </c>
      <c r="L500" s="36">
        <f t="shared" si="162"/>
        <v>1.4236111111111093E-2</v>
      </c>
      <c r="M500" s="36">
        <f t="shared" si="162"/>
        <v>2.8472222222222204E-2</v>
      </c>
      <c r="N500" s="36" t="str">
        <f t="shared" si="162"/>
        <v>B737-800</v>
      </c>
      <c r="O500" s="36">
        <f t="shared" si="162"/>
        <v>189</v>
      </c>
      <c r="P500" s="36" t="str">
        <f t="shared" si="162"/>
        <v>LAX</v>
      </c>
      <c r="R500">
        <v>486</v>
      </c>
      <c r="S500" s="36" t="str">
        <f t="shared" si="159"/>
        <v>MEXICO AEREO</v>
      </c>
      <c r="T500" s="36">
        <f t="shared" si="159"/>
        <v>779</v>
      </c>
      <c r="U500" s="73">
        <v>0.91805555555555562</v>
      </c>
      <c r="V500" s="74">
        <v>0.92499999999999993</v>
      </c>
      <c r="W500" s="75">
        <v>6.9444444444443088E-3</v>
      </c>
      <c r="X500" s="74">
        <v>0.9291666666666667</v>
      </c>
      <c r="Y500" s="75">
        <v>4.1666666666667629E-3</v>
      </c>
      <c r="Z500" s="76">
        <v>41734</v>
      </c>
      <c r="AA500" s="36" t="str">
        <f t="shared" si="166"/>
        <v>Nacional</v>
      </c>
      <c r="AB500" s="36">
        <f t="shared" si="166"/>
        <v>7.2916666666666408E-3</v>
      </c>
      <c r="AC500" s="36">
        <f t="shared" si="166"/>
        <v>3.9062500000000139E-3</v>
      </c>
      <c r="AD500" s="36">
        <f t="shared" si="166"/>
        <v>1.1197916666666655E-2</v>
      </c>
      <c r="AE500" s="36" t="str">
        <f t="shared" si="166"/>
        <v>B737-800</v>
      </c>
      <c r="AF500" s="36">
        <f t="shared" si="166"/>
        <v>189</v>
      </c>
      <c r="AG500" s="36" t="str">
        <f t="shared" si="166"/>
        <v>CUL</v>
      </c>
      <c r="AI500">
        <v>486</v>
      </c>
      <c r="AJ500" s="77" t="str">
        <f t="shared" si="164"/>
        <v>MEXICO AEREO</v>
      </c>
      <c r="AK500" s="77">
        <f t="shared" si="164"/>
        <v>661</v>
      </c>
      <c r="AL500" s="78">
        <v>0.48472222222222222</v>
      </c>
      <c r="AM500" s="79">
        <v>0.49374999999999997</v>
      </c>
      <c r="AN500" s="80">
        <v>9.0277777777777457E-3</v>
      </c>
      <c r="AO500" s="79">
        <v>0.50694444444444442</v>
      </c>
      <c r="AP500" s="80">
        <v>1.3194444444444453E-2</v>
      </c>
      <c r="AQ500" s="81">
        <v>41800</v>
      </c>
      <c r="AR500" s="77" t="str">
        <f t="shared" si="165"/>
        <v>Internacional</v>
      </c>
      <c r="AS500" s="77">
        <f t="shared" si="165"/>
        <v>1.0294117647058827E-2</v>
      </c>
      <c r="AT500" s="77">
        <f t="shared" si="165"/>
        <v>1.9485294117647069E-2</v>
      </c>
      <c r="AU500" s="77">
        <f t="shared" si="165"/>
        <v>2.9779411764705895E-2</v>
      </c>
      <c r="AV500" s="77">
        <f t="shared" si="165"/>
        <v>738</v>
      </c>
      <c r="AW500" s="77">
        <f t="shared" si="165"/>
        <v>189</v>
      </c>
      <c r="AX500" s="77" t="str">
        <f t="shared" si="165"/>
        <v>ORD</v>
      </c>
    </row>
    <row r="501" spans="1:50" x14ac:dyDescent="0.25">
      <c r="A501">
        <v>487</v>
      </c>
      <c r="B501" s="36" t="str">
        <f t="shared" si="161"/>
        <v>VUELOS AL NORTE</v>
      </c>
      <c r="C501" s="88">
        <v>242</v>
      </c>
      <c r="D501" s="57">
        <v>0.26180555555555557</v>
      </c>
      <c r="E501" s="57">
        <v>0.2638888888888889</v>
      </c>
      <c r="F501" s="58">
        <v>2.0833333333333259E-3</v>
      </c>
      <c r="G501" s="57">
        <v>0.29166666666666669</v>
      </c>
      <c r="H501" s="58">
        <v>2.777777777777779E-2</v>
      </c>
      <c r="I501" s="59">
        <v>41713</v>
      </c>
      <c r="J501" s="108" t="s">
        <v>22</v>
      </c>
      <c r="K501" s="61">
        <v>1.4957264957264953E-2</v>
      </c>
      <c r="L501" s="61">
        <v>2.5213675213675218E-2</v>
      </c>
      <c r="M501" s="142">
        <v>4.0170940170940167E-2</v>
      </c>
      <c r="N501" s="90" t="s">
        <v>39</v>
      </c>
      <c r="O501" s="91">
        <v>189</v>
      </c>
      <c r="P501" s="92" t="s">
        <v>40</v>
      </c>
      <c r="R501">
        <v>487</v>
      </c>
      <c r="S501" s="36" t="str">
        <f t="shared" si="159"/>
        <v>MEXICO AEREO</v>
      </c>
      <c r="T501" s="36">
        <f t="shared" si="159"/>
        <v>779</v>
      </c>
      <c r="U501" s="73">
        <v>0.9145833333333333</v>
      </c>
      <c r="V501" s="74">
        <v>0.92361111111111116</v>
      </c>
      <c r="W501" s="75">
        <v>9.0277777777778567E-3</v>
      </c>
      <c r="X501" s="74">
        <v>0.92708333333333337</v>
      </c>
      <c r="Y501" s="75">
        <v>3.4722222222222099E-3</v>
      </c>
      <c r="Z501" s="76">
        <v>41734</v>
      </c>
      <c r="AA501" s="36" t="str">
        <f t="shared" si="166"/>
        <v>Nacional</v>
      </c>
      <c r="AB501" s="36">
        <f t="shared" si="166"/>
        <v>7.2916666666666408E-3</v>
      </c>
      <c r="AC501" s="36">
        <f t="shared" si="166"/>
        <v>3.9062500000000139E-3</v>
      </c>
      <c r="AD501" s="36">
        <f t="shared" si="166"/>
        <v>1.1197916666666655E-2</v>
      </c>
      <c r="AE501" s="36" t="str">
        <f t="shared" si="166"/>
        <v>B737-800</v>
      </c>
      <c r="AF501" s="36">
        <f t="shared" si="166"/>
        <v>189</v>
      </c>
      <c r="AG501" s="36" t="str">
        <f t="shared" si="166"/>
        <v>CUL</v>
      </c>
      <c r="AI501">
        <v>487</v>
      </c>
      <c r="AJ501" s="77" t="str">
        <f t="shared" si="164"/>
        <v>MEXICO AEREO</v>
      </c>
      <c r="AK501" s="77">
        <f t="shared" si="164"/>
        <v>661</v>
      </c>
      <c r="AL501" s="78">
        <v>0.2673611111111111</v>
      </c>
      <c r="AM501" s="79">
        <v>0.27361111111111108</v>
      </c>
      <c r="AN501" s="80">
        <v>6.2499999999999778E-3</v>
      </c>
      <c r="AO501" s="79">
        <v>0.27916666666666667</v>
      </c>
      <c r="AP501" s="80">
        <v>5.5555555555555913E-3</v>
      </c>
      <c r="AQ501" s="81">
        <v>41801</v>
      </c>
      <c r="AR501" s="77" t="str">
        <f t="shared" si="165"/>
        <v>Internacional</v>
      </c>
      <c r="AS501" s="77">
        <f t="shared" si="165"/>
        <v>1.0294117647058827E-2</v>
      </c>
      <c r="AT501" s="77">
        <f t="shared" si="165"/>
        <v>1.9485294117647069E-2</v>
      </c>
      <c r="AU501" s="77">
        <f t="shared" si="165"/>
        <v>2.9779411764705895E-2</v>
      </c>
      <c r="AV501" s="77">
        <f t="shared" si="165"/>
        <v>738</v>
      </c>
      <c r="AW501" s="77">
        <f t="shared" si="165"/>
        <v>189</v>
      </c>
      <c r="AX501" s="77" t="str">
        <f t="shared" si="165"/>
        <v>ORD</v>
      </c>
    </row>
    <row r="502" spans="1:50" x14ac:dyDescent="0.25">
      <c r="A502">
        <v>488</v>
      </c>
      <c r="B502" s="36" t="str">
        <f t="shared" si="161"/>
        <v>VUELOS AL NORTE</v>
      </c>
      <c r="C502" s="36">
        <f t="shared" si="161"/>
        <v>242</v>
      </c>
      <c r="D502" s="74">
        <v>0.20486111111111113</v>
      </c>
      <c r="E502" s="74">
        <v>0.22430555555555556</v>
      </c>
      <c r="F502" s="75">
        <v>1.9444444444444431E-2</v>
      </c>
      <c r="G502" s="74">
        <v>0.25138888888888888</v>
      </c>
      <c r="H502" s="75">
        <v>2.708333333333332E-2</v>
      </c>
      <c r="I502" s="76">
        <v>41716</v>
      </c>
      <c r="J502" s="36" t="str">
        <f t="shared" ref="J502:P513" si="167">J501</f>
        <v>Internacional</v>
      </c>
      <c r="K502" s="36">
        <f t="shared" si="167"/>
        <v>1.4957264957264953E-2</v>
      </c>
      <c r="L502" s="36">
        <f t="shared" si="167"/>
        <v>2.5213675213675218E-2</v>
      </c>
      <c r="M502" s="36">
        <f t="shared" si="167"/>
        <v>4.0170940170940167E-2</v>
      </c>
      <c r="N502" s="36" t="str">
        <f t="shared" si="167"/>
        <v>B737-800</v>
      </c>
      <c r="O502" s="36">
        <f t="shared" si="167"/>
        <v>189</v>
      </c>
      <c r="P502" s="36" t="str">
        <f t="shared" si="167"/>
        <v>LAX</v>
      </c>
      <c r="R502">
        <v>488</v>
      </c>
      <c r="S502" s="36" t="str">
        <f t="shared" si="159"/>
        <v>MEXICO AEREO</v>
      </c>
      <c r="T502" s="36">
        <f t="shared" si="159"/>
        <v>779</v>
      </c>
      <c r="U502" s="73">
        <v>0.4236111111111111</v>
      </c>
      <c r="V502" s="74">
        <v>0.42430555555555555</v>
      </c>
      <c r="W502" s="75">
        <v>6.9444444444444198E-4</v>
      </c>
      <c r="X502" s="74">
        <v>0.42569444444444443</v>
      </c>
      <c r="Y502" s="75">
        <v>1.388888888888884E-3</v>
      </c>
      <c r="Z502" s="76">
        <v>41735</v>
      </c>
      <c r="AA502" s="36" t="str">
        <f t="shared" si="166"/>
        <v>Nacional</v>
      </c>
      <c r="AB502" s="36">
        <f t="shared" si="166"/>
        <v>7.2916666666666408E-3</v>
      </c>
      <c r="AC502" s="36">
        <f t="shared" si="166"/>
        <v>3.9062500000000139E-3</v>
      </c>
      <c r="AD502" s="36">
        <f t="shared" si="166"/>
        <v>1.1197916666666655E-2</v>
      </c>
      <c r="AE502" s="36" t="str">
        <f t="shared" si="166"/>
        <v>B737-800</v>
      </c>
      <c r="AF502" s="36">
        <f t="shared" si="166"/>
        <v>189</v>
      </c>
      <c r="AG502" s="36" t="str">
        <f t="shared" si="166"/>
        <v>CUL</v>
      </c>
      <c r="AI502">
        <v>488</v>
      </c>
      <c r="AJ502" s="77" t="str">
        <f t="shared" si="164"/>
        <v>MEXICO AEREO</v>
      </c>
      <c r="AK502" s="77">
        <f t="shared" si="164"/>
        <v>661</v>
      </c>
      <c r="AL502" s="78">
        <v>0.53680555555555554</v>
      </c>
      <c r="AM502" s="79">
        <v>0.54513888888888895</v>
      </c>
      <c r="AN502" s="80">
        <v>8.3333333333334147E-3</v>
      </c>
      <c r="AO502" s="79">
        <v>0.55208333333333337</v>
      </c>
      <c r="AP502" s="80">
        <v>6.9444444444444198E-3</v>
      </c>
      <c r="AQ502" s="81">
        <v>41802</v>
      </c>
      <c r="AR502" s="77" t="str">
        <f t="shared" si="165"/>
        <v>Internacional</v>
      </c>
      <c r="AS502" s="77">
        <f t="shared" si="165"/>
        <v>1.0294117647058827E-2</v>
      </c>
      <c r="AT502" s="77">
        <f t="shared" si="165"/>
        <v>1.9485294117647069E-2</v>
      </c>
      <c r="AU502" s="77">
        <f t="shared" si="165"/>
        <v>2.9779411764705895E-2</v>
      </c>
      <c r="AV502" s="77">
        <f t="shared" si="165"/>
        <v>738</v>
      </c>
      <c r="AW502" s="77">
        <f t="shared" si="165"/>
        <v>189</v>
      </c>
      <c r="AX502" s="77" t="str">
        <f t="shared" si="165"/>
        <v>ORD</v>
      </c>
    </row>
    <row r="503" spans="1:50" x14ac:dyDescent="0.25">
      <c r="A503">
        <v>489</v>
      </c>
      <c r="B503" s="36" t="str">
        <f t="shared" si="161"/>
        <v>VUELOS AL NORTE</v>
      </c>
      <c r="C503" s="36">
        <f t="shared" si="161"/>
        <v>242</v>
      </c>
      <c r="D503" s="74">
        <v>0.18194444444444444</v>
      </c>
      <c r="E503" s="74">
        <v>0.19999999999999998</v>
      </c>
      <c r="F503" s="75">
        <v>1.8055555555555547E-2</v>
      </c>
      <c r="G503" s="74">
        <v>0.2298611111111111</v>
      </c>
      <c r="H503" s="75">
        <v>2.9861111111111116E-2</v>
      </c>
      <c r="I503" s="76">
        <v>41717</v>
      </c>
      <c r="J503" s="36" t="str">
        <f t="shared" si="167"/>
        <v>Internacional</v>
      </c>
      <c r="K503" s="36">
        <f t="shared" si="167"/>
        <v>1.4957264957264953E-2</v>
      </c>
      <c r="L503" s="36">
        <f t="shared" si="167"/>
        <v>2.5213675213675218E-2</v>
      </c>
      <c r="M503" s="36">
        <f t="shared" si="167"/>
        <v>4.0170940170940167E-2</v>
      </c>
      <c r="N503" s="36" t="str">
        <f t="shared" si="167"/>
        <v>B737-800</v>
      </c>
      <c r="O503" s="36">
        <f t="shared" si="167"/>
        <v>189</v>
      </c>
      <c r="P503" s="36" t="str">
        <f t="shared" si="167"/>
        <v>LAX</v>
      </c>
      <c r="R503">
        <v>489</v>
      </c>
      <c r="S503" s="36" t="str">
        <f t="shared" si="159"/>
        <v>MEXICO AEREO</v>
      </c>
      <c r="T503" s="36">
        <f t="shared" si="159"/>
        <v>779</v>
      </c>
      <c r="U503" s="73">
        <v>0.92361111111111116</v>
      </c>
      <c r="V503" s="74">
        <v>0.92986111111111114</v>
      </c>
      <c r="W503" s="75">
        <v>6.2499999999999778E-3</v>
      </c>
      <c r="X503" s="74">
        <v>0.93472222222222223</v>
      </c>
      <c r="Y503" s="75">
        <v>4.8611111111110938E-3</v>
      </c>
      <c r="Z503" s="76">
        <v>41742</v>
      </c>
      <c r="AA503" s="36" t="str">
        <f t="shared" si="166"/>
        <v>Nacional</v>
      </c>
      <c r="AB503" s="36">
        <f t="shared" si="166"/>
        <v>7.2916666666666408E-3</v>
      </c>
      <c r="AC503" s="36">
        <f t="shared" si="166"/>
        <v>3.9062500000000139E-3</v>
      </c>
      <c r="AD503" s="36">
        <f t="shared" si="166"/>
        <v>1.1197916666666655E-2</v>
      </c>
      <c r="AE503" s="36" t="str">
        <f t="shared" si="166"/>
        <v>B737-800</v>
      </c>
      <c r="AF503" s="36">
        <f t="shared" si="166"/>
        <v>189</v>
      </c>
      <c r="AG503" s="36" t="str">
        <f t="shared" si="166"/>
        <v>CUL</v>
      </c>
      <c r="AI503">
        <v>489</v>
      </c>
      <c r="AJ503" s="77" t="str">
        <f t="shared" si="164"/>
        <v>MEXICO AEREO</v>
      </c>
      <c r="AK503" s="77">
        <f t="shared" si="164"/>
        <v>661</v>
      </c>
      <c r="AL503" s="78">
        <v>0.52152777777777781</v>
      </c>
      <c r="AM503" s="79">
        <v>0.5229166666666667</v>
      </c>
      <c r="AN503" s="80">
        <v>1.388888888888884E-3</v>
      </c>
      <c r="AO503" s="79">
        <v>0.52569444444444446</v>
      </c>
      <c r="AP503" s="80">
        <v>2.7777777777777679E-3</v>
      </c>
      <c r="AQ503" s="81">
        <v>41803</v>
      </c>
      <c r="AR503" s="77" t="str">
        <f t="shared" si="165"/>
        <v>Internacional</v>
      </c>
      <c r="AS503" s="77">
        <f t="shared" si="165"/>
        <v>1.0294117647058827E-2</v>
      </c>
      <c r="AT503" s="77">
        <f t="shared" si="165"/>
        <v>1.9485294117647069E-2</v>
      </c>
      <c r="AU503" s="77">
        <f t="shared" si="165"/>
        <v>2.9779411764705895E-2</v>
      </c>
      <c r="AV503" s="77">
        <f t="shared" si="165"/>
        <v>738</v>
      </c>
      <c r="AW503" s="77">
        <f t="shared" si="165"/>
        <v>189</v>
      </c>
      <c r="AX503" s="77" t="str">
        <f t="shared" si="165"/>
        <v>ORD</v>
      </c>
    </row>
    <row r="504" spans="1:50" ht="15.75" thickBot="1" x14ac:dyDescent="0.3">
      <c r="A504">
        <v>490</v>
      </c>
      <c r="B504" s="36" t="str">
        <f t="shared" si="161"/>
        <v>VUELOS AL NORTE</v>
      </c>
      <c r="C504" s="36">
        <f t="shared" si="161"/>
        <v>242</v>
      </c>
      <c r="D504" s="74">
        <v>0.21944444444444444</v>
      </c>
      <c r="E504" s="74">
        <v>0.22152777777777777</v>
      </c>
      <c r="F504" s="75">
        <v>2.0833333333333259E-3</v>
      </c>
      <c r="G504" s="74">
        <v>0.22847222222222222</v>
      </c>
      <c r="H504" s="75">
        <v>6.9444444444444475E-3</v>
      </c>
      <c r="I504" s="76">
        <v>41719</v>
      </c>
      <c r="J504" s="36" t="str">
        <f t="shared" si="167"/>
        <v>Internacional</v>
      </c>
      <c r="K504" s="36">
        <f t="shared" si="167"/>
        <v>1.4957264957264953E-2</v>
      </c>
      <c r="L504" s="36">
        <f t="shared" si="167"/>
        <v>2.5213675213675218E-2</v>
      </c>
      <c r="M504" s="36">
        <f t="shared" si="167"/>
        <v>4.0170940170940167E-2</v>
      </c>
      <c r="N504" s="36" t="str">
        <f t="shared" si="167"/>
        <v>B737-800</v>
      </c>
      <c r="O504" s="36">
        <f t="shared" si="167"/>
        <v>189</v>
      </c>
      <c r="P504" s="36" t="str">
        <f t="shared" si="167"/>
        <v>LAX</v>
      </c>
      <c r="R504">
        <v>490</v>
      </c>
      <c r="S504" s="36" t="str">
        <f t="shared" si="159"/>
        <v>MEXICO AEREO</v>
      </c>
      <c r="T504" s="36">
        <f t="shared" si="159"/>
        <v>779</v>
      </c>
      <c r="U504" s="83">
        <v>1</v>
      </c>
      <c r="V504" s="84">
        <v>1.0159722222222223</v>
      </c>
      <c r="W504" s="85">
        <v>1.5972222222222276E-2</v>
      </c>
      <c r="X504" s="84">
        <v>1.0180555555555555</v>
      </c>
      <c r="Y504" s="85">
        <v>2.0833333333332149E-3</v>
      </c>
      <c r="Z504" s="86">
        <v>41734</v>
      </c>
      <c r="AA504" s="36" t="str">
        <f t="shared" si="166"/>
        <v>Nacional</v>
      </c>
      <c r="AB504" s="36">
        <f t="shared" si="166"/>
        <v>7.2916666666666408E-3</v>
      </c>
      <c r="AC504" s="36">
        <f t="shared" si="166"/>
        <v>3.9062500000000139E-3</v>
      </c>
      <c r="AD504" s="36">
        <f t="shared" si="166"/>
        <v>1.1197916666666655E-2</v>
      </c>
      <c r="AE504" s="36" t="str">
        <f t="shared" si="166"/>
        <v>B737-800</v>
      </c>
      <c r="AF504" s="36">
        <f t="shared" si="166"/>
        <v>189</v>
      </c>
      <c r="AG504" s="36" t="str">
        <f t="shared" si="166"/>
        <v>CUL</v>
      </c>
      <c r="AI504">
        <v>490</v>
      </c>
      <c r="AJ504" s="77" t="str">
        <f t="shared" si="164"/>
        <v>MEXICO AEREO</v>
      </c>
      <c r="AK504" s="77">
        <f t="shared" si="164"/>
        <v>661</v>
      </c>
      <c r="AL504" s="78">
        <v>0.87708333333333333</v>
      </c>
      <c r="AM504" s="79">
        <v>0.88402777777777775</v>
      </c>
      <c r="AN504" s="80">
        <v>6.9444444444444198E-3</v>
      </c>
      <c r="AO504" s="79">
        <v>0.90763888888888899</v>
      </c>
      <c r="AP504" s="80">
        <v>2.3611111111111249E-2</v>
      </c>
      <c r="AQ504" s="81">
        <v>41804</v>
      </c>
      <c r="AR504" s="77" t="str">
        <f t="shared" si="165"/>
        <v>Internacional</v>
      </c>
      <c r="AS504" s="77">
        <f t="shared" si="165"/>
        <v>1.0294117647058827E-2</v>
      </c>
      <c r="AT504" s="77">
        <f t="shared" si="165"/>
        <v>1.9485294117647069E-2</v>
      </c>
      <c r="AU504" s="77">
        <f t="shared" si="165"/>
        <v>2.9779411764705895E-2</v>
      </c>
      <c r="AV504" s="77">
        <f t="shared" si="165"/>
        <v>738</v>
      </c>
      <c r="AW504" s="77">
        <f t="shared" si="165"/>
        <v>189</v>
      </c>
      <c r="AX504" s="77" t="str">
        <f t="shared" si="165"/>
        <v>ORD</v>
      </c>
    </row>
    <row r="505" spans="1:50" x14ac:dyDescent="0.25">
      <c r="A505">
        <v>491</v>
      </c>
      <c r="B505" s="36" t="str">
        <f t="shared" si="161"/>
        <v>VUELOS AL NORTE</v>
      </c>
      <c r="C505" s="36">
        <f t="shared" si="161"/>
        <v>242</v>
      </c>
      <c r="D505" s="74">
        <v>0.20902777777777778</v>
      </c>
      <c r="E505" s="74">
        <v>0.22222222222222221</v>
      </c>
      <c r="F505" s="75">
        <v>1.3194444444444425E-2</v>
      </c>
      <c r="G505" s="74">
        <v>0.24930555555555556</v>
      </c>
      <c r="H505" s="75">
        <v>2.7083333333333348E-2</v>
      </c>
      <c r="I505" s="76">
        <v>41719</v>
      </c>
      <c r="J505" s="36" t="str">
        <f t="shared" si="167"/>
        <v>Internacional</v>
      </c>
      <c r="K505" s="36">
        <f t="shared" si="167"/>
        <v>1.4957264957264953E-2</v>
      </c>
      <c r="L505" s="36">
        <f t="shared" si="167"/>
        <v>2.5213675213675218E-2</v>
      </c>
      <c r="M505" s="36">
        <f t="shared" si="167"/>
        <v>4.0170940170940167E-2</v>
      </c>
      <c r="N505" s="36" t="str">
        <f t="shared" si="167"/>
        <v>B737-800</v>
      </c>
      <c r="O505" s="36">
        <f t="shared" si="167"/>
        <v>189</v>
      </c>
      <c r="P505" s="36" t="str">
        <f t="shared" si="167"/>
        <v>LAX</v>
      </c>
      <c r="R505">
        <v>491</v>
      </c>
      <c r="S505" s="36" t="str">
        <f t="shared" si="159"/>
        <v>MEXICO AEREO</v>
      </c>
      <c r="T505" s="55">
        <v>775</v>
      </c>
      <c r="U505" s="56">
        <v>0.79583333333333339</v>
      </c>
      <c r="V505" s="57">
        <v>0.80694444444444446</v>
      </c>
      <c r="W505" s="58">
        <v>1.1111111111111072E-2</v>
      </c>
      <c r="X505" s="57">
        <v>0.8125</v>
      </c>
      <c r="Y505" s="58">
        <v>5.5555555555555358E-3</v>
      </c>
      <c r="Z505" s="59">
        <v>41759</v>
      </c>
      <c r="AA505" s="60" t="s">
        <v>19</v>
      </c>
      <c r="AB505" s="61">
        <v>6.6666666666666541E-3</v>
      </c>
      <c r="AC505" s="61">
        <v>7.6388888888888947E-3</v>
      </c>
      <c r="AD505" s="62">
        <v>1.4305555555555549E-2</v>
      </c>
      <c r="AE505" s="109" t="s">
        <v>39</v>
      </c>
      <c r="AF505" s="109">
        <v>189</v>
      </c>
      <c r="AG505" s="109" t="s">
        <v>34</v>
      </c>
      <c r="AI505">
        <v>491</v>
      </c>
      <c r="AJ505" s="77" t="str">
        <f t="shared" si="164"/>
        <v>MEXICO AEREO</v>
      </c>
      <c r="AK505" s="77">
        <f t="shared" si="164"/>
        <v>661</v>
      </c>
      <c r="AL505" s="78">
        <v>0.90208333333333324</v>
      </c>
      <c r="AM505" s="79">
        <v>0.90277777777777779</v>
      </c>
      <c r="AN505" s="80">
        <v>6.94444444444553E-4</v>
      </c>
      <c r="AO505" s="79">
        <v>0.90625</v>
      </c>
      <c r="AP505" s="80">
        <v>3.4722222222222099E-3</v>
      </c>
      <c r="AQ505" s="81">
        <v>41805</v>
      </c>
      <c r="AR505" s="77" t="str">
        <f t="shared" si="165"/>
        <v>Internacional</v>
      </c>
      <c r="AS505" s="77">
        <f t="shared" si="165"/>
        <v>1.0294117647058827E-2</v>
      </c>
      <c r="AT505" s="77">
        <f t="shared" si="165"/>
        <v>1.9485294117647069E-2</v>
      </c>
      <c r="AU505" s="77">
        <f t="shared" si="165"/>
        <v>2.9779411764705895E-2</v>
      </c>
      <c r="AV505" s="77">
        <f t="shared" si="165"/>
        <v>738</v>
      </c>
      <c r="AW505" s="77">
        <f t="shared" si="165"/>
        <v>189</v>
      </c>
      <c r="AX505" s="77" t="str">
        <f t="shared" si="165"/>
        <v>ORD</v>
      </c>
    </row>
    <row r="506" spans="1:50" x14ac:dyDescent="0.25">
      <c r="A506">
        <v>492</v>
      </c>
      <c r="B506" s="36" t="str">
        <f t="shared" si="161"/>
        <v>VUELOS AL NORTE</v>
      </c>
      <c r="C506" s="36">
        <f t="shared" si="161"/>
        <v>242</v>
      </c>
      <c r="D506" s="74">
        <v>0.19444444444444445</v>
      </c>
      <c r="E506" s="74">
        <v>0.21736111111111112</v>
      </c>
      <c r="F506" s="75">
        <v>2.2916666666666669E-2</v>
      </c>
      <c r="G506" s="74">
        <v>0.23958333333333334</v>
      </c>
      <c r="H506" s="75">
        <v>2.2222222222222227E-2</v>
      </c>
      <c r="I506" s="76">
        <v>41721</v>
      </c>
      <c r="J506" s="36" t="str">
        <f t="shared" si="167"/>
        <v>Internacional</v>
      </c>
      <c r="K506" s="36">
        <f t="shared" si="167"/>
        <v>1.4957264957264953E-2</v>
      </c>
      <c r="L506" s="36">
        <f t="shared" si="167"/>
        <v>2.5213675213675218E-2</v>
      </c>
      <c r="M506" s="36">
        <f t="shared" si="167"/>
        <v>4.0170940170940167E-2</v>
      </c>
      <c r="N506" s="36" t="str">
        <f t="shared" si="167"/>
        <v>B737-800</v>
      </c>
      <c r="O506" s="36">
        <f t="shared" si="167"/>
        <v>189</v>
      </c>
      <c r="P506" s="36" t="str">
        <f t="shared" si="167"/>
        <v>LAX</v>
      </c>
      <c r="R506">
        <v>492</v>
      </c>
      <c r="S506" s="36" t="str">
        <f t="shared" si="159"/>
        <v>MEXICO AEREO</v>
      </c>
      <c r="T506" s="36">
        <f t="shared" si="159"/>
        <v>775</v>
      </c>
      <c r="U506" s="73">
        <v>0.21875</v>
      </c>
      <c r="V506" s="74">
        <v>0.22222222222222221</v>
      </c>
      <c r="W506" s="75">
        <v>3.4722222222222099E-3</v>
      </c>
      <c r="X506" s="74">
        <v>0.22777777777777777</v>
      </c>
      <c r="Y506" s="75">
        <v>5.5555555555555636E-3</v>
      </c>
      <c r="Z506" s="76">
        <v>41730</v>
      </c>
      <c r="AA506" s="36" t="str">
        <f t="shared" ref="AA506:AG509" si="168">AA505</f>
        <v>Nacional</v>
      </c>
      <c r="AB506" s="36">
        <f t="shared" si="168"/>
        <v>6.6666666666666541E-3</v>
      </c>
      <c r="AC506" s="36">
        <f t="shared" si="168"/>
        <v>7.6388888888888947E-3</v>
      </c>
      <c r="AD506" s="36">
        <f t="shared" si="168"/>
        <v>1.4305555555555549E-2</v>
      </c>
      <c r="AE506" s="36" t="str">
        <f t="shared" si="168"/>
        <v>B737-800</v>
      </c>
      <c r="AF506" s="36">
        <f t="shared" si="168"/>
        <v>189</v>
      </c>
      <c r="AG506" s="36" t="str">
        <f t="shared" si="168"/>
        <v>TIJ</v>
      </c>
      <c r="AI506">
        <v>492</v>
      </c>
      <c r="AJ506" s="77" t="str">
        <f t="shared" si="164"/>
        <v>MEXICO AEREO</v>
      </c>
      <c r="AK506" s="77">
        <f t="shared" si="164"/>
        <v>661</v>
      </c>
      <c r="AL506" s="78">
        <v>0.77013888888888893</v>
      </c>
      <c r="AM506" s="79">
        <v>0.78055555555555556</v>
      </c>
      <c r="AN506" s="80">
        <v>1.041666666666663E-2</v>
      </c>
      <c r="AO506" s="79">
        <v>0.80208333333333337</v>
      </c>
      <c r="AP506" s="80">
        <v>2.1527777777777812E-2</v>
      </c>
      <c r="AQ506" s="81">
        <v>41806</v>
      </c>
      <c r="AR506" s="77" t="str">
        <f t="shared" si="165"/>
        <v>Internacional</v>
      </c>
      <c r="AS506" s="77">
        <f t="shared" si="165"/>
        <v>1.0294117647058827E-2</v>
      </c>
      <c r="AT506" s="77">
        <f t="shared" si="165"/>
        <v>1.9485294117647069E-2</v>
      </c>
      <c r="AU506" s="77">
        <f t="shared" si="165"/>
        <v>2.9779411764705895E-2</v>
      </c>
      <c r="AV506" s="77">
        <f t="shared" si="165"/>
        <v>738</v>
      </c>
      <c r="AW506" s="77">
        <f t="shared" si="165"/>
        <v>189</v>
      </c>
      <c r="AX506" s="77" t="str">
        <f t="shared" si="165"/>
        <v>ORD</v>
      </c>
    </row>
    <row r="507" spans="1:50" x14ac:dyDescent="0.25">
      <c r="A507">
        <v>493</v>
      </c>
      <c r="B507" s="36" t="str">
        <f t="shared" si="161"/>
        <v>VUELOS AL NORTE</v>
      </c>
      <c r="C507" s="36">
        <f t="shared" si="161"/>
        <v>242</v>
      </c>
      <c r="D507" s="74">
        <v>0.21111111111111111</v>
      </c>
      <c r="E507" s="74">
        <v>0.22569444444444445</v>
      </c>
      <c r="F507" s="75">
        <v>1.4583333333333337E-2</v>
      </c>
      <c r="G507" s="74">
        <v>0.24930555555555556</v>
      </c>
      <c r="H507" s="75">
        <v>2.361111111111111E-2</v>
      </c>
      <c r="I507" s="76">
        <v>41721</v>
      </c>
      <c r="J507" s="36" t="str">
        <f t="shared" si="167"/>
        <v>Internacional</v>
      </c>
      <c r="K507" s="36">
        <f t="shared" si="167"/>
        <v>1.4957264957264953E-2</v>
      </c>
      <c r="L507" s="36">
        <f t="shared" si="167"/>
        <v>2.5213675213675218E-2</v>
      </c>
      <c r="M507" s="36">
        <f t="shared" si="167"/>
        <v>4.0170940170940167E-2</v>
      </c>
      <c r="N507" s="36" t="str">
        <f t="shared" si="167"/>
        <v>B737-800</v>
      </c>
      <c r="O507" s="36">
        <f t="shared" si="167"/>
        <v>189</v>
      </c>
      <c r="P507" s="36" t="str">
        <f t="shared" si="167"/>
        <v>LAX</v>
      </c>
      <c r="R507">
        <v>493</v>
      </c>
      <c r="S507" s="36" t="str">
        <f t="shared" si="159"/>
        <v>MEXICO AEREO</v>
      </c>
      <c r="T507" s="36">
        <f t="shared" si="159"/>
        <v>775</v>
      </c>
      <c r="U507" s="73">
        <v>0.22152777777777777</v>
      </c>
      <c r="V507" s="74">
        <v>0.22916666666666666</v>
      </c>
      <c r="W507" s="75">
        <v>7.6388888888888895E-3</v>
      </c>
      <c r="X507" s="74">
        <v>0.23819444444444446</v>
      </c>
      <c r="Y507" s="75">
        <v>9.0277777777778012E-3</v>
      </c>
      <c r="Z507" s="76">
        <v>41731</v>
      </c>
      <c r="AA507" s="36" t="str">
        <f t="shared" si="168"/>
        <v>Nacional</v>
      </c>
      <c r="AB507" s="36">
        <f t="shared" si="168"/>
        <v>6.6666666666666541E-3</v>
      </c>
      <c r="AC507" s="36">
        <f t="shared" si="168"/>
        <v>7.6388888888888947E-3</v>
      </c>
      <c r="AD507" s="36">
        <f t="shared" si="168"/>
        <v>1.4305555555555549E-2</v>
      </c>
      <c r="AE507" s="36" t="str">
        <f t="shared" si="168"/>
        <v>B737-800</v>
      </c>
      <c r="AF507" s="36">
        <f t="shared" si="168"/>
        <v>189</v>
      </c>
      <c r="AG507" s="36" t="str">
        <f t="shared" si="168"/>
        <v>TIJ</v>
      </c>
      <c r="AI507">
        <v>493</v>
      </c>
      <c r="AJ507" s="77" t="str">
        <f t="shared" si="164"/>
        <v>MEXICO AEREO</v>
      </c>
      <c r="AK507" s="77">
        <f t="shared" si="164"/>
        <v>661</v>
      </c>
      <c r="AL507" s="78">
        <v>0.94097222222222221</v>
      </c>
      <c r="AM507" s="79">
        <v>0.94930555555555562</v>
      </c>
      <c r="AN507" s="80">
        <v>8.3333333333334147E-3</v>
      </c>
      <c r="AO507" s="79">
        <v>0.95833333333333337</v>
      </c>
      <c r="AP507" s="80">
        <v>9.0277777777777457E-3</v>
      </c>
      <c r="AQ507" s="81">
        <v>41807</v>
      </c>
      <c r="AR507" s="77" t="str">
        <f t="shared" si="165"/>
        <v>Internacional</v>
      </c>
      <c r="AS507" s="77">
        <f t="shared" si="165"/>
        <v>1.0294117647058827E-2</v>
      </c>
      <c r="AT507" s="77">
        <f t="shared" si="165"/>
        <v>1.9485294117647069E-2</v>
      </c>
      <c r="AU507" s="77">
        <f t="shared" si="165"/>
        <v>2.9779411764705895E-2</v>
      </c>
      <c r="AV507" s="77">
        <f t="shared" si="165"/>
        <v>738</v>
      </c>
      <c r="AW507" s="77">
        <f t="shared" si="165"/>
        <v>189</v>
      </c>
      <c r="AX507" s="77" t="str">
        <f t="shared" si="165"/>
        <v>ORD</v>
      </c>
    </row>
    <row r="508" spans="1:50" x14ac:dyDescent="0.25">
      <c r="A508">
        <v>494</v>
      </c>
      <c r="B508" s="36" t="str">
        <f t="shared" si="161"/>
        <v>VUELOS AL NORTE</v>
      </c>
      <c r="C508" s="36">
        <f t="shared" si="161"/>
        <v>242</v>
      </c>
      <c r="D508" s="74">
        <v>0.20347222222222219</v>
      </c>
      <c r="E508" s="74">
        <v>0.21736111111111112</v>
      </c>
      <c r="F508" s="75">
        <v>1.3888888888888923E-2</v>
      </c>
      <c r="G508" s="74">
        <v>0.23819444444444446</v>
      </c>
      <c r="H508" s="75">
        <v>2.0833333333333343E-2</v>
      </c>
      <c r="I508" s="76">
        <v>41723</v>
      </c>
      <c r="J508" s="36" t="str">
        <f t="shared" si="167"/>
        <v>Internacional</v>
      </c>
      <c r="K508" s="36">
        <f t="shared" si="167"/>
        <v>1.4957264957264953E-2</v>
      </c>
      <c r="L508" s="36">
        <f t="shared" si="167"/>
        <v>2.5213675213675218E-2</v>
      </c>
      <c r="M508" s="36">
        <f t="shared" si="167"/>
        <v>4.0170940170940167E-2</v>
      </c>
      <c r="N508" s="36" t="str">
        <f t="shared" si="167"/>
        <v>B737-800</v>
      </c>
      <c r="O508" s="36">
        <f t="shared" si="167"/>
        <v>189</v>
      </c>
      <c r="P508" s="36" t="str">
        <f t="shared" si="167"/>
        <v>LAX</v>
      </c>
      <c r="R508">
        <v>494</v>
      </c>
      <c r="S508" s="36" t="str">
        <f t="shared" si="159"/>
        <v>MEXICO AEREO</v>
      </c>
      <c r="T508" s="36">
        <f t="shared" si="159"/>
        <v>775</v>
      </c>
      <c r="U508" s="73">
        <v>0.21666666666666667</v>
      </c>
      <c r="V508" s="74">
        <v>0.22430555555555556</v>
      </c>
      <c r="W508" s="75">
        <v>7.6388888888888895E-3</v>
      </c>
      <c r="X508" s="74">
        <v>0.23680555555555557</v>
      </c>
      <c r="Y508" s="75">
        <v>1.2500000000000011E-2</v>
      </c>
      <c r="Z508" s="76">
        <v>41732</v>
      </c>
      <c r="AA508" s="36" t="str">
        <f t="shared" si="168"/>
        <v>Nacional</v>
      </c>
      <c r="AB508" s="36">
        <f t="shared" si="168"/>
        <v>6.6666666666666541E-3</v>
      </c>
      <c r="AC508" s="36">
        <f t="shared" si="168"/>
        <v>7.6388888888888947E-3</v>
      </c>
      <c r="AD508" s="36">
        <f t="shared" si="168"/>
        <v>1.4305555555555549E-2</v>
      </c>
      <c r="AE508" s="36" t="str">
        <f t="shared" si="168"/>
        <v>B737-800</v>
      </c>
      <c r="AF508" s="36">
        <f t="shared" si="168"/>
        <v>189</v>
      </c>
      <c r="AG508" s="36" t="str">
        <f t="shared" si="168"/>
        <v>TIJ</v>
      </c>
      <c r="AI508">
        <v>494</v>
      </c>
      <c r="AJ508" s="77" t="str">
        <f t="shared" si="164"/>
        <v>MEXICO AEREO</v>
      </c>
      <c r="AK508" s="77">
        <f t="shared" si="164"/>
        <v>661</v>
      </c>
      <c r="AL508" s="78">
        <v>0.25555555555555559</v>
      </c>
      <c r="AM508" s="79">
        <v>0.26458333333333334</v>
      </c>
      <c r="AN508" s="80">
        <v>9.0277777777777457E-3</v>
      </c>
      <c r="AO508" s="79">
        <v>0.28472222222222221</v>
      </c>
      <c r="AP508" s="80">
        <v>2.0138888888888873E-2</v>
      </c>
      <c r="AQ508" s="81">
        <v>41810</v>
      </c>
      <c r="AR508" s="77" t="str">
        <f t="shared" si="165"/>
        <v>Internacional</v>
      </c>
      <c r="AS508" s="77">
        <f t="shared" si="165"/>
        <v>1.0294117647058827E-2</v>
      </c>
      <c r="AT508" s="77">
        <f t="shared" si="165"/>
        <v>1.9485294117647069E-2</v>
      </c>
      <c r="AU508" s="77">
        <f t="shared" si="165"/>
        <v>2.9779411764705895E-2</v>
      </c>
      <c r="AV508" s="77">
        <f t="shared" si="165"/>
        <v>738</v>
      </c>
      <c r="AW508" s="77">
        <f t="shared" si="165"/>
        <v>189</v>
      </c>
      <c r="AX508" s="77" t="str">
        <f t="shared" si="165"/>
        <v>ORD</v>
      </c>
    </row>
    <row r="509" spans="1:50" ht="15.75" thickBot="1" x14ac:dyDescent="0.3">
      <c r="A509">
        <v>495</v>
      </c>
      <c r="B509" s="36" t="str">
        <f t="shared" si="161"/>
        <v>VUELOS AL NORTE</v>
      </c>
      <c r="C509" s="36">
        <f t="shared" si="161"/>
        <v>242</v>
      </c>
      <c r="D509" s="74">
        <v>0.18819444444444444</v>
      </c>
      <c r="E509" s="74">
        <v>0.20972222222222223</v>
      </c>
      <c r="F509" s="75">
        <v>2.1527777777777785E-2</v>
      </c>
      <c r="G509" s="74">
        <v>0.22847222222222222</v>
      </c>
      <c r="H509" s="75">
        <v>1.8749999999999989E-2</v>
      </c>
      <c r="I509" s="76">
        <v>41724</v>
      </c>
      <c r="J509" s="36" t="str">
        <f t="shared" si="167"/>
        <v>Internacional</v>
      </c>
      <c r="K509" s="36">
        <f t="shared" si="167"/>
        <v>1.4957264957264953E-2</v>
      </c>
      <c r="L509" s="36">
        <f t="shared" si="167"/>
        <v>2.5213675213675218E-2</v>
      </c>
      <c r="M509" s="36">
        <f t="shared" si="167"/>
        <v>4.0170940170940167E-2</v>
      </c>
      <c r="N509" s="36" t="str">
        <f t="shared" si="167"/>
        <v>B737-800</v>
      </c>
      <c r="O509" s="36">
        <f t="shared" si="167"/>
        <v>189</v>
      </c>
      <c r="P509" s="36" t="str">
        <f t="shared" si="167"/>
        <v>LAX</v>
      </c>
      <c r="R509">
        <v>495</v>
      </c>
      <c r="S509" s="36" t="str">
        <f t="shared" si="159"/>
        <v>MEXICO AEREO</v>
      </c>
      <c r="T509" s="36">
        <f t="shared" si="159"/>
        <v>775</v>
      </c>
      <c r="U509" s="83">
        <v>0.21875</v>
      </c>
      <c r="V509" s="84">
        <v>0.22222222222222221</v>
      </c>
      <c r="W509" s="85">
        <v>3.4722222222222099E-3</v>
      </c>
      <c r="X509" s="84">
        <v>0.22777777777777777</v>
      </c>
      <c r="Y509" s="85">
        <v>5.5555555555555636E-3</v>
      </c>
      <c r="Z509" s="86">
        <v>41742</v>
      </c>
      <c r="AA509" s="36" t="str">
        <f t="shared" si="168"/>
        <v>Nacional</v>
      </c>
      <c r="AB509" s="36">
        <f t="shared" si="168"/>
        <v>6.6666666666666541E-3</v>
      </c>
      <c r="AC509" s="36">
        <f t="shared" si="168"/>
        <v>7.6388888888888947E-3</v>
      </c>
      <c r="AD509" s="36">
        <f t="shared" si="168"/>
        <v>1.4305555555555549E-2</v>
      </c>
      <c r="AE509" s="36" t="str">
        <f t="shared" si="168"/>
        <v>B737-800</v>
      </c>
      <c r="AF509" s="36">
        <f t="shared" si="168"/>
        <v>189</v>
      </c>
      <c r="AG509" s="36" t="str">
        <f t="shared" si="168"/>
        <v>TIJ</v>
      </c>
      <c r="AI509">
        <v>495</v>
      </c>
      <c r="AJ509" s="77" t="str">
        <f t="shared" si="164"/>
        <v>MEXICO AEREO</v>
      </c>
      <c r="AK509" s="77">
        <f t="shared" si="164"/>
        <v>661</v>
      </c>
      <c r="AL509" s="78">
        <v>0.24444444444444446</v>
      </c>
      <c r="AM509" s="79">
        <v>0.25694444444444448</v>
      </c>
      <c r="AN509" s="80">
        <v>1.2500000000000011E-2</v>
      </c>
      <c r="AO509" s="79">
        <v>0.27777777777777779</v>
      </c>
      <c r="AP509" s="80">
        <v>2.0833333333333315E-2</v>
      </c>
      <c r="AQ509" s="81">
        <v>41811</v>
      </c>
      <c r="AR509" s="77" t="str">
        <f t="shared" si="165"/>
        <v>Internacional</v>
      </c>
      <c r="AS509" s="77">
        <f t="shared" si="165"/>
        <v>1.0294117647058827E-2</v>
      </c>
      <c r="AT509" s="77">
        <f t="shared" si="165"/>
        <v>1.9485294117647069E-2</v>
      </c>
      <c r="AU509" s="77">
        <f t="shared" si="165"/>
        <v>2.9779411764705895E-2</v>
      </c>
      <c r="AV509" s="77">
        <f t="shared" si="165"/>
        <v>738</v>
      </c>
      <c r="AW509" s="77">
        <f t="shared" si="165"/>
        <v>189</v>
      </c>
      <c r="AX509" s="77" t="str">
        <f t="shared" si="165"/>
        <v>ORD</v>
      </c>
    </row>
    <row r="510" spans="1:50" ht="15.75" thickBot="1" x14ac:dyDescent="0.3">
      <c r="A510">
        <v>496</v>
      </c>
      <c r="B510" s="36" t="str">
        <f t="shared" si="161"/>
        <v>VUELOS AL NORTE</v>
      </c>
      <c r="C510" s="36">
        <f t="shared" si="161"/>
        <v>242</v>
      </c>
      <c r="D510" s="74">
        <v>0.20416666666666669</v>
      </c>
      <c r="E510" s="74">
        <v>0.22569444444444445</v>
      </c>
      <c r="F510" s="75">
        <v>2.1527777777777757E-2</v>
      </c>
      <c r="G510" s="74">
        <v>0.25</v>
      </c>
      <c r="H510" s="75">
        <v>2.4305555555555552E-2</v>
      </c>
      <c r="I510" s="76">
        <v>41724</v>
      </c>
      <c r="J510" s="36" t="str">
        <f t="shared" si="167"/>
        <v>Internacional</v>
      </c>
      <c r="K510" s="36">
        <f t="shared" si="167"/>
        <v>1.4957264957264953E-2</v>
      </c>
      <c r="L510" s="36">
        <f t="shared" si="167"/>
        <v>2.5213675213675218E-2</v>
      </c>
      <c r="M510" s="36">
        <f t="shared" si="167"/>
        <v>4.0170940170940167E-2</v>
      </c>
      <c r="N510" s="36" t="str">
        <f t="shared" si="167"/>
        <v>B737-800</v>
      </c>
      <c r="O510" s="36">
        <f t="shared" si="167"/>
        <v>189</v>
      </c>
      <c r="P510" s="36" t="str">
        <f t="shared" si="167"/>
        <v>LAX</v>
      </c>
      <c r="R510">
        <v>496</v>
      </c>
      <c r="S510" s="36" t="str">
        <f t="shared" si="159"/>
        <v>MEXICO AEREO</v>
      </c>
      <c r="T510" s="55">
        <v>773</v>
      </c>
      <c r="U510" s="56">
        <v>0.87291666666666667</v>
      </c>
      <c r="V510" s="57">
        <v>0.875</v>
      </c>
      <c r="W510" s="58">
        <v>2.0833333333333259E-3</v>
      </c>
      <c r="X510" s="57">
        <v>0.87916666666666676</v>
      </c>
      <c r="Y510" s="58">
        <v>4.1666666666667629E-3</v>
      </c>
      <c r="Z510" s="59">
        <v>41731</v>
      </c>
      <c r="AA510" s="60" t="s">
        <v>19</v>
      </c>
      <c r="AB510" s="61">
        <v>3.4722222222222494E-3</v>
      </c>
      <c r="AC510" s="61">
        <v>5.4563492063492347E-3</v>
      </c>
      <c r="AD510" s="62">
        <v>8.9285714285714836E-3</v>
      </c>
      <c r="AE510" s="109" t="s">
        <v>39</v>
      </c>
      <c r="AF510" s="109">
        <v>189</v>
      </c>
      <c r="AG510" s="109" t="s">
        <v>34</v>
      </c>
      <c r="AI510">
        <v>496</v>
      </c>
      <c r="AJ510" s="77" t="str">
        <f t="shared" si="164"/>
        <v>MEXICO AEREO</v>
      </c>
      <c r="AK510" s="77">
        <f t="shared" si="164"/>
        <v>661</v>
      </c>
      <c r="AL510" s="94">
        <v>0.24027777777777778</v>
      </c>
      <c r="AM510" s="95">
        <v>0.24791666666666667</v>
      </c>
      <c r="AN510" s="96">
        <v>7.6388888888888895E-3</v>
      </c>
      <c r="AO510" s="95">
        <v>0.2902777777777778</v>
      </c>
      <c r="AP510" s="96">
        <v>4.2361111111111127E-2</v>
      </c>
      <c r="AQ510" s="97">
        <v>41813</v>
      </c>
      <c r="AR510" s="77" t="str">
        <f t="shared" si="165"/>
        <v>Internacional</v>
      </c>
      <c r="AS510" s="77">
        <f t="shared" si="165"/>
        <v>1.0294117647058827E-2</v>
      </c>
      <c r="AT510" s="77">
        <f t="shared" si="165"/>
        <v>1.9485294117647069E-2</v>
      </c>
      <c r="AU510" s="77">
        <f t="shared" si="165"/>
        <v>2.9779411764705895E-2</v>
      </c>
      <c r="AV510" s="77">
        <f t="shared" si="165"/>
        <v>738</v>
      </c>
      <c r="AW510" s="77">
        <f t="shared" si="165"/>
        <v>189</v>
      </c>
      <c r="AX510" s="77" t="str">
        <f t="shared" si="165"/>
        <v>ORD</v>
      </c>
    </row>
    <row r="511" spans="1:50" x14ac:dyDescent="0.25">
      <c r="A511">
        <v>497</v>
      </c>
      <c r="B511" s="36" t="str">
        <f t="shared" si="161"/>
        <v>VUELOS AL NORTE</v>
      </c>
      <c r="C511" s="36">
        <f t="shared" si="161"/>
        <v>242</v>
      </c>
      <c r="D511" s="74">
        <v>0.20555555555555557</v>
      </c>
      <c r="E511" s="74">
        <v>0.21944444444444444</v>
      </c>
      <c r="F511" s="75">
        <v>1.3888888888888867E-2</v>
      </c>
      <c r="G511" s="74">
        <v>0.25833333333333336</v>
      </c>
      <c r="H511" s="75">
        <v>3.8888888888888917E-2</v>
      </c>
      <c r="I511" s="76">
        <v>41725</v>
      </c>
      <c r="J511" s="36" t="str">
        <f t="shared" si="167"/>
        <v>Internacional</v>
      </c>
      <c r="K511" s="36">
        <f t="shared" si="167"/>
        <v>1.4957264957264953E-2</v>
      </c>
      <c r="L511" s="36">
        <f t="shared" si="167"/>
        <v>2.5213675213675218E-2</v>
      </c>
      <c r="M511" s="36">
        <f t="shared" si="167"/>
        <v>4.0170940170940167E-2</v>
      </c>
      <c r="N511" s="36" t="str">
        <f t="shared" si="167"/>
        <v>B737-800</v>
      </c>
      <c r="O511" s="36">
        <f t="shared" si="167"/>
        <v>189</v>
      </c>
      <c r="P511" s="36" t="str">
        <f t="shared" si="167"/>
        <v>LAX</v>
      </c>
      <c r="R511">
        <v>497</v>
      </c>
      <c r="S511" s="36" t="str">
        <f t="shared" si="159"/>
        <v>MEXICO AEREO</v>
      </c>
      <c r="T511" s="36">
        <f t="shared" si="159"/>
        <v>773</v>
      </c>
      <c r="U511" s="73">
        <v>0.87152777777777779</v>
      </c>
      <c r="V511" s="74">
        <v>0.875</v>
      </c>
      <c r="W511" s="75">
        <v>3.4722222222222099E-3</v>
      </c>
      <c r="X511" s="74">
        <v>0.88194444444444453</v>
      </c>
      <c r="Y511" s="75">
        <v>6.9444444444445308E-3</v>
      </c>
      <c r="Z511" s="76">
        <v>41732</v>
      </c>
      <c r="AA511" s="36" t="str">
        <f t="shared" ref="AA511:AG516" si="169">AA510</f>
        <v>Nacional</v>
      </c>
      <c r="AB511" s="36">
        <f t="shared" si="169"/>
        <v>3.4722222222222494E-3</v>
      </c>
      <c r="AC511" s="36">
        <f t="shared" si="169"/>
        <v>5.4563492063492347E-3</v>
      </c>
      <c r="AD511" s="36">
        <f t="shared" si="169"/>
        <v>8.9285714285714836E-3</v>
      </c>
      <c r="AE511" s="36" t="str">
        <f t="shared" si="169"/>
        <v>B737-800</v>
      </c>
      <c r="AF511" s="36">
        <f t="shared" si="169"/>
        <v>189</v>
      </c>
      <c r="AG511" s="36" t="str">
        <f t="shared" si="169"/>
        <v>TIJ</v>
      </c>
      <c r="AI511">
        <v>497</v>
      </c>
      <c r="AJ511" s="77" t="str">
        <f t="shared" si="164"/>
        <v>MEXICO AEREO</v>
      </c>
      <c r="AK511" s="63">
        <v>466</v>
      </c>
      <c r="AL511" s="64">
        <v>0.9590277777777777</v>
      </c>
      <c r="AM511" s="65">
        <v>0.96805555555555556</v>
      </c>
      <c r="AN511" s="66">
        <v>9.0277777777778567E-3</v>
      </c>
      <c r="AO511" s="65">
        <v>0.9784722222222223</v>
      </c>
      <c r="AP511" s="66">
        <v>1.0416666666666741E-2</v>
      </c>
      <c r="AQ511" s="67">
        <v>41791</v>
      </c>
      <c r="AR511" s="68" t="s">
        <v>19</v>
      </c>
      <c r="AS511" s="69">
        <v>9.9151234567901037E-3</v>
      </c>
      <c r="AT511" s="70">
        <v>8.2561728395061929E-3</v>
      </c>
      <c r="AU511" s="70">
        <v>1.8171296296296297E-2</v>
      </c>
      <c r="AV511" s="71">
        <v>738</v>
      </c>
      <c r="AW511" s="71">
        <v>189</v>
      </c>
      <c r="AX511" s="72" t="s">
        <v>21</v>
      </c>
    </row>
    <row r="512" spans="1:50" x14ac:dyDescent="0.25">
      <c r="A512">
        <v>498</v>
      </c>
      <c r="B512" s="36" t="str">
        <f t="shared" si="161"/>
        <v>VUELOS AL NORTE</v>
      </c>
      <c r="C512" s="36">
        <f t="shared" si="161"/>
        <v>242</v>
      </c>
      <c r="D512" s="74">
        <v>0.18124999999999999</v>
      </c>
      <c r="E512" s="74">
        <v>0.19513888888888889</v>
      </c>
      <c r="F512" s="75">
        <v>1.3888888888888895E-2</v>
      </c>
      <c r="G512" s="74">
        <v>0.23124999999999998</v>
      </c>
      <c r="H512" s="75">
        <v>3.6111111111111094E-2</v>
      </c>
      <c r="I512" s="76">
        <v>41727</v>
      </c>
      <c r="J512" s="36" t="str">
        <f t="shared" si="167"/>
        <v>Internacional</v>
      </c>
      <c r="K512" s="36">
        <f t="shared" si="167"/>
        <v>1.4957264957264953E-2</v>
      </c>
      <c r="L512" s="36">
        <f t="shared" si="167"/>
        <v>2.5213675213675218E-2</v>
      </c>
      <c r="M512" s="36">
        <f t="shared" si="167"/>
        <v>4.0170940170940167E-2</v>
      </c>
      <c r="N512" s="36" t="str">
        <f t="shared" si="167"/>
        <v>B737-800</v>
      </c>
      <c r="O512" s="36">
        <f t="shared" si="167"/>
        <v>189</v>
      </c>
      <c r="P512" s="36" t="str">
        <f t="shared" si="167"/>
        <v>LAX</v>
      </c>
      <c r="R512">
        <v>498</v>
      </c>
      <c r="S512" s="36" t="str">
        <f t="shared" si="159"/>
        <v>MEXICO AEREO</v>
      </c>
      <c r="T512" s="36">
        <f t="shared" si="159"/>
        <v>773</v>
      </c>
      <c r="U512" s="73">
        <v>0.86597222222222225</v>
      </c>
      <c r="V512" s="74">
        <v>0.87222222222222223</v>
      </c>
      <c r="W512" s="75">
        <v>6.2499999999999778E-3</v>
      </c>
      <c r="X512" s="74">
        <v>0.88124999999999998</v>
      </c>
      <c r="Y512" s="75">
        <v>9.0277777777777457E-3</v>
      </c>
      <c r="Z512" s="76">
        <v>41734</v>
      </c>
      <c r="AA512" s="36" t="str">
        <f t="shared" si="169"/>
        <v>Nacional</v>
      </c>
      <c r="AB512" s="36">
        <f t="shared" si="169"/>
        <v>3.4722222222222494E-3</v>
      </c>
      <c r="AC512" s="36">
        <f t="shared" si="169"/>
        <v>5.4563492063492347E-3</v>
      </c>
      <c r="AD512" s="36">
        <f t="shared" si="169"/>
        <v>8.9285714285714836E-3</v>
      </c>
      <c r="AE512" s="36" t="str">
        <f t="shared" si="169"/>
        <v>B737-800</v>
      </c>
      <c r="AF512" s="36">
        <f t="shared" si="169"/>
        <v>189</v>
      </c>
      <c r="AG512" s="36" t="str">
        <f t="shared" si="169"/>
        <v>TIJ</v>
      </c>
      <c r="AI512">
        <v>498</v>
      </c>
      <c r="AJ512" s="77" t="str">
        <f t="shared" si="164"/>
        <v>MEXICO AEREO</v>
      </c>
      <c r="AK512" s="77">
        <f t="shared" si="164"/>
        <v>466</v>
      </c>
      <c r="AL512" s="78">
        <v>0.88888888888888884</v>
      </c>
      <c r="AM512" s="79">
        <v>0.88958333333333339</v>
      </c>
      <c r="AN512" s="80">
        <v>6.94444444444553E-4</v>
      </c>
      <c r="AO512" s="79">
        <v>0.89513888888888893</v>
      </c>
      <c r="AP512" s="80">
        <v>5.5555555555555358E-3</v>
      </c>
      <c r="AQ512" s="81">
        <v>41792</v>
      </c>
      <c r="AR512" s="77" t="str">
        <f t="shared" ref="AR512:AX528" si="170">AR511</f>
        <v>Nacional</v>
      </c>
      <c r="AS512" s="77">
        <f t="shared" si="170"/>
        <v>9.9151234567901037E-3</v>
      </c>
      <c r="AT512" s="77">
        <f t="shared" si="170"/>
        <v>8.2561728395061929E-3</v>
      </c>
      <c r="AU512" s="77">
        <f t="shared" si="170"/>
        <v>1.8171296296296297E-2</v>
      </c>
      <c r="AV512" s="77">
        <f t="shared" si="170"/>
        <v>738</v>
      </c>
      <c r="AW512" s="77">
        <f t="shared" si="170"/>
        <v>189</v>
      </c>
      <c r="AX512" s="77" t="str">
        <f t="shared" si="170"/>
        <v>MEX</v>
      </c>
    </row>
    <row r="513" spans="1:50" ht="15.75" thickBot="1" x14ac:dyDescent="0.3">
      <c r="A513">
        <v>499</v>
      </c>
      <c r="B513" s="36" t="str">
        <f t="shared" si="161"/>
        <v>VUELOS AL NORTE</v>
      </c>
      <c r="C513" s="36">
        <f t="shared" si="161"/>
        <v>242</v>
      </c>
      <c r="D513" s="84">
        <v>0.20902777777777778</v>
      </c>
      <c r="E513" s="84">
        <v>0.22638888888888889</v>
      </c>
      <c r="F513" s="85">
        <v>1.7361111111111105E-2</v>
      </c>
      <c r="G513" s="84">
        <v>0.25069444444444444</v>
      </c>
      <c r="H513" s="85">
        <v>2.4305555555555552E-2</v>
      </c>
      <c r="I513" s="86">
        <v>41728</v>
      </c>
      <c r="J513" s="36" t="str">
        <f t="shared" si="167"/>
        <v>Internacional</v>
      </c>
      <c r="K513" s="36">
        <f t="shared" si="167"/>
        <v>1.4957264957264953E-2</v>
      </c>
      <c r="L513" s="36">
        <f t="shared" si="167"/>
        <v>2.5213675213675218E-2</v>
      </c>
      <c r="M513" s="36">
        <f t="shared" si="167"/>
        <v>4.0170940170940167E-2</v>
      </c>
      <c r="N513" s="36" t="str">
        <f t="shared" si="167"/>
        <v>B737-800</v>
      </c>
      <c r="O513" s="36">
        <f t="shared" si="167"/>
        <v>189</v>
      </c>
      <c r="P513" s="36" t="str">
        <f t="shared" si="167"/>
        <v>LAX</v>
      </c>
      <c r="R513">
        <v>499</v>
      </c>
      <c r="S513" s="36" t="str">
        <f t="shared" si="159"/>
        <v>MEXICO AEREO</v>
      </c>
      <c r="T513" s="36">
        <f t="shared" si="159"/>
        <v>773</v>
      </c>
      <c r="U513" s="73">
        <v>0.90208333333333324</v>
      </c>
      <c r="V513" s="74">
        <v>0.90416666666666667</v>
      </c>
      <c r="W513" s="75">
        <v>2.083333333333437E-3</v>
      </c>
      <c r="X513" s="74">
        <v>0.90694444444444444</v>
      </c>
      <c r="Y513" s="75">
        <v>2.7777777777777679E-3</v>
      </c>
      <c r="Z513" s="76">
        <v>41734</v>
      </c>
      <c r="AA513" s="36" t="str">
        <f t="shared" si="169"/>
        <v>Nacional</v>
      </c>
      <c r="AB513" s="36">
        <f t="shared" si="169"/>
        <v>3.4722222222222494E-3</v>
      </c>
      <c r="AC513" s="36">
        <f t="shared" si="169"/>
        <v>5.4563492063492347E-3</v>
      </c>
      <c r="AD513" s="36">
        <f t="shared" si="169"/>
        <v>8.9285714285714836E-3</v>
      </c>
      <c r="AE513" s="36" t="str">
        <f t="shared" si="169"/>
        <v>B737-800</v>
      </c>
      <c r="AF513" s="36">
        <f t="shared" si="169"/>
        <v>189</v>
      </c>
      <c r="AG513" s="36" t="str">
        <f t="shared" si="169"/>
        <v>TIJ</v>
      </c>
      <c r="AI513">
        <v>499</v>
      </c>
      <c r="AJ513" s="77" t="str">
        <f t="shared" si="164"/>
        <v>MEXICO AEREO</v>
      </c>
      <c r="AK513" s="77">
        <f t="shared" si="164"/>
        <v>466</v>
      </c>
      <c r="AL513" s="78">
        <v>0.90625</v>
      </c>
      <c r="AM513" s="79">
        <v>0.91249999999999998</v>
      </c>
      <c r="AN513" s="80">
        <v>6.2499999999999778E-3</v>
      </c>
      <c r="AO513" s="79">
        <v>0.92013888888888884</v>
      </c>
      <c r="AP513" s="80">
        <v>7.6388888888888618E-3</v>
      </c>
      <c r="AQ513" s="81">
        <v>41794</v>
      </c>
      <c r="AR513" s="77" t="str">
        <f t="shared" si="170"/>
        <v>Nacional</v>
      </c>
      <c r="AS513" s="77">
        <f t="shared" si="170"/>
        <v>9.9151234567901037E-3</v>
      </c>
      <c r="AT513" s="77">
        <f t="shared" si="170"/>
        <v>8.2561728395061929E-3</v>
      </c>
      <c r="AU513" s="77">
        <f t="shared" si="170"/>
        <v>1.8171296296296297E-2</v>
      </c>
      <c r="AV513" s="77">
        <f t="shared" si="170"/>
        <v>738</v>
      </c>
      <c r="AW513" s="77">
        <f t="shared" si="170"/>
        <v>189</v>
      </c>
      <c r="AX513" s="77" t="str">
        <f t="shared" si="170"/>
        <v>MEX</v>
      </c>
    </row>
    <row r="514" spans="1:50" x14ac:dyDescent="0.25">
      <c r="A514">
        <v>500</v>
      </c>
      <c r="B514" s="36" t="str">
        <f t="shared" si="161"/>
        <v>VUELOS AL NORTE</v>
      </c>
      <c r="C514" s="88">
        <v>226</v>
      </c>
      <c r="D514" s="57">
        <v>0.13749999999999998</v>
      </c>
      <c r="E514" s="57">
        <v>0.15277777777777776</v>
      </c>
      <c r="F514" s="58">
        <v>1.5277777777777779E-2</v>
      </c>
      <c r="G514" s="57">
        <v>0.1673611111111111</v>
      </c>
      <c r="H514" s="58">
        <v>1.4583333333333337E-2</v>
      </c>
      <c r="I514" s="59">
        <v>41713</v>
      </c>
      <c r="J514" s="108" t="s">
        <v>22</v>
      </c>
      <c r="K514" s="61">
        <v>1.4583333333333328E-2</v>
      </c>
      <c r="L514" s="61">
        <v>1.7361111111111115E-2</v>
      </c>
      <c r="M514" s="142">
        <v>3.1944444444444442E-2</v>
      </c>
      <c r="N514" s="90" t="s">
        <v>39</v>
      </c>
      <c r="O514" s="91">
        <v>189</v>
      </c>
      <c r="P514" s="92" t="s">
        <v>52</v>
      </c>
      <c r="R514">
        <v>500</v>
      </c>
      <c r="S514" s="36" t="str">
        <f t="shared" si="159"/>
        <v>MEXICO AEREO</v>
      </c>
      <c r="T514" s="36">
        <f t="shared" si="159"/>
        <v>773</v>
      </c>
      <c r="U514" s="73">
        <v>0.37847222222222227</v>
      </c>
      <c r="V514" s="74">
        <v>0.37916666666666665</v>
      </c>
      <c r="W514" s="75">
        <v>6.9444444444438647E-4</v>
      </c>
      <c r="X514" s="74">
        <v>0.38194444444444442</v>
      </c>
      <c r="Y514" s="75">
        <v>2.7777777777777679E-3</v>
      </c>
      <c r="Z514" s="76">
        <v>41735</v>
      </c>
      <c r="AA514" s="36" t="str">
        <f t="shared" si="169"/>
        <v>Nacional</v>
      </c>
      <c r="AB514" s="36">
        <f t="shared" si="169"/>
        <v>3.4722222222222494E-3</v>
      </c>
      <c r="AC514" s="36">
        <f t="shared" si="169"/>
        <v>5.4563492063492347E-3</v>
      </c>
      <c r="AD514" s="36">
        <f t="shared" si="169"/>
        <v>8.9285714285714836E-3</v>
      </c>
      <c r="AE514" s="36" t="str">
        <f t="shared" si="169"/>
        <v>B737-800</v>
      </c>
      <c r="AF514" s="36">
        <f t="shared" si="169"/>
        <v>189</v>
      </c>
      <c r="AG514" s="36" t="str">
        <f t="shared" si="169"/>
        <v>TIJ</v>
      </c>
      <c r="AI514">
        <v>500</v>
      </c>
      <c r="AJ514" s="77" t="str">
        <f t="shared" si="164"/>
        <v>MEXICO AEREO</v>
      </c>
      <c r="AK514" s="77">
        <f t="shared" si="164"/>
        <v>466</v>
      </c>
      <c r="AL514" s="78">
        <v>0.88194444444444453</v>
      </c>
      <c r="AM514" s="79">
        <v>0.89166666666666661</v>
      </c>
      <c r="AN514" s="80">
        <v>9.7222222222220767E-3</v>
      </c>
      <c r="AO514" s="79">
        <v>0.89583333333333337</v>
      </c>
      <c r="AP514" s="80">
        <v>4.1666666666667629E-3</v>
      </c>
      <c r="AQ514" s="81">
        <v>41795</v>
      </c>
      <c r="AR514" s="77" t="str">
        <f t="shared" si="170"/>
        <v>Nacional</v>
      </c>
      <c r="AS514" s="77">
        <f t="shared" si="170"/>
        <v>9.9151234567901037E-3</v>
      </c>
      <c r="AT514" s="77">
        <f t="shared" si="170"/>
        <v>8.2561728395061929E-3</v>
      </c>
      <c r="AU514" s="77">
        <f t="shared" si="170"/>
        <v>1.8171296296296297E-2</v>
      </c>
      <c r="AV514" s="77">
        <f t="shared" si="170"/>
        <v>738</v>
      </c>
      <c r="AW514" s="77">
        <f t="shared" si="170"/>
        <v>189</v>
      </c>
      <c r="AX514" s="77" t="str">
        <f t="shared" si="170"/>
        <v>MEX</v>
      </c>
    </row>
    <row r="515" spans="1:50" x14ac:dyDescent="0.25">
      <c r="A515">
        <v>501</v>
      </c>
      <c r="B515" s="36" t="str">
        <f t="shared" si="161"/>
        <v>VUELOS AL NORTE</v>
      </c>
      <c r="C515" s="36">
        <f t="shared" si="161"/>
        <v>226</v>
      </c>
      <c r="D515" s="74">
        <v>0.14652777777777778</v>
      </c>
      <c r="E515" s="74">
        <v>0.16388888888888889</v>
      </c>
      <c r="F515" s="75">
        <v>1.7361111111111105E-2</v>
      </c>
      <c r="G515" s="74">
        <v>0.17708333333333334</v>
      </c>
      <c r="H515" s="75">
        <v>1.3194444444444453E-2</v>
      </c>
      <c r="I515" s="76">
        <v>41721</v>
      </c>
      <c r="J515" s="36" t="str">
        <f t="shared" ref="J515:P516" si="171">J514</f>
        <v>Internacional</v>
      </c>
      <c r="K515" s="36">
        <f t="shared" si="171"/>
        <v>1.4583333333333328E-2</v>
      </c>
      <c r="L515" s="36">
        <f t="shared" si="171"/>
        <v>1.7361111111111115E-2</v>
      </c>
      <c r="M515" s="36">
        <f t="shared" si="171"/>
        <v>3.1944444444444442E-2</v>
      </c>
      <c r="N515" s="36" t="str">
        <f t="shared" si="171"/>
        <v>B737-800</v>
      </c>
      <c r="O515" s="36">
        <f t="shared" si="171"/>
        <v>189</v>
      </c>
      <c r="P515" s="36" t="str">
        <f t="shared" si="171"/>
        <v>SEA</v>
      </c>
      <c r="R515">
        <v>501</v>
      </c>
      <c r="S515" s="36" t="str">
        <f t="shared" si="159"/>
        <v>MEXICO AEREO</v>
      </c>
      <c r="T515" s="36">
        <f t="shared" si="159"/>
        <v>773</v>
      </c>
      <c r="U515" s="73">
        <v>0.79027777777777775</v>
      </c>
      <c r="V515" s="74">
        <v>0.79652777777777783</v>
      </c>
      <c r="W515" s="75">
        <v>6.2500000000000888E-3</v>
      </c>
      <c r="X515" s="74">
        <v>0.79861111111111116</v>
      </c>
      <c r="Y515" s="75">
        <v>2.0833333333333259E-3</v>
      </c>
      <c r="Z515" s="76">
        <v>41736</v>
      </c>
      <c r="AA515" s="36" t="str">
        <f t="shared" si="169"/>
        <v>Nacional</v>
      </c>
      <c r="AB515" s="36">
        <f t="shared" si="169"/>
        <v>3.4722222222222494E-3</v>
      </c>
      <c r="AC515" s="36">
        <f t="shared" si="169"/>
        <v>5.4563492063492347E-3</v>
      </c>
      <c r="AD515" s="36">
        <f t="shared" si="169"/>
        <v>8.9285714285714836E-3</v>
      </c>
      <c r="AE515" s="36" t="str">
        <f t="shared" si="169"/>
        <v>B737-800</v>
      </c>
      <c r="AF515" s="36">
        <f t="shared" si="169"/>
        <v>189</v>
      </c>
      <c r="AG515" s="36" t="str">
        <f t="shared" si="169"/>
        <v>TIJ</v>
      </c>
      <c r="AI515">
        <v>501</v>
      </c>
      <c r="AJ515" s="77" t="str">
        <f t="shared" si="164"/>
        <v>MEXICO AEREO</v>
      </c>
      <c r="AK515" s="77">
        <f t="shared" si="164"/>
        <v>466</v>
      </c>
      <c r="AL515" s="78">
        <v>0.88402777777777775</v>
      </c>
      <c r="AM515" s="79">
        <v>0.88888888888888884</v>
      </c>
      <c r="AN515" s="80">
        <v>4.8611111111110938E-3</v>
      </c>
      <c r="AO515" s="79">
        <v>0.89722222222222225</v>
      </c>
      <c r="AP515" s="80">
        <v>8.3333333333334147E-3</v>
      </c>
      <c r="AQ515" s="81">
        <v>41796</v>
      </c>
      <c r="AR515" s="77" t="str">
        <f t="shared" si="170"/>
        <v>Nacional</v>
      </c>
      <c r="AS515" s="77">
        <f t="shared" si="170"/>
        <v>9.9151234567901037E-3</v>
      </c>
      <c r="AT515" s="77">
        <f t="shared" si="170"/>
        <v>8.2561728395061929E-3</v>
      </c>
      <c r="AU515" s="77">
        <f t="shared" si="170"/>
        <v>1.8171296296296297E-2</v>
      </c>
      <c r="AV515" s="77">
        <f t="shared" si="170"/>
        <v>738</v>
      </c>
      <c r="AW515" s="77">
        <f t="shared" si="170"/>
        <v>189</v>
      </c>
      <c r="AX515" s="77" t="str">
        <f t="shared" si="170"/>
        <v>MEX</v>
      </c>
    </row>
    <row r="516" spans="1:50" ht="15.75" thickBot="1" x14ac:dyDescent="0.3">
      <c r="A516">
        <v>502</v>
      </c>
      <c r="B516" s="36" t="str">
        <f t="shared" si="161"/>
        <v>VUELOS AL NORTE</v>
      </c>
      <c r="C516" s="36">
        <f t="shared" si="161"/>
        <v>226</v>
      </c>
      <c r="D516" s="84">
        <v>0.14375000000000002</v>
      </c>
      <c r="E516" s="84">
        <v>0.15486111111111112</v>
      </c>
      <c r="F516" s="85">
        <v>1.1111111111111099E-2</v>
      </c>
      <c r="G516" s="84">
        <v>0.17916666666666667</v>
      </c>
      <c r="H516" s="85">
        <v>2.4305555555555552E-2</v>
      </c>
      <c r="I516" s="86">
        <v>41727</v>
      </c>
      <c r="J516" s="36" t="str">
        <f t="shared" si="171"/>
        <v>Internacional</v>
      </c>
      <c r="K516" s="36">
        <f t="shared" si="171"/>
        <v>1.4583333333333328E-2</v>
      </c>
      <c r="L516" s="36">
        <f t="shared" si="171"/>
        <v>1.7361111111111115E-2</v>
      </c>
      <c r="M516" s="36">
        <f t="shared" si="171"/>
        <v>3.1944444444444442E-2</v>
      </c>
      <c r="N516" s="36" t="str">
        <f t="shared" si="171"/>
        <v>B737-800</v>
      </c>
      <c r="O516" s="36">
        <f t="shared" si="171"/>
        <v>189</v>
      </c>
      <c r="P516" s="36" t="str">
        <f t="shared" si="171"/>
        <v>SEA</v>
      </c>
      <c r="R516">
        <v>502</v>
      </c>
      <c r="S516" s="36" t="str">
        <f t="shared" si="159"/>
        <v>MEXICO AEREO</v>
      </c>
      <c r="T516" s="36">
        <f t="shared" si="159"/>
        <v>773</v>
      </c>
      <c r="U516" s="83">
        <v>0.80555555555555547</v>
      </c>
      <c r="V516" s="84">
        <v>0.80902777777777779</v>
      </c>
      <c r="W516" s="85">
        <v>3.4722222222223209E-3</v>
      </c>
      <c r="X516" s="84">
        <v>0.81944444444444453</v>
      </c>
      <c r="Y516" s="85">
        <v>1.0416666666666741E-2</v>
      </c>
      <c r="Z516" s="86">
        <v>41741</v>
      </c>
      <c r="AA516" s="36" t="str">
        <f t="shared" si="169"/>
        <v>Nacional</v>
      </c>
      <c r="AB516" s="36">
        <f t="shared" si="169"/>
        <v>3.4722222222222494E-3</v>
      </c>
      <c r="AC516" s="36">
        <f t="shared" si="169"/>
        <v>5.4563492063492347E-3</v>
      </c>
      <c r="AD516" s="36">
        <f t="shared" si="169"/>
        <v>8.9285714285714836E-3</v>
      </c>
      <c r="AE516" s="36" t="str">
        <f t="shared" si="169"/>
        <v>B737-800</v>
      </c>
      <c r="AF516" s="36">
        <f t="shared" si="169"/>
        <v>189</v>
      </c>
      <c r="AG516" s="36" t="str">
        <f t="shared" si="169"/>
        <v>TIJ</v>
      </c>
      <c r="AI516">
        <v>502</v>
      </c>
      <c r="AJ516" s="77" t="str">
        <f t="shared" si="164"/>
        <v>MEXICO AEREO</v>
      </c>
      <c r="AK516" s="77">
        <f t="shared" si="164"/>
        <v>466</v>
      </c>
      <c r="AL516" s="78">
        <v>0.84652777777777777</v>
      </c>
      <c r="AM516" s="79">
        <v>0.89930555555555547</v>
      </c>
      <c r="AN516" s="80">
        <v>5.2777777777777701E-2</v>
      </c>
      <c r="AO516" s="79">
        <v>0.90625</v>
      </c>
      <c r="AP516" s="80">
        <v>6.9444444444445308E-3</v>
      </c>
      <c r="AQ516" s="81">
        <v>41799</v>
      </c>
      <c r="AR516" s="77" t="str">
        <f t="shared" si="170"/>
        <v>Nacional</v>
      </c>
      <c r="AS516" s="77">
        <f t="shared" si="170"/>
        <v>9.9151234567901037E-3</v>
      </c>
      <c r="AT516" s="77">
        <f t="shared" si="170"/>
        <v>8.2561728395061929E-3</v>
      </c>
      <c r="AU516" s="77">
        <f t="shared" si="170"/>
        <v>1.8171296296296297E-2</v>
      </c>
      <c r="AV516" s="77">
        <f t="shared" si="170"/>
        <v>738</v>
      </c>
      <c r="AW516" s="77">
        <f t="shared" si="170"/>
        <v>189</v>
      </c>
      <c r="AX516" s="77" t="str">
        <f t="shared" si="170"/>
        <v>MEX</v>
      </c>
    </row>
    <row r="517" spans="1:50" ht="15.75" thickBot="1" x14ac:dyDescent="0.3">
      <c r="A517">
        <v>503</v>
      </c>
      <c r="B517" s="77" t="s">
        <v>53</v>
      </c>
      <c r="C517" s="146">
        <v>4525</v>
      </c>
      <c r="D517" s="147">
        <v>0.66041666666666665</v>
      </c>
      <c r="E517" s="147">
        <v>0.66666666666666663</v>
      </c>
      <c r="F517" s="148">
        <v>6.2499999999999778E-3</v>
      </c>
      <c r="G517" s="147">
        <v>0.67638888888888893</v>
      </c>
      <c r="H517" s="148">
        <v>9.7222222222222987E-3</v>
      </c>
      <c r="I517" s="103">
        <v>41726</v>
      </c>
      <c r="J517" s="49" t="s">
        <v>22</v>
      </c>
      <c r="K517" s="149">
        <v>6.2499999999999778E-3</v>
      </c>
      <c r="L517" s="149">
        <v>9.7222222222222987E-3</v>
      </c>
      <c r="M517" s="150">
        <v>1.5972222222222276E-2</v>
      </c>
      <c r="N517" s="52" t="s">
        <v>20</v>
      </c>
      <c r="O517" s="53">
        <v>50</v>
      </c>
      <c r="P517" s="54" t="s">
        <v>54</v>
      </c>
      <c r="R517">
        <v>503</v>
      </c>
      <c r="S517" s="36" t="str">
        <f t="shared" si="159"/>
        <v>MEXICO AEREO</v>
      </c>
      <c r="T517" s="55">
        <v>771</v>
      </c>
      <c r="U517" s="56">
        <v>0.56319444444444444</v>
      </c>
      <c r="V517" s="57">
        <v>0.57152777777777775</v>
      </c>
      <c r="W517" s="58">
        <v>8.3333333333333037E-3</v>
      </c>
      <c r="X517" s="57">
        <v>0.58124999999999993</v>
      </c>
      <c r="Y517" s="58">
        <v>9.7222222222221877E-3</v>
      </c>
      <c r="Z517" s="59">
        <v>41731</v>
      </c>
      <c r="AA517" s="60" t="s">
        <v>19</v>
      </c>
      <c r="AB517" s="61">
        <v>8.1790123456790143E-3</v>
      </c>
      <c r="AC517" s="61">
        <v>8.6419753086419953E-3</v>
      </c>
      <c r="AD517" s="62">
        <v>1.682098765432101E-2</v>
      </c>
      <c r="AE517" s="109" t="s">
        <v>39</v>
      </c>
      <c r="AF517" s="109">
        <v>189</v>
      </c>
      <c r="AG517" s="109" t="s">
        <v>34</v>
      </c>
      <c r="AI517">
        <v>503</v>
      </c>
      <c r="AJ517" s="77" t="str">
        <f t="shared" si="164"/>
        <v>MEXICO AEREO</v>
      </c>
      <c r="AK517" s="77">
        <f t="shared" si="164"/>
        <v>466</v>
      </c>
      <c r="AL517" s="78">
        <v>0.48125000000000001</v>
      </c>
      <c r="AM517" s="79">
        <v>0.48819444444444443</v>
      </c>
      <c r="AN517" s="80">
        <v>6.9444444444444198E-3</v>
      </c>
      <c r="AO517" s="79">
        <v>0.49305555555555558</v>
      </c>
      <c r="AP517" s="80">
        <v>4.8611111111111494E-3</v>
      </c>
      <c r="AQ517" s="81">
        <v>41800</v>
      </c>
      <c r="AR517" s="77" t="str">
        <f t="shared" si="170"/>
        <v>Nacional</v>
      </c>
      <c r="AS517" s="77">
        <f t="shared" si="170"/>
        <v>9.9151234567901037E-3</v>
      </c>
      <c r="AT517" s="77">
        <f t="shared" si="170"/>
        <v>8.2561728395061929E-3</v>
      </c>
      <c r="AU517" s="77">
        <f t="shared" si="170"/>
        <v>1.8171296296296297E-2</v>
      </c>
      <c r="AV517" s="77">
        <f t="shared" si="170"/>
        <v>738</v>
      </c>
      <c r="AW517" s="77">
        <f t="shared" si="170"/>
        <v>189</v>
      </c>
      <c r="AX517" s="77" t="str">
        <f t="shared" si="170"/>
        <v>MEX</v>
      </c>
    </row>
    <row r="518" spans="1:50" x14ac:dyDescent="0.25">
      <c r="A518">
        <v>504</v>
      </c>
      <c r="B518" s="36" t="str">
        <f t="shared" ref="B518:C553" si="172">B517</f>
        <v>AEROLINEAS DE AMERICA</v>
      </c>
      <c r="C518" s="151">
        <v>3275</v>
      </c>
      <c r="D518" s="152">
        <v>0.45555555555555555</v>
      </c>
      <c r="E518" s="152">
        <v>0.46527777777777773</v>
      </c>
      <c r="F518" s="153">
        <v>9.7222222222221877E-3</v>
      </c>
      <c r="G518" s="152">
        <v>0.47152777777777777</v>
      </c>
      <c r="H518" s="153">
        <v>6.2500000000000333E-3</v>
      </c>
      <c r="I518" s="67">
        <v>41714</v>
      </c>
      <c r="J518" s="108" t="s">
        <v>22</v>
      </c>
      <c r="K518" s="135">
        <v>1.2072649572649556E-2</v>
      </c>
      <c r="L518" s="135">
        <v>6.7841880341880656E-3</v>
      </c>
      <c r="M518" s="154">
        <v>1.8856837606837623E-2</v>
      </c>
      <c r="N518" s="90" t="s">
        <v>20</v>
      </c>
      <c r="O518" s="91">
        <v>50</v>
      </c>
      <c r="P518" s="92" t="s">
        <v>23</v>
      </c>
      <c r="R518">
        <v>504</v>
      </c>
      <c r="S518" s="36" t="str">
        <f t="shared" si="159"/>
        <v>MEXICO AEREO</v>
      </c>
      <c r="T518" s="36">
        <f t="shared" si="159"/>
        <v>771</v>
      </c>
      <c r="U518" s="73">
        <v>6.25E-2</v>
      </c>
      <c r="V518" s="74">
        <v>6.9444444444444434E-2</v>
      </c>
      <c r="W518" s="75">
        <v>6.9444444444444337E-3</v>
      </c>
      <c r="X518" s="74">
        <v>7.4305555555555555E-2</v>
      </c>
      <c r="Y518" s="75">
        <v>4.8611111111111216E-3</v>
      </c>
      <c r="Z518" s="76">
        <v>41732</v>
      </c>
      <c r="AA518" s="36" t="str">
        <f t="shared" ref="AA518:AG534" si="173">AA517</f>
        <v>Nacional</v>
      </c>
      <c r="AB518" s="36">
        <f t="shared" si="173"/>
        <v>8.1790123456790143E-3</v>
      </c>
      <c r="AC518" s="36">
        <f t="shared" si="173"/>
        <v>8.6419753086419953E-3</v>
      </c>
      <c r="AD518" s="36">
        <f t="shared" si="173"/>
        <v>1.682098765432101E-2</v>
      </c>
      <c r="AE518" s="36" t="str">
        <f t="shared" si="173"/>
        <v>B737-800</v>
      </c>
      <c r="AF518" s="36">
        <f t="shared" si="173"/>
        <v>189</v>
      </c>
      <c r="AG518" s="36" t="str">
        <f t="shared" si="173"/>
        <v>TIJ</v>
      </c>
      <c r="AI518">
        <v>504</v>
      </c>
      <c r="AJ518" s="77" t="str">
        <f t="shared" si="164"/>
        <v>MEXICO AEREO</v>
      </c>
      <c r="AK518" s="77">
        <f t="shared" si="164"/>
        <v>466</v>
      </c>
      <c r="AL518" s="78">
        <v>0.52083333333333337</v>
      </c>
      <c r="AM518" s="79">
        <v>0.53055555555555556</v>
      </c>
      <c r="AN518" s="80">
        <v>9.7222222222221877E-3</v>
      </c>
      <c r="AO518" s="79">
        <v>0.54027777777777775</v>
      </c>
      <c r="AP518" s="80">
        <v>9.7222222222221877E-3</v>
      </c>
      <c r="AQ518" s="81">
        <v>41801</v>
      </c>
      <c r="AR518" s="77" t="str">
        <f t="shared" si="170"/>
        <v>Nacional</v>
      </c>
      <c r="AS518" s="77">
        <f t="shared" si="170"/>
        <v>9.9151234567901037E-3</v>
      </c>
      <c r="AT518" s="77">
        <f t="shared" si="170"/>
        <v>8.2561728395061929E-3</v>
      </c>
      <c r="AU518" s="77">
        <f t="shared" si="170"/>
        <v>1.8171296296296297E-2</v>
      </c>
      <c r="AV518" s="77">
        <f t="shared" si="170"/>
        <v>738</v>
      </c>
      <c r="AW518" s="77">
        <f t="shared" si="170"/>
        <v>189</v>
      </c>
      <c r="AX518" s="77" t="str">
        <f t="shared" si="170"/>
        <v>MEX</v>
      </c>
    </row>
    <row r="519" spans="1:50" x14ac:dyDescent="0.25">
      <c r="A519">
        <v>505</v>
      </c>
      <c r="B519" s="36" t="str">
        <f t="shared" si="172"/>
        <v>AEROLINEAS DE AMERICA</v>
      </c>
      <c r="C519" s="36">
        <f t="shared" si="172"/>
        <v>3275</v>
      </c>
      <c r="D519" s="74">
        <v>0.45416666666666666</v>
      </c>
      <c r="E519" s="74">
        <v>0.46666666666666662</v>
      </c>
      <c r="F519" s="75">
        <v>1.2499999999999956E-2</v>
      </c>
      <c r="G519" s="74">
        <v>0.47083333333333338</v>
      </c>
      <c r="H519" s="75">
        <v>4.1666666666667629E-3</v>
      </c>
      <c r="I519" s="76">
        <v>41720</v>
      </c>
      <c r="J519" s="36" t="str">
        <f t="shared" ref="J519:P530" si="174">J518</f>
        <v>Internacional</v>
      </c>
      <c r="K519" s="36">
        <f t="shared" si="174"/>
        <v>1.2072649572649556E-2</v>
      </c>
      <c r="L519" s="36">
        <f t="shared" si="174"/>
        <v>6.7841880341880656E-3</v>
      </c>
      <c r="M519" s="36">
        <f t="shared" si="174"/>
        <v>1.8856837606837623E-2</v>
      </c>
      <c r="N519" s="36" t="str">
        <f t="shared" si="174"/>
        <v>ER4</v>
      </c>
      <c r="O519" s="36">
        <f t="shared" si="174"/>
        <v>50</v>
      </c>
      <c r="P519" s="36" t="str">
        <f t="shared" si="174"/>
        <v>DFW</v>
      </c>
      <c r="R519">
        <v>505</v>
      </c>
      <c r="S519" s="36" t="str">
        <f t="shared" si="159"/>
        <v>MEXICO AEREO</v>
      </c>
      <c r="T519" s="36">
        <f t="shared" si="159"/>
        <v>771</v>
      </c>
      <c r="U519" s="73">
        <v>0.56527777777777777</v>
      </c>
      <c r="V519" s="74">
        <v>0.57638888888888895</v>
      </c>
      <c r="W519" s="75">
        <v>1.1111111111111183E-2</v>
      </c>
      <c r="X519" s="74">
        <v>0.5805555555555556</v>
      </c>
      <c r="Y519" s="75">
        <v>4.1666666666666519E-3</v>
      </c>
      <c r="Z519" s="76">
        <v>41733</v>
      </c>
      <c r="AA519" s="36" t="str">
        <f t="shared" si="173"/>
        <v>Nacional</v>
      </c>
      <c r="AB519" s="36">
        <f t="shared" si="173"/>
        <v>8.1790123456790143E-3</v>
      </c>
      <c r="AC519" s="36">
        <f t="shared" si="173"/>
        <v>8.6419753086419953E-3</v>
      </c>
      <c r="AD519" s="36">
        <f t="shared" si="173"/>
        <v>1.682098765432101E-2</v>
      </c>
      <c r="AE519" s="36" t="str">
        <f t="shared" si="173"/>
        <v>B737-800</v>
      </c>
      <c r="AF519" s="36">
        <f t="shared" si="173"/>
        <v>189</v>
      </c>
      <c r="AG519" s="36" t="str">
        <f t="shared" si="173"/>
        <v>TIJ</v>
      </c>
      <c r="AI519">
        <v>505</v>
      </c>
      <c r="AJ519" s="77" t="str">
        <f t="shared" si="164"/>
        <v>MEXICO AEREO</v>
      </c>
      <c r="AK519" s="77">
        <f t="shared" si="164"/>
        <v>466</v>
      </c>
      <c r="AL519" s="78">
        <v>0.44791666666666669</v>
      </c>
      <c r="AM519" s="79">
        <v>0.45277777777777778</v>
      </c>
      <c r="AN519" s="80">
        <v>4.8611111111110938E-3</v>
      </c>
      <c r="AO519" s="79">
        <v>0.45833333333333331</v>
      </c>
      <c r="AP519" s="80">
        <v>5.5555555555555358E-3</v>
      </c>
      <c r="AQ519" s="81">
        <v>41803</v>
      </c>
      <c r="AR519" s="77" t="str">
        <f t="shared" si="170"/>
        <v>Nacional</v>
      </c>
      <c r="AS519" s="77">
        <f t="shared" si="170"/>
        <v>9.9151234567901037E-3</v>
      </c>
      <c r="AT519" s="77">
        <f t="shared" si="170"/>
        <v>8.2561728395061929E-3</v>
      </c>
      <c r="AU519" s="77">
        <f t="shared" si="170"/>
        <v>1.8171296296296297E-2</v>
      </c>
      <c r="AV519" s="77">
        <f t="shared" si="170"/>
        <v>738</v>
      </c>
      <c r="AW519" s="77">
        <f t="shared" si="170"/>
        <v>189</v>
      </c>
      <c r="AX519" s="77" t="str">
        <f t="shared" si="170"/>
        <v>MEX</v>
      </c>
    </row>
    <row r="520" spans="1:50" x14ac:dyDescent="0.25">
      <c r="A520">
        <v>506</v>
      </c>
      <c r="B520" s="36" t="str">
        <f t="shared" si="172"/>
        <v>AEROLINEAS DE AMERICA</v>
      </c>
      <c r="C520" s="36">
        <f t="shared" si="172"/>
        <v>3275</v>
      </c>
      <c r="D520" s="74">
        <v>0.45</v>
      </c>
      <c r="E520" s="74">
        <v>0.46458333333333335</v>
      </c>
      <c r="F520" s="75">
        <v>1.4583333333333337E-2</v>
      </c>
      <c r="G520" s="74">
        <v>0.47222222222222227</v>
      </c>
      <c r="H520" s="75">
        <v>7.6388888888889173E-3</v>
      </c>
      <c r="I520" s="76">
        <v>41721</v>
      </c>
      <c r="J520" s="36" t="str">
        <f t="shared" si="174"/>
        <v>Internacional</v>
      </c>
      <c r="K520" s="36">
        <f t="shared" si="174"/>
        <v>1.2072649572649556E-2</v>
      </c>
      <c r="L520" s="36">
        <f t="shared" si="174"/>
        <v>6.7841880341880656E-3</v>
      </c>
      <c r="M520" s="36">
        <f t="shared" si="174"/>
        <v>1.8856837606837623E-2</v>
      </c>
      <c r="N520" s="36" t="str">
        <f t="shared" si="174"/>
        <v>ER4</v>
      </c>
      <c r="O520" s="36">
        <f t="shared" si="174"/>
        <v>50</v>
      </c>
      <c r="P520" s="36" t="str">
        <f t="shared" si="174"/>
        <v>DFW</v>
      </c>
      <c r="R520">
        <v>506</v>
      </c>
      <c r="S520" s="36" t="str">
        <f t="shared" si="159"/>
        <v>MEXICO AEREO</v>
      </c>
      <c r="T520" s="36">
        <f t="shared" si="159"/>
        <v>771</v>
      </c>
      <c r="U520" s="73">
        <v>0.61111111111111105</v>
      </c>
      <c r="V520" s="74">
        <v>0.61875000000000002</v>
      </c>
      <c r="W520" s="75">
        <v>7.6388888888889728E-3</v>
      </c>
      <c r="X520" s="74">
        <v>0.63194444444444442</v>
      </c>
      <c r="Y520" s="75">
        <v>1.3194444444444398E-2</v>
      </c>
      <c r="Z520" s="76">
        <v>41735</v>
      </c>
      <c r="AA520" s="36" t="str">
        <f t="shared" si="173"/>
        <v>Nacional</v>
      </c>
      <c r="AB520" s="36">
        <f t="shared" si="173"/>
        <v>8.1790123456790143E-3</v>
      </c>
      <c r="AC520" s="36">
        <f t="shared" si="173"/>
        <v>8.6419753086419953E-3</v>
      </c>
      <c r="AD520" s="36">
        <f t="shared" si="173"/>
        <v>1.682098765432101E-2</v>
      </c>
      <c r="AE520" s="36" t="str">
        <f t="shared" si="173"/>
        <v>B737-800</v>
      </c>
      <c r="AF520" s="36">
        <f t="shared" si="173"/>
        <v>189</v>
      </c>
      <c r="AG520" s="36" t="str">
        <f t="shared" si="173"/>
        <v>TIJ</v>
      </c>
      <c r="AI520">
        <v>506</v>
      </c>
      <c r="AJ520" s="77" t="str">
        <f t="shared" si="164"/>
        <v>MEXICO AEREO</v>
      </c>
      <c r="AK520" s="77">
        <f t="shared" si="164"/>
        <v>466</v>
      </c>
      <c r="AL520" s="78">
        <v>0.27291666666666664</v>
      </c>
      <c r="AM520" s="79">
        <v>0.28125</v>
      </c>
      <c r="AN520" s="80">
        <v>8.3333333333333592E-3</v>
      </c>
      <c r="AO520" s="79">
        <v>0.30208333333333331</v>
      </c>
      <c r="AP520" s="80">
        <v>2.0833333333333315E-2</v>
      </c>
      <c r="AQ520" s="81">
        <v>41805</v>
      </c>
      <c r="AR520" s="77" t="str">
        <f t="shared" si="170"/>
        <v>Nacional</v>
      </c>
      <c r="AS520" s="77">
        <f t="shared" si="170"/>
        <v>9.9151234567901037E-3</v>
      </c>
      <c r="AT520" s="77">
        <f t="shared" si="170"/>
        <v>8.2561728395061929E-3</v>
      </c>
      <c r="AU520" s="77">
        <f t="shared" si="170"/>
        <v>1.8171296296296297E-2</v>
      </c>
      <c r="AV520" s="77">
        <f t="shared" si="170"/>
        <v>738</v>
      </c>
      <c r="AW520" s="77">
        <f t="shared" si="170"/>
        <v>189</v>
      </c>
      <c r="AX520" s="77" t="str">
        <f t="shared" si="170"/>
        <v>MEX</v>
      </c>
    </row>
    <row r="521" spans="1:50" x14ac:dyDescent="0.25">
      <c r="A521">
        <v>507</v>
      </c>
      <c r="B521" s="36" t="str">
        <f t="shared" si="172"/>
        <v>AEROLINEAS DE AMERICA</v>
      </c>
      <c r="C521" s="36">
        <f t="shared" si="172"/>
        <v>3275</v>
      </c>
      <c r="D521" s="74">
        <v>0.44930555555555557</v>
      </c>
      <c r="E521" s="74">
        <v>0.4597222222222222</v>
      </c>
      <c r="F521" s="75">
        <v>1.041666666666663E-2</v>
      </c>
      <c r="G521" s="74">
        <v>0.47083333333333338</v>
      </c>
      <c r="H521" s="75">
        <v>1.1111111111111183E-2</v>
      </c>
      <c r="I521" s="76">
        <v>41722</v>
      </c>
      <c r="J521" s="36" t="str">
        <f t="shared" si="174"/>
        <v>Internacional</v>
      </c>
      <c r="K521" s="36">
        <f t="shared" si="174"/>
        <v>1.2072649572649556E-2</v>
      </c>
      <c r="L521" s="36">
        <f t="shared" si="174"/>
        <v>6.7841880341880656E-3</v>
      </c>
      <c r="M521" s="36">
        <f t="shared" si="174"/>
        <v>1.8856837606837623E-2</v>
      </c>
      <c r="N521" s="36" t="str">
        <f t="shared" si="174"/>
        <v>ER4</v>
      </c>
      <c r="O521" s="36">
        <f t="shared" si="174"/>
        <v>50</v>
      </c>
      <c r="P521" s="36" t="str">
        <f t="shared" si="174"/>
        <v>DFW</v>
      </c>
      <c r="R521">
        <v>507</v>
      </c>
      <c r="S521" s="36" t="str">
        <f t="shared" si="159"/>
        <v>MEXICO AEREO</v>
      </c>
      <c r="T521" s="36">
        <f t="shared" si="159"/>
        <v>771</v>
      </c>
      <c r="U521" s="73">
        <v>0.90138888888888891</v>
      </c>
      <c r="V521" s="74">
        <v>0.90555555555555556</v>
      </c>
      <c r="W521" s="75">
        <v>4.1666666666666519E-3</v>
      </c>
      <c r="X521" s="74">
        <v>0.91180555555555554</v>
      </c>
      <c r="Y521" s="75">
        <v>6.2499999999999778E-3</v>
      </c>
      <c r="Z521" s="76">
        <v>41736</v>
      </c>
      <c r="AA521" s="36" t="str">
        <f t="shared" si="173"/>
        <v>Nacional</v>
      </c>
      <c r="AB521" s="36">
        <f t="shared" si="173"/>
        <v>8.1790123456790143E-3</v>
      </c>
      <c r="AC521" s="36">
        <f t="shared" si="173"/>
        <v>8.6419753086419953E-3</v>
      </c>
      <c r="AD521" s="36">
        <f t="shared" si="173"/>
        <v>1.682098765432101E-2</v>
      </c>
      <c r="AE521" s="36" t="str">
        <f t="shared" si="173"/>
        <v>B737-800</v>
      </c>
      <c r="AF521" s="36">
        <f t="shared" si="173"/>
        <v>189</v>
      </c>
      <c r="AG521" s="36" t="str">
        <f t="shared" si="173"/>
        <v>TIJ</v>
      </c>
      <c r="AI521">
        <v>507</v>
      </c>
      <c r="AJ521" s="77" t="str">
        <f t="shared" si="164"/>
        <v>MEXICO AEREO</v>
      </c>
      <c r="AK521" s="77">
        <f t="shared" si="164"/>
        <v>466</v>
      </c>
      <c r="AL521" s="78">
        <v>0.90277777777777779</v>
      </c>
      <c r="AM521" s="79">
        <v>0.91249999999999998</v>
      </c>
      <c r="AN521" s="80">
        <v>9.7222222222221877E-3</v>
      </c>
      <c r="AO521" s="79">
        <v>0.93402777777777779</v>
      </c>
      <c r="AP521" s="80">
        <v>2.1527777777777812E-2</v>
      </c>
      <c r="AQ521" s="81">
        <v>41806</v>
      </c>
      <c r="AR521" s="77" t="str">
        <f t="shared" si="170"/>
        <v>Nacional</v>
      </c>
      <c r="AS521" s="77">
        <f t="shared" si="170"/>
        <v>9.9151234567901037E-3</v>
      </c>
      <c r="AT521" s="77">
        <f t="shared" si="170"/>
        <v>8.2561728395061929E-3</v>
      </c>
      <c r="AU521" s="77">
        <f t="shared" si="170"/>
        <v>1.8171296296296297E-2</v>
      </c>
      <c r="AV521" s="77">
        <f t="shared" si="170"/>
        <v>738</v>
      </c>
      <c r="AW521" s="77">
        <f t="shared" si="170"/>
        <v>189</v>
      </c>
      <c r="AX521" s="77" t="str">
        <f t="shared" si="170"/>
        <v>MEX</v>
      </c>
    </row>
    <row r="522" spans="1:50" x14ac:dyDescent="0.25">
      <c r="A522">
        <v>508</v>
      </c>
      <c r="B522" s="36" t="str">
        <f t="shared" si="172"/>
        <v>AEROLINEAS DE AMERICA</v>
      </c>
      <c r="C522" s="36">
        <f t="shared" si="172"/>
        <v>3275</v>
      </c>
      <c r="D522" s="74">
        <v>0.4513888888888889</v>
      </c>
      <c r="E522" s="74">
        <v>0.46388888888888885</v>
      </c>
      <c r="F522" s="75">
        <v>1.2499999999999956E-2</v>
      </c>
      <c r="G522" s="74">
        <v>0.46875</v>
      </c>
      <c r="H522" s="75">
        <v>4.8611111111111494E-3</v>
      </c>
      <c r="I522" s="76">
        <v>41723</v>
      </c>
      <c r="J522" s="36" t="str">
        <f t="shared" si="174"/>
        <v>Internacional</v>
      </c>
      <c r="K522" s="36">
        <f t="shared" si="174"/>
        <v>1.2072649572649556E-2</v>
      </c>
      <c r="L522" s="36">
        <f t="shared" si="174"/>
        <v>6.7841880341880656E-3</v>
      </c>
      <c r="M522" s="36">
        <f t="shared" si="174"/>
        <v>1.8856837606837623E-2</v>
      </c>
      <c r="N522" s="36" t="str">
        <f t="shared" si="174"/>
        <v>ER4</v>
      </c>
      <c r="O522" s="36">
        <f t="shared" si="174"/>
        <v>50</v>
      </c>
      <c r="P522" s="36" t="str">
        <f t="shared" si="174"/>
        <v>DFW</v>
      </c>
      <c r="R522">
        <v>508</v>
      </c>
      <c r="S522" s="36" t="str">
        <f t="shared" si="159"/>
        <v>MEXICO AEREO</v>
      </c>
      <c r="T522" s="36">
        <f t="shared" si="159"/>
        <v>771</v>
      </c>
      <c r="U522" s="73">
        <v>0.87847222222222221</v>
      </c>
      <c r="V522" s="74">
        <v>0.88680555555555562</v>
      </c>
      <c r="W522" s="75">
        <v>8.3333333333334147E-3</v>
      </c>
      <c r="X522" s="74">
        <v>0.89236111111111116</v>
      </c>
      <c r="Y522" s="75">
        <v>5.5555555555555358E-3</v>
      </c>
      <c r="Z522" s="76">
        <v>41739</v>
      </c>
      <c r="AA522" s="36" t="str">
        <f t="shared" si="173"/>
        <v>Nacional</v>
      </c>
      <c r="AB522" s="36">
        <f t="shared" si="173"/>
        <v>8.1790123456790143E-3</v>
      </c>
      <c r="AC522" s="36">
        <f t="shared" si="173"/>
        <v>8.6419753086419953E-3</v>
      </c>
      <c r="AD522" s="36">
        <f t="shared" si="173"/>
        <v>1.682098765432101E-2</v>
      </c>
      <c r="AE522" s="36" t="str">
        <f t="shared" si="173"/>
        <v>B737-800</v>
      </c>
      <c r="AF522" s="36">
        <f t="shared" si="173"/>
        <v>189</v>
      </c>
      <c r="AG522" s="36" t="str">
        <f t="shared" si="173"/>
        <v>TIJ</v>
      </c>
      <c r="AI522">
        <v>508</v>
      </c>
      <c r="AJ522" s="77" t="str">
        <f t="shared" si="164"/>
        <v>MEXICO AEREO</v>
      </c>
      <c r="AK522" s="77">
        <f t="shared" si="164"/>
        <v>466</v>
      </c>
      <c r="AL522" s="78">
        <v>0.87708333333333333</v>
      </c>
      <c r="AM522" s="79">
        <v>0.8881944444444444</v>
      </c>
      <c r="AN522" s="80">
        <v>1.1111111111111072E-2</v>
      </c>
      <c r="AO522" s="79">
        <v>0.89236111111111116</v>
      </c>
      <c r="AP522" s="80">
        <v>4.1666666666667629E-3</v>
      </c>
      <c r="AQ522" s="81">
        <v>41807</v>
      </c>
      <c r="AR522" s="77" t="str">
        <f t="shared" si="170"/>
        <v>Nacional</v>
      </c>
      <c r="AS522" s="77">
        <f t="shared" si="170"/>
        <v>9.9151234567901037E-3</v>
      </c>
      <c r="AT522" s="77">
        <f t="shared" si="170"/>
        <v>8.2561728395061929E-3</v>
      </c>
      <c r="AU522" s="77">
        <f t="shared" si="170"/>
        <v>1.8171296296296297E-2</v>
      </c>
      <c r="AV522" s="77">
        <f t="shared" si="170"/>
        <v>738</v>
      </c>
      <c r="AW522" s="77">
        <f t="shared" si="170"/>
        <v>189</v>
      </c>
      <c r="AX522" s="77" t="str">
        <f t="shared" si="170"/>
        <v>MEX</v>
      </c>
    </row>
    <row r="523" spans="1:50" x14ac:dyDescent="0.25">
      <c r="A523">
        <v>509</v>
      </c>
      <c r="B523" s="36" t="str">
        <f t="shared" si="172"/>
        <v>AEROLINEAS DE AMERICA</v>
      </c>
      <c r="C523" s="36">
        <f t="shared" si="172"/>
        <v>3275</v>
      </c>
      <c r="D523" s="74">
        <v>0.44027777777777777</v>
      </c>
      <c r="E523" s="74">
        <v>0.45416666666666666</v>
      </c>
      <c r="F523" s="75">
        <v>1.3888888888888895E-2</v>
      </c>
      <c r="G523" s="74">
        <v>0.46319444444444446</v>
      </c>
      <c r="H523" s="75">
        <v>9.0277777777778012E-3</v>
      </c>
      <c r="I523" s="76">
        <v>41715</v>
      </c>
      <c r="J523" s="36" t="str">
        <f t="shared" si="174"/>
        <v>Internacional</v>
      </c>
      <c r="K523" s="36">
        <f t="shared" si="174"/>
        <v>1.2072649572649556E-2</v>
      </c>
      <c r="L523" s="36">
        <f t="shared" si="174"/>
        <v>6.7841880341880656E-3</v>
      </c>
      <c r="M523" s="36">
        <f t="shared" si="174"/>
        <v>1.8856837606837623E-2</v>
      </c>
      <c r="N523" s="36" t="str">
        <f t="shared" si="174"/>
        <v>ER4</v>
      </c>
      <c r="O523" s="36">
        <f t="shared" si="174"/>
        <v>50</v>
      </c>
      <c r="P523" s="36" t="str">
        <f t="shared" si="174"/>
        <v>DFW</v>
      </c>
      <c r="R523">
        <v>509</v>
      </c>
      <c r="S523" s="36" t="str">
        <f t="shared" si="159"/>
        <v>MEXICO AEREO</v>
      </c>
      <c r="T523" s="36">
        <f t="shared" si="159"/>
        <v>771</v>
      </c>
      <c r="U523" s="73">
        <v>0.89097222222222217</v>
      </c>
      <c r="V523" s="74">
        <v>0.90069444444444446</v>
      </c>
      <c r="W523" s="75">
        <v>9.7222222222222987E-3</v>
      </c>
      <c r="X523" s="74">
        <v>0.90763888888888899</v>
      </c>
      <c r="Y523" s="75">
        <v>6.9444444444445308E-3</v>
      </c>
      <c r="Z523" s="76">
        <v>41740</v>
      </c>
      <c r="AA523" s="36" t="str">
        <f t="shared" si="173"/>
        <v>Nacional</v>
      </c>
      <c r="AB523" s="36">
        <f t="shared" si="173"/>
        <v>8.1790123456790143E-3</v>
      </c>
      <c r="AC523" s="36">
        <f t="shared" si="173"/>
        <v>8.6419753086419953E-3</v>
      </c>
      <c r="AD523" s="36">
        <f t="shared" si="173"/>
        <v>1.682098765432101E-2</v>
      </c>
      <c r="AE523" s="36" t="str">
        <f t="shared" si="173"/>
        <v>B737-800</v>
      </c>
      <c r="AF523" s="36">
        <f t="shared" si="173"/>
        <v>189</v>
      </c>
      <c r="AG523" s="36" t="str">
        <f t="shared" si="173"/>
        <v>TIJ</v>
      </c>
      <c r="AI523">
        <v>509</v>
      </c>
      <c r="AJ523" s="77" t="str">
        <f t="shared" si="164"/>
        <v>MEXICO AEREO</v>
      </c>
      <c r="AK523" s="77">
        <f t="shared" si="164"/>
        <v>466</v>
      </c>
      <c r="AL523" s="78">
        <v>0.91666666666666663</v>
      </c>
      <c r="AM523" s="79">
        <v>0.9291666666666667</v>
      </c>
      <c r="AN523" s="80">
        <v>1.2500000000000067E-2</v>
      </c>
      <c r="AO523" s="79">
        <v>0.93402777777777779</v>
      </c>
      <c r="AP523" s="80">
        <v>4.8611111111110938E-3</v>
      </c>
      <c r="AQ523" s="81">
        <v>41808</v>
      </c>
      <c r="AR523" s="77" t="str">
        <f t="shared" si="170"/>
        <v>Nacional</v>
      </c>
      <c r="AS523" s="77">
        <f t="shared" si="170"/>
        <v>9.9151234567901037E-3</v>
      </c>
      <c r="AT523" s="77">
        <f t="shared" si="170"/>
        <v>8.2561728395061929E-3</v>
      </c>
      <c r="AU523" s="77">
        <f t="shared" si="170"/>
        <v>1.8171296296296297E-2</v>
      </c>
      <c r="AV523" s="77">
        <f t="shared" si="170"/>
        <v>738</v>
      </c>
      <c r="AW523" s="77">
        <f t="shared" si="170"/>
        <v>189</v>
      </c>
      <c r="AX523" s="77" t="str">
        <f t="shared" si="170"/>
        <v>MEX</v>
      </c>
    </row>
    <row r="524" spans="1:50" x14ac:dyDescent="0.25">
      <c r="A524">
        <v>510</v>
      </c>
      <c r="B524" s="36" t="str">
        <f t="shared" si="172"/>
        <v>AEROLINEAS DE AMERICA</v>
      </c>
      <c r="C524" s="36">
        <f t="shared" si="172"/>
        <v>3275</v>
      </c>
      <c r="D524" s="74">
        <v>0.4548611111111111</v>
      </c>
      <c r="E524" s="74">
        <v>0.46527777777777773</v>
      </c>
      <c r="F524" s="75">
        <v>1.041666666666663E-2</v>
      </c>
      <c r="G524" s="74">
        <v>0.4694444444444445</v>
      </c>
      <c r="H524" s="75">
        <v>4.1666666666667629E-3</v>
      </c>
      <c r="I524" s="76">
        <v>41717</v>
      </c>
      <c r="J524" s="36" t="str">
        <f t="shared" si="174"/>
        <v>Internacional</v>
      </c>
      <c r="K524" s="36">
        <f t="shared" si="174"/>
        <v>1.2072649572649556E-2</v>
      </c>
      <c r="L524" s="36">
        <f t="shared" si="174"/>
        <v>6.7841880341880656E-3</v>
      </c>
      <c r="M524" s="36">
        <f t="shared" si="174"/>
        <v>1.8856837606837623E-2</v>
      </c>
      <c r="N524" s="36" t="str">
        <f t="shared" si="174"/>
        <v>ER4</v>
      </c>
      <c r="O524" s="36">
        <f t="shared" si="174"/>
        <v>50</v>
      </c>
      <c r="P524" s="36" t="str">
        <f t="shared" si="174"/>
        <v>DFW</v>
      </c>
      <c r="R524">
        <v>510</v>
      </c>
      <c r="S524" s="36" t="str">
        <f t="shared" si="159"/>
        <v>MEXICO AEREO</v>
      </c>
      <c r="T524" s="36">
        <f t="shared" si="159"/>
        <v>771</v>
      </c>
      <c r="U524" s="73">
        <v>0.91388888888888886</v>
      </c>
      <c r="V524" s="74">
        <v>0.92222222222222217</v>
      </c>
      <c r="W524" s="75">
        <v>8.3333333333333037E-3</v>
      </c>
      <c r="X524" s="74">
        <v>0.93055555555555547</v>
      </c>
      <c r="Y524" s="75">
        <v>8.3333333333333037E-3</v>
      </c>
      <c r="Z524" s="76">
        <v>41741</v>
      </c>
      <c r="AA524" s="36" t="str">
        <f t="shared" si="173"/>
        <v>Nacional</v>
      </c>
      <c r="AB524" s="36">
        <f t="shared" si="173"/>
        <v>8.1790123456790143E-3</v>
      </c>
      <c r="AC524" s="36">
        <f t="shared" si="173"/>
        <v>8.6419753086419953E-3</v>
      </c>
      <c r="AD524" s="36">
        <f t="shared" si="173"/>
        <v>1.682098765432101E-2</v>
      </c>
      <c r="AE524" s="36" t="str">
        <f t="shared" si="173"/>
        <v>B737-800</v>
      </c>
      <c r="AF524" s="36">
        <f t="shared" si="173"/>
        <v>189</v>
      </c>
      <c r="AG524" s="36" t="str">
        <f t="shared" si="173"/>
        <v>TIJ</v>
      </c>
      <c r="AI524">
        <v>510</v>
      </c>
      <c r="AJ524" s="77" t="str">
        <f t="shared" si="164"/>
        <v>MEXICO AEREO</v>
      </c>
      <c r="AK524" s="77">
        <f t="shared" si="164"/>
        <v>466</v>
      </c>
      <c r="AL524" s="78">
        <v>0.91111111111111109</v>
      </c>
      <c r="AM524" s="79">
        <v>0.91736111111111107</v>
      </c>
      <c r="AN524" s="80">
        <v>6.2499999999999778E-3</v>
      </c>
      <c r="AO524" s="79">
        <v>0.92222222222222217</v>
      </c>
      <c r="AP524" s="80">
        <v>4.8611111111110938E-3</v>
      </c>
      <c r="AQ524" s="81">
        <v>41809</v>
      </c>
      <c r="AR524" s="77" t="str">
        <f t="shared" si="170"/>
        <v>Nacional</v>
      </c>
      <c r="AS524" s="77">
        <f t="shared" si="170"/>
        <v>9.9151234567901037E-3</v>
      </c>
      <c r="AT524" s="77">
        <f t="shared" si="170"/>
        <v>8.2561728395061929E-3</v>
      </c>
      <c r="AU524" s="77">
        <f t="shared" si="170"/>
        <v>1.8171296296296297E-2</v>
      </c>
      <c r="AV524" s="77">
        <f t="shared" si="170"/>
        <v>738</v>
      </c>
      <c r="AW524" s="77">
        <f t="shared" si="170"/>
        <v>189</v>
      </c>
      <c r="AX524" s="77" t="str">
        <f t="shared" si="170"/>
        <v>MEX</v>
      </c>
    </row>
    <row r="525" spans="1:50" x14ac:dyDescent="0.25">
      <c r="A525">
        <v>511</v>
      </c>
      <c r="B525" s="36" t="str">
        <f t="shared" si="172"/>
        <v>AEROLINEAS DE AMERICA</v>
      </c>
      <c r="C525" s="36">
        <f t="shared" si="172"/>
        <v>3275</v>
      </c>
      <c r="D525" s="74">
        <v>0.45902777777777781</v>
      </c>
      <c r="E525" s="74">
        <v>0.47361111111111115</v>
      </c>
      <c r="F525" s="75">
        <v>1.4583333333333337E-2</v>
      </c>
      <c r="G525" s="74">
        <v>0.47916666666666669</v>
      </c>
      <c r="H525" s="75">
        <v>5.5555555555555358E-3</v>
      </c>
      <c r="I525" s="76">
        <v>41718</v>
      </c>
      <c r="J525" s="36" t="str">
        <f t="shared" si="174"/>
        <v>Internacional</v>
      </c>
      <c r="K525" s="36">
        <f t="shared" si="174"/>
        <v>1.2072649572649556E-2</v>
      </c>
      <c r="L525" s="36">
        <f t="shared" si="174"/>
        <v>6.7841880341880656E-3</v>
      </c>
      <c r="M525" s="36">
        <f t="shared" si="174"/>
        <v>1.8856837606837623E-2</v>
      </c>
      <c r="N525" s="36" t="str">
        <f t="shared" si="174"/>
        <v>ER4</v>
      </c>
      <c r="O525" s="36">
        <f t="shared" si="174"/>
        <v>50</v>
      </c>
      <c r="P525" s="36" t="str">
        <f t="shared" si="174"/>
        <v>DFW</v>
      </c>
      <c r="R525">
        <v>511</v>
      </c>
      <c r="S525" s="36" t="str">
        <f t="shared" si="159"/>
        <v>MEXICO AEREO</v>
      </c>
      <c r="T525" s="36">
        <f t="shared" si="159"/>
        <v>771</v>
      </c>
      <c r="U525" s="73">
        <v>0.94791666666666663</v>
      </c>
      <c r="V525" s="74">
        <v>0.95347222222222217</v>
      </c>
      <c r="W525" s="75">
        <v>5.5555555555555358E-3</v>
      </c>
      <c r="X525" s="74">
        <v>0.95833333333333337</v>
      </c>
      <c r="Y525" s="75">
        <v>4.8611111111112049E-3</v>
      </c>
      <c r="Z525" s="76">
        <v>41743</v>
      </c>
      <c r="AA525" s="36" t="str">
        <f t="shared" si="173"/>
        <v>Nacional</v>
      </c>
      <c r="AB525" s="36">
        <f t="shared" si="173"/>
        <v>8.1790123456790143E-3</v>
      </c>
      <c r="AC525" s="36">
        <f t="shared" si="173"/>
        <v>8.6419753086419953E-3</v>
      </c>
      <c r="AD525" s="36">
        <f t="shared" si="173"/>
        <v>1.682098765432101E-2</v>
      </c>
      <c r="AE525" s="36" t="str">
        <f t="shared" si="173"/>
        <v>B737-800</v>
      </c>
      <c r="AF525" s="36">
        <f t="shared" si="173"/>
        <v>189</v>
      </c>
      <c r="AG525" s="36" t="str">
        <f t="shared" si="173"/>
        <v>TIJ</v>
      </c>
      <c r="AI525">
        <v>511</v>
      </c>
      <c r="AJ525" s="77" t="str">
        <f t="shared" si="164"/>
        <v>MEXICO AEREO</v>
      </c>
      <c r="AK525" s="77">
        <f t="shared" si="164"/>
        <v>466</v>
      </c>
      <c r="AL525" s="78">
        <v>0.92361111111111116</v>
      </c>
      <c r="AM525" s="79">
        <v>0.93194444444444446</v>
      </c>
      <c r="AN525" s="80">
        <v>8.3333333333333037E-3</v>
      </c>
      <c r="AO525" s="79">
        <v>0.94097222222222221</v>
      </c>
      <c r="AP525" s="80">
        <v>9.0277777777777457E-3</v>
      </c>
      <c r="AQ525" s="81">
        <v>41810</v>
      </c>
      <c r="AR525" s="77" t="str">
        <f t="shared" si="170"/>
        <v>Nacional</v>
      </c>
      <c r="AS525" s="77">
        <f t="shared" si="170"/>
        <v>9.9151234567901037E-3</v>
      </c>
      <c r="AT525" s="77">
        <f t="shared" si="170"/>
        <v>8.2561728395061929E-3</v>
      </c>
      <c r="AU525" s="77">
        <f t="shared" si="170"/>
        <v>1.8171296296296297E-2</v>
      </c>
      <c r="AV525" s="77">
        <f t="shared" si="170"/>
        <v>738</v>
      </c>
      <c r="AW525" s="77">
        <f t="shared" si="170"/>
        <v>189</v>
      </c>
      <c r="AX525" s="77" t="str">
        <f t="shared" si="170"/>
        <v>MEX</v>
      </c>
    </row>
    <row r="526" spans="1:50" x14ac:dyDescent="0.25">
      <c r="A526">
        <v>512</v>
      </c>
      <c r="B526" s="36" t="str">
        <f t="shared" si="172"/>
        <v>AEROLINEAS DE AMERICA</v>
      </c>
      <c r="C526" s="36">
        <f t="shared" si="172"/>
        <v>3275</v>
      </c>
      <c r="D526" s="74">
        <v>0.4548611111111111</v>
      </c>
      <c r="E526" s="74">
        <v>0.46111111111111108</v>
      </c>
      <c r="F526" s="75">
        <v>6.2499999999999778E-3</v>
      </c>
      <c r="G526" s="74">
        <v>0.4694444444444445</v>
      </c>
      <c r="H526" s="75">
        <v>8.3333333333334147E-3</v>
      </c>
      <c r="I526" s="76">
        <v>41725</v>
      </c>
      <c r="J526" s="36" t="str">
        <f t="shared" si="174"/>
        <v>Internacional</v>
      </c>
      <c r="K526" s="36">
        <f t="shared" si="174"/>
        <v>1.2072649572649556E-2</v>
      </c>
      <c r="L526" s="36">
        <f t="shared" si="174"/>
        <v>6.7841880341880656E-3</v>
      </c>
      <c r="M526" s="36">
        <f t="shared" si="174"/>
        <v>1.8856837606837623E-2</v>
      </c>
      <c r="N526" s="36" t="str">
        <f t="shared" si="174"/>
        <v>ER4</v>
      </c>
      <c r="O526" s="36">
        <f t="shared" si="174"/>
        <v>50</v>
      </c>
      <c r="P526" s="36" t="str">
        <f t="shared" si="174"/>
        <v>DFW</v>
      </c>
      <c r="R526">
        <v>512</v>
      </c>
      <c r="S526" s="36" t="str">
        <f t="shared" si="159"/>
        <v>MEXICO AEREO</v>
      </c>
      <c r="T526" s="36">
        <f t="shared" si="159"/>
        <v>771</v>
      </c>
      <c r="U526" s="73">
        <v>0.89444444444444438</v>
      </c>
      <c r="V526" s="74">
        <v>0.90208333333333324</v>
      </c>
      <c r="W526" s="75">
        <v>7.6388888888888618E-3</v>
      </c>
      <c r="X526" s="74">
        <v>0.90833333333333333</v>
      </c>
      <c r="Y526" s="75">
        <v>6.2500000000000888E-3</v>
      </c>
      <c r="Z526" s="76">
        <v>41745</v>
      </c>
      <c r="AA526" s="36" t="str">
        <f t="shared" si="173"/>
        <v>Nacional</v>
      </c>
      <c r="AB526" s="36">
        <f t="shared" si="173"/>
        <v>8.1790123456790143E-3</v>
      </c>
      <c r="AC526" s="36">
        <f t="shared" si="173"/>
        <v>8.6419753086419953E-3</v>
      </c>
      <c r="AD526" s="36">
        <f t="shared" si="173"/>
        <v>1.682098765432101E-2</v>
      </c>
      <c r="AE526" s="36" t="str">
        <f t="shared" si="173"/>
        <v>B737-800</v>
      </c>
      <c r="AF526" s="36">
        <f t="shared" si="173"/>
        <v>189</v>
      </c>
      <c r="AG526" s="36" t="str">
        <f t="shared" si="173"/>
        <v>TIJ</v>
      </c>
      <c r="AI526">
        <v>512</v>
      </c>
      <c r="AJ526" s="77" t="str">
        <f t="shared" si="164"/>
        <v>MEXICO AEREO</v>
      </c>
      <c r="AK526" s="77">
        <f t="shared" si="164"/>
        <v>466</v>
      </c>
      <c r="AL526" s="78">
        <v>0.89513888888888893</v>
      </c>
      <c r="AM526" s="79">
        <v>0.90486111111111101</v>
      </c>
      <c r="AN526" s="80">
        <v>9.7222222222220767E-3</v>
      </c>
      <c r="AO526" s="79">
        <v>0.91180555555555554</v>
      </c>
      <c r="AP526" s="80">
        <v>6.9444444444445308E-3</v>
      </c>
      <c r="AQ526" s="81">
        <v>41812</v>
      </c>
      <c r="AR526" s="77" t="str">
        <f t="shared" si="170"/>
        <v>Nacional</v>
      </c>
      <c r="AS526" s="77">
        <f t="shared" si="170"/>
        <v>9.9151234567901037E-3</v>
      </c>
      <c r="AT526" s="77">
        <f t="shared" si="170"/>
        <v>8.2561728395061929E-3</v>
      </c>
      <c r="AU526" s="77">
        <f t="shared" si="170"/>
        <v>1.8171296296296297E-2</v>
      </c>
      <c r="AV526" s="77">
        <f t="shared" si="170"/>
        <v>738</v>
      </c>
      <c r="AW526" s="77">
        <f t="shared" si="170"/>
        <v>189</v>
      </c>
      <c r="AX526" s="77" t="str">
        <f t="shared" si="170"/>
        <v>MEX</v>
      </c>
    </row>
    <row r="527" spans="1:50" x14ac:dyDescent="0.25">
      <c r="A527">
        <v>513</v>
      </c>
      <c r="B527" s="36" t="str">
        <f t="shared" si="172"/>
        <v>AEROLINEAS DE AMERICA</v>
      </c>
      <c r="C527" s="36">
        <f t="shared" si="172"/>
        <v>3275</v>
      </c>
      <c r="D527" s="74">
        <v>0.4458333333333333</v>
      </c>
      <c r="E527" s="74">
        <v>0.4548611111111111</v>
      </c>
      <c r="F527" s="75">
        <v>9.0277777777778012E-3</v>
      </c>
      <c r="G527" s="74">
        <v>0.46111111111111108</v>
      </c>
      <c r="H527" s="75">
        <v>6.2499999999999778E-3</v>
      </c>
      <c r="I527" s="76">
        <v>41726</v>
      </c>
      <c r="J527" s="36" t="str">
        <f t="shared" si="174"/>
        <v>Internacional</v>
      </c>
      <c r="K527" s="36">
        <f t="shared" si="174"/>
        <v>1.2072649572649556E-2</v>
      </c>
      <c r="L527" s="36">
        <f t="shared" si="174"/>
        <v>6.7841880341880656E-3</v>
      </c>
      <c r="M527" s="36">
        <f t="shared" si="174"/>
        <v>1.8856837606837623E-2</v>
      </c>
      <c r="N527" s="36" t="str">
        <f t="shared" si="174"/>
        <v>ER4</v>
      </c>
      <c r="O527" s="36">
        <f t="shared" si="174"/>
        <v>50</v>
      </c>
      <c r="P527" s="36" t="str">
        <f t="shared" si="174"/>
        <v>DFW</v>
      </c>
      <c r="R527">
        <v>513</v>
      </c>
      <c r="S527" s="36" t="str">
        <f t="shared" si="159"/>
        <v>MEXICO AEREO</v>
      </c>
      <c r="T527" s="36">
        <f t="shared" si="159"/>
        <v>771</v>
      </c>
      <c r="U527" s="73">
        <v>0.90138888888888891</v>
      </c>
      <c r="V527" s="74">
        <v>0.91111111111111109</v>
      </c>
      <c r="W527" s="75">
        <v>9.7222222222221877E-3</v>
      </c>
      <c r="X527" s="74">
        <v>0.91666666666666663</v>
      </c>
      <c r="Y527" s="75">
        <v>5.5555555555555358E-3</v>
      </c>
      <c r="Z527" s="76">
        <v>41744</v>
      </c>
      <c r="AA527" s="36" t="str">
        <f t="shared" si="173"/>
        <v>Nacional</v>
      </c>
      <c r="AB527" s="36">
        <f t="shared" si="173"/>
        <v>8.1790123456790143E-3</v>
      </c>
      <c r="AC527" s="36">
        <f t="shared" si="173"/>
        <v>8.6419753086419953E-3</v>
      </c>
      <c r="AD527" s="36">
        <f t="shared" si="173"/>
        <v>1.682098765432101E-2</v>
      </c>
      <c r="AE527" s="36" t="str">
        <f t="shared" si="173"/>
        <v>B737-800</v>
      </c>
      <c r="AF527" s="36">
        <f t="shared" si="173"/>
        <v>189</v>
      </c>
      <c r="AG527" s="36" t="str">
        <f t="shared" si="173"/>
        <v>TIJ</v>
      </c>
      <c r="AI527">
        <v>513</v>
      </c>
      <c r="AJ527" s="77" t="str">
        <f t="shared" si="164"/>
        <v>MEXICO AEREO</v>
      </c>
      <c r="AK527" s="77">
        <f t="shared" si="164"/>
        <v>466</v>
      </c>
      <c r="AL527" s="78">
        <v>0.875</v>
      </c>
      <c r="AM527" s="79">
        <v>0.87916666666666676</v>
      </c>
      <c r="AN527" s="80">
        <v>4.1666666666667629E-3</v>
      </c>
      <c r="AO527" s="79">
        <v>0.88541666666666663</v>
      </c>
      <c r="AP527" s="80">
        <v>6.2499999999998668E-3</v>
      </c>
      <c r="AQ527" s="81">
        <v>41813</v>
      </c>
      <c r="AR527" s="77" t="str">
        <f t="shared" si="170"/>
        <v>Nacional</v>
      </c>
      <c r="AS527" s="77">
        <f t="shared" si="170"/>
        <v>9.9151234567901037E-3</v>
      </c>
      <c r="AT527" s="77">
        <f t="shared" si="170"/>
        <v>8.2561728395061929E-3</v>
      </c>
      <c r="AU527" s="77">
        <f t="shared" si="170"/>
        <v>1.8171296296296297E-2</v>
      </c>
      <c r="AV527" s="77">
        <f t="shared" si="170"/>
        <v>738</v>
      </c>
      <c r="AW527" s="77">
        <f t="shared" si="170"/>
        <v>189</v>
      </c>
      <c r="AX527" s="77" t="str">
        <f t="shared" si="170"/>
        <v>MEX</v>
      </c>
    </row>
    <row r="528" spans="1:50" ht="15.75" thickBot="1" x14ac:dyDescent="0.3">
      <c r="A528">
        <v>514</v>
      </c>
      <c r="B528" s="36" t="str">
        <f t="shared" si="172"/>
        <v>AEROLINEAS DE AMERICA</v>
      </c>
      <c r="C528" s="36">
        <f t="shared" si="172"/>
        <v>3275</v>
      </c>
      <c r="D528" s="74">
        <v>0.44791666666666669</v>
      </c>
      <c r="E528" s="74">
        <v>0.46111111111111108</v>
      </c>
      <c r="F528" s="75">
        <v>1.3194444444444398E-2</v>
      </c>
      <c r="G528" s="74">
        <v>0.46458333333333335</v>
      </c>
      <c r="H528" s="75">
        <v>3.4722222222222654E-3</v>
      </c>
      <c r="I528" s="76">
        <v>41727</v>
      </c>
      <c r="J528" s="36" t="str">
        <f t="shared" si="174"/>
        <v>Internacional</v>
      </c>
      <c r="K528" s="36">
        <f t="shared" si="174"/>
        <v>1.2072649572649556E-2</v>
      </c>
      <c r="L528" s="36">
        <f t="shared" si="174"/>
        <v>6.7841880341880656E-3</v>
      </c>
      <c r="M528" s="36">
        <f t="shared" si="174"/>
        <v>1.8856837606837623E-2</v>
      </c>
      <c r="N528" s="36" t="str">
        <f t="shared" si="174"/>
        <v>ER4</v>
      </c>
      <c r="O528" s="36">
        <f t="shared" si="174"/>
        <v>50</v>
      </c>
      <c r="P528" s="36" t="str">
        <f t="shared" si="174"/>
        <v>DFW</v>
      </c>
      <c r="R528">
        <v>514</v>
      </c>
      <c r="S528" s="36" t="str">
        <f t="shared" si="159"/>
        <v>MEXICO AEREO</v>
      </c>
      <c r="T528" s="36">
        <f t="shared" si="159"/>
        <v>771</v>
      </c>
      <c r="U528" s="73">
        <v>0.87708333333333333</v>
      </c>
      <c r="V528" s="74">
        <v>0.88888888888888884</v>
      </c>
      <c r="W528" s="75">
        <v>1.1805555555555514E-2</v>
      </c>
      <c r="X528" s="74">
        <v>0.89583333333333337</v>
      </c>
      <c r="Y528" s="75">
        <v>6.9444444444445308E-3</v>
      </c>
      <c r="Z528" s="76">
        <v>41749</v>
      </c>
      <c r="AA528" s="36" t="str">
        <f t="shared" si="173"/>
        <v>Nacional</v>
      </c>
      <c r="AB528" s="36">
        <f t="shared" si="173"/>
        <v>8.1790123456790143E-3</v>
      </c>
      <c r="AC528" s="36">
        <f t="shared" si="173"/>
        <v>8.6419753086419953E-3</v>
      </c>
      <c r="AD528" s="36">
        <f t="shared" si="173"/>
        <v>1.682098765432101E-2</v>
      </c>
      <c r="AE528" s="36" t="str">
        <f t="shared" si="173"/>
        <v>B737-800</v>
      </c>
      <c r="AF528" s="36">
        <f t="shared" si="173"/>
        <v>189</v>
      </c>
      <c r="AG528" s="36" t="str">
        <f t="shared" si="173"/>
        <v>TIJ</v>
      </c>
      <c r="AI528">
        <v>514</v>
      </c>
      <c r="AJ528" s="77" t="str">
        <f t="shared" si="164"/>
        <v>MEXICO AEREO</v>
      </c>
      <c r="AK528" s="77">
        <f t="shared" si="164"/>
        <v>466</v>
      </c>
      <c r="AL528" s="94">
        <v>0.89583333333333337</v>
      </c>
      <c r="AM528" s="95">
        <v>0.89930555555555547</v>
      </c>
      <c r="AN528" s="96">
        <v>3.4722222222220989E-3</v>
      </c>
      <c r="AO528" s="95">
        <v>0.90625</v>
      </c>
      <c r="AP528" s="96">
        <v>6.9444444444445308E-3</v>
      </c>
      <c r="AQ528" s="97">
        <v>41793</v>
      </c>
      <c r="AR528" s="77" t="str">
        <f t="shared" si="170"/>
        <v>Nacional</v>
      </c>
      <c r="AS528" s="77">
        <f t="shared" si="170"/>
        <v>9.9151234567901037E-3</v>
      </c>
      <c r="AT528" s="77">
        <f t="shared" si="170"/>
        <v>8.2561728395061929E-3</v>
      </c>
      <c r="AU528" s="77">
        <f t="shared" si="170"/>
        <v>1.8171296296296297E-2</v>
      </c>
      <c r="AV528" s="77">
        <f t="shared" si="170"/>
        <v>738</v>
      </c>
      <c r="AW528" s="77">
        <f t="shared" si="170"/>
        <v>189</v>
      </c>
      <c r="AX528" s="77" t="str">
        <f t="shared" si="170"/>
        <v>MEX</v>
      </c>
    </row>
    <row r="529" spans="1:50" ht="15.75" thickBot="1" x14ac:dyDescent="0.3">
      <c r="A529">
        <v>515</v>
      </c>
      <c r="B529" s="36" t="str">
        <f t="shared" si="172"/>
        <v>AEROLINEAS DE AMERICA</v>
      </c>
      <c r="C529" s="36">
        <f t="shared" si="172"/>
        <v>3275</v>
      </c>
      <c r="D529" s="74">
        <v>0.4375</v>
      </c>
      <c r="E529" s="74">
        <v>0.45902777777777781</v>
      </c>
      <c r="F529" s="75">
        <v>2.1527777777777812E-2</v>
      </c>
      <c r="G529" s="74">
        <v>0.46111111111111108</v>
      </c>
      <c r="H529" s="75">
        <v>2.0833333333332704E-3</v>
      </c>
      <c r="I529" s="76">
        <v>41728</v>
      </c>
      <c r="J529" s="36" t="str">
        <f t="shared" si="174"/>
        <v>Internacional</v>
      </c>
      <c r="K529" s="36">
        <f t="shared" si="174"/>
        <v>1.2072649572649556E-2</v>
      </c>
      <c r="L529" s="36">
        <f t="shared" si="174"/>
        <v>6.7841880341880656E-3</v>
      </c>
      <c r="M529" s="36">
        <f t="shared" si="174"/>
        <v>1.8856837606837623E-2</v>
      </c>
      <c r="N529" s="36" t="str">
        <f t="shared" si="174"/>
        <v>ER4</v>
      </c>
      <c r="O529" s="36">
        <f t="shared" si="174"/>
        <v>50</v>
      </c>
      <c r="P529" s="36" t="str">
        <f t="shared" si="174"/>
        <v>DFW</v>
      </c>
      <c r="R529">
        <v>515</v>
      </c>
      <c r="S529" s="36" t="str">
        <f t="shared" si="159"/>
        <v>MEXICO AEREO</v>
      </c>
      <c r="T529" s="36">
        <f t="shared" si="159"/>
        <v>771</v>
      </c>
      <c r="U529" s="73">
        <v>0.89444444444444438</v>
      </c>
      <c r="V529" s="74">
        <v>0.89930555555555547</v>
      </c>
      <c r="W529" s="75">
        <v>4.8611111111110938E-3</v>
      </c>
      <c r="X529" s="74">
        <v>0.90625</v>
      </c>
      <c r="Y529" s="75">
        <v>6.9444444444445308E-3</v>
      </c>
      <c r="Z529" s="76">
        <v>41751</v>
      </c>
      <c r="AA529" s="36" t="str">
        <f t="shared" si="173"/>
        <v>Nacional</v>
      </c>
      <c r="AB529" s="36">
        <f t="shared" si="173"/>
        <v>8.1790123456790143E-3</v>
      </c>
      <c r="AC529" s="36">
        <f t="shared" si="173"/>
        <v>8.6419753086419953E-3</v>
      </c>
      <c r="AD529" s="36">
        <f t="shared" si="173"/>
        <v>1.682098765432101E-2</v>
      </c>
      <c r="AE529" s="36" t="str">
        <f t="shared" si="173"/>
        <v>B737-800</v>
      </c>
      <c r="AF529" s="36">
        <f t="shared" si="173"/>
        <v>189</v>
      </c>
      <c r="AG529" s="36" t="str">
        <f t="shared" si="173"/>
        <v>TIJ</v>
      </c>
      <c r="AI529">
        <v>515</v>
      </c>
      <c r="AJ529" s="77" t="str">
        <f t="shared" si="164"/>
        <v>MEXICO AEREO</v>
      </c>
      <c r="AK529" s="99">
        <v>432</v>
      </c>
      <c r="AL529" s="100">
        <v>0.44513888888888892</v>
      </c>
      <c r="AM529" s="101">
        <v>0.45694444444444443</v>
      </c>
      <c r="AN529" s="102">
        <v>1.1805555555555514E-2</v>
      </c>
      <c r="AO529" s="101">
        <v>0.45902777777777781</v>
      </c>
      <c r="AP529" s="102">
        <v>2.0833333333333814E-3</v>
      </c>
      <c r="AQ529" s="103">
        <v>41803</v>
      </c>
      <c r="AR529" s="104" t="s">
        <v>19</v>
      </c>
      <c r="AS529" s="105">
        <v>1.1805555555555514E-2</v>
      </c>
      <c r="AT529" s="105">
        <v>2.0833333333333814E-3</v>
      </c>
      <c r="AU529" s="105">
        <v>1.3888888888888895E-2</v>
      </c>
      <c r="AV529" s="106">
        <v>320</v>
      </c>
      <c r="AW529" s="106">
        <v>179</v>
      </c>
      <c r="AX529" s="107" t="s">
        <v>34</v>
      </c>
    </row>
    <row r="530" spans="1:50" ht="15.75" thickBot="1" x14ac:dyDescent="0.3">
      <c r="A530">
        <v>516</v>
      </c>
      <c r="B530" s="36" t="str">
        <f t="shared" si="172"/>
        <v>AEROLINEAS DE AMERICA</v>
      </c>
      <c r="C530" s="36">
        <f t="shared" si="172"/>
        <v>3275</v>
      </c>
      <c r="D530" s="84">
        <v>0.44513888888888892</v>
      </c>
      <c r="E530" s="84">
        <v>0.45347222222222222</v>
      </c>
      <c r="F530" s="85">
        <v>8.3333333333333037E-3</v>
      </c>
      <c r="G530" s="84">
        <v>0.46875</v>
      </c>
      <c r="H530" s="85">
        <v>1.5277777777777779E-2</v>
      </c>
      <c r="I530" s="86">
        <v>41729</v>
      </c>
      <c r="J530" s="36" t="str">
        <f t="shared" si="174"/>
        <v>Internacional</v>
      </c>
      <c r="K530" s="36">
        <f t="shared" si="174"/>
        <v>1.2072649572649556E-2</v>
      </c>
      <c r="L530" s="36">
        <f t="shared" si="174"/>
        <v>6.7841880341880656E-3</v>
      </c>
      <c r="M530" s="36">
        <f t="shared" si="174"/>
        <v>1.8856837606837623E-2</v>
      </c>
      <c r="N530" s="36" t="str">
        <f t="shared" si="174"/>
        <v>ER4</v>
      </c>
      <c r="O530" s="36">
        <f t="shared" si="174"/>
        <v>50</v>
      </c>
      <c r="P530" s="36" t="str">
        <f t="shared" si="174"/>
        <v>DFW</v>
      </c>
      <c r="R530">
        <v>516</v>
      </c>
      <c r="S530" s="36" t="str">
        <f t="shared" si="159"/>
        <v>MEXICO AEREO</v>
      </c>
      <c r="T530" s="36">
        <f t="shared" si="159"/>
        <v>771</v>
      </c>
      <c r="U530" s="73">
        <v>0.9</v>
      </c>
      <c r="V530" s="74">
        <v>0.90972222222222221</v>
      </c>
      <c r="W530" s="75">
        <v>9.7222222222221877E-3</v>
      </c>
      <c r="X530" s="74">
        <v>0.91875000000000007</v>
      </c>
      <c r="Y530" s="75">
        <v>9.0277777777778567E-3</v>
      </c>
      <c r="Z530" s="76">
        <v>41753</v>
      </c>
      <c r="AA530" s="36" t="str">
        <f t="shared" si="173"/>
        <v>Nacional</v>
      </c>
      <c r="AB530" s="36">
        <f t="shared" si="173"/>
        <v>8.1790123456790143E-3</v>
      </c>
      <c r="AC530" s="36">
        <f t="shared" si="173"/>
        <v>8.6419753086419953E-3</v>
      </c>
      <c r="AD530" s="36">
        <f t="shared" si="173"/>
        <v>1.682098765432101E-2</v>
      </c>
      <c r="AE530" s="36" t="str">
        <f t="shared" si="173"/>
        <v>B737-800</v>
      </c>
      <c r="AF530" s="36">
        <f t="shared" si="173"/>
        <v>189</v>
      </c>
      <c r="AG530" s="36" t="str">
        <f t="shared" si="173"/>
        <v>TIJ</v>
      </c>
      <c r="AI530">
        <v>516</v>
      </c>
      <c r="AJ530" s="77" t="str">
        <f t="shared" si="164"/>
        <v>MEXICO AEREO</v>
      </c>
      <c r="AK530" s="99">
        <v>428</v>
      </c>
      <c r="AL530" s="100">
        <v>0.46388888888888885</v>
      </c>
      <c r="AM530" s="101">
        <v>0.47222222222222227</v>
      </c>
      <c r="AN530" s="102">
        <v>8.3333333333334147E-3</v>
      </c>
      <c r="AO530" s="101">
        <v>0.4826388888888889</v>
      </c>
      <c r="AP530" s="102">
        <v>1.041666666666663E-2</v>
      </c>
      <c r="AQ530" s="103">
        <v>41805</v>
      </c>
      <c r="AR530" s="104" t="s">
        <v>19</v>
      </c>
      <c r="AS530" s="105">
        <v>8.3333333333334147E-3</v>
      </c>
      <c r="AT530" s="105">
        <v>1.041666666666663E-2</v>
      </c>
      <c r="AU530" s="105">
        <v>1.8750000000000044E-2</v>
      </c>
      <c r="AV530" s="106">
        <v>320</v>
      </c>
      <c r="AW530" s="106">
        <v>179</v>
      </c>
      <c r="AX530" s="107" t="s">
        <v>34</v>
      </c>
    </row>
    <row r="531" spans="1:50" ht="15.75" thickBot="1" x14ac:dyDescent="0.3">
      <c r="A531">
        <v>517</v>
      </c>
      <c r="B531" s="36" t="str">
        <f t="shared" si="172"/>
        <v>AEROLINEAS DE AMERICA</v>
      </c>
      <c r="C531" s="46">
        <v>2840</v>
      </c>
      <c r="D531" s="47">
        <v>0.68611111111111101</v>
      </c>
      <c r="E531" s="47">
        <v>0.69305555555555554</v>
      </c>
      <c r="F531" s="48">
        <v>6.9444444444445308E-3</v>
      </c>
      <c r="G531" s="47">
        <v>0.70416666666666661</v>
      </c>
      <c r="H531" s="48">
        <v>1.1111111111111072E-2</v>
      </c>
      <c r="I531" s="49">
        <v>41715</v>
      </c>
      <c r="J531" s="49" t="s">
        <v>22</v>
      </c>
      <c r="K531" s="47">
        <v>6.9444444444445308E-3</v>
      </c>
      <c r="L531" s="139">
        <v>1.1111111111111072E-2</v>
      </c>
      <c r="M531" s="145">
        <v>1.8055555555555602E-2</v>
      </c>
      <c r="N531" s="52">
        <v>320</v>
      </c>
      <c r="O531" s="53">
        <v>179</v>
      </c>
      <c r="P531" s="54" t="s">
        <v>55</v>
      </c>
      <c r="R531">
        <v>517</v>
      </c>
      <c r="S531" s="36" t="str">
        <f t="shared" si="159"/>
        <v>MEXICO AEREO</v>
      </c>
      <c r="T531" s="36">
        <f t="shared" si="159"/>
        <v>771</v>
      </c>
      <c r="U531" s="73">
        <v>0.88958333333333339</v>
      </c>
      <c r="V531" s="74">
        <v>0.8965277777777777</v>
      </c>
      <c r="W531" s="75">
        <v>6.9444444444443088E-3</v>
      </c>
      <c r="X531" s="74">
        <v>0.90902777777777777</v>
      </c>
      <c r="Y531" s="75">
        <v>1.2500000000000067E-2</v>
      </c>
      <c r="Z531" s="76">
        <v>41755</v>
      </c>
      <c r="AA531" s="36" t="str">
        <f t="shared" si="173"/>
        <v>Nacional</v>
      </c>
      <c r="AB531" s="36">
        <f t="shared" si="173"/>
        <v>8.1790123456790143E-3</v>
      </c>
      <c r="AC531" s="36">
        <f t="shared" si="173"/>
        <v>8.6419753086419953E-3</v>
      </c>
      <c r="AD531" s="36">
        <f t="shared" si="173"/>
        <v>1.682098765432101E-2</v>
      </c>
      <c r="AE531" s="36" t="str">
        <f t="shared" si="173"/>
        <v>B737-800</v>
      </c>
      <c r="AF531" s="36">
        <f t="shared" si="173"/>
        <v>189</v>
      </c>
      <c r="AG531" s="36" t="str">
        <f t="shared" si="173"/>
        <v>TIJ</v>
      </c>
      <c r="AI531">
        <v>517</v>
      </c>
      <c r="AJ531" s="77" t="str">
        <f t="shared" si="164"/>
        <v>MEXICO AEREO</v>
      </c>
      <c r="AK531" s="99">
        <v>424</v>
      </c>
      <c r="AL531" s="100">
        <v>0.57916666666666672</v>
      </c>
      <c r="AM531" s="101">
        <v>0.58888888888888891</v>
      </c>
      <c r="AN531" s="102">
        <v>9.7222222222221877E-3</v>
      </c>
      <c r="AO531" s="101">
        <v>0.59583333333333333</v>
      </c>
      <c r="AP531" s="102">
        <v>6.9444444444444198E-3</v>
      </c>
      <c r="AQ531" s="103">
        <v>41805</v>
      </c>
      <c r="AR531" s="104" t="s">
        <v>19</v>
      </c>
      <c r="AS531" s="105">
        <v>9.7222222222221877E-3</v>
      </c>
      <c r="AT531" s="105">
        <v>6.9444444444444198E-3</v>
      </c>
      <c r="AU531" s="105">
        <v>1.6666666666666607E-2</v>
      </c>
      <c r="AV531" s="106">
        <v>320</v>
      </c>
      <c r="AW531" s="106">
        <v>179</v>
      </c>
      <c r="AX531" s="107" t="s">
        <v>34</v>
      </c>
    </row>
    <row r="532" spans="1:50" x14ac:dyDescent="0.25">
      <c r="A532">
        <v>518</v>
      </c>
      <c r="B532" s="36" t="str">
        <f t="shared" si="172"/>
        <v>AEROLINEAS DE AMERICA</v>
      </c>
      <c r="C532" s="88">
        <v>2313</v>
      </c>
      <c r="D532" s="57">
        <v>0.9243055555555556</v>
      </c>
      <c r="E532" s="57">
        <v>0.93611111111111101</v>
      </c>
      <c r="F532" s="58">
        <v>1.1805555555555403E-2</v>
      </c>
      <c r="G532" s="57">
        <v>0.95486111111111116</v>
      </c>
      <c r="H532" s="58">
        <v>1.8750000000000155E-2</v>
      </c>
      <c r="I532" s="59">
        <v>41713</v>
      </c>
      <c r="J532" s="108" t="s">
        <v>22</v>
      </c>
      <c r="K532" s="61">
        <v>1.4930555555555577E-2</v>
      </c>
      <c r="L532" s="61">
        <v>1.5509259259259278E-2</v>
      </c>
      <c r="M532" s="142">
        <v>3.0439814814814857E-2</v>
      </c>
      <c r="N532" s="90" t="s">
        <v>56</v>
      </c>
      <c r="O532" s="91">
        <v>182</v>
      </c>
      <c r="P532" s="92" t="s">
        <v>23</v>
      </c>
      <c r="R532">
        <v>518</v>
      </c>
      <c r="S532" s="36" t="str">
        <f t="shared" si="159"/>
        <v>MEXICO AEREO</v>
      </c>
      <c r="T532" s="36">
        <f t="shared" si="159"/>
        <v>771</v>
      </c>
      <c r="U532" s="73">
        <v>0.90694444444444444</v>
      </c>
      <c r="V532" s="74">
        <v>0.9159722222222223</v>
      </c>
      <c r="W532" s="75">
        <v>9.0277777777778567E-3</v>
      </c>
      <c r="X532" s="74">
        <v>0.9277777777777777</v>
      </c>
      <c r="Y532" s="75">
        <v>1.1805555555555403E-2</v>
      </c>
      <c r="Z532" s="76">
        <v>41757</v>
      </c>
      <c r="AA532" s="36" t="str">
        <f t="shared" si="173"/>
        <v>Nacional</v>
      </c>
      <c r="AB532" s="36">
        <f t="shared" si="173"/>
        <v>8.1790123456790143E-3</v>
      </c>
      <c r="AC532" s="36">
        <f t="shared" si="173"/>
        <v>8.6419753086419953E-3</v>
      </c>
      <c r="AD532" s="36">
        <f t="shared" si="173"/>
        <v>1.682098765432101E-2</v>
      </c>
      <c r="AE532" s="36" t="str">
        <f t="shared" si="173"/>
        <v>B737-800</v>
      </c>
      <c r="AF532" s="36">
        <f t="shared" si="173"/>
        <v>189</v>
      </c>
      <c r="AG532" s="36" t="str">
        <f t="shared" si="173"/>
        <v>TIJ</v>
      </c>
      <c r="AI532">
        <v>518</v>
      </c>
      <c r="AJ532" s="77" t="str">
        <f t="shared" si="164"/>
        <v>MEXICO AEREO</v>
      </c>
      <c r="AK532" s="63">
        <v>286</v>
      </c>
      <c r="AL532" s="64">
        <v>0.60972222222222217</v>
      </c>
      <c r="AM532" s="65">
        <v>0.61527777777777781</v>
      </c>
      <c r="AN532" s="66">
        <v>5.5555555555556468E-3</v>
      </c>
      <c r="AO532" s="65">
        <v>0.62222222222222223</v>
      </c>
      <c r="AP532" s="66">
        <v>6.9444444444444198E-3</v>
      </c>
      <c r="AQ532" s="67">
        <v>41791</v>
      </c>
      <c r="AR532" s="68" t="s">
        <v>19</v>
      </c>
      <c r="AS532" s="69">
        <v>8.0208333333333277E-3</v>
      </c>
      <c r="AT532" s="70">
        <v>7.986111111111114E-3</v>
      </c>
      <c r="AU532" s="70">
        <v>1.6006944444444442E-2</v>
      </c>
      <c r="AV532" s="71" t="s">
        <v>20</v>
      </c>
      <c r="AW532" s="71">
        <v>50</v>
      </c>
      <c r="AX532" s="72" t="s">
        <v>21</v>
      </c>
    </row>
    <row r="533" spans="1:50" x14ac:dyDescent="0.25">
      <c r="A533">
        <v>519</v>
      </c>
      <c r="B533" s="36" t="str">
        <f t="shared" si="172"/>
        <v>AEROLINEAS DE AMERICA</v>
      </c>
      <c r="C533" s="36">
        <f t="shared" si="172"/>
        <v>2313</v>
      </c>
      <c r="D533" s="74">
        <v>0.83750000000000002</v>
      </c>
      <c r="E533" s="74">
        <v>0.8534722222222223</v>
      </c>
      <c r="F533" s="75">
        <v>1.5972222222222276E-2</v>
      </c>
      <c r="G533" s="74">
        <v>0.8652777777777777</v>
      </c>
      <c r="H533" s="75">
        <v>1.1805555555555403E-2</v>
      </c>
      <c r="I533" s="76">
        <v>41719</v>
      </c>
      <c r="J533" s="36" t="str">
        <f t="shared" ref="J533:P537" si="175">J532</f>
        <v>Internacional</v>
      </c>
      <c r="K533" s="36">
        <f t="shared" si="175"/>
        <v>1.4930555555555577E-2</v>
      </c>
      <c r="L533" s="36">
        <f t="shared" si="175"/>
        <v>1.5509259259259278E-2</v>
      </c>
      <c r="M533" s="36">
        <f t="shared" si="175"/>
        <v>3.0439814814814857E-2</v>
      </c>
      <c r="N533" s="36" t="str">
        <f t="shared" si="175"/>
        <v>M80</v>
      </c>
      <c r="O533" s="36">
        <f t="shared" si="175"/>
        <v>182</v>
      </c>
      <c r="P533" s="36" t="str">
        <f t="shared" si="175"/>
        <v>DFW</v>
      </c>
      <c r="R533">
        <v>519</v>
      </c>
      <c r="S533" s="36" t="str">
        <f t="shared" si="159"/>
        <v>MEXICO AEREO</v>
      </c>
      <c r="T533" s="36">
        <f t="shared" si="159"/>
        <v>771</v>
      </c>
      <c r="U533" s="73">
        <v>0.90486111111111101</v>
      </c>
      <c r="V533" s="74">
        <v>0.91388888888888886</v>
      </c>
      <c r="W533" s="75">
        <v>9.0277777777778567E-3</v>
      </c>
      <c r="X533" s="74">
        <v>0.92986111111111114</v>
      </c>
      <c r="Y533" s="75">
        <v>1.5972222222222276E-2</v>
      </c>
      <c r="Z533" s="76">
        <v>41759</v>
      </c>
      <c r="AA533" s="36" t="str">
        <f t="shared" si="173"/>
        <v>Nacional</v>
      </c>
      <c r="AB533" s="36">
        <f t="shared" si="173"/>
        <v>8.1790123456790143E-3</v>
      </c>
      <c r="AC533" s="36">
        <f t="shared" si="173"/>
        <v>8.6419753086419953E-3</v>
      </c>
      <c r="AD533" s="36">
        <f t="shared" si="173"/>
        <v>1.682098765432101E-2</v>
      </c>
      <c r="AE533" s="36" t="str">
        <f t="shared" si="173"/>
        <v>B737-800</v>
      </c>
      <c r="AF533" s="36">
        <f t="shared" si="173"/>
        <v>189</v>
      </c>
      <c r="AG533" s="36" t="str">
        <f t="shared" si="173"/>
        <v>TIJ</v>
      </c>
      <c r="AI533">
        <v>519</v>
      </c>
      <c r="AJ533" s="77" t="str">
        <f t="shared" si="164"/>
        <v>MEXICO AEREO</v>
      </c>
      <c r="AK533" s="77">
        <f t="shared" si="164"/>
        <v>286</v>
      </c>
      <c r="AL533" s="78">
        <v>0.59027777777777779</v>
      </c>
      <c r="AM533" s="79">
        <v>0.59375</v>
      </c>
      <c r="AN533" s="80">
        <v>3.4722222222222099E-3</v>
      </c>
      <c r="AO533" s="79">
        <v>0.6020833333333333</v>
      </c>
      <c r="AP533" s="80">
        <v>8.3333333333333037E-3</v>
      </c>
      <c r="AQ533" s="81">
        <v>41792</v>
      </c>
      <c r="AR533" s="77" t="str">
        <f t="shared" ref="AR533:AX551" si="176">AR532</f>
        <v>Nacional</v>
      </c>
      <c r="AS533" s="77">
        <f t="shared" si="176"/>
        <v>8.0208333333333277E-3</v>
      </c>
      <c r="AT533" s="77">
        <f t="shared" si="176"/>
        <v>7.986111111111114E-3</v>
      </c>
      <c r="AU533" s="77">
        <f t="shared" si="176"/>
        <v>1.6006944444444442E-2</v>
      </c>
      <c r="AV533" s="77" t="str">
        <f t="shared" si="176"/>
        <v>ER4</v>
      </c>
      <c r="AW533" s="77">
        <f t="shared" si="176"/>
        <v>50</v>
      </c>
      <c r="AX533" s="77" t="str">
        <f t="shared" si="176"/>
        <v>MEX</v>
      </c>
    </row>
    <row r="534" spans="1:50" ht="15.75" thickBot="1" x14ac:dyDescent="0.3">
      <c r="A534">
        <v>520</v>
      </c>
      <c r="B534" s="36" t="str">
        <f t="shared" si="172"/>
        <v>AEROLINEAS DE AMERICA</v>
      </c>
      <c r="C534" s="36">
        <f t="shared" si="172"/>
        <v>2313</v>
      </c>
      <c r="D534" s="74">
        <v>0.82638888888888884</v>
      </c>
      <c r="E534" s="74">
        <v>0.84375</v>
      </c>
      <c r="F534" s="75">
        <v>1.736111111111116E-2</v>
      </c>
      <c r="G534" s="74">
        <v>0.85555555555555562</v>
      </c>
      <c r="H534" s="75">
        <v>1.1805555555555625E-2</v>
      </c>
      <c r="I534" s="76">
        <v>41721</v>
      </c>
      <c r="J534" s="36" t="str">
        <f t="shared" si="175"/>
        <v>Internacional</v>
      </c>
      <c r="K534" s="36">
        <f t="shared" si="175"/>
        <v>1.4930555555555577E-2</v>
      </c>
      <c r="L534" s="36">
        <f t="shared" si="175"/>
        <v>1.5509259259259278E-2</v>
      </c>
      <c r="M534" s="36">
        <f t="shared" si="175"/>
        <v>3.0439814814814857E-2</v>
      </c>
      <c r="N534" s="36" t="str">
        <f t="shared" si="175"/>
        <v>M80</v>
      </c>
      <c r="O534" s="36">
        <f t="shared" si="175"/>
        <v>182</v>
      </c>
      <c r="P534" s="36" t="str">
        <f t="shared" si="175"/>
        <v>DFW</v>
      </c>
      <c r="R534">
        <v>520</v>
      </c>
      <c r="S534" s="36" t="str">
        <f t="shared" si="159"/>
        <v>MEXICO AEREO</v>
      </c>
      <c r="T534" s="36">
        <f t="shared" si="159"/>
        <v>771</v>
      </c>
      <c r="U534" s="83">
        <v>0.89861111111111114</v>
      </c>
      <c r="V534" s="84">
        <v>0.90694444444444444</v>
      </c>
      <c r="W534" s="85">
        <v>8.3333333333333037E-3</v>
      </c>
      <c r="X534" s="84">
        <v>0.92361111111111116</v>
      </c>
      <c r="Y534" s="85">
        <v>1.6666666666666718E-2</v>
      </c>
      <c r="Z534" s="86">
        <v>41759</v>
      </c>
      <c r="AA534" s="36" t="str">
        <f t="shared" si="173"/>
        <v>Nacional</v>
      </c>
      <c r="AB534" s="36">
        <f t="shared" si="173"/>
        <v>8.1790123456790143E-3</v>
      </c>
      <c r="AC534" s="36">
        <f t="shared" si="173"/>
        <v>8.6419753086419953E-3</v>
      </c>
      <c r="AD534" s="36">
        <f t="shared" si="173"/>
        <v>1.682098765432101E-2</v>
      </c>
      <c r="AE534" s="36" t="str">
        <f t="shared" si="173"/>
        <v>B737-800</v>
      </c>
      <c r="AF534" s="36">
        <f t="shared" si="173"/>
        <v>189</v>
      </c>
      <c r="AG534" s="36" t="str">
        <f t="shared" si="173"/>
        <v>TIJ</v>
      </c>
      <c r="AI534">
        <v>520</v>
      </c>
      <c r="AJ534" s="77" t="str">
        <f t="shared" si="164"/>
        <v>MEXICO AEREO</v>
      </c>
      <c r="AK534" s="77">
        <f t="shared" si="164"/>
        <v>286</v>
      </c>
      <c r="AL534" s="78">
        <v>0.59722222222222221</v>
      </c>
      <c r="AM534" s="79">
        <v>0.60138888888888886</v>
      </c>
      <c r="AN534" s="80">
        <v>4.1666666666666519E-3</v>
      </c>
      <c r="AO534" s="79">
        <v>0.60555555555555551</v>
      </c>
      <c r="AP534" s="80">
        <v>4.1666666666666519E-3</v>
      </c>
      <c r="AQ534" s="81">
        <v>41794</v>
      </c>
      <c r="AR534" s="77" t="str">
        <f t="shared" si="176"/>
        <v>Nacional</v>
      </c>
      <c r="AS534" s="77">
        <f t="shared" si="176"/>
        <v>8.0208333333333277E-3</v>
      </c>
      <c r="AT534" s="77">
        <f t="shared" si="176"/>
        <v>7.986111111111114E-3</v>
      </c>
      <c r="AU534" s="77">
        <f t="shared" si="176"/>
        <v>1.6006944444444442E-2</v>
      </c>
      <c r="AV534" s="77" t="str">
        <f t="shared" si="176"/>
        <v>ER4</v>
      </c>
      <c r="AW534" s="77">
        <f t="shared" si="176"/>
        <v>50</v>
      </c>
      <c r="AX534" s="77" t="str">
        <f t="shared" si="176"/>
        <v>MEX</v>
      </c>
    </row>
    <row r="535" spans="1:50" x14ac:dyDescent="0.25">
      <c r="A535">
        <v>521</v>
      </c>
      <c r="B535" s="36" t="str">
        <f t="shared" si="172"/>
        <v>AEROLINEAS DE AMERICA</v>
      </c>
      <c r="C535" s="36">
        <f t="shared" si="172"/>
        <v>2313</v>
      </c>
      <c r="D535" s="74">
        <v>0.8979166666666667</v>
      </c>
      <c r="E535" s="74">
        <v>0.9159722222222223</v>
      </c>
      <c r="F535" s="75">
        <v>1.8055555555555602E-2</v>
      </c>
      <c r="G535" s="74">
        <v>0.92361111111111116</v>
      </c>
      <c r="H535" s="75">
        <v>7.6388888888888618E-3</v>
      </c>
      <c r="I535" s="76">
        <v>41724</v>
      </c>
      <c r="J535" s="36" t="str">
        <f t="shared" si="175"/>
        <v>Internacional</v>
      </c>
      <c r="K535" s="36">
        <f t="shared" si="175"/>
        <v>1.4930555555555577E-2</v>
      </c>
      <c r="L535" s="36">
        <f t="shared" si="175"/>
        <v>1.5509259259259278E-2</v>
      </c>
      <c r="M535" s="36">
        <f t="shared" si="175"/>
        <v>3.0439814814814857E-2</v>
      </c>
      <c r="N535" s="36" t="str">
        <f t="shared" si="175"/>
        <v>M80</v>
      </c>
      <c r="O535" s="36">
        <f t="shared" si="175"/>
        <v>182</v>
      </c>
      <c r="P535" s="36" t="str">
        <f t="shared" si="175"/>
        <v>DFW</v>
      </c>
      <c r="R535">
        <v>521</v>
      </c>
      <c r="S535" s="36" t="str">
        <f t="shared" si="159"/>
        <v>MEXICO AEREO</v>
      </c>
      <c r="T535" s="55">
        <v>693</v>
      </c>
      <c r="U535" s="56">
        <v>0.3840277777777778</v>
      </c>
      <c r="V535" s="57">
        <v>0.38541666666666669</v>
      </c>
      <c r="W535" s="58">
        <v>1.388888888888884E-3</v>
      </c>
      <c r="X535" s="57">
        <v>0.3923611111111111</v>
      </c>
      <c r="Y535" s="58">
        <v>6.9444444444444198E-3</v>
      </c>
      <c r="Z535" s="59">
        <v>41738</v>
      </c>
      <c r="AA535" s="60" t="s">
        <v>22</v>
      </c>
      <c r="AB535" s="61">
        <v>1.581439393939392E-2</v>
      </c>
      <c r="AC535" s="61">
        <v>1.3446969696969674E-2</v>
      </c>
      <c r="AD535" s="62">
        <v>2.9261363636363592E-2</v>
      </c>
      <c r="AE535" s="109" t="s">
        <v>57</v>
      </c>
      <c r="AF535" s="109">
        <v>142</v>
      </c>
      <c r="AG535" s="109" t="s">
        <v>58</v>
      </c>
      <c r="AI535">
        <v>521</v>
      </c>
      <c r="AJ535" s="77" t="str">
        <f t="shared" si="164"/>
        <v>MEXICO AEREO</v>
      </c>
      <c r="AK535" s="77">
        <f t="shared" si="164"/>
        <v>286</v>
      </c>
      <c r="AL535" s="78">
        <v>0.59097222222222223</v>
      </c>
      <c r="AM535" s="79">
        <v>0.59722222222222221</v>
      </c>
      <c r="AN535" s="80">
        <v>6.2499999999999778E-3</v>
      </c>
      <c r="AO535" s="79">
        <v>0.60416666666666663</v>
      </c>
      <c r="AP535" s="80">
        <v>6.9444444444444198E-3</v>
      </c>
      <c r="AQ535" s="81">
        <v>41795</v>
      </c>
      <c r="AR535" s="77" t="str">
        <f t="shared" si="176"/>
        <v>Nacional</v>
      </c>
      <c r="AS535" s="77">
        <f t="shared" si="176"/>
        <v>8.0208333333333277E-3</v>
      </c>
      <c r="AT535" s="77">
        <f t="shared" si="176"/>
        <v>7.986111111111114E-3</v>
      </c>
      <c r="AU535" s="77">
        <f t="shared" si="176"/>
        <v>1.6006944444444442E-2</v>
      </c>
      <c r="AV535" s="77" t="str">
        <f t="shared" si="176"/>
        <v>ER4</v>
      </c>
      <c r="AW535" s="77">
        <f t="shared" si="176"/>
        <v>50</v>
      </c>
      <c r="AX535" s="77" t="str">
        <f t="shared" si="176"/>
        <v>MEX</v>
      </c>
    </row>
    <row r="536" spans="1:50" x14ac:dyDescent="0.25">
      <c r="A536">
        <v>522</v>
      </c>
      <c r="B536" s="36" t="str">
        <f t="shared" si="172"/>
        <v>AEROLINEAS DE AMERICA</v>
      </c>
      <c r="C536" s="36">
        <f t="shared" si="172"/>
        <v>2313</v>
      </c>
      <c r="D536" s="74">
        <v>0.84236111111111101</v>
      </c>
      <c r="E536" s="74">
        <v>0.84861111111111109</v>
      </c>
      <c r="F536" s="75">
        <v>6.2500000000000888E-3</v>
      </c>
      <c r="G536" s="74">
        <v>0.88194444444444453</v>
      </c>
      <c r="H536" s="75">
        <v>3.3333333333333437E-2</v>
      </c>
      <c r="I536" s="76">
        <v>41724</v>
      </c>
      <c r="J536" s="36" t="str">
        <f t="shared" si="175"/>
        <v>Internacional</v>
      </c>
      <c r="K536" s="36">
        <f t="shared" si="175"/>
        <v>1.4930555555555577E-2</v>
      </c>
      <c r="L536" s="36">
        <f t="shared" si="175"/>
        <v>1.5509259259259278E-2</v>
      </c>
      <c r="M536" s="36">
        <f t="shared" si="175"/>
        <v>3.0439814814814857E-2</v>
      </c>
      <c r="N536" s="36" t="str">
        <f t="shared" si="175"/>
        <v>M80</v>
      </c>
      <c r="O536" s="36">
        <f t="shared" si="175"/>
        <v>182</v>
      </c>
      <c r="P536" s="36" t="str">
        <f t="shared" si="175"/>
        <v>DFW</v>
      </c>
      <c r="R536">
        <v>522</v>
      </c>
      <c r="S536" s="36" t="str">
        <f t="shared" si="159"/>
        <v>MEXICO AEREO</v>
      </c>
      <c r="T536" s="36">
        <f t="shared" si="159"/>
        <v>693</v>
      </c>
      <c r="U536" s="73">
        <v>0.5541666666666667</v>
      </c>
      <c r="V536" s="74">
        <v>0.56180555555555556</v>
      </c>
      <c r="W536" s="75">
        <v>7.6388888888888618E-3</v>
      </c>
      <c r="X536" s="74">
        <v>0.57847222222222217</v>
      </c>
      <c r="Y536" s="75">
        <v>1.6666666666666607E-2</v>
      </c>
      <c r="Z536" s="76">
        <v>41731</v>
      </c>
      <c r="AA536" s="36" t="str">
        <f t="shared" ref="AA536:AG556" si="177">AA535</f>
        <v>Internacional</v>
      </c>
      <c r="AB536" s="36">
        <f t="shared" si="177"/>
        <v>1.581439393939392E-2</v>
      </c>
      <c r="AC536" s="36">
        <f t="shared" si="177"/>
        <v>1.3446969696969674E-2</v>
      </c>
      <c r="AD536" s="36">
        <f t="shared" si="177"/>
        <v>2.9261363636363592E-2</v>
      </c>
      <c r="AE536" s="36" t="str">
        <f t="shared" si="177"/>
        <v>A319</v>
      </c>
      <c r="AF536" s="36">
        <f t="shared" si="177"/>
        <v>142</v>
      </c>
      <c r="AG536" s="36" t="str">
        <f t="shared" si="177"/>
        <v>VER</v>
      </c>
      <c r="AI536">
        <v>522</v>
      </c>
      <c r="AJ536" s="77" t="str">
        <f t="shared" si="164"/>
        <v>MEXICO AEREO</v>
      </c>
      <c r="AK536" s="77">
        <f t="shared" si="164"/>
        <v>286</v>
      </c>
      <c r="AL536" s="78">
        <v>0.59305555555555556</v>
      </c>
      <c r="AM536" s="79">
        <v>0.59791666666666665</v>
      </c>
      <c r="AN536" s="80">
        <v>4.8611111111110938E-3</v>
      </c>
      <c r="AO536" s="79">
        <v>0.60347222222222219</v>
      </c>
      <c r="AP536" s="80">
        <v>5.5555555555555358E-3</v>
      </c>
      <c r="AQ536" s="81">
        <v>41796</v>
      </c>
      <c r="AR536" s="77" t="str">
        <f t="shared" si="176"/>
        <v>Nacional</v>
      </c>
      <c r="AS536" s="77">
        <f t="shared" si="176"/>
        <v>8.0208333333333277E-3</v>
      </c>
      <c r="AT536" s="77">
        <f t="shared" si="176"/>
        <v>7.986111111111114E-3</v>
      </c>
      <c r="AU536" s="77">
        <f t="shared" si="176"/>
        <v>1.6006944444444442E-2</v>
      </c>
      <c r="AV536" s="77" t="str">
        <f t="shared" si="176"/>
        <v>ER4</v>
      </c>
      <c r="AW536" s="77">
        <f t="shared" si="176"/>
        <v>50</v>
      </c>
      <c r="AX536" s="77" t="str">
        <f t="shared" si="176"/>
        <v>MEX</v>
      </c>
    </row>
    <row r="537" spans="1:50" ht="15.75" thickBot="1" x14ac:dyDescent="0.3">
      <c r="A537">
        <v>523</v>
      </c>
      <c r="B537" s="36" t="str">
        <f t="shared" si="172"/>
        <v>AEROLINEAS DE AMERICA</v>
      </c>
      <c r="C537" s="36">
        <f t="shared" si="172"/>
        <v>2313</v>
      </c>
      <c r="D537" s="84">
        <v>0.84583333333333333</v>
      </c>
      <c r="E537" s="84">
        <v>0.86597222222222225</v>
      </c>
      <c r="F537" s="85">
        <v>2.0138888888888928E-2</v>
      </c>
      <c r="G537" s="84">
        <v>0.87569444444444444</v>
      </c>
      <c r="H537" s="85">
        <v>9.7222222222221877E-3</v>
      </c>
      <c r="I537" s="86">
        <v>41728</v>
      </c>
      <c r="J537" s="36" t="str">
        <f t="shared" si="175"/>
        <v>Internacional</v>
      </c>
      <c r="K537" s="36">
        <f t="shared" si="175"/>
        <v>1.4930555555555577E-2</v>
      </c>
      <c r="L537" s="36">
        <f t="shared" si="175"/>
        <v>1.5509259259259278E-2</v>
      </c>
      <c r="M537" s="36">
        <f t="shared" si="175"/>
        <v>3.0439814814814857E-2</v>
      </c>
      <c r="N537" s="36" t="str">
        <f t="shared" si="175"/>
        <v>M80</v>
      </c>
      <c r="O537" s="36">
        <f t="shared" si="175"/>
        <v>182</v>
      </c>
      <c r="P537" s="36" t="str">
        <f t="shared" si="175"/>
        <v>DFW</v>
      </c>
      <c r="R537">
        <v>523</v>
      </c>
      <c r="S537" s="36" t="str">
        <f t="shared" si="159"/>
        <v>MEXICO AEREO</v>
      </c>
      <c r="T537" s="36">
        <f t="shared" si="159"/>
        <v>693</v>
      </c>
      <c r="U537" s="73">
        <v>0.5541666666666667</v>
      </c>
      <c r="V537" s="74">
        <v>0.56180555555555556</v>
      </c>
      <c r="W537" s="75">
        <v>7.6388888888888618E-3</v>
      </c>
      <c r="X537" s="74">
        <v>0.57847222222222217</v>
      </c>
      <c r="Y537" s="75">
        <v>1.6666666666666607E-2</v>
      </c>
      <c r="Z537" s="76">
        <v>41731</v>
      </c>
      <c r="AA537" s="36" t="str">
        <f t="shared" si="177"/>
        <v>Internacional</v>
      </c>
      <c r="AB537" s="36">
        <f t="shared" si="177"/>
        <v>1.581439393939392E-2</v>
      </c>
      <c r="AC537" s="36">
        <f t="shared" si="177"/>
        <v>1.3446969696969674E-2</v>
      </c>
      <c r="AD537" s="36">
        <f t="shared" si="177"/>
        <v>2.9261363636363592E-2</v>
      </c>
      <c r="AE537" s="36" t="str">
        <f t="shared" si="177"/>
        <v>A319</v>
      </c>
      <c r="AF537" s="36">
        <f t="shared" si="177"/>
        <v>142</v>
      </c>
      <c r="AG537" s="36" t="str">
        <f t="shared" si="177"/>
        <v>VER</v>
      </c>
      <c r="AI537">
        <v>523</v>
      </c>
      <c r="AJ537" s="77" t="str">
        <f t="shared" si="164"/>
        <v>MEXICO AEREO</v>
      </c>
      <c r="AK537" s="77">
        <f t="shared" si="164"/>
        <v>286</v>
      </c>
      <c r="AL537" s="78">
        <v>0.58750000000000002</v>
      </c>
      <c r="AM537" s="79">
        <v>0.59652777777777777</v>
      </c>
      <c r="AN537" s="80">
        <v>9.0277777777777457E-3</v>
      </c>
      <c r="AO537" s="79">
        <v>0.60277777777777775</v>
      </c>
      <c r="AP537" s="80">
        <v>6.2499999999999778E-3</v>
      </c>
      <c r="AQ537" s="81">
        <v>41797</v>
      </c>
      <c r="AR537" s="77" t="str">
        <f t="shared" si="176"/>
        <v>Nacional</v>
      </c>
      <c r="AS537" s="77">
        <f t="shared" si="176"/>
        <v>8.0208333333333277E-3</v>
      </c>
      <c r="AT537" s="77">
        <f t="shared" si="176"/>
        <v>7.986111111111114E-3</v>
      </c>
      <c r="AU537" s="77">
        <f t="shared" si="176"/>
        <v>1.6006944444444442E-2</v>
      </c>
      <c r="AV537" s="77" t="str">
        <f t="shared" si="176"/>
        <v>ER4</v>
      </c>
      <c r="AW537" s="77">
        <f t="shared" si="176"/>
        <v>50</v>
      </c>
      <c r="AX537" s="77" t="str">
        <f t="shared" si="176"/>
        <v>MEX</v>
      </c>
    </row>
    <row r="538" spans="1:50" ht="15.75" thickBot="1" x14ac:dyDescent="0.3">
      <c r="A538">
        <v>524</v>
      </c>
      <c r="B538" s="36" t="str">
        <f t="shared" si="172"/>
        <v>AEROLINEAS DE AMERICA</v>
      </c>
      <c r="C538" s="88">
        <v>387</v>
      </c>
      <c r="D538" s="57">
        <v>0.55555555555555558</v>
      </c>
      <c r="E538" s="57">
        <v>0.57291666666666663</v>
      </c>
      <c r="F538" s="58">
        <v>1.7361111111111049E-2</v>
      </c>
      <c r="G538" s="57">
        <v>0.57986111111111105</v>
      </c>
      <c r="H538" s="58">
        <v>6.9444444444444198E-3</v>
      </c>
      <c r="I538" s="59">
        <v>41714</v>
      </c>
      <c r="J538" s="108" t="s">
        <v>22</v>
      </c>
      <c r="K538" s="61">
        <v>1.5491452991452962E-2</v>
      </c>
      <c r="L538" s="61">
        <v>1.0790598290598304E-2</v>
      </c>
      <c r="M538" s="142">
        <v>2.6282051282051265E-2</v>
      </c>
      <c r="N538" s="90" t="s">
        <v>56</v>
      </c>
      <c r="O538" s="91">
        <v>182</v>
      </c>
      <c r="P538" s="92" t="s">
        <v>23</v>
      </c>
      <c r="R538">
        <v>524</v>
      </c>
      <c r="S538" s="36" t="str">
        <f t="shared" si="159"/>
        <v>MEXICO AEREO</v>
      </c>
      <c r="T538" s="36">
        <f t="shared" si="159"/>
        <v>693</v>
      </c>
      <c r="U538" s="73">
        <v>0.55555555555555558</v>
      </c>
      <c r="V538" s="74">
        <v>0.56666666666666665</v>
      </c>
      <c r="W538" s="75">
        <v>1.1111111111111072E-2</v>
      </c>
      <c r="X538" s="74">
        <v>0.58472222222222225</v>
      </c>
      <c r="Y538" s="75">
        <v>1.8055555555555602E-2</v>
      </c>
      <c r="Z538" s="76">
        <v>41732</v>
      </c>
      <c r="AA538" s="36" t="str">
        <f t="shared" si="177"/>
        <v>Internacional</v>
      </c>
      <c r="AB538" s="36">
        <f t="shared" si="177"/>
        <v>1.581439393939392E-2</v>
      </c>
      <c r="AC538" s="36">
        <f t="shared" si="177"/>
        <v>1.3446969696969674E-2</v>
      </c>
      <c r="AD538" s="36">
        <f t="shared" si="177"/>
        <v>2.9261363636363592E-2</v>
      </c>
      <c r="AE538" s="36" t="str">
        <f t="shared" si="177"/>
        <v>A319</v>
      </c>
      <c r="AF538" s="36">
        <f t="shared" si="177"/>
        <v>142</v>
      </c>
      <c r="AG538" s="36" t="str">
        <f t="shared" si="177"/>
        <v>VER</v>
      </c>
      <c r="AI538">
        <v>524</v>
      </c>
      <c r="AJ538" s="77" t="str">
        <f t="shared" si="164"/>
        <v>MEXICO AEREO</v>
      </c>
      <c r="AK538" s="77">
        <f t="shared" si="164"/>
        <v>286</v>
      </c>
      <c r="AL538" s="78">
        <v>0.58750000000000002</v>
      </c>
      <c r="AM538" s="79">
        <v>0.59513888888888888</v>
      </c>
      <c r="AN538" s="80">
        <v>7.6388888888888618E-3</v>
      </c>
      <c r="AO538" s="79">
        <v>0.6020833333333333</v>
      </c>
      <c r="AP538" s="80">
        <v>6.9444444444444198E-3</v>
      </c>
      <c r="AQ538" s="81">
        <v>41798</v>
      </c>
      <c r="AR538" s="77" t="str">
        <f t="shared" si="176"/>
        <v>Nacional</v>
      </c>
      <c r="AS538" s="77">
        <f t="shared" si="176"/>
        <v>8.0208333333333277E-3</v>
      </c>
      <c r="AT538" s="77">
        <f t="shared" si="176"/>
        <v>7.986111111111114E-3</v>
      </c>
      <c r="AU538" s="77">
        <f t="shared" si="176"/>
        <v>1.6006944444444442E-2</v>
      </c>
      <c r="AV538" s="77" t="str">
        <f t="shared" si="176"/>
        <v>ER4</v>
      </c>
      <c r="AW538" s="77">
        <f t="shared" si="176"/>
        <v>50</v>
      </c>
      <c r="AX538" s="77" t="str">
        <f t="shared" si="176"/>
        <v>MEX</v>
      </c>
    </row>
    <row r="539" spans="1:50" x14ac:dyDescent="0.25">
      <c r="A539">
        <v>525</v>
      </c>
      <c r="B539" s="36" t="str">
        <f t="shared" si="172"/>
        <v>AEROLINEAS DE AMERICA</v>
      </c>
      <c r="C539" s="36">
        <f t="shared" si="172"/>
        <v>387</v>
      </c>
      <c r="D539" s="74">
        <v>0.55555555555555558</v>
      </c>
      <c r="E539" s="74">
        <v>0.57291666666666663</v>
      </c>
      <c r="F539" s="75">
        <v>1.7361111111111049E-2</v>
      </c>
      <c r="G539" s="74">
        <v>0.57986111111111105</v>
      </c>
      <c r="H539" s="75">
        <v>6.9444444444444198E-3</v>
      </c>
      <c r="I539" s="76">
        <v>41720</v>
      </c>
      <c r="J539" s="36" t="str">
        <f t="shared" ref="J539:P550" si="178">J538</f>
        <v>Internacional</v>
      </c>
      <c r="K539" s="36">
        <f t="shared" si="178"/>
        <v>1.5491452991452962E-2</v>
      </c>
      <c r="L539" s="36">
        <f t="shared" si="178"/>
        <v>1.0790598290598304E-2</v>
      </c>
      <c r="M539" s="36">
        <f t="shared" si="178"/>
        <v>2.6282051282051265E-2</v>
      </c>
      <c r="N539" s="36" t="str">
        <f t="shared" si="178"/>
        <v>M80</v>
      </c>
      <c r="O539" s="36">
        <f t="shared" si="178"/>
        <v>182</v>
      </c>
      <c r="P539" s="36" t="str">
        <f t="shared" si="178"/>
        <v>DFW</v>
      </c>
      <c r="R539">
        <v>525</v>
      </c>
      <c r="S539" s="36" t="str">
        <f t="shared" si="159"/>
        <v>MEXICO AEREO</v>
      </c>
      <c r="T539" s="36">
        <f t="shared" si="159"/>
        <v>693</v>
      </c>
      <c r="U539" s="73">
        <v>0.56180555555555556</v>
      </c>
      <c r="V539" s="74">
        <v>0.57222222222222219</v>
      </c>
      <c r="W539" s="75">
        <v>1.041666666666663E-2</v>
      </c>
      <c r="X539" s="74">
        <v>0.58124999999999993</v>
      </c>
      <c r="Y539" s="75">
        <v>9.0277777777777457E-3</v>
      </c>
      <c r="Z539" s="76">
        <v>41733</v>
      </c>
      <c r="AA539" s="36" t="str">
        <f t="shared" si="177"/>
        <v>Internacional</v>
      </c>
      <c r="AB539" s="36">
        <f t="shared" si="177"/>
        <v>1.581439393939392E-2</v>
      </c>
      <c r="AC539" s="36">
        <f t="shared" si="177"/>
        <v>1.3446969696969674E-2</v>
      </c>
      <c r="AD539" s="36">
        <f t="shared" si="177"/>
        <v>2.9261363636363592E-2</v>
      </c>
      <c r="AE539" s="36" t="str">
        <f t="shared" si="177"/>
        <v>A319</v>
      </c>
      <c r="AF539" s="36">
        <f t="shared" si="177"/>
        <v>142</v>
      </c>
      <c r="AG539" s="36" t="str">
        <f t="shared" si="177"/>
        <v>VER</v>
      </c>
      <c r="AI539">
        <v>525</v>
      </c>
      <c r="AJ539" s="63" t="s">
        <v>18</v>
      </c>
      <c r="AK539" s="77">
        <f t="shared" ref="AK539:AK557" si="179">AK538</f>
        <v>286</v>
      </c>
      <c r="AL539" s="78">
        <v>0.58888888888888891</v>
      </c>
      <c r="AM539" s="79">
        <v>0.59444444444444444</v>
      </c>
      <c r="AN539" s="80">
        <v>5.5555555555555358E-3</v>
      </c>
      <c r="AO539" s="79">
        <v>0.60416666666666663</v>
      </c>
      <c r="AP539" s="80">
        <v>9.7222222222221877E-3</v>
      </c>
      <c r="AQ539" s="81">
        <v>41799</v>
      </c>
      <c r="AR539" s="77" t="str">
        <f t="shared" si="176"/>
        <v>Nacional</v>
      </c>
      <c r="AS539" s="77">
        <f t="shared" si="176"/>
        <v>8.0208333333333277E-3</v>
      </c>
      <c r="AT539" s="77">
        <f t="shared" si="176"/>
        <v>7.986111111111114E-3</v>
      </c>
      <c r="AU539" s="77">
        <f t="shared" si="176"/>
        <v>1.6006944444444442E-2</v>
      </c>
      <c r="AV539" s="77" t="str">
        <f t="shared" si="176"/>
        <v>ER4</v>
      </c>
      <c r="AW539" s="77">
        <f t="shared" si="176"/>
        <v>50</v>
      </c>
      <c r="AX539" s="77" t="str">
        <f t="shared" si="176"/>
        <v>MEX</v>
      </c>
    </row>
    <row r="540" spans="1:50" x14ac:dyDescent="0.25">
      <c r="A540">
        <v>526</v>
      </c>
      <c r="B540" s="36" t="str">
        <f t="shared" si="172"/>
        <v>AEROLINEAS DE AMERICA</v>
      </c>
      <c r="C540" s="36">
        <f t="shared" si="172"/>
        <v>387</v>
      </c>
      <c r="D540" s="74">
        <v>0.54999999999999993</v>
      </c>
      <c r="E540" s="74">
        <v>0.56944444444444442</v>
      </c>
      <c r="F540" s="75">
        <v>1.9444444444444486E-2</v>
      </c>
      <c r="G540" s="74">
        <v>0.57986111111111105</v>
      </c>
      <c r="H540" s="75">
        <v>1.041666666666663E-2</v>
      </c>
      <c r="I540" s="76">
        <v>41721</v>
      </c>
      <c r="J540" s="36" t="str">
        <f t="shared" si="178"/>
        <v>Internacional</v>
      </c>
      <c r="K540" s="36">
        <f t="shared" si="178"/>
        <v>1.5491452991452962E-2</v>
      </c>
      <c r="L540" s="36">
        <f t="shared" si="178"/>
        <v>1.0790598290598304E-2</v>
      </c>
      <c r="M540" s="36">
        <f t="shared" si="178"/>
        <v>2.6282051282051265E-2</v>
      </c>
      <c r="N540" s="36" t="str">
        <f t="shared" si="178"/>
        <v>M80</v>
      </c>
      <c r="O540" s="36">
        <f t="shared" si="178"/>
        <v>182</v>
      </c>
      <c r="P540" s="36" t="str">
        <f t="shared" si="178"/>
        <v>DFW</v>
      </c>
      <c r="R540">
        <v>526</v>
      </c>
      <c r="S540" s="36" t="str">
        <f t="shared" si="159"/>
        <v>MEXICO AEREO</v>
      </c>
      <c r="T540" s="36">
        <f t="shared" si="159"/>
        <v>693</v>
      </c>
      <c r="U540" s="73">
        <v>0.56111111111111112</v>
      </c>
      <c r="V540" s="74">
        <v>0.56666666666666665</v>
      </c>
      <c r="W540" s="75">
        <v>5.5555555555555358E-3</v>
      </c>
      <c r="X540" s="74">
        <v>0.58333333333333337</v>
      </c>
      <c r="Y540" s="75">
        <v>1.6666666666666718E-2</v>
      </c>
      <c r="Z540" s="76">
        <v>41734</v>
      </c>
      <c r="AA540" s="36" t="str">
        <f t="shared" si="177"/>
        <v>Internacional</v>
      </c>
      <c r="AB540" s="36">
        <f t="shared" si="177"/>
        <v>1.581439393939392E-2</v>
      </c>
      <c r="AC540" s="36">
        <f t="shared" si="177"/>
        <v>1.3446969696969674E-2</v>
      </c>
      <c r="AD540" s="36">
        <f t="shared" si="177"/>
        <v>2.9261363636363592E-2</v>
      </c>
      <c r="AE540" s="36" t="str">
        <f t="shared" si="177"/>
        <v>A319</v>
      </c>
      <c r="AF540" s="36">
        <f t="shared" si="177"/>
        <v>142</v>
      </c>
      <c r="AG540" s="36" t="str">
        <f t="shared" si="177"/>
        <v>VER</v>
      </c>
      <c r="AI540">
        <v>526</v>
      </c>
      <c r="AJ540" s="77" t="str">
        <f t="shared" ref="AJ540:AK585" si="180">AJ539</f>
        <v>MEXICO AEREO</v>
      </c>
      <c r="AK540" s="77">
        <f t="shared" si="179"/>
        <v>286</v>
      </c>
      <c r="AL540" s="78">
        <v>0.46597222222222223</v>
      </c>
      <c r="AM540" s="79">
        <v>0.47361111111111115</v>
      </c>
      <c r="AN540" s="80">
        <v>7.6388888888889173E-3</v>
      </c>
      <c r="AO540" s="79">
        <v>0.47916666666666669</v>
      </c>
      <c r="AP540" s="80">
        <v>5.5555555555555358E-3</v>
      </c>
      <c r="AQ540" s="81">
        <v>41801</v>
      </c>
      <c r="AR540" s="77" t="str">
        <f t="shared" si="176"/>
        <v>Nacional</v>
      </c>
      <c r="AS540" s="77">
        <f t="shared" si="176"/>
        <v>8.0208333333333277E-3</v>
      </c>
      <c r="AT540" s="77">
        <f t="shared" si="176"/>
        <v>7.986111111111114E-3</v>
      </c>
      <c r="AU540" s="77">
        <f t="shared" si="176"/>
        <v>1.6006944444444442E-2</v>
      </c>
      <c r="AV540" s="77" t="str">
        <f t="shared" si="176"/>
        <v>ER4</v>
      </c>
      <c r="AW540" s="77">
        <f t="shared" si="176"/>
        <v>50</v>
      </c>
      <c r="AX540" s="77" t="str">
        <f t="shared" si="176"/>
        <v>MEX</v>
      </c>
    </row>
    <row r="541" spans="1:50" x14ac:dyDescent="0.25">
      <c r="A541">
        <v>527</v>
      </c>
      <c r="B541" s="36" t="str">
        <f t="shared" si="172"/>
        <v>AEROLINEAS DE AMERICA</v>
      </c>
      <c r="C541" s="36">
        <f t="shared" si="172"/>
        <v>387</v>
      </c>
      <c r="D541" s="74">
        <v>0.54999999999999993</v>
      </c>
      <c r="E541" s="74">
        <v>0.56736111111111109</v>
      </c>
      <c r="F541" s="75">
        <v>1.736111111111116E-2</v>
      </c>
      <c r="G541" s="74">
        <v>0.58333333333333337</v>
      </c>
      <c r="H541" s="75">
        <v>1.5972222222222276E-2</v>
      </c>
      <c r="I541" s="76">
        <v>41722</v>
      </c>
      <c r="J541" s="36" t="str">
        <f t="shared" si="178"/>
        <v>Internacional</v>
      </c>
      <c r="K541" s="36">
        <f t="shared" si="178"/>
        <v>1.5491452991452962E-2</v>
      </c>
      <c r="L541" s="36">
        <f t="shared" si="178"/>
        <v>1.0790598290598304E-2</v>
      </c>
      <c r="M541" s="36">
        <f t="shared" si="178"/>
        <v>2.6282051282051265E-2</v>
      </c>
      <c r="N541" s="36" t="str">
        <f t="shared" si="178"/>
        <v>M80</v>
      </c>
      <c r="O541" s="36">
        <f t="shared" si="178"/>
        <v>182</v>
      </c>
      <c r="P541" s="36" t="str">
        <f t="shared" si="178"/>
        <v>DFW</v>
      </c>
      <c r="R541">
        <v>527</v>
      </c>
      <c r="S541" s="36" t="str">
        <f t="shared" si="159"/>
        <v>MEXICO AEREO</v>
      </c>
      <c r="T541" s="36">
        <f t="shared" si="159"/>
        <v>693</v>
      </c>
      <c r="U541" s="73">
        <v>0.58611111111111114</v>
      </c>
      <c r="V541" s="74">
        <v>0.59722222222222221</v>
      </c>
      <c r="W541" s="75">
        <v>1.1111111111111072E-2</v>
      </c>
      <c r="X541" s="74">
        <v>0.60763888888888895</v>
      </c>
      <c r="Y541" s="75">
        <v>1.0416666666666741E-2</v>
      </c>
      <c r="Z541" s="76">
        <v>41735</v>
      </c>
      <c r="AA541" s="36" t="str">
        <f t="shared" si="177"/>
        <v>Internacional</v>
      </c>
      <c r="AB541" s="36">
        <f t="shared" si="177"/>
        <v>1.581439393939392E-2</v>
      </c>
      <c r="AC541" s="36">
        <f t="shared" si="177"/>
        <v>1.3446969696969674E-2</v>
      </c>
      <c r="AD541" s="36">
        <f t="shared" si="177"/>
        <v>2.9261363636363592E-2</v>
      </c>
      <c r="AE541" s="36" t="str">
        <f t="shared" si="177"/>
        <v>A319</v>
      </c>
      <c r="AF541" s="36">
        <f t="shared" si="177"/>
        <v>142</v>
      </c>
      <c r="AG541" s="36" t="str">
        <f t="shared" si="177"/>
        <v>VER</v>
      </c>
      <c r="AI541">
        <v>527</v>
      </c>
      <c r="AJ541" s="77" t="str">
        <f t="shared" si="180"/>
        <v>MEXICO AEREO</v>
      </c>
      <c r="AK541" s="77">
        <f t="shared" si="179"/>
        <v>286</v>
      </c>
      <c r="AL541" s="143">
        <v>0.90902777777777777</v>
      </c>
      <c r="AM541" s="144">
        <v>0.91249999999999998</v>
      </c>
      <c r="AN541" s="80">
        <v>3.4722222222222099E-3</v>
      </c>
      <c r="AO541" s="144">
        <v>0.91805555555555562</v>
      </c>
      <c r="AP541" s="80">
        <v>5.5555555555556468E-3</v>
      </c>
      <c r="AQ541" s="81">
        <v>41801</v>
      </c>
      <c r="AR541" s="77" t="str">
        <f t="shared" si="176"/>
        <v>Nacional</v>
      </c>
      <c r="AS541" s="77">
        <f t="shared" si="176"/>
        <v>8.0208333333333277E-3</v>
      </c>
      <c r="AT541" s="77">
        <f t="shared" si="176"/>
        <v>7.986111111111114E-3</v>
      </c>
      <c r="AU541" s="77">
        <f t="shared" si="176"/>
        <v>1.6006944444444442E-2</v>
      </c>
      <c r="AV541" s="77" t="str">
        <f t="shared" si="176"/>
        <v>ER4</v>
      </c>
      <c r="AW541" s="77">
        <f t="shared" si="176"/>
        <v>50</v>
      </c>
      <c r="AX541" s="77" t="str">
        <f t="shared" si="176"/>
        <v>MEX</v>
      </c>
    </row>
    <row r="542" spans="1:50" x14ac:dyDescent="0.25">
      <c r="A542">
        <v>528</v>
      </c>
      <c r="B542" s="36" t="str">
        <f t="shared" si="172"/>
        <v>AEROLINEAS DE AMERICA</v>
      </c>
      <c r="C542" s="36">
        <f t="shared" si="172"/>
        <v>387</v>
      </c>
      <c r="D542" s="74">
        <v>0.55902777777777779</v>
      </c>
      <c r="E542" s="74">
        <v>0.56944444444444442</v>
      </c>
      <c r="F542" s="75">
        <v>1.041666666666663E-2</v>
      </c>
      <c r="G542" s="74">
        <v>0.57916666666666672</v>
      </c>
      <c r="H542" s="75">
        <v>9.7222222222222987E-3</v>
      </c>
      <c r="I542" s="76">
        <v>41723</v>
      </c>
      <c r="J542" s="36" t="str">
        <f t="shared" si="178"/>
        <v>Internacional</v>
      </c>
      <c r="K542" s="36">
        <f t="shared" si="178"/>
        <v>1.5491452991452962E-2</v>
      </c>
      <c r="L542" s="36">
        <f t="shared" si="178"/>
        <v>1.0790598290598304E-2</v>
      </c>
      <c r="M542" s="36">
        <f t="shared" si="178"/>
        <v>2.6282051282051265E-2</v>
      </c>
      <c r="N542" s="36" t="str">
        <f t="shared" si="178"/>
        <v>M80</v>
      </c>
      <c r="O542" s="36">
        <f t="shared" si="178"/>
        <v>182</v>
      </c>
      <c r="P542" s="36" t="str">
        <f t="shared" si="178"/>
        <v>DFW</v>
      </c>
      <c r="R542">
        <v>528</v>
      </c>
      <c r="S542" s="36" t="str">
        <f t="shared" si="159"/>
        <v>MEXICO AEREO</v>
      </c>
      <c r="T542" s="36">
        <f t="shared" si="159"/>
        <v>693</v>
      </c>
      <c r="U542" s="73">
        <v>0.64027777777777783</v>
      </c>
      <c r="V542" s="74">
        <v>0.65138888888888891</v>
      </c>
      <c r="W542" s="75">
        <v>1.1111111111111072E-2</v>
      </c>
      <c r="X542" s="74">
        <v>0.66527777777777775</v>
      </c>
      <c r="Y542" s="75">
        <v>1.388888888888884E-2</v>
      </c>
      <c r="Z542" s="76">
        <v>41739</v>
      </c>
      <c r="AA542" s="36" t="str">
        <f t="shared" si="177"/>
        <v>Internacional</v>
      </c>
      <c r="AB542" s="36">
        <f t="shared" si="177"/>
        <v>1.581439393939392E-2</v>
      </c>
      <c r="AC542" s="36">
        <f t="shared" si="177"/>
        <v>1.3446969696969674E-2</v>
      </c>
      <c r="AD542" s="36">
        <f t="shared" si="177"/>
        <v>2.9261363636363592E-2</v>
      </c>
      <c r="AE542" s="36" t="str">
        <f t="shared" si="177"/>
        <v>A319</v>
      </c>
      <c r="AF542" s="36">
        <f t="shared" si="177"/>
        <v>142</v>
      </c>
      <c r="AG542" s="36" t="str">
        <f t="shared" si="177"/>
        <v>VER</v>
      </c>
      <c r="AI542">
        <v>528</v>
      </c>
      <c r="AJ542" s="77" t="str">
        <f t="shared" si="180"/>
        <v>MEXICO AEREO</v>
      </c>
      <c r="AK542" s="77">
        <f t="shared" si="179"/>
        <v>286</v>
      </c>
      <c r="AL542" s="78">
        <v>0.84166666666666667</v>
      </c>
      <c r="AM542" s="79">
        <v>0.85138888888888886</v>
      </c>
      <c r="AN542" s="80">
        <v>9.7222222222221877E-3</v>
      </c>
      <c r="AO542" s="79">
        <v>0.86875000000000002</v>
      </c>
      <c r="AP542" s="80">
        <v>1.736111111111116E-2</v>
      </c>
      <c r="AQ542" s="81">
        <v>41802</v>
      </c>
      <c r="AR542" s="77" t="str">
        <f t="shared" si="176"/>
        <v>Nacional</v>
      </c>
      <c r="AS542" s="77">
        <f t="shared" si="176"/>
        <v>8.0208333333333277E-3</v>
      </c>
      <c r="AT542" s="77">
        <f t="shared" si="176"/>
        <v>7.986111111111114E-3</v>
      </c>
      <c r="AU542" s="77">
        <f t="shared" si="176"/>
        <v>1.6006944444444442E-2</v>
      </c>
      <c r="AV542" s="77" t="str">
        <f t="shared" si="176"/>
        <v>ER4</v>
      </c>
      <c r="AW542" s="77">
        <f t="shared" si="176"/>
        <v>50</v>
      </c>
      <c r="AX542" s="77" t="str">
        <f t="shared" si="176"/>
        <v>MEX</v>
      </c>
    </row>
    <row r="543" spans="1:50" x14ac:dyDescent="0.25">
      <c r="A543">
        <v>529</v>
      </c>
      <c r="B543" s="36" t="str">
        <f t="shared" si="172"/>
        <v>AEROLINEAS DE AMERICA</v>
      </c>
      <c r="C543" s="36">
        <f t="shared" si="172"/>
        <v>387</v>
      </c>
      <c r="D543" s="74">
        <v>0.55347222222222225</v>
      </c>
      <c r="E543" s="74">
        <v>0.56388888888888888</v>
      </c>
      <c r="F543" s="75">
        <v>1.041666666666663E-2</v>
      </c>
      <c r="G543" s="74">
        <v>0.57500000000000007</v>
      </c>
      <c r="H543" s="75">
        <v>1.1111111111111183E-2</v>
      </c>
      <c r="I543" s="76">
        <v>41715</v>
      </c>
      <c r="J543" s="36" t="str">
        <f t="shared" si="178"/>
        <v>Internacional</v>
      </c>
      <c r="K543" s="36">
        <f t="shared" si="178"/>
        <v>1.5491452991452962E-2</v>
      </c>
      <c r="L543" s="36">
        <f t="shared" si="178"/>
        <v>1.0790598290598304E-2</v>
      </c>
      <c r="M543" s="36">
        <f t="shared" si="178"/>
        <v>2.6282051282051265E-2</v>
      </c>
      <c r="N543" s="36" t="str">
        <f t="shared" si="178"/>
        <v>M80</v>
      </c>
      <c r="O543" s="36">
        <f t="shared" si="178"/>
        <v>182</v>
      </c>
      <c r="P543" s="36" t="str">
        <f t="shared" si="178"/>
        <v>DFW</v>
      </c>
      <c r="R543">
        <v>529</v>
      </c>
      <c r="S543" s="36" t="str">
        <f t="shared" si="159"/>
        <v>MEXICO AEREO</v>
      </c>
      <c r="T543" s="36">
        <f t="shared" si="159"/>
        <v>693</v>
      </c>
      <c r="U543" s="73">
        <v>0.65972222222222221</v>
      </c>
      <c r="V543" s="74">
        <v>0.67013888888888884</v>
      </c>
      <c r="W543" s="75">
        <v>1.041666666666663E-2</v>
      </c>
      <c r="X543" s="74">
        <v>0.68819444444444444</v>
      </c>
      <c r="Y543" s="75">
        <v>1.8055555555555602E-2</v>
      </c>
      <c r="Z543" s="76">
        <v>41741</v>
      </c>
      <c r="AA543" s="36" t="str">
        <f t="shared" si="177"/>
        <v>Internacional</v>
      </c>
      <c r="AB543" s="36">
        <f t="shared" si="177"/>
        <v>1.581439393939392E-2</v>
      </c>
      <c r="AC543" s="36">
        <f t="shared" si="177"/>
        <v>1.3446969696969674E-2</v>
      </c>
      <c r="AD543" s="36">
        <f t="shared" si="177"/>
        <v>2.9261363636363592E-2</v>
      </c>
      <c r="AE543" s="36" t="str">
        <f t="shared" si="177"/>
        <v>A319</v>
      </c>
      <c r="AF543" s="36">
        <f t="shared" si="177"/>
        <v>142</v>
      </c>
      <c r="AG543" s="36" t="str">
        <f t="shared" si="177"/>
        <v>VER</v>
      </c>
      <c r="AI543">
        <v>529</v>
      </c>
      <c r="AJ543" s="77" t="str">
        <f t="shared" si="180"/>
        <v>MEXICO AEREO</v>
      </c>
      <c r="AK543" s="77">
        <f t="shared" si="179"/>
        <v>286</v>
      </c>
      <c r="AL543" s="78">
        <v>0.53680555555555554</v>
      </c>
      <c r="AM543" s="79">
        <v>0.54166666666666663</v>
      </c>
      <c r="AN543" s="80">
        <v>4.8611111111110938E-3</v>
      </c>
      <c r="AO543" s="79">
        <v>0.55069444444444449</v>
      </c>
      <c r="AP543" s="80">
        <v>9.0277777777778567E-3</v>
      </c>
      <c r="AQ543" s="81">
        <v>41803</v>
      </c>
      <c r="AR543" s="77" t="str">
        <f t="shared" si="176"/>
        <v>Nacional</v>
      </c>
      <c r="AS543" s="77">
        <f t="shared" si="176"/>
        <v>8.0208333333333277E-3</v>
      </c>
      <c r="AT543" s="77">
        <f t="shared" si="176"/>
        <v>7.986111111111114E-3</v>
      </c>
      <c r="AU543" s="77">
        <f t="shared" si="176"/>
        <v>1.6006944444444442E-2</v>
      </c>
      <c r="AV543" s="77" t="str">
        <f t="shared" si="176"/>
        <v>ER4</v>
      </c>
      <c r="AW543" s="77">
        <f t="shared" si="176"/>
        <v>50</v>
      </c>
      <c r="AX543" s="77" t="str">
        <f t="shared" si="176"/>
        <v>MEX</v>
      </c>
    </row>
    <row r="544" spans="1:50" x14ac:dyDescent="0.25">
      <c r="A544">
        <v>530</v>
      </c>
      <c r="B544" s="36" t="str">
        <f t="shared" si="172"/>
        <v>AEROLINEAS DE AMERICA</v>
      </c>
      <c r="C544" s="36">
        <f t="shared" si="172"/>
        <v>387</v>
      </c>
      <c r="D544" s="74">
        <v>0.56041666666666667</v>
      </c>
      <c r="E544" s="74">
        <v>0.57708333333333328</v>
      </c>
      <c r="F544" s="75">
        <v>1.6666666666666607E-2</v>
      </c>
      <c r="G544" s="74">
        <v>0.58263888888888882</v>
      </c>
      <c r="H544" s="75">
        <v>5.5555555555555358E-3</v>
      </c>
      <c r="I544" s="76">
        <v>41717</v>
      </c>
      <c r="J544" s="36" t="str">
        <f t="shared" si="178"/>
        <v>Internacional</v>
      </c>
      <c r="K544" s="36">
        <f t="shared" si="178"/>
        <v>1.5491452991452962E-2</v>
      </c>
      <c r="L544" s="36">
        <f t="shared" si="178"/>
        <v>1.0790598290598304E-2</v>
      </c>
      <c r="M544" s="36">
        <f t="shared" si="178"/>
        <v>2.6282051282051265E-2</v>
      </c>
      <c r="N544" s="36" t="str">
        <f t="shared" si="178"/>
        <v>M80</v>
      </c>
      <c r="O544" s="36">
        <f t="shared" si="178"/>
        <v>182</v>
      </c>
      <c r="P544" s="36" t="str">
        <f t="shared" si="178"/>
        <v>DFW</v>
      </c>
      <c r="R544">
        <v>530</v>
      </c>
      <c r="S544" s="36" t="str">
        <f t="shared" ref="S544:T556" si="181">S543</f>
        <v>MEXICO AEREO</v>
      </c>
      <c r="T544" s="36">
        <f t="shared" si="181"/>
        <v>693</v>
      </c>
      <c r="U544" s="73">
        <v>0.65486111111111112</v>
      </c>
      <c r="V544" s="74">
        <v>0.66319444444444442</v>
      </c>
      <c r="W544" s="75">
        <v>8.3333333333333037E-3</v>
      </c>
      <c r="X544" s="74">
        <v>0.67222222222222217</v>
      </c>
      <c r="Y544" s="75">
        <v>9.0277777777777457E-3</v>
      </c>
      <c r="Z544" s="76">
        <v>41743</v>
      </c>
      <c r="AA544" s="36" t="str">
        <f t="shared" si="177"/>
        <v>Internacional</v>
      </c>
      <c r="AB544" s="36">
        <f t="shared" si="177"/>
        <v>1.581439393939392E-2</v>
      </c>
      <c r="AC544" s="36">
        <f t="shared" si="177"/>
        <v>1.3446969696969674E-2</v>
      </c>
      <c r="AD544" s="36">
        <f t="shared" si="177"/>
        <v>2.9261363636363592E-2</v>
      </c>
      <c r="AE544" s="36" t="str">
        <f t="shared" si="177"/>
        <v>A319</v>
      </c>
      <c r="AF544" s="36">
        <f t="shared" si="177"/>
        <v>142</v>
      </c>
      <c r="AG544" s="36" t="str">
        <f t="shared" si="177"/>
        <v>VER</v>
      </c>
      <c r="AI544">
        <v>530</v>
      </c>
      <c r="AJ544" s="77" t="str">
        <f t="shared" si="180"/>
        <v>MEXICO AEREO</v>
      </c>
      <c r="AK544" s="77">
        <f t="shared" si="179"/>
        <v>286</v>
      </c>
      <c r="AL544" s="78">
        <v>0.44027777777777777</v>
      </c>
      <c r="AM544" s="79">
        <v>0.45277777777777778</v>
      </c>
      <c r="AN544" s="80">
        <v>1.2500000000000011E-2</v>
      </c>
      <c r="AO544" s="79">
        <v>0.46111111111111108</v>
      </c>
      <c r="AP544" s="80">
        <v>8.3333333333333037E-3</v>
      </c>
      <c r="AQ544" s="81">
        <v>41804</v>
      </c>
      <c r="AR544" s="77" t="str">
        <f t="shared" si="176"/>
        <v>Nacional</v>
      </c>
      <c r="AS544" s="77">
        <f t="shared" si="176"/>
        <v>8.0208333333333277E-3</v>
      </c>
      <c r="AT544" s="77">
        <f t="shared" si="176"/>
        <v>7.986111111111114E-3</v>
      </c>
      <c r="AU544" s="77">
        <f t="shared" si="176"/>
        <v>1.6006944444444442E-2</v>
      </c>
      <c r="AV544" s="77" t="str">
        <f t="shared" si="176"/>
        <v>ER4</v>
      </c>
      <c r="AW544" s="77">
        <f t="shared" si="176"/>
        <v>50</v>
      </c>
      <c r="AX544" s="77" t="str">
        <f t="shared" si="176"/>
        <v>MEX</v>
      </c>
    </row>
    <row r="545" spans="1:50" x14ac:dyDescent="0.25">
      <c r="A545">
        <v>531</v>
      </c>
      <c r="B545" s="36" t="str">
        <f t="shared" si="172"/>
        <v>AEROLINEAS DE AMERICA</v>
      </c>
      <c r="C545" s="36">
        <f t="shared" si="172"/>
        <v>387</v>
      </c>
      <c r="D545" s="74">
        <v>0.5541666666666667</v>
      </c>
      <c r="E545" s="74">
        <v>0.56874999999999998</v>
      </c>
      <c r="F545" s="75">
        <v>1.4583333333333282E-2</v>
      </c>
      <c r="G545" s="74">
        <v>0.58194444444444449</v>
      </c>
      <c r="H545" s="75">
        <v>1.3194444444444509E-2</v>
      </c>
      <c r="I545" s="76">
        <v>41718</v>
      </c>
      <c r="J545" s="36" t="str">
        <f t="shared" si="178"/>
        <v>Internacional</v>
      </c>
      <c r="K545" s="36">
        <f t="shared" si="178"/>
        <v>1.5491452991452962E-2</v>
      </c>
      <c r="L545" s="36">
        <f t="shared" si="178"/>
        <v>1.0790598290598304E-2</v>
      </c>
      <c r="M545" s="36">
        <f t="shared" si="178"/>
        <v>2.6282051282051265E-2</v>
      </c>
      <c r="N545" s="36" t="str">
        <f t="shared" si="178"/>
        <v>M80</v>
      </c>
      <c r="O545" s="36">
        <f t="shared" si="178"/>
        <v>182</v>
      </c>
      <c r="P545" s="36" t="str">
        <f t="shared" si="178"/>
        <v>DFW</v>
      </c>
      <c r="R545">
        <v>531</v>
      </c>
      <c r="S545" s="36" t="str">
        <f t="shared" si="181"/>
        <v>MEXICO AEREO</v>
      </c>
      <c r="T545" s="36">
        <f t="shared" si="181"/>
        <v>693</v>
      </c>
      <c r="U545" s="73">
        <v>0.63888888888888895</v>
      </c>
      <c r="V545" s="74">
        <v>0.64722222222222225</v>
      </c>
      <c r="W545" s="75">
        <v>8.3333333333333037E-3</v>
      </c>
      <c r="X545" s="74">
        <v>0.65486111111111112</v>
      </c>
      <c r="Y545" s="75">
        <v>7.6388888888888618E-3</v>
      </c>
      <c r="Z545" s="76">
        <v>41744</v>
      </c>
      <c r="AA545" s="36" t="str">
        <f t="shared" si="177"/>
        <v>Internacional</v>
      </c>
      <c r="AB545" s="36">
        <f t="shared" si="177"/>
        <v>1.581439393939392E-2</v>
      </c>
      <c r="AC545" s="36">
        <f t="shared" si="177"/>
        <v>1.3446969696969674E-2</v>
      </c>
      <c r="AD545" s="36">
        <f t="shared" si="177"/>
        <v>2.9261363636363592E-2</v>
      </c>
      <c r="AE545" s="36" t="str">
        <f t="shared" si="177"/>
        <v>A319</v>
      </c>
      <c r="AF545" s="36">
        <f t="shared" si="177"/>
        <v>142</v>
      </c>
      <c r="AG545" s="36" t="str">
        <f t="shared" si="177"/>
        <v>VER</v>
      </c>
      <c r="AI545">
        <v>531</v>
      </c>
      <c r="AJ545" s="77" t="str">
        <f t="shared" si="180"/>
        <v>MEXICO AEREO</v>
      </c>
      <c r="AK545" s="77">
        <f t="shared" si="179"/>
        <v>286</v>
      </c>
      <c r="AL545" s="78">
        <v>0.5625</v>
      </c>
      <c r="AM545" s="79">
        <v>0.57361111111111118</v>
      </c>
      <c r="AN545" s="80">
        <v>1.1111111111111183E-2</v>
      </c>
      <c r="AO545" s="79">
        <v>0.58194444444444449</v>
      </c>
      <c r="AP545" s="80">
        <v>8.3333333333333037E-3</v>
      </c>
      <c r="AQ545" s="81">
        <v>41805</v>
      </c>
      <c r="AR545" s="77" t="str">
        <f t="shared" si="176"/>
        <v>Nacional</v>
      </c>
      <c r="AS545" s="77">
        <f t="shared" si="176"/>
        <v>8.0208333333333277E-3</v>
      </c>
      <c r="AT545" s="77">
        <f t="shared" si="176"/>
        <v>7.986111111111114E-3</v>
      </c>
      <c r="AU545" s="77">
        <f t="shared" si="176"/>
        <v>1.6006944444444442E-2</v>
      </c>
      <c r="AV545" s="77" t="str">
        <f t="shared" si="176"/>
        <v>ER4</v>
      </c>
      <c r="AW545" s="77">
        <f t="shared" si="176"/>
        <v>50</v>
      </c>
      <c r="AX545" s="77" t="str">
        <f t="shared" si="176"/>
        <v>MEX</v>
      </c>
    </row>
    <row r="546" spans="1:50" x14ac:dyDescent="0.25">
      <c r="A546">
        <v>532</v>
      </c>
      <c r="B546" s="36" t="str">
        <f t="shared" si="172"/>
        <v>AEROLINEAS DE AMERICA</v>
      </c>
      <c r="C546" s="36">
        <f t="shared" si="172"/>
        <v>387</v>
      </c>
      <c r="D546" s="74">
        <v>0.54791666666666672</v>
      </c>
      <c r="E546" s="74">
        <v>0.5625</v>
      </c>
      <c r="F546" s="75">
        <v>1.4583333333333282E-2</v>
      </c>
      <c r="G546" s="74">
        <v>0.58472222222222225</v>
      </c>
      <c r="H546" s="75">
        <v>2.2222222222222254E-2</v>
      </c>
      <c r="I546" s="76">
        <v>41725</v>
      </c>
      <c r="J546" s="36" t="str">
        <f t="shared" si="178"/>
        <v>Internacional</v>
      </c>
      <c r="K546" s="36">
        <f t="shared" si="178"/>
        <v>1.5491452991452962E-2</v>
      </c>
      <c r="L546" s="36">
        <f t="shared" si="178"/>
        <v>1.0790598290598304E-2</v>
      </c>
      <c r="M546" s="36">
        <f t="shared" si="178"/>
        <v>2.6282051282051265E-2</v>
      </c>
      <c r="N546" s="36" t="str">
        <f t="shared" si="178"/>
        <v>M80</v>
      </c>
      <c r="O546" s="36">
        <f t="shared" si="178"/>
        <v>182</v>
      </c>
      <c r="P546" s="36" t="str">
        <f t="shared" si="178"/>
        <v>DFW</v>
      </c>
      <c r="R546">
        <v>532</v>
      </c>
      <c r="S546" s="36" t="str">
        <f t="shared" si="181"/>
        <v>MEXICO AEREO</v>
      </c>
      <c r="T546" s="36">
        <f t="shared" si="181"/>
        <v>693</v>
      </c>
      <c r="U546" s="73">
        <v>0.6430555555555556</v>
      </c>
      <c r="V546" s="74">
        <v>0.65208333333333335</v>
      </c>
      <c r="W546" s="75">
        <v>9.0277777777777457E-3</v>
      </c>
      <c r="X546" s="74">
        <v>0.65972222222222221</v>
      </c>
      <c r="Y546" s="75">
        <v>7.6388888888888618E-3</v>
      </c>
      <c r="Z546" s="76">
        <v>41746</v>
      </c>
      <c r="AA546" s="36" t="str">
        <f t="shared" si="177"/>
        <v>Internacional</v>
      </c>
      <c r="AB546" s="36">
        <f t="shared" si="177"/>
        <v>1.581439393939392E-2</v>
      </c>
      <c r="AC546" s="36">
        <f t="shared" si="177"/>
        <v>1.3446969696969674E-2</v>
      </c>
      <c r="AD546" s="36">
        <f t="shared" si="177"/>
        <v>2.9261363636363592E-2</v>
      </c>
      <c r="AE546" s="36" t="str">
        <f t="shared" si="177"/>
        <v>A319</v>
      </c>
      <c r="AF546" s="36">
        <f t="shared" si="177"/>
        <v>142</v>
      </c>
      <c r="AG546" s="36" t="str">
        <f t="shared" si="177"/>
        <v>VER</v>
      </c>
      <c r="AI546">
        <v>532</v>
      </c>
      <c r="AJ546" s="77" t="str">
        <f t="shared" si="180"/>
        <v>MEXICO AEREO</v>
      </c>
      <c r="AK546" s="77">
        <f t="shared" si="179"/>
        <v>286</v>
      </c>
      <c r="AL546" s="78">
        <v>0.25416666666666665</v>
      </c>
      <c r="AM546" s="79">
        <v>0.27569444444444446</v>
      </c>
      <c r="AN546" s="80">
        <v>2.1527777777777812E-2</v>
      </c>
      <c r="AO546" s="79">
        <v>0.28611111111111115</v>
      </c>
      <c r="AP546" s="80">
        <v>1.0416666666666685E-2</v>
      </c>
      <c r="AQ546" s="81">
        <v>41806</v>
      </c>
      <c r="AR546" s="77" t="str">
        <f t="shared" si="176"/>
        <v>Nacional</v>
      </c>
      <c r="AS546" s="77">
        <f t="shared" si="176"/>
        <v>8.0208333333333277E-3</v>
      </c>
      <c r="AT546" s="77">
        <f t="shared" si="176"/>
        <v>7.986111111111114E-3</v>
      </c>
      <c r="AU546" s="77">
        <f t="shared" si="176"/>
        <v>1.6006944444444442E-2</v>
      </c>
      <c r="AV546" s="77" t="str">
        <f t="shared" si="176"/>
        <v>ER4</v>
      </c>
      <c r="AW546" s="77">
        <f t="shared" si="176"/>
        <v>50</v>
      </c>
      <c r="AX546" s="77" t="str">
        <f t="shared" si="176"/>
        <v>MEX</v>
      </c>
    </row>
    <row r="547" spans="1:50" x14ac:dyDescent="0.25">
      <c r="A547">
        <v>533</v>
      </c>
      <c r="B547" s="36" t="str">
        <f t="shared" si="172"/>
        <v>AEROLINEAS DE AMERICA</v>
      </c>
      <c r="C547" s="36">
        <f t="shared" si="172"/>
        <v>387</v>
      </c>
      <c r="D547" s="74">
        <v>0.55138888888888882</v>
      </c>
      <c r="E547" s="74">
        <v>0.56666666666666665</v>
      </c>
      <c r="F547" s="75">
        <v>1.5277777777777835E-2</v>
      </c>
      <c r="G547" s="74">
        <v>0.57708333333333328</v>
      </c>
      <c r="H547" s="75">
        <v>1.041666666666663E-2</v>
      </c>
      <c r="I547" s="76">
        <v>41726</v>
      </c>
      <c r="J547" s="36" t="str">
        <f t="shared" si="178"/>
        <v>Internacional</v>
      </c>
      <c r="K547" s="36">
        <f t="shared" si="178"/>
        <v>1.5491452991452962E-2</v>
      </c>
      <c r="L547" s="36">
        <f t="shared" si="178"/>
        <v>1.0790598290598304E-2</v>
      </c>
      <c r="M547" s="36">
        <f t="shared" si="178"/>
        <v>2.6282051282051265E-2</v>
      </c>
      <c r="N547" s="36" t="str">
        <f t="shared" si="178"/>
        <v>M80</v>
      </c>
      <c r="O547" s="36">
        <f t="shared" si="178"/>
        <v>182</v>
      </c>
      <c r="P547" s="36" t="str">
        <f t="shared" si="178"/>
        <v>DFW</v>
      </c>
      <c r="R547">
        <v>533</v>
      </c>
      <c r="S547" s="36" t="str">
        <f t="shared" si="181"/>
        <v>MEXICO AEREO</v>
      </c>
      <c r="T547" s="36">
        <f t="shared" si="181"/>
        <v>693</v>
      </c>
      <c r="U547" s="73">
        <v>0.65069444444444446</v>
      </c>
      <c r="V547" s="74">
        <v>0.66249999999999998</v>
      </c>
      <c r="W547" s="75">
        <v>1.1805555555555514E-2</v>
      </c>
      <c r="X547" s="74">
        <v>0.68194444444444446</v>
      </c>
      <c r="Y547" s="75">
        <v>1.9444444444444486E-2</v>
      </c>
      <c r="Z547" s="76">
        <v>41747</v>
      </c>
      <c r="AA547" s="36" t="str">
        <f t="shared" si="177"/>
        <v>Internacional</v>
      </c>
      <c r="AB547" s="36">
        <f t="shared" si="177"/>
        <v>1.581439393939392E-2</v>
      </c>
      <c r="AC547" s="36">
        <f t="shared" si="177"/>
        <v>1.3446969696969674E-2</v>
      </c>
      <c r="AD547" s="36">
        <f t="shared" si="177"/>
        <v>2.9261363636363592E-2</v>
      </c>
      <c r="AE547" s="36" t="str">
        <f t="shared" si="177"/>
        <v>A319</v>
      </c>
      <c r="AF547" s="36">
        <f t="shared" si="177"/>
        <v>142</v>
      </c>
      <c r="AG547" s="36" t="str">
        <f t="shared" si="177"/>
        <v>VER</v>
      </c>
      <c r="AI547">
        <v>533</v>
      </c>
      <c r="AJ547" s="77" t="str">
        <f t="shared" si="180"/>
        <v>MEXICO AEREO</v>
      </c>
      <c r="AK547" s="77">
        <f t="shared" si="179"/>
        <v>286</v>
      </c>
      <c r="AL547" s="78">
        <v>0.66388888888888886</v>
      </c>
      <c r="AM547" s="79">
        <v>0.67569444444444438</v>
      </c>
      <c r="AN547" s="80">
        <v>1.1805555555555514E-2</v>
      </c>
      <c r="AO547" s="79">
        <v>0.69027777777777777</v>
      </c>
      <c r="AP547" s="80">
        <v>1.4583333333333393E-2</v>
      </c>
      <c r="AQ547" s="81">
        <v>41807</v>
      </c>
      <c r="AR547" s="77" t="str">
        <f t="shared" si="176"/>
        <v>Nacional</v>
      </c>
      <c r="AS547" s="77">
        <f t="shared" si="176"/>
        <v>8.0208333333333277E-3</v>
      </c>
      <c r="AT547" s="77">
        <f t="shared" si="176"/>
        <v>7.986111111111114E-3</v>
      </c>
      <c r="AU547" s="77">
        <f t="shared" si="176"/>
        <v>1.6006944444444442E-2</v>
      </c>
      <c r="AV547" s="77" t="str">
        <f t="shared" si="176"/>
        <v>ER4</v>
      </c>
      <c r="AW547" s="77">
        <f t="shared" si="176"/>
        <v>50</v>
      </c>
      <c r="AX547" s="77" t="str">
        <f t="shared" si="176"/>
        <v>MEX</v>
      </c>
    </row>
    <row r="548" spans="1:50" x14ac:dyDescent="0.25">
      <c r="A548">
        <v>534</v>
      </c>
      <c r="B548" s="36" t="str">
        <f t="shared" si="172"/>
        <v>AEROLINEAS DE AMERICA</v>
      </c>
      <c r="C548" s="36">
        <f t="shared" si="172"/>
        <v>387</v>
      </c>
      <c r="D548" s="74">
        <v>0.5541666666666667</v>
      </c>
      <c r="E548" s="74">
        <v>0.56597222222222221</v>
      </c>
      <c r="F548" s="75">
        <v>1.1805555555555514E-2</v>
      </c>
      <c r="G548" s="74">
        <v>0.57361111111111118</v>
      </c>
      <c r="H548" s="75">
        <v>7.6388888888889728E-3</v>
      </c>
      <c r="I548" s="76">
        <v>41727</v>
      </c>
      <c r="J548" s="36" t="str">
        <f t="shared" si="178"/>
        <v>Internacional</v>
      </c>
      <c r="K548" s="36">
        <f t="shared" si="178"/>
        <v>1.5491452991452962E-2</v>
      </c>
      <c r="L548" s="36">
        <f t="shared" si="178"/>
        <v>1.0790598290598304E-2</v>
      </c>
      <c r="M548" s="36">
        <f t="shared" si="178"/>
        <v>2.6282051282051265E-2</v>
      </c>
      <c r="N548" s="36" t="str">
        <f t="shared" si="178"/>
        <v>M80</v>
      </c>
      <c r="O548" s="36">
        <f t="shared" si="178"/>
        <v>182</v>
      </c>
      <c r="P548" s="36" t="str">
        <f t="shared" si="178"/>
        <v>DFW</v>
      </c>
      <c r="R548">
        <v>534</v>
      </c>
      <c r="S548" s="36" t="str">
        <f t="shared" si="181"/>
        <v>MEXICO AEREO</v>
      </c>
      <c r="T548" s="36">
        <f t="shared" si="181"/>
        <v>693</v>
      </c>
      <c r="U548" s="73">
        <v>0.65902777777777777</v>
      </c>
      <c r="V548" s="74">
        <v>0.66875000000000007</v>
      </c>
      <c r="W548" s="75">
        <v>9.7222222222222987E-3</v>
      </c>
      <c r="X548" s="74">
        <v>0.68472222222222223</v>
      </c>
      <c r="Y548" s="75">
        <v>1.5972222222222165E-2</v>
      </c>
      <c r="Z548" s="76">
        <v>41748</v>
      </c>
      <c r="AA548" s="36" t="str">
        <f t="shared" si="177"/>
        <v>Internacional</v>
      </c>
      <c r="AB548" s="36">
        <f t="shared" si="177"/>
        <v>1.581439393939392E-2</v>
      </c>
      <c r="AC548" s="36">
        <f t="shared" si="177"/>
        <v>1.3446969696969674E-2</v>
      </c>
      <c r="AD548" s="36">
        <f t="shared" si="177"/>
        <v>2.9261363636363592E-2</v>
      </c>
      <c r="AE548" s="36" t="str">
        <f t="shared" si="177"/>
        <v>A319</v>
      </c>
      <c r="AF548" s="36">
        <f t="shared" si="177"/>
        <v>142</v>
      </c>
      <c r="AG548" s="36" t="str">
        <f t="shared" si="177"/>
        <v>VER</v>
      </c>
      <c r="AI548">
        <v>534</v>
      </c>
      <c r="AJ548" s="77" t="str">
        <f t="shared" si="180"/>
        <v>MEXICO AEREO</v>
      </c>
      <c r="AK548" s="77">
        <f t="shared" si="179"/>
        <v>286</v>
      </c>
      <c r="AL548" s="78">
        <v>0.59027777777777779</v>
      </c>
      <c r="AM548" s="79">
        <v>0.6</v>
      </c>
      <c r="AN548" s="80">
        <v>9.7222222222221877E-3</v>
      </c>
      <c r="AO548" s="79">
        <v>0.60763888888888895</v>
      </c>
      <c r="AP548" s="80">
        <v>7.6388888888889728E-3</v>
      </c>
      <c r="AQ548" s="81">
        <v>41808</v>
      </c>
      <c r="AR548" s="77" t="str">
        <f t="shared" si="176"/>
        <v>Nacional</v>
      </c>
      <c r="AS548" s="77">
        <f t="shared" si="176"/>
        <v>8.0208333333333277E-3</v>
      </c>
      <c r="AT548" s="77">
        <f t="shared" si="176"/>
        <v>7.986111111111114E-3</v>
      </c>
      <c r="AU548" s="77">
        <f t="shared" si="176"/>
        <v>1.6006944444444442E-2</v>
      </c>
      <c r="AV548" s="77" t="str">
        <f t="shared" si="176"/>
        <v>ER4</v>
      </c>
      <c r="AW548" s="77">
        <f t="shared" si="176"/>
        <v>50</v>
      </c>
      <c r="AX548" s="77" t="str">
        <f t="shared" si="176"/>
        <v>MEX</v>
      </c>
    </row>
    <row r="549" spans="1:50" x14ac:dyDescent="0.25">
      <c r="A549">
        <v>535</v>
      </c>
      <c r="B549" s="36" t="str">
        <f t="shared" si="172"/>
        <v>AEROLINEAS DE AMERICA</v>
      </c>
      <c r="C549" s="36">
        <f t="shared" si="172"/>
        <v>387</v>
      </c>
      <c r="D549" s="74">
        <v>0.54236111111111118</v>
      </c>
      <c r="E549" s="74">
        <v>0.5625</v>
      </c>
      <c r="F549" s="75">
        <v>2.0138888888888817E-2</v>
      </c>
      <c r="G549" s="74">
        <v>0.56805555555555554</v>
      </c>
      <c r="H549" s="75">
        <v>5.5555555555555358E-3</v>
      </c>
      <c r="I549" s="76">
        <v>41728</v>
      </c>
      <c r="J549" s="36" t="str">
        <f t="shared" si="178"/>
        <v>Internacional</v>
      </c>
      <c r="K549" s="36">
        <f t="shared" si="178"/>
        <v>1.5491452991452962E-2</v>
      </c>
      <c r="L549" s="36">
        <f t="shared" si="178"/>
        <v>1.0790598290598304E-2</v>
      </c>
      <c r="M549" s="36">
        <f t="shared" si="178"/>
        <v>2.6282051282051265E-2</v>
      </c>
      <c r="N549" s="36" t="str">
        <f t="shared" si="178"/>
        <v>M80</v>
      </c>
      <c r="O549" s="36">
        <f t="shared" si="178"/>
        <v>182</v>
      </c>
      <c r="P549" s="36" t="str">
        <f t="shared" si="178"/>
        <v>DFW</v>
      </c>
      <c r="R549">
        <v>535</v>
      </c>
      <c r="S549" s="36" t="str">
        <f t="shared" si="181"/>
        <v>MEXICO AEREO</v>
      </c>
      <c r="T549" s="36">
        <f t="shared" si="181"/>
        <v>693</v>
      </c>
      <c r="U549" s="73">
        <v>0.65069444444444446</v>
      </c>
      <c r="V549" s="74">
        <v>0.65972222222222221</v>
      </c>
      <c r="W549" s="75">
        <v>9.0277777777777457E-3</v>
      </c>
      <c r="X549" s="74">
        <v>0.67222222222222217</v>
      </c>
      <c r="Y549" s="75">
        <v>1.2499999999999956E-2</v>
      </c>
      <c r="Z549" s="76">
        <v>41749</v>
      </c>
      <c r="AA549" s="36" t="str">
        <f t="shared" si="177"/>
        <v>Internacional</v>
      </c>
      <c r="AB549" s="36">
        <f t="shared" si="177"/>
        <v>1.581439393939392E-2</v>
      </c>
      <c r="AC549" s="36">
        <f t="shared" si="177"/>
        <v>1.3446969696969674E-2</v>
      </c>
      <c r="AD549" s="36">
        <f t="shared" si="177"/>
        <v>2.9261363636363592E-2</v>
      </c>
      <c r="AE549" s="36" t="str">
        <f t="shared" si="177"/>
        <v>A319</v>
      </c>
      <c r="AF549" s="36">
        <f t="shared" si="177"/>
        <v>142</v>
      </c>
      <c r="AG549" s="36" t="str">
        <f t="shared" si="177"/>
        <v>VER</v>
      </c>
      <c r="AI549">
        <v>535</v>
      </c>
      <c r="AJ549" s="77" t="str">
        <f t="shared" si="180"/>
        <v>MEXICO AEREO</v>
      </c>
      <c r="AK549" s="77">
        <f t="shared" si="179"/>
        <v>286</v>
      </c>
      <c r="AL549" s="78">
        <v>0.58888888888888891</v>
      </c>
      <c r="AM549" s="79">
        <v>0.59236111111111112</v>
      </c>
      <c r="AN549" s="80">
        <v>3.4722222222222099E-3</v>
      </c>
      <c r="AO549" s="79">
        <v>0.60416666666666663</v>
      </c>
      <c r="AP549" s="80">
        <v>1.1805555555555514E-2</v>
      </c>
      <c r="AQ549" s="81">
        <v>41809</v>
      </c>
      <c r="AR549" s="77" t="str">
        <f t="shared" si="176"/>
        <v>Nacional</v>
      </c>
      <c r="AS549" s="77">
        <f t="shared" si="176"/>
        <v>8.0208333333333277E-3</v>
      </c>
      <c r="AT549" s="77">
        <f t="shared" si="176"/>
        <v>7.986111111111114E-3</v>
      </c>
      <c r="AU549" s="77">
        <f t="shared" si="176"/>
        <v>1.6006944444444442E-2</v>
      </c>
      <c r="AV549" s="77" t="str">
        <f t="shared" si="176"/>
        <v>ER4</v>
      </c>
      <c r="AW549" s="77">
        <f t="shared" si="176"/>
        <v>50</v>
      </c>
      <c r="AX549" s="77" t="str">
        <f t="shared" si="176"/>
        <v>MEX</v>
      </c>
    </row>
    <row r="550" spans="1:50" ht="15.75" thickBot="1" x14ac:dyDescent="0.3">
      <c r="A550">
        <v>536</v>
      </c>
      <c r="B550" s="36" t="str">
        <f t="shared" si="172"/>
        <v>AEROLINEAS DE AMERICA</v>
      </c>
      <c r="C550" s="36">
        <f t="shared" si="172"/>
        <v>387</v>
      </c>
      <c r="D550" s="84">
        <v>0.54236111111111118</v>
      </c>
      <c r="E550" s="84">
        <v>0.55833333333333335</v>
      </c>
      <c r="F550" s="85">
        <v>1.5972222222222165E-2</v>
      </c>
      <c r="G550" s="84">
        <v>0.57291666666666663</v>
      </c>
      <c r="H550" s="85">
        <v>1.4583333333333282E-2</v>
      </c>
      <c r="I550" s="86">
        <v>41729</v>
      </c>
      <c r="J550" s="36" t="str">
        <f t="shared" si="178"/>
        <v>Internacional</v>
      </c>
      <c r="K550" s="36">
        <f t="shared" si="178"/>
        <v>1.5491452991452962E-2</v>
      </c>
      <c r="L550" s="36">
        <f t="shared" si="178"/>
        <v>1.0790598290598304E-2</v>
      </c>
      <c r="M550" s="36">
        <f t="shared" si="178"/>
        <v>2.6282051282051265E-2</v>
      </c>
      <c r="N550" s="36" t="str">
        <f t="shared" si="178"/>
        <v>M80</v>
      </c>
      <c r="O550" s="36">
        <f t="shared" si="178"/>
        <v>182</v>
      </c>
      <c r="P550" s="36" t="str">
        <f t="shared" si="178"/>
        <v>DFW</v>
      </c>
      <c r="R550">
        <v>536</v>
      </c>
      <c r="S550" s="36" t="str">
        <f t="shared" si="181"/>
        <v>MEXICO AEREO</v>
      </c>
      <c r="T550" s="36">
        <f t="shared" si="181"/>
        <v>693</v>
      </c>
      <c r="U550" s="73">
        <v>0.6645833333333333</v>
      </c>
      <c r="V550" s="74">
        <v>0.66875000000000007</v>
      </c>
      <c r="W550" s="75">
        <v>4.1666666666667629E-3</v>
      </c>
      <c r="X550" s="74">
        <v>0.68611111111111101</v>
      </c>
      <c r="Y550" s="75">
        <v>1.7361111111110938E-2</v>
      </c>
      <c r="Z550" s="76">
        <v>41750</v>
      </c>
      <c r="AA550" s="36" t="str">
        <f t="shared" si="177"/>
        <v>Internacional</v>
      </c>
      <c r="AB550" s="36">
        <f t="shared" si="177"/>
        <v>1.581439393939392E-2</v>
      </c>
      <c r="AC550" s="36">
        <f t="shared" si="177"/>
        <v>1.3446969696969674E-2</v>
      </c>
      <c r="AD550" s="36">
        <f t="shared" si="177"/>
        <v>2.9261363636363592E-2</v>
      </c>
      <c r="AE550" s="36" t="str">
        <f t="shared" si="177"/>
        <v>A319</v>
      </c>
      <c r="AF550" s="36">
        <f t="shared" si="177"/>
        <v>142</v>
      </c>
      <c r="AG550" s="36" t="str">
        <f t="shared" si="177"/>
        <v>VER</v>
      </c>
      <c r="AI550">
        <v>536</v>
      </c>
      <c r="AJ550" s="77" t="str">
        <f t="shared" si="180"/>
        <v>MEXICO AEREO</v>
      </c>
      <c r="AK550" s="77">
        <f t="shared" si="179"/>
        <v>286</v>
      </c>
      <c r="AL550" s="78">
        <v>0.62152777777777779</v>
      </c>
      <c r="AM550" s="79">
        <v>0.63263888888888886</v>
      </c>
      <c r="AN550" s="80">
        <v>1.1111111111111072E-2</v>
      </c>
      <c r="AO550" s="79">
        <v>0.6381944444444444</v>
      </c>
      <c r="AP550" s="80">
        <v>5.5555555555555358E-3</v>
      </c>
      <c r="AQ550" s="81">
        <v>41811</v>
      </c>
      <c r="AR550" s="77" t="str">
        <f t="shared" si="176"/>
        <v>Nacional</v>
      </c>
      <c r="AS550" s="77">
        <f t="shared" si="176"/>
        <v>8.0208333333333277E-3</v>
      </c>
      <c r="AT550" s="77">
        <f t="shared" si="176"/>
        <v>7.986111111111114E-3</v>
      </c>
      <c r="AU550" s="77">
        <f t="shared" si="176"/>
        <v>1.6006944444444442E-2</v>
      </c>
      <c r="AV550" s="77" t="str">
        <f t="shared" si="176"/>
        <v>ER4</v>
      </c>
      <c r="AW550" s="77">
        <f t="shared" si="176"/>
        <v>50</v>
      </c>
      <c r="AX550" s="77" t="str">
        <f t="shared" si="176"/>
        <v>MEX</v>
      </c>
    </row>
    <row r="551" spans="1:50" ht="15.75" thickBot="1" x14ac:dyDescent="0.3">
      <c r="A551">
        <v>537</v>
      </c>
      <c r="B551" s="36" t="str">
        <f t="shared" si="172"/>
        <v>AEROLINEAS DE AMERICA</v>
      </c>
      <c r="C551" s="46">
        <v>332</v>
      </c>
      <c r="D551" s="47">
        <v>0.54236111111111118</v>
      </c>
      <c r="E551" s="47">
        <v>0.57500000000000007</v>
      </c>
      <c r="F551" s="48">
        <v>3.2638888888888884E-2</v>
      </c>
      <c r="G551" s="47">
        <v>0.57847222222222217</v>
      </c>
      <c r="H551" s="48">
        <v>3.4722222222220989E-3</v>
      </c>
      <c r="I551" s="49">
        <v>41728</v>
      </c>
      <c r="J551" s="49" t="s">
        <v>22</v>
      </c>
      <c r="K551" s="139">
        <v>3.2638888888888884E-2</v>
      </c>
      <c r="L551" s="139">
        <v>3.4722222222220989E-3</v>
      </c>
      <c r="M551" s="145">
        <v>3.6111111111110983E-2</v>
      </c>
      <c r="N551" s="52">
        <v>320</v>
      </c>
      <c r="O551" s="53">
        <v>179</v>
      </c>
      <c r="P551" s="54" t="s">
        <v>54</v>
      </c>
      <c r="R551">
        <v>537</v>
      </c>
      <c r="S551" s="36" t="str">
        <f t="shared" si="181"/>
        <v>MEXICO AEREO</v>
      </c>
      <c r="T551" s="36">
        <f t="shared" si="181"/>
        <v>693</v>
      </c>
      <c r="U551" s="73">
        <v>0.64722222222222225</v>
      </c>
      <c r="V551" s="74">
        <v>0.65763888888888888</v>
      </c>
      <c r="W551" s="75">
        <v>1.041666666666663E-2</v>
      </c>
      <c r="X551" s="74">
        <v>0.67499999999999993</v>
      </c>
      <c r="Y551" s="75">
        <v>1.7361111111111049E-2</v>
      </c>
      <c r="Z551" s="76">
        <v>41751</v>
      </c>
      <c r="AA551" s="36" t="str">
        <f t="shared" si="177"/>
        <v>Internacional</v>
      </c>
      <c r="AB551" s="36">
        <f t="shared" si="177"/>
        <v>1.581439393939392E-2</v>
      </c>
      <c r="AC551" s="36">
        <f t="shared" si="177"/>
        <v>1.3446969696969674E-2</v>
      </c>
      <c r="AD551" s="36">
        <f t="shared" si="177"/>
        <v>2.9261363636363592E-2</v>
      </c>
      <c r="AE551" s="36" t="str">
        <f t="shared" si="177"/>
        <v>A319</v>
      </c>
      <c r="AF551" s="36">
        <f t="shared" si="177"/>
        <v>142</v>
      </c>
      <c r="AG551" s="36" t="str">
        <f t="shared" si="177"/>
        <v>VER</v>
      </c>
      <c r="AI551">
        <v>537</v>
      </c>
      <c r="AJ551" s="77" t="str">
        <f t="shared" si="180"/>
        <v>MEXICO AEREO</v>
      </c>
      <c r="AK551" s="77">
        <f t="shared" si="179"/>
        <v>286</v>
      </c>
      <c r="AL551" s="94">
        <v>0.59652777777777777</v>
      </c>
      <c r="AM551" s="95">
        <v>0.60347222222222219</v>
      </c>
      <c r="AN551" s="96">
        <v>6.9444444444444198E-3</v>
      </c>
      <c r="AO551" s="95">
        <v>0.60416666666666663</v>
      </c>
      <c r="AP551" s="96">
        <v>6.9444444444444198E-4</v>
      </c>
      <c r="AQ551" s="97">
        <v>41812</v>
      </c>
      <c r="AR551" s="77" t="str">
        <f t="shared" si="176"/>
        <v>Nacional</v>
      </c>
      <c r="AS551" s="77">
        <f t="shared" si="176"/>
        <v>8.0208333333333277E-3</v>
      </c>
      <c r="AT551" s="77">
        <f t="shared" si="176"/>
        <v>7.986111111111114E-3</v>
      </c>
      <c r="AU551" s="77">
        <f t="shared" si="176"/>
        <v>1.6006944444444442E-2</v>
      </c>
      <c r="AV551" s="77" t="str">
        <f t="shared" si="176"/>
        <v>ER4</v>
      </c>
      <c r="AW551" s="77">
        <f t="shared" si="176"/>
        <v>50</v>
      </c>
      <c r="AX551" s="77" t="str">
        <f t="shared" si="176"/>
        <v>MEX</v>
      </c>
    </row>
    <row r="552" spans="1:50" ht="15.75" thickBot="1" x14ac:dyDescent="0.3">
      <c r="A552">
        <v>538</v>
      </c>
      <c r="B552" s="36" t="str">
        <f t="shared" si="172"/>
        <v>AEROLINEAS DE AMERICA</v>
      </c>
      <c r="C552" s="46">
        <v>248</v>
      </c>
      <c r="D552" s="47">
        <v>0.46458333333333335</v>
      </c>
      <c r="E552" s="47">
        <v>0.48055555555555557</v>
      </c>
      <c r="F552" s="48">
        <v>1.5972222222222221E-2</v>
      </c>
      <c r="G552" s="47">
        <v>0.49444444444444446</v>
      </c>
      <c r="H552" s="48">
        <v>1.3888888888888895E-2</v>
      </c>
      <c r="I552" s="49">
        <v>41718</v>
      </c>
      <c r="J552" s="49" t="s">
        <v>22</v>
      </c>
      <c r="K552" s="139">
        <v>1.5972222222222221E-2</v>
      </c>
      <c r="L552" s="139">
        <v>1.3888888888888895E-2</v>
      </c>
      <c r="M552" s="145">
        <v>2.9861111111111116E-2</v>
      </c>
      <c r="N552" s="52" t="s">
        <v>39</v>
      </c>
      <c r="O552" s="53">
        <v>189</v>
      </c>
      <c r="P552" s="54" t="s">
        <v>40</v>
      </c>
      <c r="R552">
        <v>538</v>
      </c>
      <c r="S552" s="36" t="str">
        <f t="shared" si="181"/>
        <v>MEXICO AEREO</v>
      </c>
      <c r="T552" s="36">
        <f t="shared" si="181"/>
        <v>693</v>
      </c>
      <c r="U552" s="73">
        <v>0.64722222222222225</v>
      </c>
      <c r="V552" s="74">
        <v>0.65763888888888888</v>
      </c>
      <c r="W552" s="75">
        <v>1.041666666666663E-2</v>
      </c>
      <c r="X552" s="74">
        <v>0.67499999999999993</v>
      </c>
      <c r="Y552" s="75">
        <v>1.7361111111111049E-2</v>
      </c>
      <c r="Z552" s="76">
        <v>41751</v>
      </c>
      <c r="AA552" s="36" t="str">
        <f t="shared" si="177"/>
        <v>Internacional</v>
      </c>
      <c r="AB552" s="36">
        <f t="shared" si="177"/>
        <v>1.581439393939392E-2</v>
      </c>
      <c r="AC552" s="36">
        <f t="shared" si="177"/>
        <v>1.3446969696969674E-2</v>
      </c>
      <c r="AD552" s="36">
        <f t="shared" si="177"/>
        <v>2.9261363636363592E-2</v>
      </c>
      <c r="AE552" s="36" t="str">
        <f t="shared" si="177"/>
        <v>A319</v>
      </c>
      <c r="AF552" s="36">
        <f t="shared" si="177"/>
        <v>142</v>
      </c>
      <c r="AG552" s="36" t="str">
        <f t="shared" si="177"/>
        <v>VER</v>
      </c>
      <c r="AI552">
        <v>538</v>
      </c>
      <c r="AJ552" s="77" t="str">
        <f t="shared" si="180"/>
        <v>MEXICO AEREO</v>
      </c>
      <c r="AK552" s="63">
        <v>276</v>
      </c>
      <c r="AL552" s="64">
        <v>0.37916666666666665</v>
      </c>
      <c r="AM552" s="65">
        <v>0.38750000000000001</v>
      </c>
      <c r="AN552" s="66">
        <v>8.3333333333333592E-3</v>
      </c>
      <c r="AO552" s="65">
        <v>0.39444444444444443</v>
      </c>
      <c r="AP552" s="66">
        <v>6.9444444444444198E-3</v>
      </c>
      <c r="AQ552" s="67">
        <v>41791</v>
      </c>
      <c r="AR552" s="68" t="s">
        <v>19</v>
      </c>
      <c r="AS552" s="69">
        <v>8.0902777777777778E-3</v>
      </c>
      <c r="AT552" s="70">
        <v>9.5138888888888929E-3</v>
      </c>
      <c r="AU552" s="70">
        <v>1.7604166666666671E-2</v>
      </c>
      <c r="AV552" s="71">
        <v>738</v>
      </c>
      <c r="AW552" s="71">
        <v>189</v>
      </c>
      <c r="AX552" s="72" t="s">
        <v>21</v>
      </c>
    </row>
    <row r="553" spans="1:50" ht="15.75" thickBot="1" x14ac:dyDescent="0.3">
      <c r="A553">
        <v>539</v>
      </c>
      <c r="B553" s="36" t="str">
        <f t="shared" si="172"/>
        <v>AEROLINEAS DE AMERICA</v>
      </c>
      <c r="C553" s="46">
        <v>242</v>
      </c>
      <c r="D553" s="47">
        <v>0.20902777777777778</v>
      </c>
      <c r="E553" s="47">
        <v>0.21944444444444444</v>
      </c>
      <c r="F553" s="48">
        <v>1.0416666666666657E-2</v>
      </c>
      <c r="G553" s="47">
        <v>0.23611111111111113</v>
      </c>
      <c r="H553" s="48">
        <v>1.6666666666666691E-2</v>
      </c>
      <c r="I553" s="49">
        <v>41715</v>
      </c>
      <c r="J553" s="49" t="s">
        <v>22</v>
      </c>
      <c r="K553" s="139">
        <v>1.0416666666666657E-2</v>
      </c>
      <c r="L553" s="139">
        <v>1.6666666666666691E-2</v>
      </c>
      <c r="M553" s="145">
        <v>2.7083333333333348E-2</v>
      </c>
      <c r="N553" s="52" t="s">
        <v>39</v>
      </c>
      <c r="O553" s="53">
        <v>189</v>
      </c>
      <c r="P553" s="54" t="s">
        <v>40</v>
      </c>
      <c r="R553">
        <v>539</v>
      </c>
      <c r="S553" s="36" t="str">
        <f t="shared" si="181"/>
        <v>MEXICO AEREO</v>
      </c>
      <c r="T553" s="36">
        <f t="shared" si="181"/>
        <v>693</v>
      </c>
      <c r="U553" s="73">
        <v>0.65069444444444446</v>
      </c>
      <c r="V553" s="74">
        <v>0.66180555555555554</v>
      </c>
      <c r="W553" s="75">
        <v>1.1111111111111072E-2</v>
      </c>
      <c r="X553" s="74">
        <v>0.67569444444444438</v>
      </c>
      <c r="Y553" s="75">
        <v>1.388888888888884E-2</v>
      </c>
      <c r="Z553" s="76">
        <v>41753</v>
      </c>
      <c r="AA553" s="36" t="str">
        <f t="shared" si="177"/>
        <v>Internacional</v>
      </c>
      <c r="AB553" s="36">
        <f t="shared" si="177"/>
        <v>1.581439393939392E-2</v>
      </c>
      <c r="AC553" s="36">
        <f t="shared" si="177"/>
        <v>1.3446969696969674E-2</v>
      </c>
      <c r="AD553" s="36">
        <f t="shared" si="177"/>
        <v>2.9261363636363592E-2</v>
      </c>
      <c r="AE553" s="36" t="str">
        <f t="shared" si="177"/>
        <v>A319</v>
      </c>
      <c r="AF553" s="36">
        <f t="shared" si="177"/>
        <v>142</v>
      </c>
      <c r="AG553" s="36" t="str">
        <f t="shared" si="177"/>
        <v>VER</v>
      </c>
      <c r="AI553">
        <v>539</v>
      </c>
      <c r="AJ553" s="77" t="str">
        <f t="shared" si="180"/>
        <v>MEXICO AEREO</v>
      </c>
      <c r="AK553" s="77">
        <f t="shared" si="180"/>
        <v>276</v>
      </c>
      <c r="AL553" s="78">
        <v>0.3972222222222222</v>
      </c>
      <c r="AM553" s="79">
        <v>0.4055555555555555</v>
      </c>
      <c r="AN553" s="80">
        <v>8.3333333333333037E-3</v>
      </c>
      <c r="AO553" s="79">
        <v>0.40763888888888888</v>
      </c>
      <c r="AP553" s="80">
        <v>2.0833333333333814E-3</v>
      </c>
      <c r="AQ553" s="81">
        <v>41792</v>
      </c>
      <c r="AR553" s="77" t="str">
        <f t="shared" ref="AR553:AX571" si="182">AR552</f>
        <v>Nacional</v>
      </c>
      <c r="AS553" s="77">
        <f t="shared" si="182"/>
        <v>8.0902777777777778E-3</v>
      </c>
      <c r="AT553" s="77">
        <f t="shared" si="182"/>
        <v>9.5138888888888929E-3</v>
      </c>
      <c r="AU553" s="77">
        <f t="shared" si="182"/>
        <v>1.7604166666666671E-2</v>
      </c>
      <c r="AV553" s="77">
        <f t="shared" si="182"/>
        <v>738</v>
      </c>
      <c r="AW553" s="77">
        <f t="shared" si="182"/>
        <v>189</v>
      </c>
      <c r="AX553" s="77" t="str">
        <f t="shared" si="182"/>
        <v>MEX</v>
      </c>
    </row>
    <row r="554" spans="1:50" x14ac:dyDescent="0.25">
      <c r="A554">
        <v>540</v>
      </c>
      <c r="B554" s="45" t="s">
        <v>59</v>
      </c>
      <c r="C554" s="88">
        <v>722</v>
      </c>
      <c r="D554" s="57">
        <v>0.9590277777777777</v>
      </c>
      <c r="E554" s="57">
        <v>0.97986111111111107</v>
      </c>
      <c r="F554" s="58">
        <v>2.083333333333337E-2</v>
      </c>
      <c r="G554" s="57">
        <v>0.98749999999999993</v>
      </c>
      <c r="H554" s="58">
        <v>7.6388888888888618E-3</v>
      </c>
      <c r="I554" s="59">
        <v>41721</v>
      </c>
      <c r="J554" s="108" t="s">
        <v>22</v>
      </c>
      <c r="K554" s="61">
        <v>1.6468253968253965E-2</v>
      </c>
      <c r="L554" s="61">
        <v>1.1755952380952395E-2</v>
      </c>
      <c r="M554" s="142">
        <v>2.822420634920636E-2</v>
      </c>
      <c r="N554" s="90" t="s">
        <v>39</v>
      </c>
      <c r="O554" s="91">
        <v>189</v>
      </c>
      <c r="P554" s="92" t="s">
        <v>60</v>
      </c>
      <c r="R554">
        <v>540</v>
      </c>
      <c r="S554" s="36" t="str">
        <f t="shared" si="181"/>
        <v>MEXICO AEREO</v>
      </c>
      <c r="T554" s="36">
        <f t="shared" si="181"/>
        <v>693</v>
      </c>
      <c r="U554" s="73">
        <v>0.49305555555555558</v>
      </c>
      <c r="V554" s="74">
        <v>0.65833333333333333</v>
      </c>
      <c r="W554" s="75">
        <v>0.16527777777777775</v>
      </c>
      <c r="X554" s="74">
        <v>0.66736111111111107</v>
      </c>
      <c r="Y554" s="75">
        <v>9.0277777777777457E-3</v>
      </c>
      <c r="Z554" s="76">
        <v>41754</v>
      </c>
      <c r="AA554" s="36" t="str">
        <f t="shared" si="177"/>
        <v>Internacional</v>
      </c>
      <c r="AB554" s="36">
        <f t="shared" si="177"/>
        <v>1.581439393939392E-2</v>
      </c>
      <c r="AC554" s="36">
        <f t="shared" si="177"/>
        <v>1.3446969696969674E-2</v>
      </c>
      <c r="AD554" s="36">
        <f t="shared" si="177"/>
        <v>2.9261363636363592E-2</v>
      </c>
      <c r="AE554" s="36" t="str">
        <f t="shared" si="177"/>
        <v>A319</v>
      </c>
      <c r="AF554" s="36">
        <f t="shared" si="177"/>
        <v>142</v>
      </c>
      <c r="AG554" s="36" t="str">
        <f t="shared" si="177"/>
        <v>VER</v>
      </c>
      <c r="AI554">
        <v>540</v>
      </c>
      <c r="AJ554" s="77" t="str">
        <f t="shared" si="180"/>
        <v>MEXICO AEREO</v>
      </c>
      <c r="AK554" s="77">
        <f t="shared" si="180"/>
        <v>276</v>
      </c>
      <c r="AL554" s="78">
        <v>0.37986111111111115</v>
      </c>
      <c r="AM554" s="79">
        <v>0.38541666666666669</v>
      </c>
      <c r="AN554" s="80">
        <v>5.5555555555555358E-3</v>
      </c>
      <c r="AO554" s="79">
        <v>0.39583333333333331</v>
      </c>
      <c r="AP554" s="80">
        <v>1.041666666666663E-2</v>
      </c>
      <c r="AQ554" s="81">
        <v>41793</v>
      </c>
      <c r="AR554" s="77" t="str">
        <f t="shared" si="182"/>
        <v>Nacional</v>
      </c>
      <c r="AS554" s="77">
        <f t="shared" si="182"/>
        <v>8.0902777777777778E-3</v>
      </c>
      <c r="AT554" s="77">
        <f t="shared" si="182"/>
        <v>9.5138888888888929E-3</v>
      </c>
      <c r="AU554" s="77">
        <f t="shared" si="182"/>
        <v>1.7604166666666671E-2</v>
      </c>
      <c r="AV554" s="77">
        <f t="shared" si="182"/>
        <v>738</v>
      </c>
      <c r="AW554" s="77">
        <f t="shared" si="182"/>
        <v>189</v>
      </c>
      <c r="AX554" s="77" t="str">
        <f t="shared" si="182"/>
        <v>MEX</v>
      </c>
    </row>
    <row r="555" spans="1:50" x14ac:dyDescent="0.25">
      <c r="A555">
        <v>541</v>
      </c>
      <c r="B555" s="36" t="str">
        <f t="shared" ref="B555:C567" si="183">B554</f>
        <v>COPA</v>
      </c>
      <c r="C555" s="36">
        <f t="shared" si="183"/>
        <v>722</v>
      </c>
      <c r="D555" s="74">
        <v>0.96111111111111114</v>
      </c>
      <c r="E555" s="74">
        <v>0.97777777777777775</v>
      </c>
      <c r="F555" s="75">
        <v>1.6666666666666607E-2</v>
      </c>
      <c r="G555" s="74">
        <v>0.98541666666666661</v>
      </c>
      <c r="H555" s="75">
        <v>7.6388888888888618E-3</v>
      </c>
      <c r="I555" s="76">
        <v>41713</v>
      </c>
      <c r="J555" s="36" t="str">
        <f t="shared" ref="J555:P567" si="184">J554</f>
        <v>Internacional</v>
      </c>
      <c r="K555" s="36">
        <f t="shared" si="184"/>
        <v>1.6468253968253965E-2</v>
      </c>
      <c r="L555" s="36">
        <f t="shared" si="184"/>
        <v>1.1755952380952395E-2</v>
      </c>
      <c r="M555" s="36">
        <f t="shared" si="184"/>
        <v>2.822420634920636E-2</v>
      </c>
      <c r="N555" s="36" t="str">
        <f t="shared" si="184"/>
        <v>B737-800</v>
      </c>
      <c r="O555" s="36">
        <f t="shared" si="184"/>
        <v>189</v>
      </c>
      <c r="P555" s="36" t="str">
        <f t="shared" si="184"/>
        <v>PTY</v>
      </c>
      <c r="R555">
        <v>541</v>
      </c>
      <c r="S555" s="36" t="str">
        <f t="shared" si="181"/>
        <v>MEXICO AEREO</v>
      </c>
      <c r="T555" s="36">
        <f t="shared" si="181"/>
        <v>693</v>
      </c>
      <c r="U555" s="73">
        <v>0.64027777777777783</v>
      </c>
      <c r="V555" s="74">
        <v>0.64444444444444449</v>
      </c>
      <c r="W555" s="75">
        <v>4.1666666666666519E-3</v>
      </c>
      <c r="X555" s="74">
        <v>0.65555555555555556</v>
      </c>
      <c r="Y555" s="75">
        <v>1.1111111111111072E-2</v>
      </c>
      <c r="Z555" s="76">
        <v>41757</v>
      </c>
      <c r="AA555" s="36" t="str">
        <f t="shared" si="177"/>
        <v>Internacional</v>
      </c>
      <c r="AB555" s="36">
        <f t="shared" si="177"/>
        <v>1.581439393939392E-2</v>
      </c>
      <c r="AC555" s="36">
        <f t="shared" si="177"/>
        <v>1.3446969696969674E-2</v>
      </c>
      <c r="AD555" s="36">
        <f t="shared" si="177"/>
        <v>2.9261363636363592E-2</v>
      </c>
      <c r="AE555" s="36" t="str">
        <f t="shared" si="177"/>
        <v>A319</v>
      </c>
      <c r="AF555" s="36">
        <f t="shared" si="177"/>
        <v>142</v>
      </c>
      <c r="AG555" s="36" t="str">
        <f t="shared" si="177"/>
        <v>VER</v>
      </c>
      <c r="AI555">
        <v>541</v>
      </c>
      <c r="AJ555" s="77" t="str">
        <f t="shared" si="180"/>
        <v>MEXICO AEREO</v>
      </c>
      <c r="AK555" s="77">
        <f t="shared" si="180"/>
        <v>276</v>
      </c>
      <c r="AL555" s="78">
        <v>0.39097222222222222</v>
      </c>
      <c r="AM555" s="79">
        <v>0.39583333333333331</v>
      </c>
      <c r="AN555" s="80">
        <v>4.8611111111110938E-3</v>
      </c>
      <c r="AO555" s="79">
        <v>0.40763888888888888</v>
      </c>
      <c r="AP555" s="80">
        <v>1.1805555555555569E-2</v>
      </c>
      <c r="AQ555" s="81">
        <v>41794</v>
      </c>
      <c r="AR555" s="77" t="str">
        <f t="shared" si="182"/>
        <v>Nacional</v>
      </c>
      <c r="AS555" s="77">
        <f t="shared" si="182"/>
        <v>8.0902777777777778E-3</v>
      </c>
      <c r="AT555" s="77">
        <f t="shared" si="182"/>
        <v>9.5138888888888929E-3</v>
      </c>
      <c r="AU555" s="77">
        <f t="shared" si="182"/>
        <v>1.7604166666666671E-2</v>
      </c>
      <c r="AV555" s="77">
        <f t="shared" si="182"/>
        <v>738</v>
      </c>
      <c r="AW555" s="77">
        <f t="shared" si="182"/>
        <v>189</v>
      </c>
      <c r="AX555" s="77" t="str">
        <f t="shared" si="182"/>
        <v>MEX</v>
      </c>
    </row>
    <row r="556" spans="1:50" ht="15.75" thickBot="1" x14ac:dyDescent="0.3">
      <c r="A556">
        <v>542</v>
      </c>
      <c r="B556" s="36" t="str">
        <f t="shared" si="183"/>
        <v>COPA</v>
      </c>
      <c r="C556" s="36">
        <f t="shared" si="183"/>
        <v>722</v>
      </c>
      <c r="D556" s="74">
        <v>0.94791666666666663</v>
      </c>
      <c r="E556" s="74">
        <v>0.96180555555555547</v>
      </c>
      <c r="F556" s="75">
        <v>1.388888888888884E-2</v>
      </c>
      <c r="G556" s="74">
        <v>0.97013888888888899</v>
      </c>
      <c r="H556" s="75">
        <v>8.3333333333335258E-3</v>
      </c>
      <c r="I556" s="76">
        <v>41715</v>
      </c>
      <c r="J556" s="36" t="str">
        <f t="shared" si="184"/>
        <v>Internacional</v>
      </c>
      <c r="K556" s="36">
        <f t="shared" si="184"/>
        <v>1.6468253968253965E-2</v>
      </c>
      <c r="L556" s="36">
        <f t="shared" si="184"/>
        <v>1.1755952380952395E-2</v>
      </c>
      <c r="M556" s="36">
        <f t="shared" si="184"/>
        <v>2.822420634920636E-2</v>
      </c>
      <c r="N556" s="36" t="str">
        <f t="shared" si="184"/>
        <v>B737-800</v>
      </c>
      <c r="O556" s="36">
        <f t="shared" si="184"/>
        <v>189</v>
      </c>
      <c r="P556" s="36" t="str">
        <f t="shared" si="184"/>
        <v>PTY</v>
      </c>
      <c r="R556">
        <v>542</v>
      </c>
      <c r="S556" s="36" t="str">
        <f t="shared" si="181"/>
        <v>MEXICO AEREO</v>
      </c>
      <c r="T556" s="36">
        <f t="shared" si="181"/>
        <v>693</v>
      </c>
      <c r="U556" s="83">
        <v>0.65555555555555556</v>
      </c>
      <c r="V556" s="84">
        <v>0.66527777777777775</v>
      </c>
      <c r="W556" s="85">
        <v>9.7222222222221877E-3</v>
      </c>
      <c r="X556" s="84">
        <v>0.67638888888888893</v>
      </c>
      <c r="Y556" s="85">
        <v>1.1111111111111183E-2</v>
      </c>
      <c r="Z556" s="86">
        <v>41758</v>
      </c>
      <c r="AA556" s="36" t="str">
        <f t="shared" si="177"/>
        <v>Internacional</v>
      </c>
      <c r="AB556" s="36">
        <f t="shared" si="177"/>
        <v>1.581439393939392E-2</v>
      </c>
      <c r="AC556" s="36">
        <f t="shared" si="177"/>
        <v>1.3446969696969674E-2</v>
      </c>
      <c r="AD556" s="36">
        <f t="shared" si="177"/>
        <v>2.9261363636363592E-2</v>
      </c>
      <c r="AE556" s="36" t="str">
        <f t="shared" si="177"/>
        <v>A319</v>
      </c>
      <c r="AF556" s="36">
        <f t="shared" si="177"/>
        <v>142</v>
      </c>
      <c r="AG556" s="36" t="str">
        <f t="shared" si="177"/>
        <v>VER</v>
      </c>
      <c r="AI556">
        <v>542</v>
      </c>
      <c r="AJ556" s="77" t="str">
        <f t="shared" si="180"/>
        <v>MEXICO AEREO</v>
      </c>
      <c r="AK556" s="77">
        <f t="shared" si="180"/>
        <v>276</v>
      </c>
      <c r="AL556" s="78">
        <v>0.39374999999999999</v>
      </c>
      <c r="AM556" s="79">
        <v>0.39930555555555558</v>
      </c>
      <c r="AN556" s="80">
        <v>5.5555555555555913E-3</v>
      </c>
      <c r="AO556" s="79">
        <v>0.40625</v>
      </c>
      <c r="AP556" s="80">
        <v>6.9444444444444198E-3</v>
      </c>
      <c r="AQ556" s="81">
        <v>41795</v>
      </c>
      <c r="AR556" s="77" t="str">
        <f t="shared" si="182"/>
        <v>Nacional</v>
      </c>
      <c r="AS556" s="77">
        <f t="shared" si="182"/>
        <v>8.0902777777777778E-3</v>
      </c>
      <c r="AT556" s="77">
        <f t="shared" si="182"/>
        <v>9.5138888888888929E-3</v>
      </c>
      <c r="AU556" s="77">
        <f t="shared" si="182"/>
        <v>1.7604166666666671E-2</v>
      </c>
      <c r="AV556" s="77">
        <f t="shared" si="182"/>
        <v>738</v>
      </c>
      <c r="AW556" s="77">
        <f t="shared" si="182"/>
        <v>189</v>
      </c>
      <c r="AX556" s="77" t="str">
        <f t="shared" si="182"/>
        <v>MEX</v>
      </c>
    </row>
    <row r="557" spans="1:50" x14ac:dyDescent="0.25">
      <c r="A557">
        <v>543</v>
      </c>
      <c r="B557" s="36" t="str">
        <f t="shared" si="183"/>
        <v>COPA</v>
      </c>
      <c r="C557" s="36">
        <f t="shared" si="183"/>
        <v>722</v>
      </c>
      <c r="D557" s="74">
        <v>0.94097222222222221</v>
      </c>
      <c r="E557" s="74">
        <v>0.9555555555555556</v>
      </c>
      <c r="F557" s="75">
        <v>1.4583333333333393E-2</v>
      </c>
      <c r="G557" s="74">
        <v>0.96250000000000002</v>
      </c>
      <c r="H557" s="75">
        <v>6.9444444444444198E-3</v>
      </c>
      <c r="I557" s="76">
        <v>41716</v>
      </c>
      <c r="J557" s="36" t="str">
        <f t="shared" si="184"/>
        <v>Internacional</v>
      </c>
      <c r="K557" s="36">
        <f t="shared" si="184"/>
        <v>1.6468253968253965E-2</v>
      </c>
      <c r="L557" s="36">
        <f t="shared" si="184"/>
        <v>1.1755952380952395E-2</v>
      </c>
      <c r="M557" s="36">
        <f t="shared" si="184"/>
        <v>2.822420634920636E-2</v>
      </c>
      <c r="N557" s="36" t="str">
        <f t="shared" si="184"/>
        <v>B737-800</v>
      </c>
      <c r="O557" s="36">
        <f t="shared" si="184"/>
        <v>189</v>
      </c>
      <c r="P557" s="36" t="str">
        <f t="shared" si="184"/>
        <v>PTY</v>
      </c>
      <c r="R557">
        <v>543</v>
      </c>
      <c r="S557" s="45" t="s">
        <v>18</v>
      </c>
      <c r="T557" s="55">
        <v>661</v>
      </c>
      <c r="U557" s="56">
        <v>0.26111111111111113</v>
      </c>
      <c r="V557" s="57">
        <v>0.26805555555555555</v>
      </c>
      <c r="W557" s="58">
        <v>6.9444444444444198E-3</v>
      </c>
      <c r="X557" s="57">
        <v>0.28472222222222221</v>
      </c>
      <c r="Y557" s="58">
        <v>1.6666666666666663E-2</v>
      </c>
      <c r="Z557" s="59">
        <v>41730</v>
      </c>
      <c r="AA557" s="60" t="s">
        <v>22</v>
      </c>
      <c r="AB557" s="61">
        <v>9.944444444444445E-3</v>
      </c>
      <c r="AC557" s="61">
        <v>1.6138888888888883E-2</v>
      </c>
      <c r="AD557" s="62">
        <v>2.6083333333333326E-2</v>
      </c>
      <c r="AE557" s="109" t="s">
        <v>39</v>
      </c>
      <c r="AF557" s="109">
        <v>189</v>
      </c>
      <c r="AG557" s="109" t="s">
        <v>44</v>
      </c>
      <c r="AI557">
        <v>543</v>
      </c>
      <c r="AJ557" s="77" t="str">
        <f t="shared" si="180"/>
        <v>MEXICO AEREO</v>
      </c>
      <c r="AK557" s="77">
        <f t="shared" si="180"/>
        <v>276</v>
      </c>
      <c r="AL557" s="78">
        <v>0.38541666666666669</v>
      </c>
      <c r="AM557" s="79">
        <v>0.38958333333333334</v>
      </c>
      <c r="AN557" s="80">
        <v>4.1666666666666519E-3</v>
      </c>
      <c r="AO557" s="79">
        <v>0.39583333333333331</v>
      </c>
      <c r="AP557" s="80">
        <v>6.2499999999999778E-3</v>
      </c>
      <c r="AQ557" s="81">
        <v>41796</v>
      </c>
      <c r="AR557" s="77" t="str">
        <f t="shared" si="182"/>
        <v>Nacional</v>
      </c>
      <c r="AS557" s="77">
        <f t="shared" si="182"/>
        <v>8.0902777777777778E-3</v>
      </c>
      <c r="AT557" s="77">
        <f t="shared" si="182"/>
        <v>9.5138888888888929E-3</v>
      </c>
      <c r="AU557" s="77">
        <f t="shared" si="182"/>
        <v>1.7604166666666671E-2</v>
      </c>
      <c r="AV557" s="77">
        <f t="shared" si="182"/>
        <v>738</v>
      </c>
      <c r="AW557" s="77">
        <f t="shared" si="182"/>
        <v>189</v>
      </c>
      <c r="AX557" s="77" t="str">
        <f t="shared" si="182"/>
        <v>MEX</v>
      </c>
    </row>
    <row r="558" spans="1:50" x14ac:dyDescent="0.25">
      <c r="A558">
        <v>544</v>
      </c>
      <c r="B558" s="36" t="str">
        <f t="shared" si="183"/>
        <v>COPA</v>
      </c>
      <c r="C558" s="36">
        <f t="shared" si="183"/>
        <v>722</v>
      </c>
      <c r="D558" s="74">
        <v>0.94444444444444453</v>
      </c>
      <c r="E558" s="74">
        <v>0.95833333333333337</v>
      </c>
      <c r="F558" s="75">
        <v>1.388888888888884E-2</v>
      </c>
      <c r="G558" s="74">
        <v>0.99444444444444446</v>
      </c>
      <c r="H558" s="75">
        <v>3.6111111111111094E-2</v>
      </c>
      <c r="I558" s="76">
        <v>41717</v>
      </c>
      <c r="J558" s="36" t="str">
        <f t="shared" si="184"/>
        <v>Internacional</v>
      </c>
      <c r="K558" s="36">
        <f t="shared" si="184"/>
        <v>1.6468253968253965E-2</v>
      </c>
      <c r="L558" s="36">
        <f t="shared" si="184"/>
        <v>1.1755952380952395E-2</v>
      </c>
      <c r="M558" s="36">
        <f t="shared" si="184"/>
        <v>2.822420634920636E-2</v>
      </c>
      <c r="N558" s="36" t="str">
        <f t="shared" si="184"/>
        <v>B737-800</v>
      </c>
      <c r="O558" s="36">
        <f t="shared" si="184"/>
        <v>189</v>
      </c>
      <c r="P558" s="36" t="str">
        <f t="shared" si="184"/>
        <v>PTY</v>
      </c>
      <c r="R558">
        <v>544</v>
      </c>
      <c r="S558" s="36" t="str">
        <f t="shared" ref="S558:T618" si="185">S557</f>
        <v>MEXICO AEREO</v>
      </c>
      <c r="T558" s="36">
        <f t="shared" si="185"/>
        <v>661</v>
      </c>
      <c r="U558" s="73">
        <v>0.26041666666666669</v>
      </c>
      <c r="V558" s="74">
        <v>0.2722222222222222</v>
      </c>
      <c r="W558" s="75">
        <v>1.1805555555555514E-2</v>
      </c>
      <c r="X558" s="74">
        <v>0.28263888888888888</v>
      </c>
      <c r="Y558" s="75">
        <v>1.0416666666666685E-2</v>
      </c>
      <c r="Z558" s="76">
        <v>41731</v>
      </c>
      <c r="AA558" s="36" t="str">
        <f t="shared" ref="AA558:AG581" si="186">AA557</f>
        <v>Internacional</v>
      </c>
      <c r="AB558" s="36">
        <f t="shared" si="186"/>
        <v>9.944444444444445E-3</v>
      </c>
      <c r="AC558" s="36">
        <f t="shared" si="186"/>
        <v>1.6138888888888883E-2</v>
      </c>
      <c r="AD558" s="36">
        <f t="shared" si="186"/>
        <v>2.6083333333333326E-2</v>
      </c>
      <c r="AE558" s="36" t="str">
        <f t="shared" si="186"/>
        <v>B737-800</v>
      </c>
      <c r="AF558" s="36">
        <f t="shared" si="186"/>
        <v>189</v>
      </c>
      <c r="AG558" s="36" t="str">
        <f t="shared" si="186"/>
        <v>ORD</v>
      </c>
      <c r="AI558">
        <v>544</v>
      </c>
      <c r="AJ558" s="77" t="str">
        <f t="shared" si="180"/>
        <v>MEXICO AEREO</v>
      </c>
      <c r="AK558" s="77">
        <f t="shared" si="180"/>
        <v>276</v>
      </c>
      <c r="AL558" s="78">
        <v>0.38194444444444442</v>
      </c>
      <c r="AM558" s="79">
        <v>0.3888888888888889</v>
      </c>
      <c r="AN558" s="80">
        <v>6.9444444444444753E-3</v>
      </c>
      <c r="AO558" s="79">
        <v>0.39652777777777781</v>
      </c>
      <c r="AP558" s="80">
        <v>7.6388888888889173E-3</v>
      </c>
      <c r="AQ558" s="81">
        <v>41797</v>
      </c>
      <c r="AR558" s="77" t="str">
        <f t="shared" si="182"/>
        <v>Nacional</v>
      </c>
      <c r="AS558" s="77">
        <f t="shared" si="182"/>
        <v>8.0902777777777778E-3</v>
      </c>
      <c r="AT558" s="77">
        <f t="shared" si="182"/>
        <v>9.5138888888888929E-3</v>
      </c>
      <c r="AU558" s="77">
        <f t="shared" si="182"/>
        <v>1.7604166666666671E-2</v>
      </c>
      <c r="AV558" s="77">
        <f t="shared" si="182"/>
        <v>738</v>
      </c>
      <c r="AW558" s="77">
        <f t="shared" si="182"/>
        <v>189</v>
      </c>
      <c r="AX558" s="77" t="str">
        <f t="shared" si="182"/>
        <v>MEX</v>
      </c>
    </row>
    <row r="559" spans="1:50" x14ac:dyDescent="0.25">
      <c r="A559">
        <v>545</v>
      </c>
      <c r="B559" s="36" t="str">
        <f t="shared" si="183"/>
        <v>COPA</v>
      </c>
      <c r="C559" s="36">
        <f t="shared" si="183"/>
        <v>722</v>
      </c>
      <c r="D559" s="74">
        <v>0.96111111111111114</v>
      </c>
      <c r="E559" s="74">
        <v>0.97916666666666663</v>
      </c>
      <c r="F559" s="75">
        <v>1.8055555555555491E-2</v>
      </c>
      <c r="G559" s="74">
        <v>0.9902777777777777</v>
      </c>
      <c r="H559" s="75">
        <v>1.1111111111111072E-2</v>
      </c>
      <c r="I559" s="76">
        <v>41719</v>
      </c>
      <c r="J559" s="36" t="str">
        <f t="shared" si="184"/>
        <v>Internacional</v>
      </c>
      <c r="K559" s="36">
        <f t="shared" si="184"/>
        <v>1.6468253968253965E-2</v>
      </c>
      <c r="L559" s="36">
        <f t="shared" si="184"/>
        <v>1.1755952380952395E-2</v>
      </c>
      <c r="M559" s="36">
        <f t="shared" si="184"/>
        <v>2.822420634920636E-2</v>
      </c>
      <c r="N559" s="36" t="str">
        <f t="shared" si="184"/>
        <v>B737-800</v>
      </c>
      <c r="O559" s="36">
        <f t="shared" si="184"/>
        <v>189</v>
      </c>
      <c r="P559" s="36" t="str">
        <f t="shared" si="184"/>
        <v>PTY</v>
      </c>
      <c r="R559">
        <v>545</v>
      </c>
      <c r="S559" s="36" t="str">
        <f t="shared" si="185"/>
        <v>MEXICO AEREO</v>
      </c>
      <c r="T559" s="36">
        <f t="shared" si="185"/>
        <v>661</v>
      </c>
      <c r="U559" s="73">
        <v>0.27430555555555552</v>
      </c>
      <c r="V559" s="74">
        <v>0.28402777777777777</v>
      </c>
      <c r="W559" s="75">
        <v>9.7222222222222432E-3</v>
      </c>
      <c r="X559" s="74">
        <v>0.30069444444444443</v>
      </c>
      <c r="Y559" s="75">
        <v>1.6666666666666663E-2</v>
      </c>
      <c r="Z559" s="76">
        <v>41733</v>
      </c>
      <c r="AA559" s="36" t="str">
        <f t="shared" si="186"/>
        <v>Internacional</v>
      </c>
      <c r="AB559" s="36">
        <f t="shared" si="186"/>
        <v>9.944444444444445E-3</v>
      </c>
      <c r="AC559" s="36">
        <f t="shared" si="186"/>
        <v>1.6138888888888883E-2</v>
      </c>
      <c r="AD559" s="36">
        <f t="shared" si="186"/>
        <v>2.6083333333333326E-2</v>
      </c>
      <c r="AE559" s="36" t="str">
        <f t="shared" si="186"/>
        <v>B737-800</v>
      </c>
      <c r="AF559" s="36">
        <f t="shared" si="186"/>
        <v>189</v>
      </c>
      <c r="AG559" s="36" t="str">
        <f t="shared" si="186"/>
        <v>ORD</v>
      </c>
      <c r="AI559">
        <v>545</v>
      </c>
      <c r="AJ559" s="77" t="str">
        <f t="shared" si="180"/>
        <v>MEXICO AEREO</v>
      </c>
      <c r="AK559" s="77">
        <f t="shared" si="180"/>
        <v>276</v>
      </c>
      <c r="AL559" s="78">
        <v>0.38541666666666669</v>
      </c>
      <c r="AM559" s="79">
        <v>0.39097222222222222</v>
      </c>
      <c r="AN559" s="80">
        <v>5.5555555555555358E-3</v>
      </c>
      <c r="AO559" s="79">
        <v>0.39583333333333331</v>
      </c>
      <c r="AP559" s="80">
        <v>4.8611111111110938E-3</v>
      </c>
      <c r="AQ559" s="81">
        <v>41798</v>
      </c>
      <c r="AR559" s="77" t="str">
        <f t="shared" si="182"/>
        <v>Nacional</v>
      </c>
      <c r="AS559" s="77">
        <f t="shared" si="182"/>
        <v>8.0902777777777778E-3</v>
      </c>
      <c r="AT559" s="77">
        <f t="shared" si="182"/>
        <v>9.5138888888888929E-3</v>
      </c>
      <c r="AU559" s="77">
        <f t="shared" si="182"/>
        <v>1.7604166666666671E-2</v>
      </c>
      <c r="AV559" s="77">
        <f t="shared" si="182"/>
        <v>738</v>
      </c>
      <c r="AW559" s="77">
        <f t="shared" si="182"/>
        <v>189</v>
      </c>
      <c r="AX559" s="77" t="str">
        <f t="shared" si="182"/>
        <v>MEX</v>
      </c>
    </row>
    <row r="560" spans="1:50" x14ac:dyDescent="0.25">
      <c r="A560">
        <v>546</v>
      </c>
      <c r="B560" s="36" t="str">
        <f t="shared" si="183"/>
        <v>COPA</v>
      </c>
      <c r="C560" s="36">
        <f t="shared" si="183"/>
        <v>722</v>
      </c>
      <c r="D560" s="74">
        <v>0.95208333333333339</v>
      </c>
      <c r="E560" s="74">
        <v>0.96736111111111101</v>
      </c>
      <c r="F560" s="75">
        <v>1.5277777777777612E-2</v>
      </c>
      <c r="G560" s="74">
        <v>0.97222222222222221</v>
      </c>
      <c r="H560" s="75">
        <v>4.8611111111112049E-3</v>
      </c>
      <c r="I560" s="76">
        <v>41719</v>
      </c>
      <c r="J560" s="36" t="str">
        <f t="shared" si="184"/>
        <v>Internacional</v>
      </c>
      <c r="K560" s="36">
        <f t="shared" si="184"/>
        <v>1.6468253968253965E-2</v>
      </c>
      <c r="L560" s="36">
        <f t="shared" si="184"/>
        <v>1.1755952380952395E-2</v>
      </c>
      <c r="M560" s="36">
        <f t="shared" si="184"/>
        <v>2.822420634920636E-2</v>
      </c>
      <c r="N560" s="36" t="str">
        <f t="shared" si="184"/>
        <v>B737-800</v>
      </c>
      <c r="O560" s="36">
        <f t="shared" si="184"/>
        <v>189</v>
      </c>
      <c r="P560" s="36" t="str">
        <f t="shared" si="184"/>
        <v>PTY</v>
      </c>
      <c r="R560">
        <v>546</v>
      </c>
      <c r="S560" s="36" t="str">
        <f t="shared" si="185"/>
        <v>MEXICO AEREO</v>
      </c>
      <c r="T560" s="36">
        <f t="shared" si="185"/>
        <v>661</v>
      </c>
      <c r="U560" s="73">
        <v>0.27638888888888885</v>
      </c>
      <c r="V560" s="74">
        <v>0.28819444444444448</v>
      </c>
      <c r="W560" s="75">
        <v>1.1805555555555625E-2</v>
      </c>
      <c r="X560" s="74">
        <v>0.30208333333333331</v>
      </c>
      <c r="Y560" s="75">
        <v>1.388888888888884E-2</v>
      </c>
      <c r="Z560" s="76">
        <v>41734</v>
      </c>
      <c r="AA560" s="36" t="str">
        <f t="shared" si="186"/>
        <v>Internacional</v>
      </c>
      <c r="AB560" s="36">
        <f t="shared" si="186"/>
        <v>9.944444444444445E-3</v>
      </c>
      <c r="AC560" s="36">
        <f t="shared" si="186"/>
        <v>1.6138888888888883E-2</v>
      </c>
      <c r="AD560" s="36">
        <f t="shared" si="186"/>
        <v>2.6083333333333326E-2</v>
      </c>
      <c r="AE560" s="36" t="str">
        <f t="shared" si="186"/>
        <v>B737-800</v>
      </c>
      <c r="AF560" s="36">
        <f t="shared" si="186"/>
        <v>189</v>
      </c>
      <c r="AG560" s="36" t="str">
        <f t="shared" si="186"/>
        <v>ORD</v>
      </c>
      <c r="AI560">
        <v>546</v>
      </c>
      <c r="AJ560" s="77" t="str">
        <f t="shared" si="180"/>
        <v>MEXICO AEREO</v>
      </c>
      <c r="AK560" s="77">
        <f t="shared" si="180"/>
        <v>276</v>
      </c>
      <c r="AL560" s="78">
        <v>0.38541666666666669</v>
      </c>
      <c r="AM560" s="79">
        <v>0.39027777777777778</v>
      </c>
      <c r="AN560" s="80">
        <v>4.8611111111110938E-3</v>
      </c>
      <c r="AO560" s="79">
        <v>0.39583333333333331</v>
      </c>
      <c r="AP560" s="80">
        <v>5.5555555555555358E-3</v>
      </c>
      <c r="AQ560" s="81">
        <v>41799</v>
      </c>
      <c r="AR560" s="77" t="str">
        <f t="shared" si="182"/>
        <v>Nacional</v>
      </c>
      <c r="AS560" s="77">
        <f t="shared" si="182"/>
        <v>8.0902777777777778E-3</v>
      </c>
      <c r="AT560" s="77">
        <f t="shared" si="182"/>
        <v>9.5138888888888929E-3</v>
      </c>
      <c r="AU560" s="77">
        <f t="shared" si="182"/>
        <v>1.7604166666666671E-2</v>
      </c>
      <c r="AV560" s="77">
        <f t="shared" si="182"/>
        <v>738</v>
      </c>
      <c r="AW560" s="77">
        <f t="shared" si="182"/>
        <v>189</v>
      </c>
      <c r="AX560" s="77" t="str">
        <f t="shared" si="182"/>
        <v>MEX</v>
      </c>
    </row>
    <row r="561" spans="1:50" x14ac:dyDescent="0.25">
      <c r="A561">
        <v>547</v>
      </c>
      <c r="B561" s="36" t="str">
        <f t="shared" si="183"/>
        <v>COPA</v>
      </c>
      <c r="C561" s="36">
        <f t="shared" si="183"/>
        <v>722</v>
      </c>
      <c r="D561" s="74">
        <v>0.94861111111111107</v>
      </c>
      <c r="E561" s="74">
        <v>0.96527777777777779</v>
      </c>
      <c r="F561" s="75">
        <v>1.6666666666666718E-2</v>
      </c>
      <c r="G561" s="74">
        <v>0.97777777777777775</v>
      </c>
      <c r="H561" s="75">
        <v>1.2499999999999956E-2</v>
      </c>
      <c r="I561" s="76">
        <v>41721</v>
      </c>
      <c r="J561" s="36" t="str">
        <f t="shared" si="184"/>
        <v>Internacional</v>
      </c>
      <c r="K561" s="36">
        <f t="shared" si="184"/>
        <v>1.6468253968253965E-2</v>
      </c>
      <c r="L561" s="36">
        <f t="shared" si="184"/>
        <v>1.1755952380952395E-2</v>
      </c>
      <c r="M561" s="36">
        <f t="shared" si="184"/>
        <v>2.822420634920636E-2</v>
      </c>
      <c r="N561" s="36" t="str">
        <f t="shared" si="184"/>
        <v>B737-800</v>
      </c>
      <c r="O561" s="36">
        <f t="shared" si="184"/>
        <v>189</v>
      </c>
      <c r="P561" s="36" t="str">
        <f t="shared" si="184"/>
        <v>PTY</v>
      </c>
      <c r="R561">
        <v>547</v>
      </c>
      <c r="S561" s="36" t="str">
        <f t="shared" si="185"/>
        <v>MEXICO AEREO</v>
      </c>
      <c r="T561" s="36">
        <f t="shared" si="185"/>
        <v>661</v>
      </c>
      <c r="U561" s="73">
        <v>0.27638888888888885</v>
      </c>
      <c r="V561" s="74">
        <v>0.28472222222222221</v>
      </c>
      <c r="W561" s="75">
        <v>8.3333333333333592E-3</v>
      </c>
      <c r="X561" s="74">
        <v>0.29652777777777778</v>
      </c>
      <c r="Y561" s="75">
        <v>1.1805555555555569E-2</v>
      </c>
      <c r="Z561" s="76">
        <v>41733</v>
      </c>
      <c r="AA561" s="36" t="str">
        <f t="shared" si="186"/>
        <v>Internacional</v>
      </c>
      <c r="AB561" s="36">
        <f t="shared" si="186"/>
        <v>9.944444444444445E-3</v>
      </c>
      <c r="AC561" s="36">
        <f t="shared" si="186"/>
        <v>1.6138888888888883E-2</v>
      </c>
      <c r="AD561" s="36">
        <f t="shared" si="186"/>
        <v>2.6083333333333326E-2</v>
      </c>
      <c r="AE561" s="36" t="str">
        <f t="shared" si="186"/>
        <v>B737-800</v>
      </c>
      <c r="AF561" s="36">
        <f t="shared" si="186"/>
        <v>189</v>
      </c>
      <c r="AG561" s="36" t="str">
        <f t="shared" si="186"/>
        <v>ORD</v>
      </c>
      <c r="AI561">
        <v>547</v>
      </c>
      <c r="AJ561" s="77" t="str">
        <f t="shared" si="180"/>
        <v>MEXICO AEREO</v>
      </c>
      <c r="AK561" s="77">
        <f t="shared" si="180"/>
        <v>276</v>
      </c>
      <c r="AL561" s="78">
        <v>0.89583333333333337</v>
      </c>
      <c r="AM561" s="79">
        <v>0.91666666666666663</v>
      </c>
      <c r="AN561" s="80">
        <v>2.0833333333333259E-2</v>
      </c>
      <c r="AO561" s="79">
        <v>0.92361111111111116</v>
      </c>
      <c r="AP561" s="80">
        <v>6.9444444444445308E-3</v>
      </c>
      <c r="AQ561" s="81">
        <v>41801</v>
      </c>
      <c r="AR561" s="77" t="str">
        <f t="shared" si="182"/>
        <v>Nacional</v>
      </c>
      <c r="AS561" s="77">
        <f t="shared" si="182"/>
        <v>8.0902777777777778E-3</v>
      </c>
      <c r="AT561" s="77">
        <f t="shared" si="182"/>
        <v>9.5138888888888929E-3</v>
      </c>
      <c r="AU561" s="77">
        <f t="shared" si="182"/>
        <v>1.7604166666666671E-2</v>
      </c>
      <c r="AV561" s="77">
        <f t="shared" si="182"/>
        <v>738</v>
      </c>
      <c r="AW561" s="77">
        <f t="shared" si="182"/>
        <v>189</v>
      </c>
      <c r="AX561" s="77" t="str">
        <f t="shared" si="182"/>
        <v>MEX</v>
      </c>
    </row>
    <row r="562" spans="1:50" x14ac:dyDescent="0.25">
      <c r="A562">
        <v>548</v>
      </c>
      <c r="B562" s="36" t="str">
        <f t="shared" si="183"/>
        <v>COPA</v>
      </c>
      <c r="C562" s="36">
        <f t="shared" si="183"/>
        <v>722</v>
      </c>
      <c r="D562" s="74">
        <v>0.94791666666666663</v>
      </c>
      <c r="E562" s="74">
        <v>0.96319444444444446</v>
      </c>
      <c r="F562" s="75">
        <v>1.5277777777777835E-2</v>
      </c>
      <c r="G562" s="74">
        <v>0.97291666666666676</v>
      </c>
      <c r="H562" s="75">
        <v>9.7222222222222987E-3</v>
      </c>
      <c r="I562" s="76">
        <v>41723</v>
      </c>
      <c r="J562" s="36" t="str">
        <f t="shared" si="184"/>
        <v>Internacional</v>
      </c>
      <c r="K562" s="36">
        <f t="shared" si="184"/>
        <v>1.6468253968253965E-2</v>
      </c>
      <c r="L562" s="36">
        <f t="shared" si="184"/>
        <v>1.1755952380952395E-2</v>
      </c>
      <c r="M562" s="36">
        <f t="shared" si="184"/>
        <v>2.822420634920636E-2</v>
      </c>
      <c r="N562" s="36" t="str">
        <f t="shared" si="184"/>
        <v>B737-800</v>
      </c>
      <c r="O562" s="36">
        <f t="shared" si="184"/>
        <v>189</v>
      </c>
      <c r="P562" s="36" t="str">
        <f t="shared" si="184"/>
        <v>PTY</v>
      </c>
      <c r="R562">
        <v>548</v>
      </c>
      <c r="S562" s="36" t="str">
        <f t="shared" si="185"/>
        <v>MEXICO AEREO</v>
      </c>
      <c r="T562" s="36">
        <f t="shared" si="185"/>
        <v>661</v>
      </c>
      <c r="U562" s="73">
        <v>0.24513888888888888</v>
      </c>
      <c r="V562" s="74">
        <v>0.25208333333333333</v>
      </c>
      <c r="W562" s="75">
        <v>6.9444444444444475E-3</v>
      </c>
      <c r="X562" s="74">
        <v>0.25972222222222224</v>
      </c>
      <c r="Y562" s="75">
        <v>7.6388888888889173E-3</v>
      </c>
      <c r="Z562" s="76">
        <v>41736</v>
      </c>
      <c r="AA562" s="36" t="str">
        <f t="shared" si="186"/>
        <v>Internacional</v>
      </c>
      <c r="AB562" s="36">
        <f t="shared" si="186"/>
        <v>9.944444444444445E-3</v>
      </c>
      <c r="AC562" s="36">
        <f t="shared" si="186"/>
        <v>1.6138888888888883E-2</v>
      </c>
      <c r="AD562" s="36">
        <f t="shared" si="186"/>
        <v>2.6083333333333326E-2</v>
      </c>
      <c r="AE562" s="36" t="str">
        <f t="shared" si="186"/>
        <v>B737-800</v>
      </c>
      <c r="AF562" s="36">
        <f t="shared" si="186"/>
        <v>189</v>
      </c>
      <c r="AG562" s="36" t="str">
        <f t="shared" si="186"/>
        <v>ORD</v>
      </c>
      <c r="AI562">
        <v>548</v>
      </c>
      <c r="AJ562" s="77" t="str">
        <f t="shared" si="180"/>
        <v>MEXICO AEREO</v>
      </c>
      <c r="AK562" s="77">
        <f t="shared" si="180"/>
        <v>276</v>
      </c>
      <c r="AL562" s="78">
        <v>0.53819444444444442</v>
      </c>
      <c r="AM562" s="79">
        <v>0.54305555555555551</v>
      </c>
      <c r="AN562" s="80">
        <v>4.8611111111110938E-3</v>
      </c>
      <c r="AO562" s="79">
        <v>0.55208333333333337</v>
      </c>
      <c r="AP562" s="80">
        <v>9.0277777777778567E-3</v>
      </c>
      <c r="AQ562" s="81">
        <v>41801</v>
      </c>
      <c r="AR562" s="77" t="str">
        <f t="shared" si="182"/>
        <v>Nacional</v>
      </c>
      <c r="AS562" s="77">
        <f t="shared" si="182"/>
        <v>8.0902777777777778E-3</v>
      </c>
      <c r="AT562" s="77">
        <f t="shared" si="182"/>
        <v>9.5138888888888929E-3</v>
      </c>
      <c r="AU562" s="77">
        <f t="shared" si="182"/>
        <v>1.7604166666666671E-2</v>
      </c>
      <c r="AV562" s="77">
        <f t="shared" si="182"/>
        <v>738</v>
      </c>
      <c r="AW562" s="77">
        <f t="shared" si="182"/>
        <v>189</v>
      </c>
      <c r="AX562" s="77" t="str">
        <f t="shared" si="182"/>
        <v>MEX</v>
      </c>
    </row>
    <row r="563" spans="1:50" x14ac:dyDescent="0.25">
      <c r="A563">
        <v>549</v>
      </c>
      <c r="B563" s="36" t="str">
        <f t="shared" si="183"/>
        <v>COPA</v>
      </c>
      <c r="C563" s="36">
        <f t="shared" si="183"/>
        <v>722</v>
      </c>
      <c r="D563" s="74">
        <v>0.95347222222222217</v>
      </c>
      <c r="E563" s="74">
        <v>0.98055555555555562</v>
      </c>
      <c r="F563" s="75">
        <v>2.7083333333333459E-2</v>
      </c>
      <c r="G563" s="74">
        <v>1.0048611111111112</v>
      </c>
      <c r="H563" s="75">
        <v>2.430555555555558E-2</v>
      </c>
      <c r="I563" s="76">
        <v>41724</v>
      </c>
      <c r="J563" s="36" t="str">
        <f t="shared" si="184"/>
        <v>Internacional</v>
      </c>
      <c r="K563" s="36">
        <f t="shared" si="184"/>
        <v>1.6468253968253965E-2</v>
      </c>
      <c r="L563" s="36">
        <f t="shared" si="184"/>
        <v>1.1755952380952395E-2</v>
      </c>
      <c r="M563" s="36">
        <f t="shared" si="184"/>
        <v>2.822420634920636E-2</v>
      </c>
      <c r="N563" s="36" t="str">
        <f t="shared" si="184"/>
        <v>B737-800</v>
      </c>
      <c r="O563" s="36">
        <f t="shared" si="184"/>
        <v>189</v>
      </c>
      <c r="P563" s="36" t="str">
        <f t="shared" si="184"/>
        <v>PTY</v>
      </c>
      <c r="R563">
        <v>549</v>
      </c>
      <c r="S563" s="36" t="str">
        <f t="shared" si="185"/>
        <v>MEXICO AEREO</v>
      </c>
      <c r="T563" s="36">
        <f t="shared" si="185"/>
        <v>661</v>
      </c>
      <c r="U563" s="73">
        <v>0.23402777777777781</v>
      </c>
      <c r="V563" s="74">
        <v>0.24513888888888888</v>
      </c>
      <c r="W563" s="75">
        <v>1.1111111111111072E-2</v>
      </c>
      <c r="X563" s="74">
        <v>0.26666666666666666</v>
      </c>
      <c r="Y563" s="75">
        <v>2.1527777777777785E-2</v>
      </c>
      <c r="Z563" s="76">
        <v>41737</v>
      </c>
      <c r="AA563" s="36" t="str">
        <f t="shared" si="186"/>
        <v>Internacional</v>
      </c>
      <c r="AB563" s="36">
        <f t="shared" si="186"/>
        <v>9.944444444444445E-3</v>
      </c>
      <c r="AC563" s="36">
        <f t="shared" si="186"/>
        <v>1.6138888888888883E-2</v>
      </c>
      <c r="AD563" s="36">
        <f t="shared" si="186"/>
        <v>2.6083333333333326E-2</v>
      </c>
      <c r="AE563" s="36" t="str">
        <f t="shared" si="186"/>
        <v>B737-800</v>
      </c>
      <c r="AF563" s="36">
        <f t="shared" si="186"/>
        <v>189</v>
      </c>
      <c r="AG563" s="36" t="str">
        <f t="shared" si="186"/>
        <v>ORD</v>
      </c>
      <c r="AI563">
        <v>549</v>
      </c>
      <c r="AJ563" s="77" t="str">
        <f t="shared" si="180"/>
        <v>MEXICO AEREO</v>
      </c>
      <c r="AK563" s="77">
        <f t="shared" si="180"/>
        <v>276</v>
      </c>
      <c r="AL563" s="78">
        <v>0.20208333333333331</v>
      </c>
      <c r="AM563" s="79">
        <v>0.22013888888888888</v>
      </c>
      <c r="AN563" s="80">
        <v>1.8055555555555575E-2</v>
      </c>
      <c r="AO563" s="79">
        <v>0.24027777777777778</v>
      </c>
      <c r="AP563" s="80">
        <v>2.0138888888888901E-2</v>
      </c>
      <c r="AQ563" s="81">
        <v>41802</v>
      </c>
      <c r="AR563" s="77" t="str">
        <f t="shared" si="182"/>
        <v>Nacional</v>
      </c>
      <c r="AS563" s="77">
        <f t="shared" si="182"/>
        <v>8.0902777777777778E-3</v>
      </c>
      <c r="AT563" s="77">
        <f t="shared" si="182"/>
        <v>9.5138888888888929E-3</v>
      </c>
      <c r="AU563" s="77">
        <f t="shared" si="182"/>
        <v>1.7604166666666671E-2</v>
      </c>
      <c r="AV563" s="77">
        <f t="shared" si="182"/>
        <v>738</v>
      </c>
      <c r="AW563" s="77">
        <f t="shared" si="182"/>
        <v>189</v>
      </c>
      <c r="AX563" s="77" t="str">
        <f t="shared" si="182"/>
        <v>MEX</v>
      </c>
    </row>
    <row r="564" spans="1:50" x14ac:dyDescent="0.25">
      <c r="A564">
        <v>550</v>
      </c>
      <c r="B564" s="36" t="str">
        <f t="shared" si="183"/>
        <v>COPA</v>
      </c>
      <c r="C564" s="36">
        <f t="shared" si="183"/>
        <v>722</v>
      </c>
      <c r="D564" s="74">
        <v>0.97916666666666663</v>
      </c>
      <c r="E564" s="74">
        <v>0.99513888888888891</v>
      </c>
      <c r="F564" s="75">
        <v>1.5972222222222276E-2</v>
      </c>
      <c r="G564" s="74">
        <v>1.0041666666666667</v>
      </c>
      <c r="H564" s="75">
        <v>9.0277777777777457E-3</v>
      </c>
      <c r="I564" s="76">
        <v>41724</v>
      </c>
      <c r="J564" s="36" t="str">
        <f t="shared" si="184"/>
        <v>Internacional</v>
      </c>
      <c r="K564" s="36">
        <f t="shared" si="184"/>
        <v>1.6468253968253965E-2</v>
      </c>
      <c r="L564" s="36">
        <f t="shared" si="184"/>
        <v>1.1755952380952395E-2</v>
      </c>
      <c r="M564" s="36">
        <f t="shared" si="184"/>
        <v>2.822420634920636E-2</v>
      </c>
      <c r="N564" s="36" t="str">
        <f t="shared" si="184"/>
        <v>B737-800</v>
      </c>
      <c r="O564" s="36">
        <f t="shared" si="184"/>
        <v>189</v>
      </c>
      <c r="P564" s="36" t="str">
        <f t="shared" si="184"/>
        <v>PTY</v>
      </c>
      <c r="R564">
        <v>550</v>
      </c>
      <c r="S564" s="36" t="str">
        <f t="shared" si="185"/>
        <v>MEXICO AEREO</v>
      </c>
      <c r="T564" s="36">
        <f t="shared" si="185"/>
        <v>661</v>
      </c>
      <c r="U564" s="73">
        <v>0.23611111111111113</v>
      </c>
      <c r="V564" s="74">
        <v>0.24305555555555555</v>
      </c>
      <c r="W564" s="75">
        <v>6.9444444444444198E-3</v>
      </c>
      <c r="X564" s="74">
        <v>0.27569444444444446</v>
      </c>
      <c r="Y564" s="75">
        <v>3.2638888888888912E-2</v>
      </c>
      <c r="Z564" s="76">
        <v>41738</v>
      </c>
      <c r="AA564" s="36" t="str">
        <f t="shared" si="186"/>
        <v>Internacional</v>
      </c>
      <c r="AB564" s="36">
        <f t="shared" si="186"/>
        <v>9.944444444444445E-3</v>
      </c>
      <c r="AC564" s="36">
        <f t="shared" si="186"/>
        <v>1.6138888888888883E-2</v>
      </c>
      <c r="AD564" s="36">
        <f t="shared" si="186"/>
        <v>2.6083333333333326E-2</v>
      </c>
      <c r="AE564" s="36" t="str">
        <f t="shared" si="186"/>
        <v>B737-800</v>
      </c>
      <c r="AF564" s="36">
        <f t="shared" si="186"/>
        <v>189</v>
      </c>
      <c r="AG564" s="36" t="str">
        <f t="shared" si="186"/>
        <v>ORD</v>
      </c>
      <c r="AI564">
        <v>550</v>
      </c>
      <c r="AJ564" s="77" t="str">
        <f t="shared" si="180"/>
        <v>MEXICO AEREO</v>
      </c>
      <c r="AK564" s="77">
        <f t="shared" si="180"/>
        <v>276</v>
      </c>
      <c r="AL564" s="78">
        <v>0.88750000000000007</v>
      </c>
      <c r="AM564" s="79">
        <v>0.89583333333333337</v>
      </c>
      <c r="AN564" s="80">
        <v>8.3333333333333037E-3</v>
      </c>
      <c r="AO564" s="79">
        <v>0.90138888888888891</v>
      </c>
      <c r="AP564" s="80">
        <v>5.5555555555555358E-3</v>
      </c>
      <c r="AQ564" s="81">
        <v>41804</v>
      </c>
      <c r="AR564" s="77" t="str">
        <f t="shared" si="182"/>
        <v>Nacional</v>
      </c>
      <c r="AS564" s="77">
        <f t="shared" si="182"/>
        <v>8.0902777777777778E-3</v>
      </c>
      <c r="AT564" s="77">
        <f t="shared" si="182"/>
        <v>9.5138888888888929E-3</v>
      </c>
      <c r="AU564" s="77">
        <f t="shared" si="182"/>
        <v>1.7604166666666671E-2</v>
      </c>
      <c r="AV564" s="77">
        <f t="shared" si="182"/>
        <v>738</v>
      </c>
      <c r="AW564" s="77">
        <f t="shared" si="182"/>
        <v>189</v>
      </c>
      <c r="AX564" s="77" t="str">
        <f t="shared" si="182"/>
        <v>MEX</v>
      </c>
    </row>
    <row r="565" spans="1:50" x14ac:dyDescent="0.25">
      <c r="A565">
        <v>551</v>
      </c>
      <c r="B565" s="36" t="str">
        <f t="shared" si="183"/>
        <v>COPA</v>
      </c>
      <c r="C565" s="36">
        <f t="shared" si="183"/>
        <v>722</v>
      </c>
      <c r="D565" s="74">
        <v>0.96458333333333324</v>
      </c>
      <c r="E565" s="74">
        <v>0.98541666666666661</v>
      </c>
      <c r="F565" s="75">
        <v>2.083333333333337E-2</v>
      </c>
      <c r="G565" s="74">
        <v>0.99097222222222225</v>
      </c>
      <c r="H565" s="75">
        <v>5.5555555555556468E-3</v>
      </c>
      <c r="I565" s="76">
        <v>41725</v>
      </c>
      <c r="J565" s="36" t="str">
        <f t="shared" si="184"/>
        <v>Internacional</v>
      </c>
      <c r="K565" s="36">
        <f t="shared" si="184"/>
        <v>1.6468253968253965E-2</v>
      </c>
      <c r="L565" s="36">
        <f t="shared" si="184"/>
        <v>1.1755952380952395E-2</v>
      </c>
      <c r="M565" s="36">
        <f t="shared" si="184"/>
        <v>2.822420634920636E-2</v>
      </c>
      <c r="N565" s="36" t="str">
        <f t="shared" si="184"/>
        <v>B737-800</v>
      </c>
      <c r="O565" s="36">
        <f t="shared" si="184"/>
        <v>189</v>
      </c>
      <c r="P565" s="36" t="str">
        <f t="shared" si="184"/>
        <v>PTY</v>
      </c>
      <c r="R565">
        <v>551</v>
      </c>
      <c r="S565" s="36" t="str">
        <f t="shared" si="185"/>
        <v>MEXICO AEREO</v>
      </c>
      <c r="T565" s="36">
        <f t="shared" si="185"/>
        <v>661</v>
      </c>
      <c r="U565" s="73">
        <v>0.2388888888888889</v>
      </c>
      <c r="V565" s="74">
        <v>0.25</v>
      </c>
      <c r="W565" s="75">
        <v>1.1111111111111099E-2</v>
      </c>
      <c r="X565" s="74">
        <v>0.27430555555555552</v>
      </c>
      <c r="Y565" s="75">
        <v>2.4305555555555525E-2</v>
      </c>
      <c r="Z565" s="76">
        <v>41740</v>
      </c>
      <c r="AA565" s="36" t="str">
        <f t="shared" si="186"/>
        <v>Internacional</v>
      </c>
      <c r="AB565" s="36">
        <f t="shared" si="186"/>
        <v>9.944444444444445E-3</v>
      </c>
      <c r="AC565" s="36">
        <f t="shared" si="186"/>
        <v>1.6138888888888883E-2</v>
      </c>
      <c r="AD565" s="36">
        <f t="shared" si="186"/>
        <v>2.6083333333333326E-2</v>
      </c>
      <c r="AE565" s="36" t="str">
        <f t="shared" si="186"/>
        <v>B737-800</v>
      </c>
      <c r="AF565" s="36">
        <f t="shared" si="186"/>
        <v>189</v>
      </c>
      <c r="AG565" s="36" t="str">
        <f t="shared" si="186"/>
        <v>ORD</v>
      </c>
      <c r="AI565">
        <v>551</v>
      </c>
      <c r="AJ565" s="77" t="str">
        <f t="shared" si="180"/>
        <v>MEXICO AEREO</v>
      </c>
      <c r="AK565" s="77">
        <f t="shared" si="180"/>
        <v>276</v>
      </c>
      <c r="AL565" s="78">
        <v>0.42777777777777781</v>
      </c>
      <c r="AM565" s="79">
        <v>0.4381944444444445</v>
      </c>
      <c r="AN565" s="80">
        <v>1.0416666666666685E-2</v>
      </c>
      <c r="AO565" s="79">
        <v>0.44791666666666669</v>
      </c>
      <c r="AP565" s="80">
        <v>9.7222222222221877E-3</v>
      </c>
      <c r="AQ565" s="81">
        <v>41805</v>
      </c>
      <c r="AR565" s="77" t="str">
        <f t="shared" si="182"/>
        <v>Nacional</v>
      </c>
      <c r="AS565" s="77">
        <f t="shared" si="182"/>
        <v>8.0902777777777778E-3</v>
      </c>
      <c r="AT565" s="77">
        <f t="shared" si="182"/>
        <v>9.5138888888888929E-3</v>
      </c>
      <c r="AU565" s="77">
        <f t="shared" si="182"/>
        <v>1.7604166666666671E-2</v>
      </c>
      <c r="AV565" s="77">
        <f t="shared" si="182"/>
        <v>738</v>
      </c>
      <c r="AW565" s="77">
        <f t="shared" si="182"/>
        <v>189</v>
      </c>
      <c r="AX565" s="77" t="str">
        <f t="shared" si="182"/>
        <v>MEX</v>
      </c>
    </row>
    <row r="566" spans="1:50" x14ac:dyDescent="0.25">
      <c r="A566">
        <v>552</v>
      </c>
      <c r="B566" s="36" t="str">
        <f t="shared" si="183"/>
        <v>COPA</v>
      </c>
      <c r="C566" s="36">
        <f t="shared" si="183"/>
        <v>722</v>
      </c>
      <c r="D566" s="74">
        <v>0.93263888888888891</v>
      </c>
      <c r="E566" s="74">
        <v>0.94305555555555554</v>
      </c>
      <c r="F566" s="75">
        <v>1.041666666666663E-2</v>
      </c>
      <c r="G566" s="74">
        <v>0.95138888888888884</v>
      </c>
      <c r="H566" s="75">
        <v>8.3333333333333037E-3</v>
      </c>
      <c r="I566" s="76">
        <v>41727</v>
      </c>
      <c r="J566" s="36" t="str">
        <f t="shared" si="184"/>
        <v>Internacional</v>
      </c>
      <c r="K566" s="36">
        <f t="shared" si="184"/>
        <v>1.6468253968253965E-2</v>
      </c>
      <c r="L566" s="36">
        <f t="shared" si="184"/>
        <v>1.1755952380952395E-2</v>
      </c>
      <c r="M566" s="36">
        <f t="shared" si="184"/>
        <v>2.822420634920636E-2</v>
      </c>
      <c r="N566" s="36" t="str">
        <f t="shared" si="184"/>
        <v>B737-800</v>
      </c>
      <c r="O566" s="36">
        <f t="shared" si="184"/>
        <v>189</v>
      </c>
      <c r="P566" s="36" t="str">
        <f t="shared" si="184"/>
        <v>PTY</v>
      </c>
      <c r="R566">
        <v>552</v>
      </c>
      <c r="S566" s="36" t="str">
        <f t="shared" si="185"/>
        <v>MEXICO AEREO</v>
      </c>
      <c r="T566" s="36">
        <f t="shared" si="185"/>
        <v>661</v>
      </c>
      <c r="U566" s="73">
        <v>0.26111111111111113</v>
      </c>
      <c r="V566" s="74">
        <v>0.26805555555555555</v>
      </c>
      <c r="W566" s="75">
        <v>6.9444444444444198E-3</v>
      </c>
      <c r="X566" s="74">
        <v>0.28472222222222221</v>
      </c>
      <c r="Y566" s="75">
        <v>1.6666666666666663E-2</v>
      </c>
      <c r="Z566" s="76">
        <v>41742</v>
      </c>
      <c r="AA566" s="36" t="str">
        <f t="shared" si="186"/>
        <v>Internacional</v>
      </c>
      <c r="AB566" s="36">
        <f t="shared" si="186"/>
        <v>9.944444444444445E-3</v>
      </c>
      <c r="AC566" s="36">
        <f t="shared" si="186"/>
        <v>1.6138888888888883E-2</v>
      </c>
      <c r="AD566" s="36">
        <f t="shared" si="186"/>
        <v>2.6083333333333326E-2</v>
      </c>
      <c r="AE566" s="36" t="str">
        <f t="shared" si="186"/>
        <v>B737-800</v>
      </c>
      <c r="AF566" s="36">
        <f t="shared" si="186"/>
        <v>189</v>
      </c>
      <c r="AG566" s="36" t="str">
        <f t="shared" si="186"/>
        <v>ORD</v>
      </c>
      <c r="AI566">
        <v>552</v>
      </c>
      <c r="AJ566" s="77" t="str">
        <f t="shared" si="180"/>
        <v>MEXICO AEREO</v>
      </c>
      <c r="AK566" s="77">
        <f t="shared" si="180"/>
        <v>276</v>
      </c>
      <c r="AL566" s="78">
        <v>0.94861111111111107</v>
      </c>
      <c r="AM566" s="79">
        <v>0.95763888888888893</v>
      </c>
      <c r="AN566" s="80">
        <v>9.0277777777778567E-3</v>
      </c>
      <c r="AO566" s="79">
        <v>0.98055555555555562</v>
      </c>
      <c r="AP566" s="80">
        <v>2.2916666666666696E-2</v>
      </c>
      <c r="AQ566" s="81">
        <v>41806</v>
      </c>
      <c r="AR566" s="77" t="str">
        <f t="shared" si="182"/>
        <v>Nacional</v>
      </c>
      <c r="AS566" s="77">
        <f t="shared" si="182"/>
        <v>8.0902777777777778E-3</v>
      </c>
      <c r="AT566" s="77">
        <f t="shared" si="182"/>
        <v>9.5138888888888929E-3</v>
      </c>
      <c r="AU566" s="77">
        <f t="shared" si="182"/>
        <v>1.7604166666666671E-2</v>
      </c>
      <c r="AV566" s="77">
        <f t="shared" si="182"/>
        <v>738</v>
      </c>
      <c r="AW566" s="77">
        <f t="shared" si="182"/>
        <v>189</v>
      </c>
      <c r="AX566" s="77" t="str">
        <f t="shared" si="182"/>
        <v>MEX</v>
      </c>
    </row>
    <row r="567" spans="1:50" ht="15.75" thickBot="1" x14ac:dyDescent="0.3">
      <c r="A567">
        <v>553</v>
      </c>
      <c r="B567" s="36" t="str">
        <f t="shared" si="183"/>
        <v>COPA</v>
      </c>
      <c r="C567" s="36">
        <f t="shared" si="183"/>
        <v>722</v>
      </c>
      <c r="D567" s="84">
        <v>0.97291666666666676</v>
      </c>
      <c r="E567" s="84">
        <v>0.98402777777777783</v>
      </c>
      <c r="F567" s="85">
        <v>1.1111111111111072E-2</v>
      </c>
      <c r="G567" s="84">
        <v>0.99652777777777779</v>
      </c>
      <c r="H567" s="85">
        <v>1.2499999999999956E-2</v>
      </c>
      <c r="I567" s="86">
        <v>41728</v>
      </c>
      <c r="J567" s="36" t="str">
        <f t="shared" si="184"/>
        <v>Internacional</v>
      </c>
      <c r="K567" s="36">
        <f t="shared" si="184"/>
        <v>1.6468253968253965E-2</v>
      </c>
      <c r="L567" s="36">
        <f t="shared" si="184"/>
        <v>1.1755952380952395E-2</v>
      </c>
      <c r="M567" s="36">
        <f t="shared" si="184"/>
        <v>2.822420634920636E-2</v>
      </c>
      <c r="N567" s="36" t="str">
        <f t="shared" si="184"/>
        <v>B737-800</v>
      </c>
      <c r="O567" s="36">
        <f t="shared" si="184"/>
        <v>189</v>
      </c>
      <c r="P567" s="36" t="str">
        <f t="shared" si="184"/>
        <v>PTY</v>
      </c>
      <c r="R567">
        <v>553</v>
      </c>
      <c r="S567" s="36" t="str">
        <f t="shared" si="185"/>
        <v>MEXICO AEREO</v>
      </c>
      <c r="T567" s="36">
        <f t="shared" si="185"/>
        <v>661</v>
      </c>
      <c r="U567" s="73">
        <v>0.24374999999999999</v>
      </c>
      <c r="V567" s="74">
        <v>0.25694444444444448</v>
      </c>
      <c r="W567" s="75">
        <v>1.3194444444444481E-2</v>
      </c>
      <c r="X567" s="74">
        <v>0.27291666666666664</v>
      </c>
      <c r="Y567" s="75">
        <v>1.5972222222222165E-2</v>
      </c>
      <c r="Z567" s="76">
        <v>41743</v>
      </c>
      <c r="AA567" s="36" t="str">
        <f t="shared" si="186"/>
        <v>Internacional</v>
      </c>
      <c r="AB567" s="36">
        <f t="shared" si="186"/>
        <v>9.944444444444445E-3</v>
      </c>
      <c r="AC567" s="36">
        <f t="shared" si="186"/>
        <v>1.6138888888888883E-2</v>
      </c>
      <c r="AD567" s="36">
        <f t="shared" si="186"/>
        <v>2.6083333333333326E-2</v>
      </c>
      <c r="AE567" s="36" t="str">
        <f t="shared" si="186"/>
        <v>B737-800</v>
      </c>
      <c r="AF567" s="36">
        <f t="shared" si="186"/>
        <v>189</v>
      </c>
      <c r="AG567" s="36" t="str">
        <f t="shared" si="186"/>
        <v>ORD</v>
      </c>
      <c r="AI567">
        <v>553</v>
      </c>
      <c r="AJ567" s="77" t="str">
        <f t="shared" si="180"/>
        <v>MEXICO AEREO</v>
      </c>
      <c r="AK567" s="77">
        <f t="shared" si="180"/>
        <v>276</v>
      </c>
      <c r="AL567" s="78">
        <v>0.25416666666666665</v>
      </c>
      <c r="AM567" s="79">
        <v>0.26944444444444443</v>
      </c>
      <c r="AN567" s="80">
        <v>1.5277777777777779E-2</v>
      </c>
      <c r="AO567" s="79">
        <v>0.29097222222222224</v>
      </c>
      <c r="AP567" s="80">
        <v>2.1527777777777812E-2</v>
      </c>
      <c r="AQ567" s="81">
        <v>41807</v>
      </c>
      <c r="AR567" s="77" t="str">
        <f t="shared" si="182"/>
        <v>Nacional</v>
      </c>
      <c r="AS567" s="77">
        <f t="shared" si="182"/>
        <v>8.0902777777777778E-3</v>
      </c>
      <c r="AT567" s="77">
        <f t="shared" si="182"/>
        <v>9.5138888888888929E-3</v>
      </c>
      <c r="AU567" s="77">
        <f t="shared" si="182"/>
        <v>1.7604166666666671E-2</v>
      </c>
      <c r="AV567" s="77">
        <f t="shared" si="182"/>
        <v>738</v>
      </c>
      <c r="AW567" s="77">
        <f t="shared" si="182"/>
        <v>189</v>
      </c>
      <c r="AX567" s="77" t="str">
        <f t="shared" si="182"/>
        <v>MEX</v>
      </c>
    </row>
    <row r="568" spans="1:50" x14ac:dyDescent="0.25">
      <c r="A568">
        <v>554</v>
      </c>
      <c r="B568" s="36" t="s">
        <v>61</v>
      </c>
      <c r="C568" s="88">
        <v>4560</v>
      </c>
      <c r="D568" s="57">
        <v>0.57361111111111118</v>
      </c>
      <c r="E568" s="57">
        <v>0.57916666666666672</v>
      </c>
      <c r="F568" s="58">
        <v>5.5555555555555358E-3</v>
      </c>
      <c r="G568" s="57">
        <v>0.59166666666666667</v>
      </c>
      <c r="H568" s="58">
        <v>1.2499999999999956E-2</v>
      </c>
      <c r="I568" s="59">
        <v>41720</v>
      </c>
      <c r="J568" s="108" t="s">
        <v>22</v>
      </c>
      <c r="K568" s="61">
        <v>9.3749999999999667E-3</v>
      </c>
      <c r="L568" s="61">
        <v>9.3749999999999667E-3</v>
      </c>
      <c r="M568" s="142">
        <v>1.8749999999999933E-2</v>
      </c>
      <c r="N568" s="90" t="s">
        <v>62</v>
      </c>
      <c r="O568" s="91">
        <v>78</v>
      </c>
      <c r="P568" s="92" t="s">
        <v>63</v>
      </c>
      <c r="R568">
        <v>554</v>
      </c>
      <c r="S568" s="36" t="str">
        <f t="shared" si="185"/>
        <v>MEXICO AEREO</v>
      </c>
      <c r="T568" s="36">
        <f t="shared" si="185"/>
        <v>661</v>
      </c>
      <c r="U568" s="73">
        <v>0.24791666666666667</v>
      </c>
      <c r="V568" s="74">
        <v>0.25833333333333336</v>
      </c>
      <c r="W568" s="75">
        <v>1.0416666666666685E-2</v>
      </c>
      <c r="X568" s="74">
        <v>0.28055555555555556</v>
      </c>
      <c r="Y568" s="75">
        <v>2.2222222222222199E-2</v>
      </c>
      <c r="Z568" s="76">
        <v>41745</v>
      </c>
      <c r="AA568" s="36" t="str">
        <f t="shared" si="186"/>
        <v>Internacional</v>
      </c>
      <c r="AB568" s="36">
        <f t="shared" si="186"/>
        <v>9.944444444444445E-3</v>
      </c>
      <c r="AC568" s="36">
        <f t="shared" si="186"/>
        <v>1.6138888888888883E-2</v>
      </c>
      <c r="AD568" s="36">
        <f t="shared" si="186"/>
        <v>2.6083333333333326E-2</v>
      </c>
      <c r="AE568" s="36" t="str">
        <f t="shared" si="186"/>
        <v>B737-800</v>
      </c>
      <c r="AF568" s="36">
        <f t="shared" si="186"/>
        <v>189</v>
      </c>
      <c r="AG568" s="36" t="str">
        <f t="shared" si="186"/>
        <v>ORD</v>
      </c>
      <c r="AI568">
        <v>554</v>
      </c>
      <c r="AJ568" s="77" t="str">
        <f t="shared" si="180"/>
        <v>MEXICO AEREO</v>
      </c>
      <c r="AK568" s="77">
        <f t="shared" si="180"/>
        <v>276</v>
      </c>
      <c r="AL568" s="78">
        <v>0.38541666666666669</v>
      </c>
      <c r="AM568" s="79">
        <v>0.39444444444444443</v>
      </c>
      <c r="AN568" s="80">
        <v>9.0277777777777457E-3</v>
      </c>
      <c r="AO568" s="79">
        <v>0.40416666666666662</v>
      </c>
      <c r="AP568" s="80">
        <v>9.7222222222221877E-3</v>
      </c>
      <c r="AQ568" s="81">
        <v>41808</v>
      </c>
      <c r="AR568" s="77" t="str">
        <f t="shared" si="182"/>
        <v>Nacional</v>
      </c>
      <c r="AS568" s="77">
        <f t="shared" si="182"/>
        <v>8.0902777777777778E-3</v>
      </c>
      <c r="AT568" s="77">
        <f t="shared" si="182"/>
        <v>9.5138888888888929E-3</v>
      </c>
      <c r="AU568" s="77">
        <f t="shared" si="182"/>
        <v>1.7604166666666671E-2</v>
      </c>
      <c r="AV568" s="77">
        <f t="shared" si="182"/>
        <v>738</v>
      </c>
      <c r="AW568" s="77">
        <f t="shared" si="182"/>
        <v>189</v>
      </c>
      <c r="AX568" s="77" t="str">
        <f t="shared" si="182"/>
        <v>MEX</v>
      </c>
    </row>
    <row r="569" spans="1:50" ht="15.75" thickBot="1" x14ac:dyDescent="0.3">
      <c r="A569">
        <v>555</v>
      </c>
      <c r="B569" s="36" t="str">
        <f t="shared" ref="B569:C592" si="187">B568</f>
        <v>AVIONES ROJOS</v>
      </c>
      <c r="C569" s="36">
        <f>C568</f>
        <v>4560</v>
      </c>
      <c r="D569" s="84">
        <v>0.57638888888888895</v>
      </c>
      <c r="E569" s="84">
        <v>0.58958333333333335</v>
      </c>
      <c r="F569" s="85">
        <v>1.3194444444444398E-2</v>
      </c>
      <c r="G569" s="84">
        <v>0.59583333333333333</v>
      </c>
      <c r="H569" s="85">
        <v>6.2499999999999778E-3</v>
      </c>
      <c r="I569" s="86">
        <v>41727</v>
      </c>
      <c r="J569" s="36" t="str">
        <f t="shared" ref="J569:P569" si="188">J568</f>
        <v>Internacional</v>
      </c>
      <c r="K569" s="36">
        <f t="shared" si="188"/>
        <v>9.3749999999999667E-3</v>
      </c>
      <c r="L569" s="36">
        <f t="shared" si="188"/>
        <v>9.3749999999999667E-3</v>
      </c>
      <c r="M569" s="36">
        <f t="shared" si="188"/>
        <v>1.8749999999999933E-2</v>
      </c>
      <c r="N569" s="36" t="str">
        <f t="shared" si="188"/>
        <v>CR9</v>
      </c>
      <c r="O569" s="36">
        <f t="shared" si="188"/>
        <v>78</v>
      </c>
      <c r="P569" s="36" t="str">
        <f t="shared" si="188"/>
        <v>SLC</v>
      </c>
      <c r="R569">
        <v>555</v>
      </c>
      <c r="S569" s="36" t="str">
        <f t="shared" si="185"/>
        <v>MEXICO AEREO</v>
      </c>
      <c r="T569" s="36">
        <f t="shared" si="185"/>
        <v>661</v>
      </c>
      <c r="U569" s="73">
        <v>0.24930555555555556</v>
      </c>
      <c r="V569" s="74">
        <v>0.26041666666666669</v>
      </c>
      <c r="W569" s="75">
        <v>1.1111111111111127E-2</v>
      </c>
      <c r="X569" s="74">
        <v>0.26666666666666666</v>
      </c>
      <c r="Y569" s="75">
        <v>6.2499999999999778E-3</v>
      </c>
      <c r="Z569" s="76">
        <v>41745</v>
      </c>
      <c r="AA569" s="36" t="str">
        <f t="shared" si="186"/>
        <v>Internacional</v>
      </c>
      <c r="AB569" s="36">
        <f t="shared" si="186"/>
        <v>9.944444444444445E-3</v>
      </c>
      <c r="AC569" s="36">
        <f t="shared" si="186"/>
        <v>1.6138888888888883E-2</v>
      </c>
      <c r="AD569" s="36">
        <f t="shared" si="186"/>
        <v>2.6083333333333326E-2</v>
      </c>
      <c r="AE569" s="36" t="str">
        <f t="shared" si="186"/>
        <v>B737-800</v>
      </c>
      <c r="AF569" s="36">
        <f t="shared" si="186"/>
        <v>189</v>
      </c>
      <c r="AG569" s="36" t="str">
        <f t="shared" si="186"/>
        <v>ORD</v>
      </c>
      <c r="AI569">
        <v>555</v>
      </c>
      <c r="AJ569" s="77" t="str">
        <f t="shared" si="180"/>
        <v>MEXICO AEREO</v>
      </c>
      <c r="AK569" s="77">
        <f t="shared" si="180"/>
        <v>276</v>
      </c>
      <c r="AL569" s="78">
        <v>0.38472222222222219</v>
      </c>
      <c r="AM569" s="79">
        <v>0.38680555555555557</v>
      </c>
      <c r="AN569" s="80">
        <v>2.0833333333333814E-3</v>
      </c>
      <c r="AO569" s="79">
        <v>0.3972222222222222</v>
      </c>
      <c r="AP569" s="80">
        <v>1.041666666666663E-2</v>
      </c>
      <c r="AQ569" s="81">
        <v>41810</v>
      </c>
      <c r="AR569" s="77" t="str">
        <f t="shared" si="182"/>
        <v>Nacional</v>
      </c>
      <c r="AS569" s="77">
        <f t="shared" si="182"/>
        <v>8.0902777777777778E-3</v>
      </c>
      <c r="AT569" s="77">
        <f t="shared" si="182"/>
        <v>9.5138888888888929E-3</v>
      </c>
      <c r="AU569" s="77">
        <f t="shared" si="182"/>
        <v>1.7604166666666671E-2</v>
      </c>
      <c r="AV569" s="77">
        <f t="shared" si="182"/>
        <v>738</v>
      </c>
      <c r="AW569" s="77">
        <f t="shared" si="182"/>
        <v>189</v>
      </c>
      <c r="AX569" s="77" t="str">
        <f t="shared" si="182"/>
        <v>MEX</v>
      </c>
    </row>
    <row r="570" spans="1:50" x14ac:dyDescent="0.25">
      <c r="A570">
        <v>556</v>
      </c>
      <c r="B570" s="36" t="str">
        <f t="shared" si="187"/>
        <v>AVIONES ROJOS</v>
      </c>
      <c r="C570" s="88">
        <v>573</v>
      </c>
      <c r="D570" s="57">
        <v>0.24513888888888888</v>
      </c>
      <c r="E570" s="57">
        <v>0.25069444444444444</v>
      </c>
      <c r="F570" s="58">
        <v>5.5555555555555636E-3</v>
      </c>
      <c r="G570" s="57">
        <v>0.27638888888888885</v>
      </c>
      <c r="H570" s="58">
        <v>2.5694444444444409E-2</v>
      </c>
      <c r="I570" s="59">
        <v>41713</v>
      </c>
      <c r="J570" s="108" t="s">
        <v>22</v>
      </c>
      <c r="K570" s="61">
        <v>7.9861111111111278E-3</v>
      </c>
      <c r="L570" s="61">
        <v>1.7807539682539682E-2</v>
      </c>
      <c r="M570" s="142">
        <v>2.579365079365081E-2</v>
      </c>
      <c r="N570" s="90">
        <v>320</v>
      </c>
      <c r="O570" s="91">
        <v>179</v>
      </c>
      <c r="P570" s="92" t="s">
        <v>40</v>
      </c>
      <c r="R570">
        <v>556</v>
      </c>
      <c r="S570" s="36" t="str">
        <f t="shared" si="185"/>
        <v>MEXICO AEREO</v>
      </c>
      <c r="T570" s="36">
        <f t="shared" si="185"/>
        <v>661</v>
      </c>
      <c r="U570" s="73">
        <v>0.24166666666666667</v>
      </c>
      <c r="V570" s="74">
        <v>0.25138888888888888</v>
      </c>
      <c r="W570" s="75">
        <v>9.7222222222222154E-3</v>
      </c>
      <c r="X570" s="74">
        <v>0.27986111111111112</v>
      </c>
      <c r="Y570" s="75">
        <v>2.8472222222222232E-2</v>
      </c>
      <c r="Z570" s="76">
        <v>41746</v>
      </c>
      <c r="AA570" s="36" t="str">
        <f t="shared" si="186"/>
        <v>Internacional</v>
      </c>
      <c r="AB570" s="36">
        <f t="shared" si="186"/>
        <v>9.944444444444445E-3</v>
      </c>
      <c r="AC570" s="36">
        <f t="shared" si="186"/>
        <v>1.6138888888888883E-2</v>
      </c>
      <c r="AD570" s="36">
        <f t="shared" si="186"/>
        <v>2.6083333333333326E-2</v>
      </c>
      <c r="AE570" s="36" t="str">
        <f t="shared" si="186"/>
        <v>B737-800</v>
      </c>
      <c r="AF570" s="36">
        <f t="shared" si="186"/>
        <v>189</v>
      </c>
      <c r="AG570" s="36" t="str">
        <f t="shared" si="186"/>
        <v>ORD</v>
      </c>
      <c r="AI570">
        <v>556</v>
      </c>
      <c r="AJ570" s="77" t="str">
        <f t="shared" si="180"/>
        <v>MEXICO AEREO</v>
      </c>
      <c r="AK570" s="77">
        <f t="shared" si="180"/>
        <v>276</v>
      </c>
      <c r="AL570" s="78">
        <v>0.38541666666666669</v>
      </c>
      <c r="AM570" s="79">
        <v>0.38819444444444445</v>
      </c>
      <c r="AN570" s="80">
        <v>2.7777777777777679E-3</v>
      </c>
      <c r="AO570" s="79">
        <v>0.39513888888888887</v>
      </c>
      <c r="AP570" s="80">
        <v>6.9444444444444198E-3</v>
      </c>
      <c r="AQ570" s="81">
        <v>41813</v>
      </c>
      <c r="AR570" s="77" t="str">
        <f t="shared" si="182"/>
        <v>Nacional</v>
      </c>
      <c r="AS570" s="77">
        <f t="shared" si="182"/>
        <v>8.0902777777777778E-3</v>
      </c>
      <c r="AT570" s="77">
        <f t="shared" si="182"/>
        <v>9.5138888888888929E-3</v>
      </c>
      <c r="AU570" s="77">
        <f t="shared" si="182"/>
        <v>1.7604166666666671E-2</v>
      </c>
      <c r="AV570" s="77">
        <f t="shared" si="182"/>
        <v>738</v>
      </c>
      <c r="AW570" s="77">
        <f t="shared" si="182"/>
        <v>189</v>
      </c>
      <c r="AX570" s="77" t="str">
        <f t="shared" si="182"/>
        <v>MEX</v>
      </c>
    </row>
    <row r="571" spans="1:50" ht="15.75" thickBot="1" x14ac:dyDescent="0.3">
      <c r="A571">
        <v>557</v>
      </c>
      <c r="B571" s="36" t="str">
        <f t="shared" si="187"/>
        <v>AVIONES ROJOS</v>
      </c>
      <c r="C571" s="36">
        <f t="shared" si="187"/>
        <v>573</v>
      </c>
      <c r="D571" s="74">
        <v>0.23472222222222219</v>
      </c>
      <c r="E571" s="74">
        <v>0.24305555555555555</v>
      </c>
      <c r="F571" s="75">
        <v>8.3333333333333592E-3</v>
      </c>
      <c r="G571" s="74">
        <v>0.26041666666666669</v>
      </c>
      <c r="H571" s="75">
        <v>1.7361111111111133E-2</v>
      </c>
      <c r="I571" s="76">
        <v>41715</v>
      </c>
      <c r="J571" s="36" t="str">
        <f t="shared" ref="J571:P583" si="189">J570</f>
        <v>Internacional</v>
      </c>
      <c r="K571" s="36">
        <f t="shared" si="189"/>
        <v>7.9861111111111278E-3</v>
      </c>
      <c r="L571" s="36">
        <f t="shared" si="189"/>
        <v>1.7807539682539682E-2</v>
      </c>
      <c r="M571" s="36">
        <f t="shared" si="189"/>
        <v>2.579365079365081E-2</v>
      </c>
      <c r="N571" s="36">
        <f t="shared" si="189"/>
        <v>320</v>
      </c>
      <c r="O571" s="36">
        <f t="shared" si="189"/>
        <v>179</v>
      </c>
      <c r="P571" s="36" t="str">
        <f t="shared" si="189"/>
        <v>LAX</v>
      </c>
      <c r="R571">
        <v>557</v>
      </c>
      <c r="S571" s="36" t="str">
        <f t="shared" si="185"/>
        <v>MEXICO AEREO</v>
      </c>
      <c r="T571" s="36">
        <f t="shared" si="185"/>
        <v>661</v>
      </c>
      <c r="U571" s="73">
        <v>0.25763888888888892</v>
      </c>
      <c r="V571" s="74">
        <v>0.26180555555555557</v>
      </c>
      <c r="W571" s="75">
        <v>4.1666666666666519E-3</v>
      </c>
      <c r="X571" s="74">
        <v>0.27638888888888885</v>
      </c>
      <c r="Y571" s="75">
        <v>1.4583333333333282E-2</v>
      </c>
      <c r="Z571" s="76">
        <v>41749</v>
      </c>
      <c r="AA571" s="36" t="str">
        <f t="shared" si="186"/>
        <v>Internacional</v>
      </c>
      <c r="AB571" s="36">
        <f t="shared" si="186"/>
        <v>9.944444444444445E-3</v>
      </c>
      <c r="AC571" s="36">
        <f t="shared" si="186"/>
        <v>1.6138888888888883E-2</v>
      </c>
      <c r="AD571" s="36">
        <f t="shared" si="186"/>
        <v>2.6083333333333326E-2</v>
      </c>
      <c r="AE571" s="36" t="str">
        <f t="shared" si="186"/>
        <v>B737-800</v>
      </c>
      <c r="AF571" s="36">
        <f t="shared" si="186"/>
        <v>189</v>
      </c>
      <c r="AG571" s="36" t="str">
        <f t="shared" si="186"/>
        <v>ORD</v>
      </c>
      <c r="AI571">
        <v>557</v>
      </c>
      <c r="AJ571" s="77" t="str">
        <f t="shared" si="180"/>
        <v>MEXICO AEREO</v>
      </c>
      <c r="AK571" s="77">
        <f t="shared" si="180"/>
        <v>276</v>
      </c>
      <c r="AL571" s="94">
        <v>0.38472222222222219</v>
      </c>
      <c r="AM571" s="95">
        <v>0.39166666666666666</v>
      </c>
      <c r="AN571" s="96">
        <v>6.9444444444444753E-3</v>
      </c>
      <c r="AO571" s="95">
        <v>0.39652777777777781</v>
      </c>
      <c r="AP571" s="96">
        <v>4.8611111111111494E-3</v>
      </c>
      <c r="AQ571" s="97">
        <v>41812</v>
      </c>
      <c r="AR571" s="77" t="str">
        <f t="shared" si="182"/>
        <v>Nacional</v>
      </c>
      <c r="AS571" s="77">
        <f t="shared" si="182"/>
        <v>8.0902777777777778E-3</v>
      </c>
      <c r="AT571" s="77">
        <f t="shared" si="182"/>
        <v>9.5138888888888929E-3</v>
      </c>
      <c r="AU571" s="77">
        <f t="shared" si="182"/>
        <v>1.7604166666666671E-2</v>
      </c>
      <c r="AV571" s="77">
        <f t="shared" si="182"/>
        <v>738</v>
      </c>
      <c r="AW571" s="77">
        <f t="shared" si="182"/>
        <v>189</v>
      </c>
      <c r="AX571" s="77" t="str">
        <f t="shared" si="182"/>
        <v>MEX</v>
      </c>
    </row>
    <row r="572" spans="1:50" x14ac:dyDescent="0.25">
      <c r="A572">
        <v>558</v>
      </c>
      <c r="B572" s="36" t="str">
        <f t="shared" si="187"/>
        <v>AVIONES ROJOS</v>
      </c>
      <c r="C572" s="36">
        <f t="shared" si="187"/>
        <v>573</v>
      </c>
      <c r="D572" s="74">
        <v>0.24305555555555555</v>
      </c>
      <c r="E572" s="74">
        <v>0.25347222222222221</v>
      </c>
      <c r="F572" s="75">
        <v>1.0416666666666657E-2</v>
      </c>
      <c r="G572" s="74">
        <v>0.28055555555555556</v>
      </c>
      <c r="H572" s="75">
        <v>2.7083333333333348E-2</v>
      </c>
      <c r="I572" s="76">
        <v>41716</v>
      </c>
      <c r="J572" s="36" t="str">
        <f t="shared" si="189"/>
        <v>Internacional</v>
      </c>
      <c r="K572" s="36">
        <f t="shared" si="189"/>
        <v>7.9861111111111278E-3</v>
      </c>
      <c r="L572" s="36">
        <f t="shared" si="189"/>
        <v>1.7807539682539682E-2</v>
      </c>
      <c r="M572" s="36">
        <f t="shared" si="189"/>
        <v>2.579365079365081E-2</v>
      </c>
      <c r="N572" s="36">
        <f t="shared" si="189"/>
        <v>320</v>
      </c>
      <c r="O572" s="36">
        <f t="shared" si="189"/>
        <v>179</v>
      </c>
      <c r="P572" s="36" t="str">
        <f t="shared" si="189"/>
        <v>LAX</v>
      </c>
      <c r="R572">
        <v>558</v>
      </c>
      <c r="S572" s="36" t="str">
        <f t="shared" si="185"/>
        <v>MEXICO AEREO</v>
      </c>
      <c r="T572" s="36">
        <f t="shared" si="185"/>
        <v>661</v>
      </c>
      <c r="U572" s="73">
        <v>0.26874999999999999</v>
      </c>
      <c r="V572" s="74">
        <v>0.28263888888888888</v>
      </c>
      <c r="W572" s="75">
        <v>1.3888888888888895E-2</v>
      </c>
      <c r="X572" s="74">
        <v>0.2902777777777778</v>
      </c>
      <c r="Y572" s="75">
        <v>7.6388888888889173E-3</v>
      </c>
      <c r="Z572" s="76">
        <v>41749</v>
      </c>
      <c r="AA572" s="36" t="str">
        <f t="shared" si="186"/>
        <v>Internacional</v>
      </c>
      <c r="AB572" s="36">
        <f t="shared" si="186"/>
        <v>9.944444444444445E-3</v>
      </c>
      <c r="AC572" s="36">
        <f t="shared" si="186"/>
        <v>1.6138888888888883E-2</v>
      </c>
      <c r="AD572" s="36">
        <f t="shared" si="186"/>
        <v>2.6083333333333326E-2</v>
      </c>
      <c r="AE572" s="36" t="str">
        <f t="shared" si="186"/>
        <v>B737-800</v>
      </c>
      <c r="AF572" s="36">
        <f t="shared" si="186"/>
        <v>189</v>
      </c>
      <c r="AG572" s="36" t="str">
        <f t="shared" si="186"/>
        <v>ORD</v>
      </c>
      <c r="AI572">
        <v>558</v>
      </c>
      <c r="AJ572" s="77" t="str">
        <f t="shared" si="180"/>
        <v>MEXICO AEREO</v>
      </c>
      <c r="AK572" s="63">
        <v>252</v>
      </c>
      <c r="AL572" s="155">
        <v>0.70833333333333337</v>
      </c>
      <c r="AM572" s="156">
        <v>0.73055555555555562</v>
      </c>
      <c r="AN572" s="157">
        <v>2.2222222222222254E-2</v>
      </c>
      <c r="AO572" s="156">
        <v>0.74097222222222225</v>
      </c>
      <c r="AP572" s="157">
        <v>1.041666666666663E-2</v>
      </c>
      <c r="AQ572" s="158">
        <v>41791</v>
      </c>
      <c r="AR572" s="68" t="s">
        <v>19</v>
      </c>
      <c r="AS572" s="69">
        <v>7.0216049382716235E-3</v>
      </c>
      <c r="AT572" s="159">
        <v>6.3271604938271624E-3</v>
      </c>
      <c r="AU572" s="159">
        <v>1.3348765432098786E-2</v>
      </c>
      <c r="AV572" s="160">
        <v>738</v>
      </c>
      <c r="AW572" s="160">
        <v>189</v>
      </c>
      <c r="AX572" s="160" t="s">
        <v>21</v>
      </c>
    </row>
    <row r="573" spans="1:50" x14ac:dyDescent="0.25">
      <c r="A573">
        <v>559</v>
      </c>
      <c r="B573" s="36" t="str">
        <f t="shared" si="187"/>
        <v>AVIONES ROJOS</v>
      </c>
      <c r="C573" s="36">
        <f t="shared" si="187"/>
        <v>573</v>
      </c>
      <c r="D573" s="74">
        <v>0.23263888888888887</v>
      </c>
      <c r="E573" s="74">
        <v>0.23819444444444446</v>
      </c>
      <c r="F573" s="75">
        <v>5.5555555555555913E-3</v>
      </c>
      <c r="G573" s="74">
        <v>0.25</v>
      </c>
      <c r="H573" s="75">
        <v>1.1805555555555541E-2</v>
      </c>
      <c r="I573" s="76">
        <v>41717</v>
      </c>
      <c r="J573" s="36" t="str">
        <f t="shared" si="189"/>
        <v>Internacional</v>
      </c>
      <c r="K573" s="36">
        <f t="shared" si="189"/>
        <v>7.9861111111111278E-3</v>
      </c>
      <c r="L573" s="36">
        <f t="shared" si="189"/>
        <v>1.7807539682539682E-2</v>
      </c>
      <c r="M573" s="36">
        <f t="shared" si="189"/>
        <v>2.579365079365081E-2</v>
      </c>
      <c r="N573" s="36">
        <f t="shared" si="189"/>
        <v>320</v>
      </c>
      <c r="O573" s="36">
        <f t="shared" si="189"/>
        <v>179</v>
      </c>
      <c r="P573" s="36" t="str">
        <f t="shared" si="189"/>
        <v>LAX</v>
      </c>
      <c r="R573">
        <v>559</v>
      </c>
      <c r="S573" s="36" t="str">
        <f t="shared" si="185"/>
        <v>MEXICO AEREO</v>
      </c>
      <c r="T573" s="36">
        <f t="shared" si="185"/>
        <v>661</v>
      </c>
      <c r="U573" s="73">
        <v>0.2590277777777778</v>
      </c>
      <c r="V573" s="74">
        <v>0.26666666666666666</v>
      </c>
      <c r="W573" s="75">
        <v>7.6388888888888618E-3</v>
      </c>
      <c r="X573" s="74">
        <v>0.29166666666666669</v>
      </c>
      <c r="Y573" s="75">
        <v>2.5000000000000022E-2</v>
      </c>
      <c r="Z573" s="76">
        <v>41751</v>
      </c>
      <c r="AA573" s="36" t="str">
        <f t="shared" si="186"/>
        <v>Internacional</v>
      </c>
      <c r="AB573" s="36">
        <f t="shared" si="186"/>
        <v>9.944444444444445E-3</v>
      </c>
      <c r="AC573" s="36">
        <f t="shared" si="186"/>
        <v>1.6138888888888883E-2</v>
      </c>
      <c r="AD573" s="36">
        <f t="shared" si="186"/>
        <v>2.6083333333333326E-2</v>
      </c>
      <c r="AE573" s="36" t="str">
        <f t="shared" si="186"/>
        <v>B737-800</v>
      </c>
      <c r="AF573" s="36">
        <f t="shared" si="186"/>
        <v>189</v>
      </c>
      <c r="AG573" s="36" t="str">
        <f t="shared" si="186"/>
        <v>ORD</v>
      </c>
      <c r="AI573">
        <v>559</v>
      </c>
      <c r="AJ573" s="77" t="str">
        <f t="shared" si="180"/>
        <v>MEXICO AEREO</v>
      </c>
      <c r="AK573" s="77">
        <f t="shared" si="180"/>
        <v>252</v>
      </c>
      <c r="AL573" s="78">
        <v>0.75138888888888899</v>
      </c>
      <c r="AM573" s="79">
        <v>0.75555555555555554</v>
      </c>
      <c r="AN573" s="80">
        <v>4.1666666666665408E-3</v>
      </c>
      <c r="AO573" s="79">
        <v>0.7597222222222223</v>
      </c>
      <c r="AP573" s="80">
        <v>4.1666666666667629E-3</v>
      </c>
      <c r="AQ573" s="81">
        <v>41792</v>
      </c>
      <c r="AR573" s="77" t="str">
        <f t="shared" ref="AR573:AX589" si="190">AR572</f>
        <v>Nacional</v>
      </c>
      <c r="AS573" s="77">
        <f t="shared" si="190"/>
        <v>7.0216049382716235E-3</v>
      </c>
      <c r="AT573" s="77">
        <f t="shared" si="190"/>
        <v>6.3271604938271624E-3</v>
      </c>
      <c r="AU573" s="77">
        <f t="shared" si="190"/>
        <v>1.3348765432098786E-2</v>
      </c>
      <c r="AV573" s="77">
        <f t="shared" si="190"/>
        <v>738</v>
      </c>
      <c r="AW573" s="77">
        <f t="shared" si="190"/>
        <v>189</v>
      </c>
      <c r="AX573" s="77" t="str">
        <f t="shared" si="190"/>
        <v>MEX</v>
      </c>
    </row>
    <row r="574" spans="1:50" x14ac:dyDescent="0.25">
      <c r="A574">
        <v>560</v>
      </c>
      <c r="B574" s="36" t="str">
        <f t="shared" si="187"/>
        <v>AVIONES ROJOS</v>
      </c>
      <c r="C574" s="36">
        <f t="shared" si="187"/>
        <v>573</v>
      </c>
      <c r="D574" s="74">
        <v>0.23263888888888887</v>
      </c>
      <c r="E574" s="74">
        <v>0.23680555555555557</v>
      </c>
      <c r="F574" s="75">
        <v>4.1666666666667074E-3</v>
      </c>
      <c r="G574" s="74">
        <v>0.24791666666666667</v>
      </c>
      <c r="H574" s="75">
        <v>1.1111111111111099E-2</v>
      </c>
      <c r="I574" s="76">
        <v>41719</v>
      </c>
      <c r="J574" s="36" t="str">
        <f t="shared" si="189"/>
        <v>Internacional</v>
      </c>
      <c r="K574" s="36">
        <f t="shared" si="189"/>
        <v>7.9861111111111278E-3</v>
      </c>
      <c r="L574" s="36">
        <f t="shared" si="189"/>
        <v>1.7807539682539682E-2</v>
      </c>
      <c r="M574" s="36">
        <f t="shared" si="189"/>
        <v>2.579365079365081E-2</v>
      </c>
      <c r="N574" s="36">
        <f t="shared" si="189"/>
        <v>320</v>
      </c>
      <c r="O574" s="36">
        <f t="shared" si="189"/>
        <v>179</v>
      </c>
      <c r="P574" s="36" t="str">
        <f t="shared" si="189"/>
        <v>LAX</v>
      </c>
      <c r="R574">
        <v>560</v>
      </c>
      <c r="S574" s="36" t="str">
        <f t="shared" si="185"/>
        <v>MEXICO AEREO</v>
      </c>
      <c r="T574" s="36">
        <f t="shared" si="185"/>
        <v>661</v>
      </c>
      <c r="U574" s="73">
        <v>0.24236111111111111</v>
      </c>
      <c r="V574" s="74">
        <v>0.25763888888888892</v>
      </c>
      <c r="W574" s="75">
        <v>1.5277777777777807E-2</v>
      </c>
      <c r="X574" s="74">
        <v>0.27152777777777776</v>
      </c>
      <c r="Y574" s="75">
        <v>1.388888888888884E-2</v>
      </c>
      <c r="Z574" s="76">
        <v>41752</v>
      </c>
      <c r="AA574" s="36" t="str">
        <f t="shared" si="186"/>
        <v>Internacional</v>
      </c>
      <c r="AB574" s="36">
        <f t="shared" si="186"/>
        <v>9.944444444444445E-3</v>
      </c>
      <c r="AC574" s="36">
        <f t="shared" si="186"/>
        <v>1.6138888888888883E-2</v>
      </c>
      <c r="AD574" s="36">
        <f t="shared" si="186"/>
        <v>2.6083333333333326E-2</v>
      </c>
      <c r="AE574" s="36" t="str">
        <f t="shared" si="186"/>
        <v>B737-800</v>
      </c>
      <c r="AF574" s="36">
        <f t="shared" si="186"/>
        <v>189</v>
      </c>
      <c r="AG574" s="36" t="str">
        <f t="shared" si="186"/>
        <v>ORD</v>
      </c>
      <c r="AI574">
        <v>560</v>
      </c>
      <c r="AJ574" s="77" t="str">
        <f t="shared" si="180"/>
        <v>MEXICO AEREO</v>
      </c>
      <c r="AK574" s="77">
        <f t="shared" si="180"/>
        <v>252</v>
      </c>
      <c r="AL574" s="78">
        <v>0.72222222222222221</v>
      </c>
      <c r="AM574" s="79">
        <v>0.72777777777777775</v>
      </c>
      <c r="AN574" s="80">
        <v>5.5555555555555358E-3</v>
      </c>
      <c r="AO574" s="79">
        <v>0.73333333333333339</v>
      </c>
      <c r="AP574" s="80">
        <v>5.5555555555556468E-3</v>
      </c>
      <c r="AQ574" s="81">
        <v>41793</v>
      </c>
      <c r="AR574" s="77" t="str">
        <f t="shared" si="190"/>
        <v>Nacional</v>
      </c>
      <c r="AS574" s="77">
        <f t="shared" si="190"/>
        <v>7.0216049382716235E-3</v>
      </c>
      <c r="AT574" s="77">
        <f t="shared" si="190"/>
        <v>6.3271604938271624E-3</v>
      </c>
      <c r="AU574" s="77">
        <f t="shared" si="190"/>
        <v>1.3348765432098786E-2</v>
      </c>
      <c r="AV574" s="77">
        <f t="shared" si="190"/>
        <v>738</v>
      </c>
      <c r="AW574" s="77">
        <f t="shared" si="190"/>
        <v>189</v>
      </c>
      <c r="AX574" s="77" t="str">
        <f t="shared" si="190"/>
        <v>MEX</v>
      </c>
    </row>
    <row r="575" spans="1:50" x14ac:dyDescent="0.25">
      <c r="A575">
        <v>561</v>
      </c>
      <c r="B575" s="36" t="str">
        <f t="shared" si="187"/>
        <v>AVIONES ROJOS</v>
      </c>
      <c r="C575" s="36">
        <f t="shared" si="187"/>
        <v>573</v>
      </c>
      <c r="D575" s="74">
        <v>0.24305555555555555</v>
      </c>
      <c r="E575" s="74">
        <v>0.24513888888888888</v>
      </c>
      <c r="F575" s="75">
        <v>2.0833333333333259E-3</v>
      </c>
      <c r="G575" s="74">
        <v>0.27152777777777776</v>
      </c>
      <c r="H575" s="75">
        <v>2.6388888888888878E-2</v>
      </c>
      <c r="I575" s="76">
        <v>41719</v>
      </c>
      <c r="J575" s="36" t="str">
        <f t="shared" si="189"/>
        <v>Internacional</v>
      </c>
      <c r="K575" s="36">
        <f t="shared" si="189"/>
        <v>7.9861111111111278E-3</v>
      </c>
      <c r="L575" s="36">
        <f t="shared" si="189"/>
        <v>1.7807539682539682E-2</v>
      </c>
      <c r="M575" s="36">
        <f t="shared" si="189"/>
        <v>2.579365079365081E-2</v>
      </c>
      <c r="N575" s="36">
        <f t="shared" si="189"/>
        <v>320</v>
      </c>
      <c r="O575" s="36">
        <f t="shared" si="189"/>
        <v>179</v>
      </c>
      <c r="P575" s="36" t="str">
        <f t="shared" si="189"/>
        <v>LAX</v>
      </c>
      <c r="R575">
        <v>561</v>
      </c>
      <c r="S575" s="36" t="str">
        <f t="shared" si="185"/>
        <v>MEXICO AEREO</v>
      </c>
      <c r="T575" s="36">
        <f t="shared" si="185"/>
        <v>661</v>
      </c>
      <c r="U575" s="73">
        <v>0.25833333333333336</v>
      </c>
      <c r="V575" s="74">
        <v>0.26111111111111113</v>
      </c>
      <c r="W575" s="75">
        <v>2.7777777777777679E-3</v>
      </c>
      <c r="X575" s="74">
        <v>0.27638888888888885</v>
      </c>
      <c r="Y575" s="75">
        <v>1.5277777777777724E-2</v>
      </c>
      <c r="Z575" s="76">
        <v>41752</v>
      </c>
      <c r="AA575" s="36" t="str">
        <f t="shared" si="186"/>
        <v>Internacional</v>
      </c>
      <c r="AB575" s="36">
        <f t="shared" si="186"/>
        <v>9.944444444444445E-3</v>
      </c>
      <c r="AC575" s="36">
        <f t="shared" si="186"/>
        <v>1.6138888888888883E-2</v>
      </c>
      <c r="AD575" s="36">
        <f t="shared" si="186"/>
        <v>2.6083333333333326E-2</v>
      </c>
      <c r="AE575" s="36" t="str">
        <f t="shared" si="186"/>
        <v>B737-800</v>
      </c>
      <c r="AF575" s="36">
        <f t="shared" si="186"/>
        <v>189</v>
      </c>
      <c r="AG575" s="36" t="str">
        <f t="shared" si="186"/>
        <v>ORD</v>
      </c>
      <c r="AI575">
        <v>561</v>
      </c>
      <c r="AJ575" s="77" t="str">
        <f t="shared" si="180"/>
        <v>MEXICO AEREO</v>
      </c>
      <c r="AK575" s="77">
        <f t="shared" si="180"/>
        <v>252</v>
      </c>
      <c r="AL575" s="78">
        <v>0.74861111111111101</v>
      </c>
      <c r="AM575" s="79">
        <v>0.75347222222222221</v>
      </c>
      <c r="AN575" s="80">
        <v>4.8611111111112049E-3</v>
      </c>
      <c r="AO575" s="79">
        <v>0.76388888888888884</v>
      </c>
      <c r="AP575" s="80">
        <v>1.041666666666663E-2</v>
      </c>
      <c r="AQ575" s="81">
        <v>41794</v>
      </c>
      <c r="AR575" s="77" t="str">
        <f t="shared" si="190"/>
        <v>Nacional</v>
      </c>
      <c r="AS575" s="77">
        <f t="shared" si="190"/>
        <v>7.0216049382716235E-3</v>
      </c>
      <c r="AT575" s="77">
        <f t="shared" si="190"/>
        <v>6.3271604938271624E-3</v>
      </c>
      <c r="AU575" s="77">
        <f t="shared" si="190"/>
        <v>1.3348765432098786E-2</v>
      </c>
      <c r="AV575" s="77">
        <f t="shared" si="190"/>
        <v>738</v>
      </c>
      <c r="AW575" s="77">
        <f t="shared" si="190"/>
        <v>189</v>
      </c>
      <c r="AX575" s="77" t="str">
        <f t="shared" si="190"/>
        <v>MEX</v>
      </c>
    </row>
    <row r="576" spans="1:50" x14ac:dyDescent="0.25">
      <c r="A576">
        <v>562</v>
      </c>
      <c r="B576" s="36" t="str">
        <f t="shared" si="187"/>
        <v>AVIONES ROJOS</v>
      </c>
      <c r="C576" s="36">
        <f t="shared" si="187"/>
        <v>573</v>
      </c>
      <c r="D576" s="74">
        <v>0.23194444444444443</v>
      </c>
      <c r="E576" s="74">
        <v>0.2388888888888889</v>
      </c>
      <c r="F576" s="75">
        <v>6.9444444444444753E-3</v>
      </c>
      <c r="G576" s="74">
        <v>0.2638888888888889</v>
      </c>
      <c r="H576" s="75">
        <v>2.4999999999999994E-2</v>
      </c>
      <c r="I576" s="76">
        <v>41721</v>
      </c>
      <c r="J576" s="36" t="str">
        <f t="shared" si="189"/>
        <v>Internacional</v>
      </c>
      <c r="K576" s="36">
        <f t="shared" si="189"/>
        <v>7.9861111111111278E-3</v>
      </c>
      <c r="L576" s="36">
        <f t="shared" si="189"/>
        <v>1.7807539682539682E-2</v>
      </c>
      <c r="M576" s="36">
        <f t="shared" si="189"/>
        <v>2.579365079365081E-2</v>
      </c>
      <c r="N576" s="36">
        <f t="shared" si="189"/>
        <v>320</v>
      </c>
      <c r="O576" s="36">
        <f t="shared" si="189"/>
        <v>179</v>
      </c>
      <c r="P576" s="36" t="str">
        <f t="shared" si="189"/>
        <v>LAX</v>
      </c>
      <c r="R576">
        <v>562</v>
      </c>
      <c r="S576" s="36" t="str">
        <f t="shared" si="185"/>
        <v>MEXICO AEREO</v>
      </c>
      <c r="T576" s="36">
        <f t="shared" si="185"/>
        <v>661</v>
      </c>
      <c r="U576" s="73">
        <v>0.24305555555555555</v>
      </c>
      <c r="V576" s="74">
        <v>0.25</v>
      </c>
      <c r="W576" s="75">
        <v>6.9444444444444475E-3</v>
      </c>
      <c r="X576" s="74">
        <v>0.25347222222222221</v>
      </c>
      <c r="Y576" s="75">
        <v>3.4722222222222099E-3</v>
      </c>
      <c r="Z576" s="76">
        <v>41754</v>
      </c>
      <c r="AA576" s="36" t="str">
        <f t="shared" si="186"/>
        <v>Internacional</v>
      </c>
      <c r="AB576" s="36">
        <f t="shared" si="186"/>
        <v>9.944444444444445E-3</v>
      </c>
      <c r="AC576" s="36">
        <f t="shared" si="186"/>
        <v>1.6138888888888883E-2</v>
      </c>
      <c r="AD576" s="36">
        <f t="shared" si="186"/>
        <v>2.6083333333333326E-2</v>
      </c>
      <c r="AE576" s="36" t="str">
        <f t="shared" si="186"/>
        <v>B737-800</v>
      </c>
      <c r="AF576" s="36">
        <f t="shared" si="186"/>
        <v>189</v>
      </c>
      <c r="AG576" s="36" t="str">
        <f t="shared" si="186"/>
        <v>ORD</v>
      </c>
      <c r="AI576">
        <v>562</v>
      </c>
      <c r="AJ576" s="77" t="str">
        <f t="shared" si="180"/>
        <v>MEXICO AEREO</v>
      </c>
      <c r="AK576" s="77">
        <f t="shared" si="180"/>
        <v>252</v>
      </c>
      <c r="AL576" s="78">
        <v>0.71875</v>
      </c>
      <c r="AM576" s="79">
        <v>0.72430555555555554</v>
      </c>
      <c r="AN576" s="80">
        <v>5.5555555555555358E-3</v>
      </c>
      <c r="AO576" s="79">
        <v>0.72986111111111107</v>
      </c>
      <c r="AP576" s="80">
        <v>5.5555555555555358E-3</v>
      </c>
      <c r="AQ576" s="81">
        <v>41795</v>
      </c>
      <c r="AR576" s="77" t="str">
        <f t="shared" si="190"/>
        <v>Nacional</v>
      </c>
      <c r="AS576" s="77">
        <f t="shared" si="190"/>
        <v>7.0216049382716235E-3</v>
      </c>
      <c r="AT576" s="77">
        <f t="shared" si="190"/>
        <v>6.3271604938271624E-3</v>
      </c>
      <c r="AU576" s="77">
        <f t="shared" si="190"/>
        <v>1.3348765432098786E-2</v>
      </c>
      <c r="AV576" s="77">
        <f t="shared" si="190"/>
        <v>738</v>
      </c>
      <c r="AW576" s="77">
        <f t="shared" si="190"/>
        <v>189</v>
      </c>
      <c r="AX576" s="77" t="str">
        <f t="shared" si="190"/>
        <v>MEX</v>
      </c>
    </row>
    <row r="577" spans="1:50" x14ac:dyDescent="0.25">
      <c r="A577">
        <v>563</v>
      </c>
      <c r="B577" s="36" t="str">
        <f t="shared" si="187"/>
        <v>AVIONES ROJOS</v>
      </c>
      <c r="C577" s="36">
        <f t="shared" si="187"/>
        <v>573</v>
      </c>
      <c r="D577" s="74">
        <v>0.22916666666666666</v>
      </c>
      <c r="E577" s="74">
        <v>0.2388888888888889</v>
      </c>
      <c r="F577" s="75">
        <v>9.7222222222222432E-3</v>
      </c>
      <c r="G577" s="74">
        <v>0.25833333333333336</v>
      </c>
      <c r="H577" s="75">
        <v>1.9444444444444459E-2</v>
      </c>
      <c r="I577" s="76">
        <v>41722</v>
      </c>
      <c r="J577" s="36" t="str">
        <f t="shared" si="189"/>
        <v>Internacional</v>
      </c>
      <c r="K577" s="36">
        <f t="shared" si="189"/>
        <v>7.9861111111111278E-3</v>
      </c>
      <c r="L577" s="36">
        <f t="shared" si="189"/>
        <v>1.7807539682539682E-2</v>
      </c>
      <c r="M577" s="36">
        <f t="shared" si="189"/>
        <v>2.579365079365081E-2</v>
      </c>
      <c r="N577" s="36">
        <f t="shared" si="189"/>
        <v>320</v>
      </c>
      <c r="O577" s="36">
        <f t="shared" si="189"/>
        <v>179</v>
      </c>
      <c r="P577" s="36" t="str">
        <f t="shared" si="189"/>
        <v>LAX</v>
      </c>
      <c r="R577">
        <v>563</v>
      </c>
      <c r="S577" s="36" t="str">
        <f t="shared" si="185"/>
        <v>MEXICO AEREO</v>
      </c>
      <c r="T577" s="36">
        <f t="shared" si="185"/>
        <v>661</v>
      </c>
      <c r="U577" s="73">
        <v>0.26319444444444445</v>
      </c>
      <c r="V577" s="74">
        <v>0.27361111111111108</v>
      </c>
      <c r="W577" s="75">
        <v>1.041666666666663E-2</v>
      </c>
      <c r="X577" s="74">
        <v>0.3</v>
      </c>
      <c r="Y577" s="75">
        <v>2.6388888888888906E-2</v>
      </c>
      <c r="Z577" s="76">
        <v>41755</v>
      </c>
      <c r="AA577" s="36" t="str">
        <f t="shared" si="186"/>
        <v>Internacional</v>
      </c>
      <c r="AB577" s="36">
        <f t="shared" si="186"/>
        <v>9.944444444444445E-3</v>
      </c>
      <c r="AC577" s="36">
        <f t="shared" si="186"/>
        <v>1.6138888888888883E-2</v>
      </c>
      <c r="AD577" s="36">
        <f t="shared" si="186"/>
        <v>2.6083333333333326E-2</v>
      </c>
      <c r="AE577" s="36" t="str">
        <f t="shared" si="186"/>
        <v>B737-800</v>
      </c>
      <c r="AF577" s="36">
        <f t="shared" si="186"/>
        <v>189</v>
      </c>
      <c r="AG577" s="36" t="str">
        <f t="shared" si="186"/>
        <v>ORD</v>
      </c>
      <c r="AI577">
        <v>563</v>
      </c>
      <c r="AJ577" s="77" t="str">
        <f t="shared" si="180"/>
        <v>MEXICO AEREO</v>
      </c>
      <c r="AK577" s="77">
        <f t="shared" si="180"/>
        <v>252</v>
      </c>
      <c r="AL577" s="78">
        <v>0.71666666666666667</v>
      </c>
      <c r="AM577" s="79">
        <v>0.72222222222222221</v>
      </c>
      <c r="AN577" s="80">
        <v>5.5555555555555358E-3</v>
      </c>
      <c r="AO577" s="79">
        <v>0.7270833333333333</v>
      </c>
      <c r="AP577" s="80">
        <v>4.8611111111110938E-3</v>
      </c>
      <c r="AQ577" s="81">
        <v>41796</v>
      </c>
      <c r="AR577" s="77" t="str">
        <f t="shared" si="190"/>
        <v>Nacional</v>
      </c>
      <c r="AS577" s="77">
        <f t="shared" si="190"/>
        <v>7.0216049382716235E-3</v>
      </c>
      <c r="AT577" s="77">
        <f t="shared" si="190"/>
        <v>6.3271604938271624E-3</v>
      </c>
      <c r="AU577" s="77">
        <f t="shared" si="190"/>
        <v>1.3348765432098786E-2</v>
      </c>
      <c r="AV577" s="77">
        <f t="shared" si="190"/>
        <v>738</v>
      </c>
      <c r="AW577" s="77">
        <f t="shared" si="190"/>
        <v>189</v>
      </c>
      <c r="AX577" s="77" t="str">
        <f t="shared" si="190"/>
        <v>MEX</v>
      </c>
    </row>
    <row r="578" spans="1:50" x14ac:dyDescent="0.25">
      <c r="A578">
        <v>564</v>
      </c>
      <c r="B578" s="36" t="str">
        <f t="shared" si="187"/>
        <v>AVIONES ROJOS</v>
      </c>
      <c r="C578" s="36">
        <f t="shared" si="187"/>
        <v>573</v>
      </c>
      <c r="D578" s="74">
        <v>0.2388888888888889</v>
      </c>
      <c r="E578" s="74">
        <v>0.24444444444444446</v>
      </c>
      <c r="F578" s="75">
        <v>5.5555555555555636E-3</v>
      </c>
      <c r="G578" s="74">
        <v>0.25069444444444444</v>
      </c>
      <c r="H578" s="75">
        <v>6.2499999999999778E-3</v>
      </c>
      <c r="I578" s="76">
        <v>41723</v>
      </c>
      <c r="J578" s="36" t="str">
        <f t="shared" si="189"/>
        <v>Internacional</v>
      </c>
      <c r="K578" s="36">
        <f t="shared" si="189"/>
        <v>7.9861111111111278E-3</v>
      </c>
      <c r="L578" s="36">
        <f t="shared" si="189"/>
        <v>1.7807539682539682E-2</v>
      </c>
      <c r="M578" s="36">
        <f t="shared" si="189"/>
        <v>2.579365079365081E-2</v>
      </c>
      <c r="N578" s="36">
        <f t="shared" si="189"/>
        <v>320</v>
      </c>
      <c r="O578" s="36">
        <f t="shared" si="189"/>
        <v>179</v>
      </c>
      <c r="P578" s="36" t="str">
        <f t="shared" si="189"/>
        <v>LAX</v>
      </c>
      <c r="R578">
        <v>564</v>
      </c>
      <c r="S578" s="36" t="str">
        <f t="shared" si="185"/>
        <v>MEXICO AEREO</v>
      </c>
      <c r="T578" s="36">
        <f t="shared" si="185"/>
        <v>661</v>
      </c>
      <c r="U578" s="73">
        <v>0.25208333333333333</v>
      </c>
      <c r="V578" s="74">
        <v>0.28125</v>
      </c>
      <c r="W578" s="75">
        <v>2.9166666666666674E-2</v>
      </c>
      <c r="X578" s="74">
        <v>0.29444444444444445</v>
      </c>
      <c r="Y578" s="75">
        <v>1.3194444444444453E-2</v>
      </c>
      <c r="Z578" s="76">
        <v>41756</v>
      </c>
      <c r="AA578" s="36" t="str">
        <f t="shared" si="186"/>
        <v>Internacional</v>
      </c>
      <c r="AB578" s="36">
        <f t="shared" si="186"/>
        <v>9.944444444444445E-3</v>
      </c>
      <c r="AC578" s="36">
        <f t="shared" si="186"/>
        <v>1.6138888888888883E-2</v>
      </c>
      <c r="AD578" s="36">
        <f t="shared" si="186"/>
        <v>2.6083333333333326E-2</v>
      </c>
      <c r="AE578" s="36" t="str">
        <f t="shared" si="186"/>
        <v>B737-800</v>
      </c>
      <c r="AF578" s="36">
        <f t="shared" si="186"/>
        <v>189</v>
      </c>
      <c r="AG578" s="36" t="str">
        <f t="shared" si="186"/>
        <v>ORD</v>
      </c>
      <c r="AI578">
        <v>564</v>
      </c>
      <c r="AJ578" s="77" t="str">
        <f t="shared" si="180"/>
        <v>MEXICO AEREO</v>
      </c>
      <c r="AK578" s="77">
        <f t="shared" si="180"/>
        <v>252</v>
      </c>
      <c r="AL578" s="78">
        <v>0.7090277777777777</v>
      </c>
      <c r="AM578" s="79">
        <v>0.71527777777777779</v>
      </c>
      <c r="AN578" s="80">
        <v>6.2500000000000888E-3</v>
      </c>
      <c r="AO578" s="79">
        <v>0.72222222222222221</v>
      </c>
      <c r="AP578" s="80">
        <v>6.9444444444444198E-3</v>
      </c>
      <c r="AQ578" s="81">
        <v>41798</v>
      </c>
      <c r="AR578" s="77" t="str">
        <f t="shared" si="190"/>
        <v>Nacional</v>
      </c>
      <c r="AS578" s="77">
        <f t="shared" si="190"/>
        <v>7.0216049382716235E-3</v>
      </c>
      <c r="AT578" s="77">
        <f t="shared" si="190"/>
        <v>6.3271604938271624E-3</v>
      </c>
      <c r="AU578" s="77">
        <f t="shared" si="190"/>
        <v>1.3348765432098786E-2</v>
      </c>
      <c r="AV578" s="77">
        <f t="shared" si="190"/>
        <v>738</v>
      </c>
      <c r="AW578" s="77">
        <f t="shared" si="190"/>
        <v>189</v>
      </c>
      <c r="AX578" s="77" t="str">
        <f t="shared" si="190"/>
        <v>MEX</v>
      </c>
    </row>
    <row r="579" spans="1:50" x14ac:dyDescent="0.25">
      <c r="A579">
        <v>565</v>
      </c>
      <c r="B579" s="36" t="str">
        <f t="shared" si="187"/>
        <v>AVIONES ROJOS</v>
      </c>
      <c r="C579" s="36">
        <f t="shared" si="187"/>
        <v>573</v>
      </c>
      <c r="D579" s="74">
        <v>0.23333333333333331</v>
      </c>
      <c r="E579" s="74">
        <v>0.24513888888888888</v>
      </c>
      <c r="F579" s="75">
        <v>1.1805555555555569E-2</v>
      </c>
      <c r="G579" s="74">
        <v>0.24930555555555556</v>
      </c>
      <c r="H579" s="75">
        <v>4.1666666666666796E-3</v>
      </c>
      <c r="I579" s="76">
        <v>41724</v>
      </c>
      <c r="J579" s="36" t="str">
        <f t="shared" si="189"/>
        <v>Internacional</v>
      </c>
      <c r="K579" s="36">
        <f t="shared" si="189"/>
        <v>7.9861111111111278E-3</v>
      </c>
      <c r="L579" s="36">
        <f t="shared" si="189"/>
        <v>1.7807539682539682E-2</v>
      </c>
      <c r="M579" s="36">
        <f t="shared" si="189"/>
        <v>2.579365079365081E-2</v>
      </c>
      <c r="N579" s="36">
        <f t="shared" si="189"/>
        <v>320</v>
      </c>
      <c r="O579" s="36">
        <f t="shared" si="189"/>
        <v>179</v>
      </c>
      <c r="P579" s="36" t="str">
        <f t="shared" si="189"/>
        <v>LAX</v>
      </c>
      <c r="R579">
        <v>565</v>
      </c>
      <c r="S579" s="36" t="str">
        <f t="shared" si="185"/>
        <v>MEXICO AEREO</v>
      </c>
      <c r="T579" s="36">
        <f t="shared" si="185"/>
        <v>661</v>
      </c>
      <c r="U579" s="73">
        <v>0.25277777777777777</v>
      </c>
      <c r="V579" s="74">
        <v>0.25833333333333336</v>
      </c>
      <c r="W579" s="75">
        <v>5.5555555555555913E-3</v>
      </c>
      <c r="X579" s="74">
        <v>0.27430555555555552</v>
      </c>
      <c r="Y579" s="75">
        <v>1.5972222222222165E-2</v>
      </c>
      <c r="Z579" s="76">
        <v>41757</v>
      </c>
      <c r="AA579" s="36" t="str">
        <f t="shared" si="186"/>
        <v>Internacional</v>
      </c>
      <c r="AB579" s="36">
        <f t="shared" si="186"/>
        <v>9.944444444444445E-3</v>
      </c>
      <c r="AC579" s="36">
        <f t="shared" si="186"/>
        <v>1.6138888888888883E-2</v>
      </c>
      <c r="AD579" s="36">
        <f t="shared" si="186"/>
        <v>2.6083333333333326E-2</v>
      </c>
      <c r="AE579" s="36" t="str">
        <f t="shared" si="186"/>
        <v>B737-800</v>
      </c>
      <c r="AF579" s="36">
        <f t="shared" si="186"/>
        <v>189</v>
      </c>
      <c r="AG579" s="36" t="str">
        <f t="shared" si="186"/>
        <v>ORD</v>
      </c>
      <c r="AI579">
        <v>565</v>
      </c>
      <c r="AJ579" s="77" t="str">
        <f t="shared" si="180"/>
        <v>MEXICO AEREO</v>
      </c>
      <c r="AK579" s="77">
        <f t="shared" si="180"/>
        <v>252</v>
      </c>
      <c r="AL579" s="78">
        <v>0.72291666666666676</v>
      </c>
      <c r="AM579" s="79">
        <v>0.72777777777777775</v>
      </c>
      <c r="AN579" s="80">
        <v>4.8611111111109828E-3</v>
      </c>
      <c r="AO579" s="79">
        <v>0.73472222222222217</v>
      </c>
      <c r="AP579" s="80">
        <v>6.9444444444444198E-3</v>
      </c>
      <c r="AQ579" s="81">
        <v>41799</v>
      </c>
      <c r="AR579" s="77" t="str">
        <f t="shared" si="190"/>
        <v>Nacional</v>
      </c>
      <c r="AS579" s="77">
        <f t="shared" si="190"/>
        <v>7.0216049382716235E-3</v>
      </c>
      <c r="AT579" s="77">
        <f t="shared" si="190"/>
        <v>6.3271604938271624E-3</v>
      </c>
      <c r="AU579" s="77">
        <f t="shared" si="190"/>
        <v>1.3348765432098786E-2</v>
      </c>
      <c r="AV579" s="77">
        <f t="shared" si="190"/>
        <v>738</v>
      </c>
      <c r="AW579" s="77">
        <f t="shared" si="190"/>
        <v>189</v>
      </c>
      <c r="AX579" s="77" t="str">
        <f t="shared" si="190"/>
        <v>MEX</v>
      </c>
    </row>
    <row r="580" spans="1:50" x14ac:dyDescent="0.25">
      <c r="A580">
        <v>566</v>
      </c>
      <c r="B580" s="36" t="str">
        <f t="shared" si="187"/>
        <v>AVIONES ROJOS</v>
      </c>
      <c r="C580" s="36">
        <f t="shared" si="187"/>
        <v>573</v>
      </c>
      <c r="D580" s="74">
        <v>0.23055555555555554</v>
      </c>
      <c r="E580" s="74">
        <v>0.25486111111111109</v>
      </c>
      <c r="F580" s="75">
        <v>2.4305555555555552E-2</v>
      </c>
      <c r="G580" s="74">
        <v>0.28055555555555556</v>
      </c>
      <c r="H580" s="75">
        <v>2.5694444444444464E-2</v>
      </c>
      <c r="I580" s="76">
        <v>41725</v>
      </c>
      <c r="J580" s="36" t="str">
        <f t="shared" si="189"/>
        <v>Internacional</v>
      </c>
      <c r="K580" s="36">
        <f t="shared" si="189"/>
        <v>7.9861111111111278E-3</v>
      </c>
      <c r="L580" s="36">
        <f t="shared" si="189"/>
        <v>1.7807539682539682E-2</v>
      </c>
      <c r="M580" s="36">
        <f t="shared" si="189"/>
        <v>2.579365079365081E-2</v>
      </c>
      <c r="N580" s="36">
        <f t="shared" si="189"/>
        <v>320</v>
      </c>
      <c r="O580" s="36">
        <f t="shared" si="189"/>
        <v>179</v>
      </c>
      <c r="P580" s="36" t="str">
        <f t="shared" si="189"/>
        <v>LAX</v>
      </c>
      <c r="R580">
        <v>566</v>
      </c>
      <c r="S580" s="36" t="str">
        <f t="shared" si="185"/>
        <v>MEXICO AEREO</v>
      </c>
      <c r="T580" s="36">
        <f t="shared" si="185"/>
        <v>661</v>
      </c>
      <c r="U580" s="73">
        <v>0.26666666666666666</v>
      </c>
      <c r="V580" s="74">
        <v>0.27777777777777779</v>
      </c>
      <c r="W580" s="75">
        <v>1.1111111111111127E-2</v>
      </c>
      <c r="X580" s="74">
        <v>0.29583333333333334</v>
      </c>
      <c r="Y580" s="75">
        <v>1.8055555555555547E-2</v>
      </c>
      <c r="Z580" s="76">
        <v>41759</v>
      </c>
      <c r="AA580" s="36" t="str">
        <f t="shared" si="186"/>
        <v>Internacional</v>
      </c>
      <c r="AB580" s="36">
        <f t="shared" si="186"/>
        <v>9.944444444444445E-3</v>
      </c>
      <c r="AC580" s="36">
        <f t="shared" si="186"/>
        <v>1.6138888888888883E-2</v>
      </c>
      <c r="AD580" s="36">
        <f t="shared" si="186"/>
        <v>2.6083333333333326E-2</v>
      </c>
      <c r="AE580" s="36" t="str">
        <f t="shared" si="186"/>
        <v>B737-800</v>
      </c>
      <c r="AF580" s="36">
        <f t="shared" si="186"/>
        <v>189</v>
      </c>
      <c r="AG580" s="36" t="str">
        <f t="shared" si="186"/>
        <v>ORD</v>
      </c>
      <c r="AI580">
        <v>566</v>
      </c>
      <c r="AJ580" s="77" t="str">
        <f t="shared" si="180"/>
        <v>MEXICO AEREO</v>
      </c>
      <c r="AK580" s="77">
        <f t="shared" si="180"/>
        <v>252</v>
      </c>
      <c r="AL580" s="78">
        <v>0.70347222222222217</v>
      </c>
      <c r="AM580" s="79">
        <v>0.7090277777777777</v>
      </c>
      <c r="AN580" s="80">
        <v>5.5555555555555358E-3</v>
      </c>
      <c r="AO580" s="79">
        <v>0.71111111111111114</v>
      </c>
      <c r="AP580" s="80">
        <v>2.083333333333437E-3</v>
      </c>
      <c r="AQ580" s="81">
        <v>41801</v>
      </c>
      <c r="AR580" s="77" t="str">
        <f t="shared" si="190"/>
        <v>Nacional</v>
      </c>
      <c r="AS580" s="77">
        <f t="shared" si="190"/>
        <v>7.0216049382716235E-3</v>
      </c>
      <c r="AT580" s="77">
        <f t="shared" si="190"/>
        <v>6.3271604938271624E-3</v>
      </c>
      <c r="AU580" s="77">
        <f t="shared" si="190"/>
        <v>1.3348765432098786E-2</v>
      </c>
      <c r="AV580" s="77">
        <f t="shared" si="190"/>
        <v>738</v>
      </c>
      <c r="AW580" s="77">
        <f t="shared" si="190"/>
        <v>189</v>
      </c>
      <c r="AX580" s="77" t="str">
        <f t="shared" si="190"/>
        <v>MEX</v>
      </c>
    </row>
    <row r="581" spans="1:50" ht="15.75" thickBot="1" x14ac:dyDescent="0.3">
      <c r="A581">
        <v>567</v>
      </c>
      <c r="B581" s="36" t="str">
        <f t="shared" si="187"/>
        <v>AVIONES ROJOS</v>
      </c>
      <c r="C581" s="36">
        <f t="shared" si="187"/>
        <v>573</v>
      </c>
      <c r="D581" s="74">
        <v>0.23333333333333331</v>
      </c>
      <c r="E581" s="74">
        <v>0.23750000000000002</v>
      </c>
      <c r="F581" s="75">
        <v>4.1666666666667074E-3</v>
      </c>
      <c r="G581" s="74">
        <v>0.25208333333333333</v>
      </c>
      <c r="H581" s="75">
        <v>1.4583333333333309E-2</v>
      </c>
      <c r="I581" s="76">
        <v>41727</v>
      </c>
      <c r="J581" s="36" t="str">
        <f t="shared" si="189"/>
        <v>Internacional</v>
      </c>
      <c r="K581" s="36">
        <f t="shared" si="189"/>
        <v>7.9861111111111278E-3</v>
      </c>
      <c r="L581" s="36">
        <f t="shared" si="189"/>
        <v>1.7807539682539682E-2</v>
      </c>
      <c r="M581" s="36">
        <f t="shared" si="189"/>
        <v>2.579365079365081E-2</v>
      </c>
      <c r="N581" s="36">
        <f t="shared" si="189"/>
        <v>320</v>
      </c>
      <c r="O581" s="36">
        <f t="shared" si="189"/>
        <v>179</v>
      </c>
      <c r="P581" s="36" t="str">
        <f t="shared" si="189"/>
        <v>LAX</v>
      </c>
      <c r="R581">
        <v>567</v>
      </c>
      <c r="S581" s="36" t="str">
        <f t="shared" si="185"/>
        <v>MEXICO AEREO</v>
      </c>
      <c r="T581" s="36">
        <f t="shared" si="185"/>
        <v>661</v>
      </c>
      <c r="U581" s="83">
        <v>0.63541666666666663</v>
      </c>
      <c r="V581" s="84">
        <v>0.64097222222222217</v>
      </c>
      <c r="W581" s="85">
        <v>5.5555555555555358E-3</v>
      </c>
      <c r="X581" s="84">
        <v>0.64583333333333337</v>
      </c>
      <c r="Y581" s="85">
        <v>4.8611111111112049E-3</v>
      </c>
      <c r="Z581" s="86">
        <v>41743</v>
      </c>
      <c r="AA581" s="36" t="str">
        <f t="shared" si="186"/>
        <v>Internacional</v>
      </c>
      <c r="AB581" s="36">
        <f t="shared" si="186"/>
        <v>9.944444444444445E-3</v>
      </c>
      <c r="AC581" s="36">
        <f t="shared" si="186"/>
        <v>1.6138888888888883E-2</v>
      </c>
      <c r="AD581" s="36">
        <f t="shared" si="186"/>
        <v>2.6083333333333326E-2</v>
      </c>
      <c r="AE581" s="36" t="str">
        <f t="shared" si="186"/>
        <v>B737-800</v>
      </c>
      <c r="AF581" s="36">
        <f t="shared" si="186"/>
        <v>189</v>
      </c>
      <c r="AG581" s="36" t="str">
        <f t="shared" si="186"/>
        <v>ORD</v>
      </c>
      <c r="AI581">
        <v>567</v>
      </c>
      <c r="AJ581" s="77" t="str">
        <f t="shared" si="180"/>
        <v>MEXICO AEREO</v>
      </c>
      <c r="AK581" s="77">
        <f t="shared" si="180"/>
        <v>252</v>
      </c>
      <c r="AL581" s="78">
        <v>0.98888888888888893</v>
      </c>
      <c r="AM581" s="79">
        <v>0.99652777777777779</v>
      </c>
      <c r="AN581" s="80">
        <v>7.6388888888888618E-3</v>
      </c>
      <c r="AO581" s="79">
        <v>1.0013888888888889</v>
      </c>
      <c r="AP581" s="80">
        <v>4.8611111111110938E-3</v>
      </c>
      <c r="AQ581" s="81">
        <v>41801</v>
      </c>
      <c r="AR581" s="77" t="str">
        <f t="shared" si="190"/>
        <v>Nacional</v>
      </c>
      <c r="AS581" s="77">
        <f t="shared" si="190"/>
        <v>7.0216049382716235E-3</v>
      </c>
      <c r="AT581" s="77">
        <f t="shared" si="190"/>
        <v>6.3271604938271624E-3</v>
      </c>
      <c r="AU581" s="77">
        <f t="shared" si="190"/>
        <v>1.3348765432098786E-2</v>
      </c>
      <c r="AV581" s="77">
        <f t="shared" si="190"/>
        <v>738</v>
      </c>
      <c r="AW581" s="77">
        <f t="shared" si="190"/>
        <v>189</v>
      </c>
      <c r="AX581" s="77" t="str">
        <f t="shared" si="190"/>
        <v>MEX</v>
      </c>
    </row>
    <row r="582" spans="1:50" x14ac:dyDescent="0.25">
      <c r="A582">
        <v>568</v>
      </c>
      <c r="B582" s="36" t="str">
        <f t="shared" si="187"/>
        <v>AVIONES ROJOS</v>
      </c>
      <c r="C582" s="36">
        <f t="shared" si="187"/>
        <v>573</v>
      </c>
      <c r="D582" s="74">
        <v>0.24097222222222223</v>
      </c>
      <c r="E582" s="74">
        <v>0.24861111111111112</v>
      </c>
      <c r="F582" s="75">
        <v>7.6388888888888895E-3</v>
      </c>
      <c r="G582" s="74">
        <v>0.25763888888888892</v>
      </c>
      <c r="H582" s="75">
        <v>9.0277777777778012E-3</v>
      </c>
      <c r="I582" s="76">
        <v>41728</v>
      </c>
      <c r="J582" s="36" t="str">
        <f t="shared" si="189"/>
        <v>Internacional</v>
      </c>
      <c r="K582" s="36">
        <f t="shared" si="189"/>
        <v>7.9861111111111278E-3</v>
      </c>
      <c r="L582" s="36">
        <f t="shared" si="189"/>
        <v>1.7807539682539682E-2</v>
      </c>
      <c r="M582" s="36">
        <f t="shared" si="189"/>
        <v>2.579365079365081E-2</v>
      </c>
      <c r="N582" s="36">
        <f t="shared" si="189"/>
        <v>320</v>
      </c>
      <c r="O582" s="36">
        <f t="shared" si="189"/>
        <v>179</v>
      </c>
      <c r="P582" s="36" t="str">
        <f t="shared" si="189"/>
        <v>LAX</v>
      </c>
      <c r="R582">
        <v>568</v>
      </c>
      <c r="S582" s="36" t="str">
        <f t="shared" si="185"/>
        <v>MEXICO AEREO</v>
      </c>
      <c r="T582" s="55">
        <v>466</v>
      </c>
      <c r="U582" s="56">
        <v>0.93263888888888891</v>
      </c>
      <c r="V582" s="57">
        <v>0.93958333333333333</v>
      </c>
      <c r="W582" s="58">
        <v>6.9444444444444198E-3</v>
      </c>
      <c r="X582" s="57">
        <v>0.9458333333333333</v>
      </c>
      <c r="Y582" s="58">
        <v>6.2499999999999778E-3</v>
      </c>
      <c r="Z582" s="59">
        <v>41730</v>
      </c>
      <c r="AA582" s="60" t="s">
        <v>19</v>
      </c>
      <c r="AB582" s="61">
        <v>5.6286549707602546E-3</v>
      </c>
      <c r="AC582" s="61">
        <v>8.9181286549707469E-3</v>
      </c>
      <c r="AD582" s="62">
        <v>1.4546783625731002E-2</v>
      </c>
      <c r="AE582" s="109" t="s">
        <v>45</v>
      </c>
      <c r="AF582" s="109">
        <v>126</v>
      </c>
      <c r="AG582" s="109" t="s">
        <v>21</v>
      </c>
      <c r="AI582">
        <v>568</v>
      </c>
      <c r="AJ582" s="77" t="str">
        <f t="shared" si="180"/>
        <v>MEXICO AEREO</v>
      </c>
      <c r="AK582" s="77">
        <f t="shared" si="180"/>
        <v>252</v>
      </c>
      <c r="AL582" s="78">
        <v>0.25069444444444444</v>
      </c>
      <c r="AM582" s="79">
        <v>0.26458333333333334</v>
      </c>
      <c r="AN582" s="80">
        <v>1.3888888888888895E-2</v>
      </c>
      <c r="AO582" s="79">
        <v>0.27083333333333331</v>
      </c>
      <c r="AP582" s="80">
        <v>6.2499999999999778E-3</v>
      </c>
      <c r="AQ582" s="81">
        <v>41802</v>
      </c>
      <c r="AR582" s="77" t="str">
        <f t="shared" si="190"/>
        <v>Nacional</v>
      </c>
      <c r="AS582" s="77">
        <f t="shared" si="190"/>
        <v>7.0216049382716235E-3</v>
      </c>
      <c r="AT582" s="77">
        <f t="shared" si="190"/>
        <v>6.3271604938271624E-3</v>
      </c>
      <c r="AU582" s="77">
        <f t="shared" si="190"/>
        <v>1.3348765432098786E-2</v>
      </c>
      <c r="AV582" s="77">
        <f t="shared" si="190"/>
        <v>738</v>
      </c>
      <c r="AW582" s="77">
        <f t="shared" si="190"/>
        <v>189</v>
      </c>
      <c r="AX582" s="77" t="str">
        <f t="shared" si="190"/>
        <v>MEX</v>
      </c>
    </row>
    <row r="583" spans="1:50" ht="15.75" thickBot="1" x14ac:dyDescent="0.3">
      <c r="A583">
        <v>569</v>
      </c>
      <c r="B583" s="36" t="str">
        <f t="shared" si="187"/>
        <v>AVIONES ROJOS</v>
      </c>
      <c r="C583" s="36">
        <f t="shared" si="187"/>
        <v>573</v>
      </c>
      <c r="D583" s="84">
        <v>0.23124999999999998</v>
      </c>
      <c r="E583" s="84">
        <v>0.23680555555555557</v>
      </c>
      <c r="F583" s="85">
        <v>5.5555555555555913E-3</v>
      </c>
      <c r="G583" s="84">
        <v>0.26250000000000001</v>
      </c>
      <c r="H583" s="85">
        <v>2.5694444444444436E-2</v>
      </c>
      <c r="I583" s="86">
        <v>41724</v>
      </c>
      <c r="J583" s="36" t="str">
        <f t="shared" si="189"/>
        <v>Internacional</v>
      </c>
      <c r="K583" s="36">
        <f t="shared" si="189"/>
        <v>7.9861111111111278E-3</v>
      </c>
      <c r="L583" s="36">
        <f t="shared" si="189"/>
        <v>1.7807539682539682E-2</v>
      </c>
      <c r="M583" s="36">
        <f t="shared" si="189"/>
        <v>2.579365079365081E-2</v>
      </c>
      <c r="N583" s="36">
        <f t="shared" si="189"/>
        <v>320</v>
      </c>
      <c r="O583" s="36">
        <f t="shared" si="189"/>
        <v>179</v>
      </c>
      <c r="P583" s="36" t="str">
        <f t="shared" si="189"/>
        <v>LAX</v>
      </c>
      <c r="R583">
        <v>569</v>
      </c>
      <c r="S583" s="36" t="str">
        <f t="shared" si="185"/>
        <v>MEXICO AEREO</v>
      </c>
      <c r="T583" s="36">
        <f t="shared" si="185"/>
        <v>466</v>
      </c>
      <c r="U583" s="73">
        <v>0.90138888888888891</v>
      </c>
      <c r="V583" s="74">
        <v>0.90763888888888899</v>
      </c>
      <c r="W583" s="75">
        <v>6.2500000000000888E-3</v>
      </c>
      <c r="X583" s="74">
        <v>0.92361111111111116</v>
      </c>
      <c r="Y583" s="75">
        <v>1.5972222222222165E-2</v>
      </c>
      <c r="Z583" s="76">
        <v>41731</v>
      </c>
      <c r="AA583" s="36" t="str">
        <f t="shared" ref="AA583:AG599" si="191">AA582</f>
        <v>Nacional</v>
      </c>
      <c r="AB583" s="36">
        <f t="shared" si="191"/>
        <v>5.6286549707602546E-3</v>
      </c>
      <c r="AC583" s="36">
        <f t="shared" si="191"/>
        <v>8.9181286549707469E-3</v>
      </c>
      <c r="AD583" s="36">
        <f t="shared" si="191"/>
        <v>1.4546783625731002E-2</v>
      </c>
      <c r="AE583" s="36" t="str">
        <f t="shared" si="191"/>
        <v>B737-700</v>
      </c>
      <c r="AF583" s="36">
        <f t="shared" si="191"/>
        <v>126</v>
      </c>
      <c r="AG583" s="36" t="str">
        <f t="shared" si="191"/>
        <v>MEX</v>
      </c>
      <c r="AI583">
        <v>569</v>
      </c>
      <c r="AJ583" s="77" t="str">
        <f t="shared" si="180"/>
        <v>MEXICO AEREO</v>
      </c>
      <c r="AK583" s="77">
        <f t="shared" si="180"/>
        <v>252</v>
      </c>
      <c r="AL583" s="78">
        <v>0.54722222222222217</v>
      </c>
      <c r="AM583" s="79">
        <v>0.54791666666666672</v>
      </c>
      <c r="AN583" s="80">
        <v>6.94444444444553E-4</v>
      </c>
      <c r="AO583" s="79">
        <v>0.54999999999999993</v>
      </c>
      <c r="AP583" s="80">
        <v>2.0833333333332149E-3</v>
      </c>
      <c r="AQ583" s="81">
        <v>41803</v>
      </c>
      <c r="AR583" s="77" t="str">
        <f t="shared" si="190"/>
        <v>Nacional</v>
      </c>
      <c r="AS583" s="77">
        <f t="shared" si="190"/>
        <v>7.0216049382716235E-3</v>
      </c>
      <c r="AT583" s="77">
        <f t="shared" si="190"/>
        <v>6.3271604938271624E-3</v>
      </c>
      <c r="AU583" s="77">
        <f t="shared" si="190"/>
        <v>1.3348765432098786E-2</v>
      </c>
      <c r="AV583" s="77">
        <f t="shared" si="190"/>
        <v>738</v>
      </c>
      <c r="AW583" s="77">
        <f t="shared" si="190"/>
        <v>189</v>
      </c>
      <c r="AX583" s="77" t="str">
        <f t="shared" si="190"/>
        <v>MEX</v>
      </c>
    </row>
    <row r="584" spans="1:50" x14ac:dyDescent="0.25">
      <c r="A584">
        <v>570</v>
      </c>
      <c r="B584" s="36" t="str">
        <f t="shared" si="187"/>
        <v>AVIONES ROJOS</v>
      </c>
      <c r="C584" s="88">
        <v>109</v>
      </c>
      <c r="D584" s="57">
        <v>0.84444444444444444</v>
      </c>
      <c r="E584" s="57">
        <v>0.85</v>
      </c>
      <c r="F584" s="58">
        <v>5.5555555555555358E-3</v>
      </c>
      <c r="G584" s="57">
        <v>0.875</v>
      </c>
      <c r="H584" s="58">
        <v>2.5000000000000022E-2</v>
      </c>
      <c r="I584" s="59">
        <v>41715</v>
      </c>
      <c r="J584" s="108" t="s">
        <v>22</v>
      </c>
      <c r="K584" s="61">
        <v>7.6388888888889606E-3</v>
      </c>
      <c r="L584" s="61">
        <v>1.9212962962962918E-2</v>
      </c>
      <c r="M584" s="142">
        <v>2.6851851851851877E-2</v>
      </c>
      <c r="N584" s="90">
        <v>320</v>
      </c>
      <c r="O584" s="91">
        <v>179</v>
      </c>
      <c r="P584" s="92" t="s">
        <v>64</v>
      </c>
      <c r="R584">
        <v>570</v>
      </c>
      <c r="S584" s="36" t="str">
        <f t="shared" si="185"/>
        <v>MEXICO AEREO</v>
      </c>
      <c r="T584" s="36">
        <f t="shared" si="185"/>
        <v>466</v>
      </c>
      <c r="U584" s="73">
        <v>0.95694444444444438</v>
      </c>
      <c r="V584" s="74">
        <v>0.96111111111111114</v>
      </c>
      <c r="W584" s="75">
        <v>4.1666666666667629E-3</v>
      </c>
      <c r="X584" s="74">
        <v>0.97152777777777777</v>
      </c>
      <c r="Y584" s="75">
        <v>1.041666666666663E-2</v>
      </c>
      <c r="Z584" s="76">
        <v>41732</v>
      </c>
      <c r="AA584" s="36" t="str">
        <f t="shared" si="191"/>
        <v>Nacional</v>
      </c>
      <c r="AB584" s="36">
        <f t="shared" si="191"/>
        <v>5.6286549707602546E-3</v>
      </c>
      <c r="AC584" s="36">
        <f t="shared" si="191"/>
        <v>8.9181286549707469E-3</v>
      </c>
      <c r="AD584" s="36">
        <f t="shared" si="191"/>
        <v>1.4546783625731002E-2</v>
      </c>
      <c r="AE584" s="36" t="str">
        <f t="shared" si="191"/>
        <v>B737-700</v>
      </c>
      <c r="AF584" s="36">
        <f t="shared" si="191"/>
        <v>126</v>
      </c>
      <c r="AG584" s="36" t="str">
        <f t="shared" si="191"/>
        <v>MEX</v>
      </c>
      <c r="AI584">
        <v>570</v>
      </c>
      <c r="AJ584" s="77" t="str">
        <f t="shared" si="180"/>
        <v>MEXICO AEREO</v>
      </c>
      <c r="AK584" s="77">
        <f t="shared" si="180"/>
        <v>252</v>
      </c>
      <c r="AL584" s="78">
        <v>0.45833333333333331</v>
      </c>
      <c r="AM584" s="79">
        <v>0.46875</v>
      </c>
      <c r="AN584" s="80">
        <v>1.0416666666666685E-2</v>
      </c>
      <c r="AO584" s="79">
        <v>0.47291666666666665</v>
      </c>
      <c r="AP584" s="80">
        <v>4.1666666666666519E-3</v>
      </c>
      <c r="AQ584" s="81">
        <v>41805</v>
      </c>
      <c r="AR584" s="77" t="str">
        <f t="shared" si="190"/>
        <v>Nacional</v>
      </c>
      <c r="AS584" s="77">
        <f t="shared" si="190"/>
        <v>7.0216049382716235E-3</v>
      </c>
      <c r="AT584" s="77">
        <f t="shared" si="190"/>
        <v>6.3271604938271624E-3</v>
      </c>
      <c r="AU584" s="77">
        <f t="shared" si="190"/>
        <v>1.3348765432098786E-2</v>
      </c>
      <c r="AV584" s="77">
        <f t="shared" si="190"/>
        <v>738</v>
      </c>
      <c r="AW584" s="77">
        <f t="shared" si="190"/>
        <v>189</v>
      </c>
      <c r="AX584" s="77" t="str">
        <f t="shared" si="190"/>
        <v>MEX</v>
      </c>
    </row>
    <row r="585" spans="1:50" ht="15.75" thickBot="1" x14ac:dyDescent="0.3">
      <c r="A585">
        <v>571</v>
      </c>
      <c r="B585" s="36" t="str">
        <f t="shared" si="187"/>
        <v>AVIONES ROJOS</v>
      </c>
      <c r="C585" s="36">
        <f t="shared" si="187"/>
        <v>109</v>
      </c>
      <c r="D585" s="74">
        <v>0.92291666666666661</v>
      </c>
      <c r="E585" s="74">
        <v>0.92708333333333337</v>
      </c>
      <c r="F585" s="75">
        <v>4.1666666666667629E-3</v>
      </c>
      <c r="G585" s="74">
        <v>0.94305555555555554</v>
      </c>
      <c r="H585" s="75">
        <v>1.5972222222222165E-2</v>
      </c>
      <c r="I585" s="76">
        <v>41717</v>
      </c>
      <c r="J585" s="36" t="str">
        <f t="shared" ref="J585:P592" si="192">J584</f>
        <v>Internacional</v>
      </c>
      <c r="K585" s="36">
        <f t="shared" si="192"/>
        <v>7.6388888888889606E-3</v>
      </c>
      <c r="L585" s="36">
        <f t="shared" si="192"/>
        <v>1.9212962962962918E-2</v>
      </c>
      <c r="M585" s="36">
        <f t="shared" si="192"/>
        <v>2.6851851851851877E-2</v>
      </c>
      <c r="N585" s="36">
        <f t="shared" si="192"/>
        <v>320</v>
      </c>
      <c r="O585" s="36">
        <f t="shared" si="192"/>
        <v>179</v>
      </c>
      <c r="P585" s="36" t="str">
        <f t="shared" si="192"/>
        <v>ATL</v>
      </c>
      <c r="R585">
        <v>571</v>
      </c>
      <c r="S585" s="36" t="str">
        <f t="shared" si="185"/>
        <v>MEXICO AEREO</v>
      </c>
      <c r="T585" s="36">
        <f t="shared" si="185"/>
        <v>466</v>
      </c>
      <c r="U585" s="73">
        <v>0.88888888888888884</v>
      </c>
      <c r="V585" s="74">
        <v>0.89583333333333337</v>
      </c>
      <c r="W585" s="75">
        <v>6.9444444444445308E-3</v>
      </c>
      <c r="X585" s="74">
        <v>0.91527777777777775</v>
      </c>
      <c r="Y585" s="75">
        <v>1.9444444444444375E-2</v>
      </c>
      <c r="Z585" s="76">
        <v>41736</v>
      </c>
      <c r="AA585" s="36" t="str">
        <f t="shared" si="191"/>
        <v>Nacional</v>
      </c>
      <c r="AB585" s="36">
        <f t="shared" si="191"/>
        <v>5.6286549707602546E-3</v>
      </c>
      <c r="AC585" s="36">
        <f t="shared" si="191"/>
        <v>8.9181286549707469E-3</v>
      </c>
      <c r="AD585" s="36">
        <f t="shared" si="191"/>
        <v>1.4546783625731002E-2</v>
      </c>
      <c r="AE585" s="36" t="str">
        <f t="shared" si="191"/>
        <v>B737-700</v>
      </c>
      <c r="AF585" s="36">
        <f t="shared" si="191"/>
        <v>126</v>
      </c>
      <c r="AG585" s="36" t="str">
        <f t="shared" si="191"/>
        <v>MEX</v>
      </c>
      <c r="AI585">
        <v>571</v>
      </c>
      <c r="AJ585" s="77" t="str">
        <f t="shared" si="180"/>
        <v>MEXICO AEREO</v>
      </c>
      <c r="AK585" s="77">
        <f t="shared" si="180"/>
        <v>252</v>
      </c>
      <c r="AL585" s="78">
        <v>0.26527777777777778</v>
      </c>
      <c r="AM585" s="79">
        <v>0.2673611111111111</v>
      </c>
      <c r="AN585" s="80">
        <v>2.0833333333333259E-3</v>
      </c>
      <c r="AO585" s="79">
        <v>0.27083333333333331</v>
      </c>
      <c r="AP585" s="80">
        <v>3.4722222222222099E-3</v>
      </c>
      <c r="AQ585" s="81">
        <v>41806</v>
      </c>
      <c r="AR585" s="77" t="str">
        <f t="shared" si="190"/>
        <v>Nacional</v>
      </c>
      <c r="AS585" s="77">
        <f t="shared" si="190"/>
        <v>7.0216049382716235E-3</v>
      </c>
      <c r="AT585" s="77">
        <f t="shared" si="190"/>
        <v>6.3271604938271624E-3</v>
      </c>
      <c r="AU585" s="77">
        <f t="shared" si="190"/>
        <v>1.3348765432098786E-2</v>
      </c>
      <c r="AV585" s="77">
        <f t="shared" si="190"/>
        <v>738</v>
      </c>
      <c r="AW585" s="77">
        <f t="shared" si="190"/>
        <v>189</v>
      </c>
      <c r="AX585" s="77" t="str">
        <f t="shared" si="190"/>
        <v>MEX</v>
      </c>
    </row>
    <row r="586" spans="1:50" x14ac:dyDescent="0.25">
      <c r="A586">
        <v>572</v>
      </c>
      <c r="B586" s="36" t="str">
        <f t="shared" si="187"/>
        <v>AVIONES ROJOS</v>
      </c>
      <c r="C586" s="36">
        <f t="shared" si="187"/>
        <v>109</v>
      </c>
      <c r="D586" s="74">
        <v>0.82638888888888884</v>
      </c>
      <c r="E586" s="74">
        <v>0.83819444444444446</v>
      </c>
      <c r="F586" s="75">
        <v>1.1805555555555625E-2</v>
      </c>
      <c r="G586" s="74">
        <v>0.85069444444444453</v>
      </c>
      <c r="H586" s="75">
        <v>1.2500000000000067E-2</v>
      </c>
      <c r="I586" s="76">
        <v>41719</v>
      </c>
      <c r="J586" s="36" t="str">
        <f t="shared" si="192"/>
        <v>Internacional</v>
      </c>
      <c r="K586" s="36">
        <f t="shared" si="192"/>
        <v>7.6388888888889606E-3</v>
      </c>
      <c r="L586" s="36">
        <f t="shared" si="192"/>
        <v>1.9212962962962918E-2</v>
      </c>
      <c r="M586" s="36">
        <f t="shared" si="192"/>
        <v>2.6851851851851877E-2</v>
      </c>
      <c r="N586" s="36">
        <f t="shared" si="192"/>
        <v>320</v>
      </c>
      <c r="O586" s="36">
        <f t="shared" si="192"/>
        <v>179</v>
      </c>
      <c r="P586" s="36" t="str">
        <f t="shared" si="192"/>
        <v>ATL</v>
      </c>
      <c r="R586">
        <v>572</v>
      </c>
      <c r="S586" s="36" t="str">
        <f t="shared" si="185"/>
        <v>MEXICO AEREO</v>
      </c>
      <c r="T586" s="36">
        <f t="shared" si="185"/>
        <v>466</v>
      </c>
      <c r="U586" s="73">
        <v>0.89444444444444438</v>
      </c>
      <c r="V586" s="74">
        <v>0.89861111111111114</v>
      </c>
      <c r="W586" s="75">
        <v>4.1666666666667629E-3</v>
      </c>
      <c r="X586" s="74">
        <v>0.90277777777777779</v>
      </c>
      <c r="Y586" s="75">
        <v>4.1666666666666519E-3</v>
      </c>
      <c r="Z586" s="76">
        <v>41736</v>
      </c>
      <c r="AA586" s="36" t="str">
        <f t="shared" si="191"/>
        <v>Nacional</v>
      </c>
      <c r="AB586" s="36">
        <f t="shared" si="191"/>
        <v>5.6286549707602546E-3</v>
      </c>
      <c r="AC586" s="36">
        <f t="shared" si="191"/>
        <v>8.9181286549707469E-3</v>
      </c>
      <c r="AD586" s="36">
        <f t="shared" si="191"/>
        <v>1.4546783625731002E-2</v>
      </c>
      <c r="AE586" s="36" t="str">
        <f t="shared" si="191"/>
        <v>B737-700</v>
      </c>
      <c r="AF586" s="36">
        <f t="shared" si="191"/>
        <v>126</v>
      </c>
      <c r="AG586" s="36" t="str">
        <f t="shared" si="191"/>
        <v>MEX</v>
      </c>
      <c r="AI586">
        <v>572</v>
      </c>
      <c r="AJ586" s="63" t="s">
        <v>18</v>
      </c>
      <c r="AK586" s="77">
        <f t="shared" ref="AK586:AK602" si="193">AK585</f>
        <v>252</v>
      </c>
      <c r="AL586" s="78">
        <v>0.70694444444444438</v>
      </c>
      <c r="AM586" s="79">
        <v>0.71111111111111114</v>
      </c>
      <c r="AN586" s="80">
        <v>4.1666666666667629E-3</v>
      </c>
      <c r="AO586" s="79">
        <v>0.72569444444444453</v>
      </c>
      <c r="AP586" s="80">
        <v>1.4583333333333393E-2</v>
      </c>
      <c r="AQ586" s="81">
        <v>41807</v>
      </c>
      <c r="AR586" s="77" t="str">
        <f t="shared" si="190"/>
        <v>Nacional</v>
      </c>
      <c r="AS586" s="77">
        <f t="shared" si="190"/>
        <v>7.0216049382716235E-3</v>
      </c>
      <c r="AT586" s="77">
        <f t="shared" si="190"/>
        <v>6.3271604938271624E-3</v>
      </c>
      <c r="AU586" s="77">
        <f t="shared" si="190"/>
        <v>1.3348765432098786E-2</v>
      </c>
      <c r="AV586" s="77">
        <f t="shared" si="190"/>
        <v>738</v>
      </c>
      <c r="AW586" s="77">
        <f t="shared" si="190"/>
        <v>189</v>
      </c>
      <c r="AX586" s="77" t="str">
        <f t="shared" si="190"/>
        <v>MEX</v>
      </c>
    </row>
    <row r="587" spans="1:50" x14ac:dyDescent="0.25">
      <c r="A587">
        <v>573</v>
      </c>
      <c r="B587" s="36" t="str">
        <f t="shared" si="187"/>
        <v>AVIONES ROJOS</v>
      </c>
      <c r="C587" s="36">
        <f t="shared" si="187"/>
        <v>109</v>
      </c>
      <c r="D587" s="74">
        <v>0.85416666666666663</v>
      </c>
      <c r="E587" s="74">
        <v>0.85833333333333339</v>
      </c>
      <c r="F587" s="75">
        <v>4.1666666666667629E-3</v>
      </c>
      <c r="G587" s="74">
        <v>0.88541666666666663</v>
      </c>
      <c r="H587" s="75">
        <v>2.7083333333333237E-2</v>
      </c>
      <c r="I587" s="76">
        <v>41721</v>
      </c>
      <c r="J587" s="36" t="str">
        <f t="shared" si="192"/>
        <v>Internacional</v>
      </c>
      <c r="K587" s="36">
        <f t="shared" si="192"/>
        <v>7.6388888888889606E-3</v>
      </c>
      <c r="L587" s="36">
        <f t="shared" si="192"/>
        <v>1.9212962962962918E-2</v>
      </c>
      <c r="M587" s="36">
        <f t="shared" si="192"/>
        <v>2.6851851851851877E-2</v>
      </c>
      <c r="N587" s="36">
        <f t="shared" si="192"/>
        <v>320</v>
      </c>
      <c r="O587" s="36">
        <f t="shared" si="192"/>
        <v>179</v>
      </c>
      <c r="P587" s="36" t="str">
        <f t="shared" si="192"/>
        <v>ATL</v>
      </c>
      <c r="R587">
        <v>573</v>
      </c>
      <c r="S587" s="36" t="str">
        <f t="shared" si="185"/>
        <v>MEXICO AEREO</v>
      </c>
      <c r="T587" s="36">
        <f t="shared" si="185"/>
        <v>466</v>
      </c>
      <c r="U587" s="73">
        <v>0.89513888888888893</v>
      </c>
      <c r="V587" s="74">
        <v>0.89861111111111114</v>
      </c>
      <c r="W587" s="75">
        <v>3.4722222222222099E-3</v>
      </c>
      <c r="X587" s="74">
        <v>0.91041666666666676</v>
      </c>
      <c r="Y587" s="75">
        <v>1.1805555555555625E-2</v>
      </c>
      <c r="Z587" s="76">
        <v>41739</v>
      </c>
      <c r="AA587" s="36" t="str">
        <f t="shared" si="191"/>
        <v>Nacional</v>
      </c>
      <c r="AB587" s="36">
        <f t="shared" si="191"/>
        <v>5.6286549707602546E-3</v>
      </c>
      <c r="AC587" s="36">
        <f t="shared" si="191"/>
        <v>8.9181286549707469E-3</v>
      </c>
      <c r="AD587" s="36">
        <f t="shared" si="191"/>
        <v>1.4546783625731002E-2</v>
      </c>
      <c r="AE587" s="36" t="str">
        <f t="shared" si="191"/>
        <v>B737-700</v>
      </c>
      <c r="AF587" s="36">
        <f t="shared" si="191"/>
        <v>126</v>
      </c>
      <c r="AG587" s="36" t="str">
        <f t="shared" si="191"/>
        <v>MEX</v>
      </c>
      <c r="AI587">
        <v>573</v>
      </c>
      <c r="AJ587" s="77" t="str">
        <f t="shared" ref="AJ587:AK638" si="194">AJ586</f>
        <v>MEXICO AEREO</v>
      </c>
      <c r="AK587" s="77">
        <f t="shared" si="193"/>
        <v>252</v>
      </c>
      <c r="AL587" s="78">
        <v>0.71527777777777779</v>
      </c>
      <c r="AM587" s="79">
        <v>0.72569444444444453</v>
      </c>
      <c r="AN587" s="80">
        <v>1.0416666666666741E-2</v>
      </c>
      <c r="AO587" s="79">
        <v>0.73263888888888884</v>
      </c>
      <c r="AP587" s="80">
        <v>6.9444444444443088E-3</v>
      </c>
      <c r="AQ587" s="81">
        <v>41808</v>
      </c>
      <c r="AR587" s="77" t="str">
        <f t="shared" si="190"/>
        <v>Nacional</v>
      </c>
      <c r="AS587" s="77">
        <f t="shared" si="190"/>
        <v>7.0216049382716235E-3</v>
      </c>
      <c r="AT587" s="77">
        <f t="shared" si="190"/>
        <v>6.3271604938271624E-3</v>
      </c>
      <c r="AU587" s="77">
        <f t="shared" si="190"/>
        <v>1.3348765432098786E-2</v>
      </c>
      <c r="AV587" s="77">
        <f t="shared" si="190"/>
        <v>738</v>
      </c>
      <c r="AW587" s="77">
        <f t="shared" si="190"/>
        <v>189</v>
      </c>
      <c r="AX587" s="77" t="str">
        <f t="shared" si="190"/>
        <v>MEX</v>
      </c>
    </row>
    <row r="588" spans="1:50" x14ac:dyDescent="0.25">
      <c r="A588">
        <v>574</v>
      </c>
      <c r="B588" s="36" t="str">
        <f t="shared" si="187"/>
        <v>AVIONES ROJOS</v>
      </c>
      <c r="C588" s="36">
        <f t="shared" si="187"/>
        <v>109</v>
      </c>
      <c r="D588" s="74">
        <v>0.83888888888888891</v>
      </c>
      <c r="E588" s="74">
        <v>0.84791666666666676</v>
      </c>
      <c r="F588" s="75">
        <v>9.0277777777778567E-3</v>
      </c>
      <c r="G588" s="74">
        <v>0.86458333333333337</v>
      </c>
      <c r="H588" s="75">
        <v>1.6666666666666607E-2</v>
      </c>
      <c r="I588" s="76">
        <v>41721</v>
      </c>
      <c r="J588" s="36" t="str">
        <f t="shared" si="192"/>
        <v>Internacional</v>
      </c>
      <c r="K588" s="36">
        <f t="shared" si="192"/>
        <v>7.6388888888889606E-3</v>
      </c>
      <c r="L588" s="36">
        <f t="shared" si="192"/>
        <v>1.9212962962962918E-2</v>
      </c>
      <c r="M588" s="36">
        <f t="shared" si="192"/>
        <v>2.6851851851851877E-2</v>
      </c>
      <c r="N588" s="36">
        <f t="shared" si="192"/>
        <v>320</v>
      </c>
      <c r="O588" s="36">
        <f t="shared" si="192"/>
        <v>179</v>
      </c>
      <c r="P588" s="36" t="str">
        <f t="shared" si="192"/>
        <v>ATL</v>
      </c>
      <c r="R588">
        <v>574</v>
      </c>
      <c r="S588" s="36" t="str">
        <f t="shared" si="185"/>
        <v>MEXICO AEREO</v>
      </c>
      <c r="T588" s="36">
        <f t="shared" si="185"/>
        <v>466</v>
      </c>
      <c r="U588" s="73">
        <v>0.89722222222222225</v>
      </c>
      <c r="V588" s="74">
        <v>0.90208333333333324</v>
      </c>
      <c r="W588" s="75">
        <v>4.8611111111109828E-3</v>
      </c>
      <c r="X588" s="74">
        <v>0.91666666666666663</v>
      </c>
      <c r="Y588" s="75">
        <v>1.4583333333333393E-2</v>
      </c>
      <c r="Z588" s="76">
        <v>41740</v>
      </c>
      <c r="AA588" s="36" t="str">
        <f t="shared" si="191"/>
        <v>Nacional</v>
      </c>
      <c r="AB588" s="36">
        <f t="shared" si="191"/>
        <v>5.6286549707602546E-3</v>
      </c>
      <c r="AC588" s="36">
        <f t="shared" si="191"/>
        <v>8.9181286549707469E-3</v>
      </c>
      <c r="AD588" s="36">
        <f t="shared" si="191"/>
        <v>1.4546783625731002E-2</v>
      </c>
      <c r="AE588" s="36" t="str">
        <f t="shared" si="191"/>
        <v>B737-700</v>
      </c>
      <c r="AF588" s="36">
        <f t="shared" si="191"/>
        <v>126</v>
      </c>
      <c r="AG588" s="36" t="str">
        <f t="shared" si="191"/>
        <v>MEX</v>
      </c>
      <c r="AI588">
        <v>574</v>
      </c>
      <c r="AJ588" s="77" t="str">
        <f t="shared" si="194"/>
        <v>MEXICO AEREO</v>
      </c>
      <c r="AK588" s="77">
        <f t="shared" si="193"/>
        <v>252</v>
      </c>
      <c r="AL588" s="78">
        <v>0.71736111111111101</v>
      </c>
      <c r="AM588" s="79">
        <v>0.72222222222222221</v>
      </c>
      <c r="AN588" s="80">
        <v>4.8611111111112049E-3</v>
      </c>
      <c r="AO588" s="79">
        <v>0.73055555555555562</v>
      </c>
      <c r="AP588" s="80">
        <v>8.3333333333334147E-3</v>
      </c>
      <c r="AQ588" s="81">
        <v>41809</v>
      </c>
      <c r="AR588" s="77" t="str">
        <f t="shared" si="190"/>
        <v>Nacional</v>
      </c>
      <c r="AS588" s="77">
        <f t="shared" si="190"/>
        <v>7.0216049382716235E-3</v>
      </c>
      <c r="AT588" s="77">
        <f t="shared" si="190"/>
        <v>6.3271604938271624E-3</v>
      </c>
      <c r="AU588" s="77">
        <f t="shared" si="190"/>
        <v>1.3348765432098786E-2</v>
      </c>
      <c r="AV588" s="77">
        <f t="shared" si="190"/>
        <v>738</v>
      </c>
      <c r="AW588" s="77">
        <f t="shared" si="190"/>
        <v>189</v>
      </c>
      <c r="AX588" s="77" t="str">
        <f t="shared" si="190"/>
        <v>MEX</v>
      </c>
    </row>
    <row r="589" spans="1:50" ht="15.75" thickBot="1" x14ac:dyDescent="0.3">
      <c r="A589">
        <v>575</v>
      </c>
      <c r="B589" s="36" t="str">
        <f t="shared" si="187"/>
        <v>AVIONES ROJOS</v>
      </c>
      <c r="C589" s="36">
        <f t="shared" si="187"/>
        <v>109</v>
      </c>
      <c r="D589" s="74">
        <v>0.82361111111111107</v>
      </c>
      <c r="E589" s="74">
        <v>0.83333333333333337</v>
      </c>
      <c r="F589" s="75">
        <v>9.7222222222222987E-3</v>
      </c>
      <c r="G589" s="74">
        <v>0.85763888888888884</v>
      </c>
      <c r="H589" s="75">
        <v>2.4305555555555469E-2</v>
      </c>
      <c r="I589" s="76">
        <v>41724</v>
      </c>
      <c r="J589" s="36" t="str">
        <f t="shared" si="192"/>
        <v>Internacional</v>
      </c>
      <c r="K589" s="36">
        <f t="shared" si="192"/>
        <v>7.6388888888889606E-3</v>
      </c>
      <c r="L589" s="36">
        <f t="shared" si="192"/>
        <v>1.9212962962962918E-2</v>
      </c>
      <c r="M589" s="36">
        <f t="shared" si="192"/>
        <v>2.6851851851851877E-2</v>
      </c>
      <c r="N589" s="36">
        <f t="shared" si="192"/>
        <v>320</v>
      </c>
      <c r="O589" s="36">
        <f t="shared" si="192"/>
        <v>179</v>
      </c>
      <c r="P589" s="36" t="str">
        <f t="shared" si="192"/>
        <v>ATL</v>
      </c>
      <c r="R589">
        <v>575</v>
      </c>
      <c r="S589" s="36" t="str">
        <f t="shared" si="185"/>
        <v>MEXICO AEREO</v>
      </c>
      <c r="T589" s="36">
        <f t="shared" si="185"/>
        <v>466</v>
      </c>
      <c r="U589" s="73">
        <v>0.93263888888888891</v>
      </c>
      <c r="V589" s="74">
        <v>0.93958333333333333</v>
      </c>
      <c r="W589" s="75">
        <v>6.9444444444444198E-3</v>
      </c>
      <c r="X589" s="74">
        <v>0.9458333333333333</v>
      </c>
      <c r="Y589" s="75">
        <v>6.2499999999999778E-3</v>
      </c>
      <c r="Z589" s="76">
        <v>41742</v>
      </c>
      <c r="AA589" s="36" t="str">
        <f t="shared" si="191"/>
        <v>Nacional</v>
      </c>
      <c r="AB589" s="36">
        <f t="shared" si="191"/>
        <v>5.6286549707602546E-3</v>
      </c>
      <c r="AC589" s="36">
        <f t="shared" si="191"/>
        <v>8.9181286549707469E-3</v>
      </c>
      <c r="AD589" s="36">
        <f t="shared" si="191"/>
        <v>1.4546783625731002E-2</v>
      </c>
      <c r="AE589" s="36" t="str">
        <f t="shared" si="191"/>
        <v>B737-700</v>
      </c>
      <c r="AF589" s="36">
        <f t="shared" si="191"/>
        <v>126</v>
      </c>
      <c r="AG589" s="36" t="str">
        <f t="shared" si="191"/>
        <v>MEX</v>
      </c>
      <c r="AI589">
        <v>575</v>
      </c>
      <c r="AJ589" s="77" t="str">
        <f t="shared" si="194"/>
        <v>MEXICO AEREO</v>
      </c>
      <c r="AK589" s="77">
        <f t="shared" si="193"/>
        <v>252</v>
      </c>
      <c r="AL589" s="161">
        <v>0.73749999999999993</v>
      </c>
      <c r="AM589" s="162">
        <v>0.74513888888888891</v>
      </c>
      <c r="AN589" s="163">
        <v>7.6388888888889728E-3</v>
      </c>
      <c r="AO589" s="162">
        <v>0.75138888888888899</v>
      </c>
      <c r="AP589" s="163">
        <v>6.2500000000000888E-3</v>
      </c>
      <c r="AQ589" s="164">
        <v>41810</v>
      </c>
      <c r="AR589" s="77" t="str">
        <f t="shared" si="190"/>
        <v>Nacional</v>
      </c>
      <c r="AS589" s="77">
        <f t="shared" si="190"/>
        <v>7.0216049382716235E-3</v>
      </c>
      <c r="AT589" s="77">
        <f t="shared" si="190"/>
        <v>6.3271604938271624E-3</v>
      </c>
      <c r="AU589" s="77">
        <f t="shared" si="190"/>
        <v>1.3348765432098786E-2</v>
      </c>
      <c r="AV589" s="77">
        <f t="shared" si="190"/>
        <v>738</v>
      </c>
      <c r="AW589" s="77">
        <f t="shared" si="190"/>
        <v>189</v>
      </c>
      <c r="AX589" s="77" t="str">
        <f t="shared" si="190"/>
        <v>MEX</v>
      </c>
    </row>
    <row r="590" spans="1:50" x14ac:dyDescent="0.25">
      <c r="A590">
        <v>576</v>
      </c>
      <c r="B590" s="36" t="str">
        <f t="shared" si="187"/>
        <v>AVIONES ROJOS</v>
      </c>
      <c r="C590" s="36">
        <f t="shared" si="187"/>
        <v>109</v>
      </c>
      <c r="D590" s="74">
        <v>0.84027777777777779</v>
      </c>
      <c r="E590" s="74">
        <v>0.8520833333333333</v>
      </c>
      <c r="F590" s="75">
        <v>1.1805555555555514E-2</v>
      </c>
      <c r="G590" s="74">
        <v>0.87291666666666667</v>
      </c>
      <c r="H590" s="75">
        <v>2.083333333333337E-2</v>
      </c>
      <c r="I590" s="76">
        <v>41725</v>
      </c>
      <c r="J590" s="36" t="str">
        <f t="shared" si="192"/>
        <v>Internacional</v>
      </c>
      <c r="K590" s="36">
        <f t="shared" si="192"/>
        <v>7.6388888888889606E-3</v>
      </c>
      <c r="L590" s="36">
        <f t="shared" si="192"/>
        <v>1.9212962962962918E-2</v>
      </c>
      <c r="M590" s="36">
        <f t="shared" si="192"/>
        <v>2.6851851851851877E-2</v>
      </c>
      <c r="N590" s="36">
        <f t="shared" si="192"/>
        <v>320</v>
      </c>
      <c r="O590" s="36">
        <f t="shared" si="192"/>
        <v>179</v>
      </c>
      <c r="P590" s="36" t="str">
        <f t="shared" si="192"/>
        <v>ATL</v>
      </c>
      <c r="R590">
        <v>576</v>
      </c>
      <c r="S590" s="36" t="str">
        <f t="shared" si="185"/>
        <v>MEXICO AEREO</v>
      </c>
      <c r="T590" s="36">
        <f t="shared" si="185"/>
        <v>466</v>
      </c>
      <c r="U590" s="73">
        <v>0.90486111111111101</v>
      </c>
      <c r="V590" s="74">
        <v>0.90972222222222221</v>
      </c>
      <c r="W590" s="75">
        <v>4.8611111111112049E-3</v>
      </c>
      <c r="X590" s="74">
        <v>0.91736111111111107</v>
      </c>
      <c r="Y590" s="75">
        <v>7.6388888888888618E-3</v>
      </c>
      <c r="Z590" s="76">
        <v>41743</v>
      </c>
      <c r="AA590" s="36" t="str">
        <f t="shared" si="191"/>
        <v>Nacional</v>
      </c>
      <c r="AB590" s="36">
        <f t="shared" si="191"/>
        <v>5.6286549707602546E-3</v>
      </c>
      <c r="AC590" s="36">
        <f t="shared" si="191"/>
        <v>8.9181286549707469E-3</v>
      </c>
      <c r="AD590" s="36">
        <f t="shared" si="191"/>
        <v>1.4546783625731002E-2</v>
      </c>
      <c r="AE590" s="36" t="str">
        <f t="shared" si="191"/>
        <v>B737-700</v>
      </c>
      <c r="AF590" s="36">
        <f t="shared" si="191"/>
        <v>126</v>
      </c>
      <c r="AG590" s="36" t="str">
        <f t="shared" si="191"/>
        <v>MEX</v>
      </c>
      <c r="AI590">
        <v>576</v>
      </c>
      <c r="AJ590" s="77" t="str">
        <f t="shared" si="194"/>
        <v>MEXICO AEREO</v>
      </c>
      <c r="AK590" s="63">
        <v>228</v>
      </c>
      <c r="AL590" s="64">
        <v>0.69166666666666676</v>
      </c>
      <c r="AM590" s="65">
        <v>0.6958333333333333</v>
      </c>
      <c r="AN590" s="66">
        <v>4.1666666666665408E-3</v>
      </c>
      <c r="AO590" s="65">
        <v>0.70277777777777783</v>
      </c>
      <c r="AP590" s="66">
        <v>6.9444444444445308E-3</v>
      </c>
      <c r="AQ590" s="67">
        <v>41791</v>
      </c>
      <c r="AR590" s="68" t="s">
        <v>19</v>
      </c>
      <c r="AS590" s="69">
        <v>8.9330808080807945E-3</v>
      </c>
      <c r="AT590" s="70">
        <v>8.7121212121212283E-3</v>
      </c>
      <c r="AU590" s="70">
        <v>1.7645202020202023E-2</v>
      </c>
      <c r="AV590" s="71">
        <v>738</v>
      </c>
      <c r="AW590" s="71">
        <v>189</v>
      </c>
      <c r="AX590" s="72" t="s">
        <v>21</v>
      </c>
    </row>
    <row r="591" spans="1:50" x14ac:dyDescent="0.25">
      <c r="A591">
        <v>577</v>
      </c>
      <c r="B591" s="36" t="str">
        <f t="shared" si="187"/>
        <v>AVIONES ROJOS</v>
      </c>
      <c r="C591" s="36">
        <f t="shared" si="187"/>
        <v>109</v>
      </c>
      <c r="D591" s="74">
        <v>0.81805555555555554</v>
      </c>
      <c r="E591" s="74">
        <v>0.81944444444444453</v>
      </c>
      <c r="F591" s="75">
        <v>1.388888888888995E-3</v>
      </c>
      <c r="G591" s="74">
        <v>0.83680555555555547</v>
      </c>
      <c r="H591" s="75">
        <v>1.7361111111110938E-2</v>
      </c>
      <c r="I591" s="76">
        <v>41727</v>
      </c>
      <c r="J591" s="36" t="str">
        <f t="shared" si="192"/>
        <v>Internacional</v>
      </c>
      <c r="K591" s="36">
        <f t="shared" si="192"/>
        <v>7.6388888888889606E-3</v>
      </c>
      <c r="L591" s="36">
        <f t="shared" si="192"/>
        <v>1.9212962962962918E-2</v>
      </c>
      <c r="M591" s="36">
        <f t="shared" si="192"/>
        <v>2.6851851851851877E-2</v>
      </c>
      <c r="N591" s="36">
        <f t="shared" si="192"/>
        <v>320</v>
      </c>
      <c r="O591" s="36">
        <f t="shared" si="192"/>
        <v>179</v>
      </c>
      <c r="P591" s="36" t="str">
        <f t="shared" si="192"/>
        <v>ATL</v>
      </c>
      <c r="R591">
        <v>577</v>
      </c>
      <c r="S591" s="36" t="str">
        <f t="shared" si="185"/>
        <v>MEXICO AEREO</v>
      </c>
      <c r="T591" s="36">
        <f t="shared" si="185"/>
        <v>466</v>
      </c>
      <c r="U591" s="73">
        <v>0.91388888888888886</v>
      </c>
      <c r="V591" s="74">
        <v>0.91875000000000007</v>
      </c>
      <c r="W591" s="75">
        <v>4.8611111111112049E-3</v>
      </c>
      <c r="X591" s="74">
        <v>0.9243055555555556</v>
      </c>
      <c r="Y591" s="75">
        <v>5.5555555555555358E-3</v>
      </c>
      <c r="Z591" s="76">
        <v>41745</v>
      </c>
      <c r="AA591" s="36" t="str">
        <f t="shared" si="191"/>
        <v>Nacional</v>
      </c>
      <c r="AB591" s="36">
        <f t="shared" si="191"/>
        <v>5.6286549707602546E-3</v>
      </c>
      <c r="AC591" s="36">
        <f t="shared" si="191"/>
        <v>8.9181286549707469E-3</v>
      </c>
      <c r="AD591" s="36">
        <f t="shared" si="191"/>
        <v>1.4546783625731002E-2</v>
      </c>
      <c r="AE591" s="36" t="str">
        <f t="shared" si="191"/>
        <v>B737-700</v>
      </c>
      <c r="AF591" s="36">
        <f t="shared" si="191"/>
        <v>126</v>
      </c>
      <c r="AG591" s="36" t="str">
        <f t="shared" si="191"/>
        <v>MEX</v>
      </c>
      <c r="AI591">
        <v>577</v>
      </c>
      <c r="AJ591" s="77" t="str">
        <f t="shared" si="194"/>
        <v>MEXICO AEREO</v>
      </c>
      <c r="AK591" s="77">
        <f t="shared" si="194"/>
        <v>228</v>
      </c>
      <c r="AL591" s="78">
        <v>0.67569444444444438</v>
      </c>
      <c r="AM591" s="79">
        <v>0.68055555555555547</v>
      </c>
      <c r="AN591" s="80">
        <v>4.8611111111110938E-3</v>
      </c>
      <c r="AO591" s="79">
        <v>0.6875</v>
      </c>
      <c r="AP591" s="80">
        <v>6.9444444444445308E-3</v>
      </c>
      <c r="AQ591" s="81">
        <v>41792</v>
      </c>
      <c r="AR591" s="77" t="str">
        <f t="shared" ref="AR591:AX611" si="195">AR590</f>
        <v>Nacional</v>
      </c>
      <c r="AS591" s="77">
        <f t="shared" si="195"/>
        <v>8.9330808080807945E-3</v>
      </c>
      <c r="AT591" s="77">
        <f t="shared" si="195"/>
        <v>8.7121212121212283E-3</v>
      </c>
      <c r="AU591" s="77">
        <f t="shared" si="195"/>
        <v>1.7645202020202023E-2</v>
      </c>
      <c r="AV591" s="77">
        <f t="shared" si="195"/>
        <v>738</v>
      </c>
      <c r="AW591" s="77">
        <f t="shared" si="195"/>
        <v>189</v>
      </c>
      <c r="AX591" s="77" t="str">
        <f t="shared" si="195"/>
        <v>MEX</v>
      </c>
    </row>
    <row r="592" spans="1:50" ht="15.75" thickBot="1" x14ac:dyDescent="0.3">
      <c r="A592">
        <v>578</v>
      </c>
      <c r="B592" s="36" t="str">
        <f t="shared" si="187"/>
        <v>AVIONES ROJOS</v>
      </c>
      <c r="C592" s="36">
        <f t="shared" si="187"/>
        <v>109</v>
      </c>
      <c r="D592" s="84">
        <v>0.96736111111111101</v>
      </c>
      <c r="E592" s="84">
        <v>0.9784722222222223</v>
      </c>
      <c r="F592" s="85">
        <v>1.1111111111111294E-2</v>
      </c>
      <c r="G592" s="84">
        <v>0.9916666666666667</v>
      </c>
      <c r="H592" s="85">
        <v>1.3194444444444398E-2</v>
      </c>
      <c r="I592" s="86">
        <v>41728</v>
      </c>
      <c r="J592" s="36" t="str">
        <f t="shared" si="192"/>
        <v>Internacional</v>
      </c>
      <c r="K592" s="36">
        <f t="shared" si="192"/>
        <v>7.6388888888889606E-3</v>
      </c>
      <c r="L592" s="36">
        <f t="shared" si="192"/>
        <v>1.9212962962962918E-2</v>
      </c>
      <c r="M592" s="36">
        <f t="shared" si="192"/>
        <v>2.6851851851851877E-2</v>
      </c>
      <c r="N592" s="36">
        <f t="shared" si="192"/>
        <v>320</v>
      </c>
      <c r="O592" s="36">
        <f t="shared" si="192"/>
        <v>179</v>
      </c>
      <c r="P592" s="36" t="str">
        <f t="shared" si="192"/>
        <v>ATL</v>
      </c>
      <c r="R592">
        <v>578</v>
      </c>
      <c r="S592" s="36" t="str">
        <f t="shared" si="185"/>
        <v>MEXICO AEREO</v>
      </c>
      <c r="T592" s="36">
        <f t="shared" si="185"/>
        <v>466</v>
      </c>
      <c r="U592" s="73">
        <v>0.9243055555555556</v>
      </c>
      <c r="V592" s="74">
        <v>0.92638888888888893</v>
      </c>
      <c r="W592" s="75">
        <v>2.0833333333333259E-3</v>
      </c>
      <c r="X592" s="74">
        <v>0.9291666666666667</v>
      </c>
      <c r="Y592" s="75">
        <v>2.7777777777777679E-3</v>
      </c>
      <c r="Z592" s="76">
        <v>41744</v>
      </c>
      <c r="AA592" s="36" t="str">
        <f t="shared" si="191"/>
        <v>Nacional</v>
      </c>
      <c r="AB592" s="36">
        <f t="shared" si="191"/>
        <v>5.6286549707602546E-3</v>
      </c>
      <c r="AC592" s="36">
        <f t="shared" si="191"/>
        <v>8.9181286549707469E-3</v>
      </c>
      <c r="AD592" s="36">
        <f t="shared" si="191"/>
        <v>1.4546783625731002E-2</v>
      </c>
      <c r="AE592" s="36" t="str">
        <f t="shared" si="191"/>
        <v>B737-700</v>
      </c>
      <c r="AF592" s="36">
        <f t="shared" si="191"/>
        <v>126</v>
      </c>
      <c r="AG592" s="36" t="str">
        <f t="shared" si="191"/>
        <v>MEX</v>
      </c>
      <c r="AI592">
        <v>578</v>
      </c>
      <c r="AJ592" s="77" t="str">
        <f t="shared" si="194"/>
        <v>MEXICO AEREO</v>
      </c>
      <c r="AK592" s="77">
        <f t="shared" si="194"/>
        <v>228</v>
      </c>
      <c r="AL592" s="78">
        <v>0.69444444444444453</v>
      </c>
      <c r="AM592" s="79">
        <v>0.69861111111111107</v>
      </c>
      <c r="AN592" s="80">
        <v>4.1666666666665408E-3</v>
      </c>
      <c r="AO592" s="79">
        <v>0.70277777777777783</v>
      </c>
      <c r="AP592" s="80">
        <v>4.1666666666667629E-3</v>
      </c>
      <c r="AQ592" s="81">
        <v>41794</v>
      </c>
      <c r="AR592" s="77" t="str">
        <f t="shared" si="195"/>
        <v>Nacional</v>
      </c>
      <c r="AS592" s="77">
        <f t="shared" si="195"/>
        <v>8.9330808080807945E-3</v>
      </c>
      <c r="AT592" s="77">
        <f t="shared" si="195"/>
        <v>8.7121212121212283E-3</v>
      </c>
      <c r="AU592" s="77">
        <f t="shared" si="195"/>
        <v>1.7645202020202023E-2</v>
      </c>
      <c r="AV592" s="77">
        <f t="shared" si="195"/>
        <v>738</v>
      </c>
      <c r="AW592" s="77">
        <f t="shared" si="195"/>
        <v>189</v>
      </c>
      <c r="AX592" s="77" t="str">
        <f t="shared" si="195"/>
        <v>MEX</v>
      </c>
    </row>
    <row r="593" spans="1:50" x14ac:dyDescent="0.25">
      <c r="A593">
        <v>579</v>
      </c>
      <c r="B593" s="45" t="s">
        <v>65</v>
      </c>
      <c r="C593" s="88">
        <v>5214</v>
      </c>
      <c r="D593" s="57">
        <v>0.50138888888888888</v>
      </c>
      <c r="E593" s="57">
        <v>0.50624999999999998</v>
      </c>
      <c r="F593" s="58">
        <v>4.8611111111110938E-3</v>
      </c>
      <c r="G593" s="57">
        <v>0.50902777777777775</v>
      </c>
      <c r="H593" s="58">
        <v>2.7777777777777679E-3</v>
      </c>
      <c r="I593" s="59">
        <v>41714</v>
      </c>
      <c r="J593" s="108" t="s">
        <v>19</v>
      </c>
      <c r="K593" s="61">
        <v>5.8712121212121104E-3</v>
      </c>
      <c r="L593" s="61">
        <v>3.598484848484856E-3</v>
      </c>
      <c r="M593" s="142">
        <v>9.4696969696969665E-3</v>
      </c>
      <c r="N593" s="90">
        <v>320</v>
      </c>
      <c r="O593" s="91">
        <v>179</v>
      </c>
      <c r="P593" s="92" t="s">
        <v>21</v>
      </c>
      <c r="R593">
        <v>579</v>
      </c>
      <c r="S593" s="36" t="str">
        <f t="shared" si="185"/>
        <v>MEXICO AEREO</v>
      </c>
      <c r="T593" s="36">
        <f t="shared" si="185"/>
        <v>466</v>
      </c>
      <c r="U593" s="73">
        <v>0.87638888888888899</v>
      </c>
      <c r="V593" s="74">
        <v>0.8833333333333333</v>
      </c>
      <c r="W593" s="75">
        <v>6.9444444444443088E-3</v>
      </c>
      <c r="X593" s="74">
        <v>0.88750000000000007</v>
      </c>
      <c r="Y593" s="75">
        <v>4.1666666666667629E-3</v>
      </c>
      <c r="Z593" s="76">
        <v>41746</v>
      </c>
      <c r="AA593" s="36" t="str">
        <f t="shared" si="191"/>
        <v>Nacional</v>
      </c>
      <c r="AB593" s="36">
        <f t="shared" si="191"/>
        <v>5.6286549707602546E-3</v>
      </c>
      <c r="AC593" s="36">
        <f t="shared" si="191"/>
        <v>8.9181286549707469E-3</v>
      </c>
      <c r="AD593" s="36">
        <f t="shared" si="191"/>
        <v>1.4546783625731002E-2</v>
      </c>
      <c r="AE593" s="36" t="str">
        <f t="shared" si="191"/>
        <v>B737-700</v>
      </c>
      <c r="AF593" s="36">
        <f t="shared" si="191"/>
        <v>126</v>
      </c>
      <c r="AG593" s="36" t="str">
        <f t="shared" si="191"/>
        <v>MEX</v>
      </c>
      <c r="AI593">
        <v>579</v>
      </c>
      <c r="AJ593" s="77" t="str">
        <f t="shared" si="194"/>
        <v>MEXICO AEREO</v>
      </c>
      <c r="AK593" s="77">
        <f t="shared" si="194"/>
        <v>228</v>
      </c>
      <c r="AL593" s="78">
        <v>0.67152777777777783</v>
      </c>
      <c r="AM593" s="79">
        <v>0.67499999999999993</v>
      </c>
      <c r="AN593" s="80">
        <v>3.4722222222220989E-3</v>
      </c>
      <c r="AO593" s="79">
        <v>0.68125000000000002</v>
      </c>
      <c r="AP593" s="80">
        <v>6.2500000000000888E-3</v>
      </c>
      <c r="AQ593" s="81">
        <v>41795</v>
      </c>
      <c r="AR593" s="77" t="str">
        <f t="shared" si="195"/>
        <v>Nacional</v>
      </c>
      <c r="AS593" s="77">
        <f t="shared" si="195"/>
        <v>8.9330808080807945E-3</v>
      </c>
      <c r="AT593" s="77">
        <f t="shared" si="195"/>
        <v>8.7121212121212283E-3</v>
      </c>
      <c r="AU593" s="77">
        <f t="shared" si="195"/>
        <v>1.7645202020202023E-2</v>
      </c>
      <c r="AV593" s="77">
        <f t="shared" si="195"/>
        <v>738</v>
      </c>
      <c r="AW593" s="77">
        <f t="shared" si="195"/>
        <v>189</v>
      </c>
      <c r="AX593" s="77" t="str">
        <f t="shared" si="195"/>
        <v>MEX</v>
      </c>
    </row>
    <row r="594" spans="1:50" x14ac:dyDescent="0.25">
      <c r="A594">
        <v>580</v>
      </c>
      <c r="B594" s="36" t="str">
        <f t="shared" ref="B594:C652" si="196">B593</f>
        <v>INTERAVIÓN</v>
      </c>
      <c r="C594" s="36">
        <f t="shared" si="196"/>
        <v>5214</v>
      </c>
      <c r="D594" s="74">
        <v>0.49791666666666662</v>
      </c>
      <c r="E594" s="74">
        <v>0.50694444444444442</v>
      </c>
      <c r="F594" s="75">
        <v>9.0277777777778012E-3</v>
      </c>
      <c r="G594" s="74">
        <v>0.51250000000000007</v>
      </c>
      <c r="H594" s="75">
        <v>5.5555555555556468E-3</v>
      </c>
      <c r="I594" s="76">
        <v>41715</v>
      </c>
      <c r="J594" s="36" t="str">
        <f t="shared" ref="J594:P603" si="197">J593</f>
        <v>Nacional</v>
      </c>
      <c r="K594" s="36">
        <f t="shared" si="197"/>
        <v>5.8712121212121104E-3</v>
      </c>
      <c r="L594" s="36">
        <f t="shared" si="197"/>
        <v>3.598484848484856E-3</v>
      </c>
      <c r="M594" s="36">
        <f t="shared" si="197"/>
        <v>9.4696969696969665E-3</v>
      </c>
      <c r="N594" s="36">
        <f t="shared" si="197"/>
        <v>320</v>
      </c>
      <c r="O594" s="36">
        <f t="shared" si="197"/>
        <v>179</v>
      </c>
      <c r="P594" s="36" t="str">
        <f t="shared" si="197"/>
        <v>MEX</v>
      </c>
      <c r="R594">
        <v>580</v>
      </c>
      <c r="S594" s="36" t="str">
        <f t="shared" si="185"/>
        <v>MEXICO AEREO</v>
      </c>
      <c r="T594" s="36">
        <f t="shared" si="185"/>
        <v>466</v>
      </c>
      <c r="U594" s="73">
        <v>0.92013888888888884</v>
      </c>
      <c r="V594" s="74">
        <v>0.92708333333333337</v>
      </c>
      <c r="W594" s="75">
        <v>6.9444444444445308E-3</v>
      </c>
      <c r="X594" s="74">
        <v>0.93819444444444444</v>
      </c>
      <c r="Y594" s="75">
        <v>1.1111111111111072E-2</v>
      </c>
      <c r="Z594" s="76">
        <v>41749</v>
      </c>
      <c r="AA594" s="36" t="str">
        <f t="shared" si="191"/>
        <v>Nacional</v>
      </c>
      <c r="AB594" s="36">
        <f t="shared" si="191"/>
        <v>5.6286549707602546E-3</v>
      </c>
      <c r="AC594" s="36">
        <f t="shared" si="191"/>
        <v>8.9181286549707469E-3</v>
      </c>
      <c r="AD594" s="36">
        <f t="shared" si="191"/>
        <v>1.4546783625731002E-2</v>
      </c>
      <c r="AE594" s="36" t="str">
        <f t="shared" si="191"/>
        <v>B737-700</v>
      </c>
      <c r="AF594" s="36">
        <f t="shared" si="191"/>
        <v>126</v>
      </c>
      <c r="AG594" s="36" t="str">
        <f t="shared" si="191"/>
        <v>MEX</v>
      </c>
      <c r="AI594">
        <v>580</v>
      </c>
      <c r="AJ594" s="77" t="str">
        <f t="shared" si="194"/>
        <v>MEXICO AEREO</v>
      </c>
      <c r="AK594" s="77">
        <f t="shared" si="194"/>
        <v>228</v>
      </c>
      <c r="AL594" s="78">
        <v>0.68125000000000002</v>
      </c>
      <c r="AM594" s="79">
        <v>0.68472222222222223</v>
      </c>
      <c r="AN594" s="80">
        <v>3.4722222222222099E-3</v>
      </c>
      <c r="AO594" s="79">
        <v>0.69027777777777777</v>
      </c>
      <c r="AP594" s="80">
        <v>5.5555555555555358E-3</v>
      </c>
      <c r="AQ594" s="81">
        <v>41796</v>
      </c>
      <c r="AR594" s="77" t="str">
        <f t="shared" si="195"/>
        <v>Nacional</v>
      </c>
      <c r="AS594" s="77">
        <f t="shared" si="195"/>
        <v>8.9330808080807945E-3</v>
      </c>
      <c r="AT594" s="77">
        <f t="shared" si="195"/>
        <v>8.7121212121212283E-3</v>
      </c>
      <c r="AU594" s="77">
        <f t="shared" si="195"/>
        <v>1.7645202020202023E-2</v>
      </c>
      <c r="AV594" s="77">
        <f t="shared" si="195"/>
        <v>738</v>
      </c>
      <c r="AW594" s="77">
        <f t="shared" si="195"/>
        <v>189</v>
      </c>
      <c r="AX594" s="77" t="str">
        <f t="shared" si="195"/>
        <v>MEX</v>
      </c>
    </row>
    <row r="595" spans="1:50" x14ac:dyDescent="0.25">
      <c r="A595">
        <v>581</v>
      </c>
      <c r="B595" s="36" t="str">
        <f t="shared" si="196"/>
        <v>INTERAVIÓN</v>
      </c>
      <c r="C595" s="36">
        <f t="shared" si="196"/>
        <v>5214</v>
      </c>
      <c r="D595" s="74">
        <v>0.50208333333333333</v>
      </c>
      <c r="E595" s="74">
        <v>0.5083333333333333</v>
      </c>
      <c r="F595" s="75">
        <v>6.2499999999999778E-3</v>
      </c>
      <c r="G595" s="74">
        <v>0.51041666666666663</v>
      </c>
      <c r="H595" s="75">
        <v>2.0833333333333259E-3</v>
      </c>
      <c r="I595" s="76">
        <v>41716</v>
      </c>
      <c r="J595" s="36" t="str">
        <f t="shared" si="197"/>
        <v>Nacional</v>
      </c>
      <c r="K595" s="36">
        <f t="shared" si="197"/>
        <v>5.8712121212121104E-3</v>
      </c>
      <c r="L595" s="36">
        <f t="shared" si="197"/>
        <v>3.598484848484856E-3</v>
      </c>
      <c r="M595" s="36">
        <f t="shared" si="197"/>
        <v>9.4696969696969665E-3</v>
      </c>
      <c r="N595" s="36">
        <f t="shared" si="197"/>
        <v>320</v>
      </c>
      <c r="O595" s="36">
        <f t="shared" si="197"/>
        <v>179</v>
      </c>
      <c r="P595" s="36" t="str">
        <f t="shared" si="197"/>
        <v>MEX</v>
      </c>
      <c r="R595">
        <v>581</v>
      </c>
      <c r="S595" s="36" t="str">
        <f t="shared" si="185"/>
        <v>MEXICO AEREO</v>
      </c>
      <c r="T595" s="36">
        <f t="shared" si="185"/>
        <v>466</v>
      </c>
      <c r="U595" s="73">
        <v>0.89027777777777783</v>
      </c>
      <c r="V595" s="74">
        <v>0.89513888888888893</v>
      </c>
      <c r="W595" s="75">
        <v>4.8611111111110938E-3</v>
      </c>
      <c r="X595" s="74">
        <v>0.90277777777777779</v>
      </c>
      <c r="Y595" s="75">
        <v>7.6388888888888618E-3</v>
      </c>
      <c r="Z595" s="76">
        <v>41751</v>
      </c>
      <c r="AA595" s="36" t="str">
        <f t="shared" si="191"/>
        <v>Nacional</v>
      </c>
      <c r="AB595" s="36">
        <f t="shared" si="191"/>
        <v>5.6286549707602546E-3</v>
      </c>
      <c r="AC595" s="36">
        <f t="shared" si="191"/>
        <v>8.9181286549707469E-3</v>
      </c>
      <c r="AD595" s="36">
        <f t="shared" si="191"/>
        <v>1.4546783625731002E-2</v>
      </c>
      <c r="AE595" s="36" t="str">
        <f t="shared" si="191"/>
        <v>B737-700</v>
      </c>
      <c r="AF595" s="36">
        <f t="shared" si="191"/>
        <v>126</v>
      </c>
      <c r="AG595" s="36" t="str">
        <f t="shared" si="191"/>
        <v>MEX</v>
      </c>
      <c r="AI595">
        <v>581</v>
      </c>
      <c r="AJ595" s="77" t="str">
        <f t="shared" si="194"/>
        <v>MEXICO AEREO</v>
      </c>
      <c r="AK595" s="77">
        <f t="shared" si="194"/>
        <v>228</v>
      </c>
      <c r="AL595" s="78">
        <v>0.6875</v>
      </c>
      <c r="AM595" s="79">
        <v>0.69444444444444453</v>
      </c>
      <c r="AN595" s="80">
        <v>6.9444444444445308E-3</v>
      </c>
      <c r="AO595" s="79">
        <v>0.7055555555555556</v>
      </c>
      <c r="AP595" s="80">
        <v>1.1111111111111072E-2</v>
      </c>
      <c r="AQ595" s="81">
        <v>41797</v>
      </c>
      <c r="AR595" s="77" t="str">
        <f t="shared" si="195"/>
        <v>Nacional</v>
      </c>
      <c r="AS595" s="77">
        <f t="shared" si="195"/>
        <v>8.9330808080807945E-3</v>
      </c>
      <c r="AT595" s="77">
        <f t="shared" si="195"/>
        <v>8.7121212121212283E-3</v>
      </c>
      <c r="AU595" s="77">
        <f t="shared" si="195"/>
        <v>1.7645202020202023E-2</v>
      </c>
      <c r="AV595" s="77">
        <f t="shared" si="195"/>
        <v>738</v>
      </c>
      <c r="AW595" s="77">
        <f t="shared" si="195"/>
        <v>189</v>
      </c>
      <c r="AX595" s="77" t="str">
        <f t="shared" si="195"/>
        <v>MEX</v>
      </c>
    </row>
    <row r="596" spans="1:50" x14ac:dyDescent="0.25">
      <c r="A596">
        <v>582</v>
      </c>
      <c r="B596" s="36" t="str">
        <f t="shared" si="196"/>
        <v>INTERAVIÓN</v>
      </c>
      <c r="C596" s="36">
        <f t="shared" si="196"/>
        <v>5214</v>
      </c>
      <c r="D596" s="74">
        <v>0.52638888888888891</v>
      </c>
      <c r="E596" s="74">
        <v>0.53333333333333333</v>
      </c>
      <c r="F596" s="75">
        <v>6.9444444444444198E-3</v>
      </c>
      <c r="G596" s="74">
        <v>0.53611111111111109</v>
      </c>
      <c r="H596" s="75">
        <v>2.7777777777777679E-3</v>
      </c>
      <c r="I596" s="76">
        <v>41717</v>
      </c>
      <c r="J596" s="36" t="str">
        <f t="shared" si="197"/>
        <v>Nacional</v>
      </c>
      <c r="K596" s="36">
        <f t="shared" si="197"/>
        <v>5.8712121212121104E-3</v>
      </c>
      <c r="L596" s="36">
        <f t="shared" si="197"/>
        <v>3.598484848484856E-3</v>
      </c>
      <c r="M596" s="36">
        <f t="shared" si="197"/>
        <v>9.4696969696969665E-3</v>
      </c>
      <c r="N596" s="36">
        <f t="shared" si="197"/>
        <v>320</v>
      </c>
      <c r="O596" s="36">
        <f t="shared" si="197"/>
        <v>179</v>
      </c>
      <c r="P596" s="36" t="str">
        <f t="shared" si="197"/>
        <v>MEX</v>
      </c>
      <c r="R596">
        <v>582</v>
      </c>
      <c r="S596" s="36" t="str">
        <f t="shared" si="185"/>
        <v>MEXICO AEREO</v>
      </c>
      <c r="T596" s="36">
        <f t="shared" si="185"/>
        <v>466</v>
      </c>
      <c r="U596" s="73">
        <v>0.8881944444444444</v>
      </c>
      <c r="V596" s="74">
        <v>0.89722222222222225</v>
      </c>
      <c r="W596" s="75">
        <v>9.0277777777778567E-3</v>
      </c>
      <c r="X596" s="74">
        <v>0.90208333333333324</v>
      </c>
      <c r="Y596" s="75">
        <v>4.8611111111109828E-3</v>
      </c>
      <c r="Z596" s="76">
        <v>41753</v>
      </c>
      <c r="AA596" s="36" t="str">
        <f t="shared" si="191"/>
        <v>Nacional</v>
      </c>
      <c r="AB596" s="36">
        <f t="shared" si="191"/>
        <v>5.6286549707602546E-3</v>
      </c>
      <c r="AC596" s="36">
        <f t="shared" si="191"/>
        <v>8.9181286549707469E-3</v>
      </c>
      <c r="AD596" s="36">
        <f t="shared" si="191"/>
        <v>1.4546783625731002E-2</v>
      </c>
      <c r="AE596" s="36" t="str">
        <f t="shared" si="191"/>
        <v>B737-700</v>
      </c>
      <c r="AF596" s="36">
        <f t="shared" si="191"/>
        <v>126</v>
      </c>
      <c r="AG596" s="36" t="str">
        <f t="shared" si="191"/>
        <v>MEX</v>
      </c>
      <c r="AI596">
        <v>582</v>
      </c>
      <c r="AJ596" s="77" t="str">
        <f t="shared" si="194"/>
        <v>MEXICO AEREO</v>
      </c>
      <c r="AK596" s="77">
        <f t="shared" si="194"/>
        <v>228</v>
      </c>
      <c r="AL596" s="78">
        <v>0.6875</v>
      </c>
      <c r="AM596" s="79">
        <v>0.69027777777777777</v>
      </c>
      <c r="AN596" s="80">
        <v>2.7777777777777679E-3</v>
      </c>
      <c r="AO596" s="79">
        <v>0.69861111111111107</v>
      </c>
      <c r="AP596" s="80">
        <v>8.3333333333333037E-3</v>
      </c>
      <c r="AQ596" s="81">
        <v>41798</v>
      </c>
      <c r="AR596" s="77" t="str">
        <f t="shared" si="195"/>
        <v>Nacional</v>
      </c>
      <c r="AS596" s="77">
        <f t="shared" si="195"/>
        <v>8.9330808080807945E-3</v>
      </c>
      <c r="AT596" s="77">
        <f t="shared" si="195"/>
        <v>8.7121212121212283E-3</v>
      </c>
      <c r="AU596" s="77">
        <f t="shared" si="195"/>
        <v>1.7645202020202023E-2</v>
      </c>
      <c r="AV596" s="77">
        <f t="shared" si="195"/>
        <v>738</v>
      </c>
      <c r="AW596" s="77">
        <f t="shared" si="195"/>
        <v>189</v>
      </c>
      <c r="AX596" s="77" t="str">
        <f t="shared" si="195"/>
        <v>MEX</v>
      </c>
    </row>
    <row r="597" spans="1:50" x14ac:dyDescent="0.25">
      <c r="A597">
        <v>583</v>
      </c>
      <c r="B597" s="36" t="str">
        <f t="shared" si="196"/>
        <v>INTERAVIÓN</v>
      </c>
      <c r="C597" s="36">
        <f t="shared" si="196"/>
        <v>5214</v>
      </c>
      <c r="D597" s="74">
        <v>0.50347222222222221</v>
      </c>
      <c r="E597" s="74">
        <v>0.50763888888888886</v>
      </c>
      <c r="F597" s="75">
        <v>4.1666666666666519E-3</v>
      </c>
      <c r="G597" s="74">
        <v>0.5131944444444444</v>
      </c>
      <c r="H597" s="75">
        <v>5.5555555555555358E-3</v>
      </c>
      <c r="I597" s="76">
        <v>41718</v>
      </c>
      <c r="J597" s="36" t="str">
        <f t="shared" si="197"/>
        <v>Nacional</v>
      </c>
      <c r="K597" s="36">
        <f t="shared" si="197"/>
        <v>5.8712121212121104E-3</v>
      </c>
      <c r="L597" s="36">
        <f t="shared" si="197"/>
        <v>3.598484848484856E-3</v>
      </c>
      <c r="M597" s="36">
        <f t="shared" si="197"/>
        <v>9.4696969696969665E-3</v>
      </c>
      <c r="N597" s="36">
        <f t="shared" si="197"/>
        <v>320</v>
      </c>
      <c r="O597" s="36">
        <f t="shared" si="197"/>
        <v>179</v>
      </c>
      <c r="P597" s="36" t="str">
        <f t="shared" si="197"/>
        <v>MEX</v>
      </c>
      <c r="R597">
        <v>583</v>
      </c>
      <c r="S597" s="36" t="str">
        <f t="shared" si="185"/>
        <v>MEXICO AEREO</v>
      </c>
      <c r="T597" s="36">
        <f t="shared" si="185"/>
        <v>466</v>
      </c>
      <c r="U597" s="73">
        <v>0.88958333333333339</v>
      </c>
      <c r="V597" s="74">
        <v>0.89583333333333337</v>
      </c>
      <c r="W597" s="75">
        <v>6.2499999999999778E-3</v>
      </c>
      <c r="X597" s="74">
        <v>0.90625</v>
      </c>
      <c r="Y597" s="75">
        <v>1.041666666666663E-2</v>
      </c>
      <c r="Z597" s="76">
        <v>41757</v>
      </c>
      <c r="AA597" s="36" t="str">
        <f t="shared" si="191"/>
        <v>Nacional</v>
      </c>
      <c r="AB597" s="36">
        <f t="shared" si="191"/>
        <v>5.6286549707602546E-3</v>
      </c>
      <c r="AC597" s="36">
        <f t="shared" si="191"/>
        <v>8.9181286549707469E-3</v>
      </c>
      <c r="AD597" s="36">
        <f t="shared" si="191"/>
        <v>1.4546783625731002E-2</v>
      </c>
      <c r="AE597" s="36" t="str">
        <f t="shared" si="191"/>
        <v>B737-700</v>
      </c>
      <c r="AF597" s="36">
        <f t="shared" si="191"/>
        <v>126</v>
      </c>
      <c r="AG597" s="36" t="str">
        <f t="shared" si="191"/>
        <v>MEX</v>
      </c>
      <c r="AI597">
        <v>583</v>
      </c>
      <c r="AJ597" s="77" t="str">
        <f t="shared" si="194"/>
        <v>MEXICO AEREO</v>
      </c>
      <c r="AK597" s="77">
        <f t="shared" si="194"/>
        <v>228</v>
      </c>
      <c r="AL597" s="78">
        <v>0.67986111111111114</v>
      </c>
      <c r="AM597" s="79">
        <v>0.68055555555555547</v>
      </c>
      <c r="AN597" s="80">
        <v>6.9444444444433095E-4</v>
      </c>
      <c r="AO597" s="79">
        <v>0.69166666666666676</v>
      </c>
      <c r="AP597" s="80">
        <v>1.1111111111111294E-2</v>
      </c>
      <c r="AQ597" s="81">
        <v>41799</v>
      </c>
      <c r="AR597" s="77" t="str">
        <f t="shared" si="195"/>
        <v>Nacional</v>
      </c>
      <c r="AS597" s="77">
        <f t="shared" si="195"/>
        <v>8.9330808080807945E-3</v>
      </c>
      <c r="AT597" s="77">
        <f t="shared" si="195"/>
        <v>8.7121212121212283E-3</v>
      </c>
      <c r="AU597" s="77">
        <f t="shared" si="195"/>
        <v>1.7645202020202023E-2</v>
      </c>
      <c r="AV597" s="77">
        <f t="shared" si="195"/>
        <v>738</v>
      </c>
      <c r="AW597" s="77">
        <f t="shared" si="195"/>
        <v>189</v>
      </c>
      <c r="AX597" s="77" t="str">
        <f t="shared" si="195"/>
        <v>MEX</v>
      </c>
    </row>
    <row r="598" spans="1:50" x14ac:dyDescent="0.25">
      <c r="A598">
        <v>584</v>
      </c>
      <c r="B598" s="36" t="str">
        <f t="shared" si="196"/>
        <v>INTERAVIÓN</v>
      </c>
      <c r="C598" s="36">
        <f t="shared" si="196"/>
        <v>5214</v>
      </c>
      <c r="D598" s="74">
        <v>0.49444444444444446</v>
      </c>
      <c r="E598" s="74">
        <v>0.50138888888888888</v>
      </c>
      <c r="F598" s="75">
        <v>6.9444444444444198E-3</v>
      </c>
      <c r="G598" s="74">
        <v>0.50624999999999998</v>
      </c>
      <c r="H598" s="75">
        <v>4.8611111111110938E-3</v>
      </c>
      <c r="I598" s="76">
        <v>41721</v>
      </c>
      <c r="J598" s="36" t="str">
        <f t="shared" si="197"/>
        <v>Nacional</v>
      </c>
      <c r="K598" s="36">
        <f t="shared" si="197"/>
        <v>5.8712121212121104E-3</v>
      </c>
      <c r="L598" s="36">
        <f t="shared" si="197"/>
        <v>3.598484848484856E-3</v>
      </c>
      <c r="M598" s="36">
        <f t="shared" si="197"/>
        <v>9.4696969696969665E-3</v>
      </c>
      <c r="N598" s="36">
        <f t="shared" si="197"/>
        <v>320</v>
      </c>
      <c r="O598" s="36">
        <f t="shared" si="197"/>
        <v>179</v>
      </c>
      <c r="P598" s="36" t="str">
        <f t="shared" si="197"/>
        <v>MEX</v>
      </c>
      <c r="R598">
        <v>584</v>
      </c>
      <c r="S598" s="36" t="str">
        <f t="shared" si="185"/>
        <v>MEXICO AEREO</v>
      </c>
      <c r="T598" s="36">
        <f t="shared" si="185"/>
        <v>466</v>
      </c>
      <c r="U598" s="73">
        <v>0.89097222222222217</v>
      </c>
      <c r="V598" s="74">
        <v>0.89861111111111114</v>
      </c>
      <c r="W598" s="75">
        <v>7.6388888888889728E-3</v>
      </c>
      <c r="X598" s="74">
        <v>0.90694444444444444</v>
      </c>
      <c r="Y598" s="75">
        <v>8.3333333333333037E-3</v>
      </c>
      <c r="Z598" s="76">
        <v>41759</v>
      </c>
      <c r="AA598" s="36" t="str">
        <f t="shared" si="191"/>
        <v>Nacional</v>
      </c>
      <c r="AB598" s="36">
        <f t="shared" si="191"/>
        <v>5.6286549707602546E-3</v>
      </c>
      <c r="AC598" s="36">
        <f t="shared" si="191"/>
        <v>8.9181286549707469E-3</v>
      </c>
      <c r="AD598" s="36">
        <f t="shared" si="191"/>
        <v>1.4546783625731002E-2</v>
      </c>
      <c r="AE598" s="36" t="str">
        <f t="shared" si="191"/>
        <v>B737-700</v>
      </c>
      <c r="AF598" s="36">
        <f t="shared" si="191"/>
        <v>126</v>
      </c>
      <c r="AG598" s="36" t="str">
        <f t="shared" si="191"/>
        <v>MEX</v>
      </c>
      <c r="AI598">
        <v>584</v>
      </c>
      <c r="AJ598" s="77" t="str">
        <f t="shared" si="194"/>
        <v>MEXICO AEREO</v>
      </c>
      <c r="AK598" s="77">
        <f t="shared" si="194"/>
        <v>228</v>
      </c>
      <c r="AL598" s="78">
        <v>0.43055555555555558</v>
      </c>
      <c r="AM598" s="79">
        <v>0.43958333333333338</v>
      </c>
      <c r="AN598" s="80">
        <v>9.0277777777778012E-3</v>
      </c>
      <c r="AO598" s="79">
        <v>0.45069444444444445</v>
      </c>
      <c r="AP598" s="80">
        <v>1.1111111111111072E-2</v>
      </c>
      <c r="AQ598" s="81">
        <v>41801</v>
      </c>
      <c r="AR598" s="77" t="str">
        <f t="shared" si="195"/>
        <v>Nacional</v>
      </c>
      <c r="AS598" s="77">
        <f t="shared" si="195"/>
        <v>8.9330808080807945E-3</v>
      </c>
      <c r="AT598" s="77">
        <f t="shared" si="195"/>
        <v>8.7121212121212283E-3</v>
      </c>
      <c r="AU598" s="77">
        <f t="shared" si="195"/>
        <v>1.7645202020202023E-2</v>
      </c>
      <c r="AV598" s="77">
        <f t="shared" si="195"/>
        <v>738</v>
      </c>
      <c r="AW598" s="77">
        <f t="shared" si="195"/>
        <v>189</v>
      </c>
      <c r="AX598" s="77" t="str">
        <f t="shared" si="195"/>
        <v>MEX</v>
      </c>
    </row>
    <row r="599" spans="1:50" ht="15.75" thickBot="1" x14ac:dyDescent="0.3">
      <c r="A599">
        <v>585</v>
      </c>
      <c r="B599" s="36" t="str">
        <f t="shared" si="196"/>
        <v>INTERAVIÓN</v>
      </c>
      <c r="C599" s="36">
        <f t="shared" si="196"/>
        <v>5214</v>
      </c>
      <c r="D599" s="74">
        <v>0.50069444444444444</v>
      </c>
      <c r="E599" s="74">
        <v>0.50486111111111109</v>
      </c>
      <c r="F599" s="75">
        <v>4.1666666666666519E-3</v>
      </c>
      <c r="G599" s="74">
        <v>0.50763888888888886</v>
      </c>
      <c r="H599" s="75">
        <v>2.7777777777777679E-3</v>
      </c>
      <c r="I599" s="76">
        <v>41722</v>
      </c>
      <c r="J599" s="36" t="str">
        <f t="shared" si="197"/>
        <v>Nacional</v>
      </c>
      <c r="K599" s="36">
        <f t="shared" si="197"/>
        <v>5.8712121212121104E-3</v>
      </c>
      <c r="L599" s="36">
        <f t="shared" si="197"/>
        <v>3.598484848484856E-3</v>
      </c>
      <c r="M599" s="36">
        <f t="shared" si="197"/>
        <v>9.4696969696969665E-3</v>
      </c>
      <c r="N599" s="36">
        <f t="shared" si="197"/>
        <v>320</v>
      </c>
      <c r="O599" s="36">
        <f t="shared" si="197"/>
        <v>179</v>
      </c>
      <c r="P599" s="36" t="str">
        <f t="shared" si="197"/>
        <v>MEX</v>
      </c>
      <c r="R599">
        <v>585</v>
      </c>
      <c r="S599" s="36" t="str">
        <f t="shared" si="185"/>
        <v>MEXICO AEREO</v>
      </c>
      <c r="T599" s="36">
        <f t="shared" si="185"/>
        <v>466</v>
      </c>
      <c r="U599" s="83">
        <v>0.90972222222222221</v>
      </c>
      <c r="V599" s="84">
        <v>0.91388888888888886</v>
      </c>
      <c r="W599" s="85">
        <v>4.1666666666666519E-3</v>
      </c>
      <c r="X599" s="84">
        <v>0.92638888888888893</v>
      </c>
      <c r="Y599" s="85">
        <v>1.2500000000000067E-2</v>
      </c>
      <c r="Z599" s="86">
        <v>41759</v>
      </c>
      <c r="AA599" s="36" t="str">
        <f t="shared" si="191"/>
        <v>Nacional</v>
      </c>
      <c r="AB599" s="36">
        <f t="shared" si="191"/>
        <v>5.6286549707602546E-3</v>
      </c>
      <c r="AC599" s="36">
        <f t="shared" si="191"/>
        <v>8.9181286549707469E-3</v>
      </c>
      <c r="AD599" s="36">
        <f t="shared" si="191"/>
        <v>1.4546783625731002E-2</v>
      </c>
      <c r="AE599" s="36" t="str">
        <f t="shared" si="191"/>
        <v>B737-700</v>
      </c>
      <c r="AF599" s="36">
        <f t="shared" si="191"/>
        <v>126</v>
      </c>
      <c r="AG599" s="36" t="str">
        <f t="shared" si="191"/>
        <v>MEX</v>
      </c>
      <c r="AI599">
        <v>585</v>
      </c>
      <c r="AJ599" s="77" t="str">
        <f t="shared" si="194"/>
        <v>MEXICO AEREO</v>
      </c>
      <c r="AK599" s="77">
        <f t="shared" si="194"/>
        <v>228</v>
      </c>
      <c r="AL599" s="143">
        <v>0.4604166666666667</v>
      </c>
      <c r="AM599" s="144">
        <v>0.46111111111111108</v>
      </c>
      <c r="AN599" s="80">
        <v>6.9444444444438647E-4</v>
      </c>
      <c r="AO599" s="144">
        <v>0.46458333333333335</v>
      </c>
      <c r="AP599" s="80">
        <v>3.4722222222222654E-3</v>
      </c>
      <c r="AQ599" s="81">
        <v>41801</v>
      </c>
      <c r="AR599" s="77" t="str">
        <f t="shared" si="195"/>
        <v>Nacional</v>
      </c>
      <c r="AS599" s="77">
        <f t="shared" si="195"/>
        <v>8.9330808080807945E-3</v>
      </c>
      <c r="AT599" s="77">
        <f t="shared" si="195"/>
        <v>8.7121212121212283E-3</v>
      </c>
      <c r="AU599" s="77">
        <f t="shared" si="195"/>
        <v>1.7645202020202023E-2</v>
      </c>
      <c r="AV599" s="77">
        <f t="shared" si="195"/>
        <v>738</v>
      </c>
      <c r="AW599" s="77">
        <f t="shared" si="195"/>
        <v>189</v>
      </c>
      <c r="AX599" s="77" t="str">
        <f t="shared" si="195"/>
        <v>MEX</v>
      </c>
    </row>
    <row r="600" spans="1:50" ht="15.75" thickBot="1" x14ac:dyDescent="0.3">
      <c r="A600">
        <v>586</v>
      </c>
      <c r="B600" s="36" t="str">
        <f t="shared" si="196"/>
        <v>INTERAVIÓN</v>
      </c>
      <c r="C600" s="36">
        <f t="shared" si="196"/>
        <v>5214</v>
      </c>
      <c r="D600" s="74">
        <v>0.50763888888888886</v>
      </c>
      <c r="E600" s="74">
        <v>0.5131944444444444</v>
      </c>
      <c r="F600" s="75">
        <v>5.5555555555555358E-3</v>
      </c>
      <c r="G600" s="74">
        <v>0.51944444444444449</v>
      </c>
      <c r="H600" s="75">
        <v>6.2500000000000888E-3</v>
      </c>
      <c r="I600" s="76">
        <v>41725</v>
      </c>
      <c r="J600" s="36" t="str">
        <f t="shared" si="197"/>
        <v>Nacional</v>
      </c>
      <c r="K600" s="36">
        <f t="shared" si="197"/>
        <v>5.8712121212121104E-3</v>
      </c>
      <c r="L600" s="36">
        <f t="shared" si="197"/>
        <v>3.598484848484856E-3</v>
      </c>
      <c r="M600" s="36">
        <f t="shared" si="197"/>
        <v>9.4696969696969665E-3</v>
      </c>
      <c r="N600" s="36">
        <f t="shared" si="197"/>
        <v>320</v>
      </c>
      <c r="O600" s="36">
        <f t="shared" si="197"/>
        <v>179</v>
      </c>
      <c r="P600" s="36" t="str">
        <f t="shared" si="197"/>
        <v>MEX</v>
      </c>
      <c r="R600">
        <v>586</v>
      </c>
      <c r="S600" s="36" t="str">
        <f t="shared" si="185"/>
        <v>MEXICO AEREO</v>
      </c>
      <c r="T600" s="138">
        <v>460</v>
      </c>
      <c r="U600" s="139">
        <v>0.88263888888888886</v>
      </c>
      <c r="V600" s="47">
        <v>0.8881944444444444</v>
      </c>
      <c r="W600" s="48">
        <v>5.5555555555555358E-3</v>
      </c>
      <c r="X600" s="47">
        <v>0.89374999999999993</v>
      </c>
      <c r="Y600" s="48">
        <v>5.5555555555555358E-3</v>
      </c>
      <c r="Z600" s="49">
        <v>41738</v>
      </c>
      <c r="AA600" s="50" t="s">
        <v>19</v>
      </c>
      <c r="AB600" s="47">
        <v>5.5555555555555358E-3</v>
      </c>
      <c r="AC600" s="47">
        <v>5.5555555555555358E-3</v>
      </c>
      <c r="AD600" s="140">
        <v>1.1111111111111072E-2</v>
      </c>
      <c r="AE600" s="165">
        <v>320</v>
      </c>
      <c r="AF600" s="165">
        <v>179</v>
      </c>
      <c r="AG600" s="166" t="s">
        <v>43</v>
      </c>
      <c r="AI600">
        <v>586</v>
      </c>
      <c r="AJ600" s="77" t="str">
        <f t="shared" si="194"/>
        <v>MEXICO AEREO</v>
      </c>
      <c r="AK600" s="77">
        <f t="shared" si="194"/>
        <v>228</v>
      </c>
      <c r="AL600" s="78">
        <v>0.82847222222222217</v>
      </c>
      <c r="AM600" s="79">
        <v>0.84166666666666667</v>
      </c>
      <c r="AN600" s="80">
        <v>1.3194444444444509E-2</v>
      </c>
      <c r="AO600" s="79">
        <v>0.85416666666666663</v>
      </c>
      <c r="AP600" s="80">
        <v>1.2499999999999956E-2</v>
      </c>
      <c r="AQ600" s="81">
        <v>41802</v>
      </c>
      <c r="AR600" s="77" t="str">
        <f t="shared" si="195"/>
        <v>Nacional</v>
      </c>
      <c r="AS600" s="77">
        <f t="shared" si="195"/>
        <v>8.9330808080807945E-3</v>
      </c>
      <c r="AT600" s="77">
        <f t="shared" si="195"/>
        <v>8.7121212121212283E-3</v>
      </c>
      <c r="AU600" s="77">
        <f t="shared" si="195"/>
        <v>1.7645202020202023E-2</v>
      </c>
      <c r="AV600" s="77">
        <f t="shared" si="195"/>
        <v>738</v>
      </c>
      <c r="AW600" s="77">
        <f t="shared" si="195"/>
        <v>189</v>
      </c>
      <c r="AX600" s="77" t="str">
        <f t="shared" si="195"/>
        <v>MEX</v>
      </c>
    </row>
    <row r="601" spans="1:50" x14ac:dyDescent="0.25">
      <c r="A601">
        <v>587</v>
      </c>
      <c r="B601" s="36" t="str">
        <f t="shared" si="196"/>
        <v>INTERAVIÓN</v>
      </c>
      <c r="C601" s="36">
        <f t="shared" si="196"/>
        <v>5214</v>
      </c>
      <c r="D601" s="74">
        <v>0.49513888888888885</v>
      </c>
      <c r="E601" s="74">
        <v>0.50069444444444444</v>
      </c>
      <c r="F601" s="75">
        <v>5.5555555555555913E-3</v>
      </c>
      <c r="G601" s="74">
        <v>0.50208333333333333</v>
      </c>
      <c r="H601" s="75">
        <v>1.388888888888884E-3</v>
      </c>
      <c r="I601" s="76">
        <v>41725</v>
      </c>
      <c r="J601" s="36" t="str">
        <f t="shared" si="197"/>
        <v>Nacional</v>
      </c>
      <c r="K601" s="36">
        <f t="shared" si="197"/>
        <v>5.8712121212121104E-3</v>
      </c>
      <c r="L601" s="36">
        <f t="shared" si="197"/>
        <v>3.598484848484856E-3</v>
      </c>
      <c r="M601" s="36">
        <f t="shared" si="197"/>
        <v>9.4696969696969665E-3</v>
      </c>
      <c r="N601" s="36">
        <f t="shared" si="197"/>
        <v>320</v>
      </c>
      <c r="O601" s="36">
        <f t="shared" si="197"/>
        <v>179</v>
      </c>
      <c r="P601" s="36" t="str">
        <f t="shared" si="197"/>
        <v>MEX</v>
      </c>
      <c r="R601">
        <v>587</v>
      </c>
      <c r="S601" s="36" t="str">
        <f t="shared" si="185"/>
        <v>MEXICO AEREO</v>
      </c>
      <c r="T601" s="55">
        <v>286</v>
      </c>
      <c r="U601" s="56">
        <v>0.38194444444444442</v>
      </c>
      <c r="V601" s="57">
        <v>0.39513888888888887</v>
      </c>
      <c r="W601" s="58">
        <v>1.3194444444444453E-2</v>
      </c>
      <c r="X601" s="57">
        <v>0.39930555555555558</v>
      </c>
      <c r="Y601" s="58">
        <v>4.1666666666667074E-3</v>
      </c>
      <c r="Z601" s="59">
        <v>41750</v>
      </c>
      <c r="AA601" s="60" t="s">
        <v>19</v>
      </c>
      <c r="AB601" s="61">
        <v>6.5789473684210557E-3</v>
      </c>
      <c r="AC601" s="61">
        <v>5.2997076023391767E-3</v>
      </c>
      <c r="AD601" s="62">
        <v>1.1878654970760232E-2</v>
      </c>
      <c r="AE601" s="167" t="s">
        <v>45</v>
      </c>
      <c r="AF601" s="167">
        <v>126</v>
      </c>
      <c r="AG601" s="168" t="s">
        <v>21</v>
      </c>
      <c r="AI601">
        <v>587</v>
      </c>
      <c r="AJ601" s="77" t="str">
        <f t="shared" si="194"/>
        <v>MEXICO AEREO</v>
      </c>
      <c r="AK601" s="77">
        <f t="shared" si="194"/>
        <v>228</v>
      </c>
      <c r="AL601" s="78">
        <v>0.69513888888888886</v>
      </c>
      <c r="AM601" s="79">
        <v>0.70277777777777783</v>
      </c>
      <c r="AN601" s="80">
        <v>7.6388888888889728E-3</v>
      </c>
      <c r="AO601" s="79">
        <v>0.70486111111111116</v>
      </c>
      <c r="AP601" s="80">
        <v>2.0833333333333259E-3</v>
      </c>
      <c r="AQ601" s="81">
        <v>41803</v>
      </c>
      <c r="AR601" s="77" t="str">
        <f t="shared" si="195"/>
        <v>Nacional</v>
      </c>
      <c r="AS601" s="77">
        <f t="shared" si="195"/>
        <v>8.9330808080807945E-3</v>
      </c>
      <c r="AT601" s="77">
        <f t="shared" si="195"/>
        <v>8.7121212121212283E-3</v>
      </c>
      <c r="AU601" s="77">
        <f t="shared" si="195"/>
        <v>1.7645202020202023E-2</v>
      </c>
      <c r="AV601" s="77">
        <f t="shared" si="195"/>
        <v>738</v>
      </c>
      <c r="AW601" s="77">
        <f t="shared" si="195"/>
        <v>189</v>
      </c>
      <c r="AX601" s="77" t="str">
        <f t="shared" si="195"/>
        <v>MEX</v>
      </c>
    </row>
    <row r="602" spans="1:50" x14ac:dyDescent="0.25">
      <c r="A602">
        <v>588</v>
      </c>
      <c r="B602" s="36" t="str">
        <f t="shared" si="196"/>
        <v>INTERAVIÓN</v>
      </c>
      <c r="C602" s="36">
        <f t="shared" si="196"/>
        <v>5214</v>
      </c>
      <c r="D602" s="74">
        <v>0.50138888888888888</v>
      </c>
      <c r="E602" s="74">
        <v>0.50694444444444442</v>
      </c>
      <c r="F602" s="75">
        <v>5.5555555555555358E-3</v>
      </c>
      <c r="G602" s="74">
        <v>0.51041666666666663</v>
      </c>
      <c r="H602" s="75">
        <v>3.4722222222222099E-3</v>
      </c>
      <c r="I602" s="76">
        <v>41726</v>
      </c>
      <c r="J602" s="36" t="str">
        <f t="shared" si="197"/>
        <v>Nacional</v>
      </c>
      <c r="K602" s="36">
        <f t="shared" si="197"/>
        <v>5.8712121212121104E-3</v>
      </c>
      <c r="L602" s="36">
        <f t="shared" si="197"/>
        <v>3.598484848484856E-3</v>
      </c>
      <c r="M602" s="36">
        <f t="shared" si="197"/>
        <v>9.4696969696969665E-3</v>
      </c>
      <c r="N602" s="36">
        <f t="shared" si="197"/>
        <v>320</v>
      </c>
      <c r="O602" s="36">
        <f t="shared" si="197"/>
        <v>179</v>
      </c>
      <c r="P602" s="36" t="str">
        <f t="shared" si="197"/>
        <v>MEX</v>
      </c>
      <c r="R602">
        <v>588</v>
      </c>
      <c r="S602" s="36" t="str">
        <f t="shared" si="185"/>
        <v>MEXICO AEREO</v>
      </c>
      <c r="T602" s="36">
        <f t="shared" si="185"/>
        <v>286</v>
      </c>
      <c r="U602" s="73">
        <v>0.61458333333333337</v>
      </c>
      <c r="V602" s="74">
        <v>0.62152777777777779</v>
      </c>
      <c r="W602" s="75">
        <v>6.9444444444444198E-3</v>
      </c>
      <c r="X602" s="74">
        <v>0.62569444444444444</v>
      </c>
      <c r="Y602" s="75">
        <v>4.1666666666666519E-3</v>
      </c>
      <c r="Z602" s="76">
        <v>41731</v>
      </c>
      <c r="AA602" s="36" t="str">
        <f t="shared" ref="AA602:AG619" si="198">AA601</f>
        <v>Nacional</v>
      </c>
      <c r="AB602" s="36">
        <f t="shared" si="198"/>
        <v>6.5789473684210557E-3</v>
      </c>
      <c r="AC602" s="36">
        <f t="shared" si="198"/>
        <v>5.2997076023391767E-3</v>
      </c>
      <c r="AD602" s="36">
        <f t="shared" si="198"/>
        <v>1.1878654970760232E-2</v>
      </c>
      <c r="AE602" s="36" t="str">
        <f t="shared" si="198"/>
        <v>B737-700</v>
      </c>
      <c r="AF602" s="36">
        <f t="shared" si="198"/>
        <v>126</v>
      </c>
      <c r="AG602" s="36" t="str">
        <f t="shared" si="198"/>
        <v>MEX</v>
      </c>
      <c r="AI602">
        <v>588</v>
      </c>
      <c r="AJ602" s="77" t="str">
        <f t="shared" si="194"/>
        <v>MEXICO AEREO</v>
      </c>
      <c r="AK602" s="77">
        <f t="shared" si="194"/>
        <v>228</v>
      </c>
      <c r="AL602" s="78">
        <v>0.71666666666666667</v>
      </c>
      <c r="AM602" s="79">
        <v>0.72430555555555554</v>
      </c>
      <c r="AN602" s="80">
        <v>7.6388888888888618E-3</v>
      </c>
      <c r="AO602" s="79">
        <v>0.72916666666666663</v>
      </c>
      <c r="AP602" s="80">
        <v>4.8611111111110938E-3</v>
      </c>
      <c r="AQ602" s="81">
        <v>41804</v>
      </c>
      <c r="AR602" s="77" t="str">
        <f t="shared" si="195"/>
        <v>Nacional</v>
      </c>
      <c r="AS602" s="77">
        <f t="shared" si="195"/>
        <v>8.9330808080807945E-3</v>
      </c>
      <c r="AT602" s="77">
        <f t="shared" si="195"/>
        <v>8.7121212121212283E-3</v>
      </c>
      <c r="AU602" s="77">
        <f t="shared" si="195"/>
        <v>1.7645202020202023E-2</v>
      </c>
      <c r="AV602" s="77">
        <f t="shared" si="195"/>
        <v>738</v>
      </c>
      <c r="AW602" s="77">
        <f t="shared" si="195"/>
        <v>189</v>
      </c>
      <c r="AX602" s="77" t="str">
        <f t="shared" si="195"/>
        <v>MEX</v>
      </c>
    </row>
    <row r="603" spans="1:50" ht="15.75" thickBot="1" x14ac:dyDescent="0.3">
      <c r="A603">
        <v>589</v>
      </c>
      <c r="B603" s="36" t="str">
        <f t="shared" si="196"/>
        <v>INTERAVIÓN</v>
      </c>
      <c r="C603" s="36">
        <f t="shared" si="196"/>
        <v>5214</v>
      </c>
      <c r="D603" s="84">
        <v>0.49444444444444446</v>
      </c>
      <c r="E603" s="84">
        <v>0.5</v>
      </c>
      <c r="F603" s="85">
        <v>5.5555555555555358E-3</v>
      </c>
      <c r="G603" s="84">
        <v>0.50208333333333333</v>
      </c>
      <c r="H603" s="85">
        <v>2.0833333333333259E-3</v>
      </c>
      <c r="I603" s="86">
        <v>41729</v>
      </c>
      <c r="J603" s="36" t="str">
        <f t="shared" si="197"/>
        <v>Nacional</v>
      </c>
      <c r="K603" s="36">
        <f t="shared" si="197"/>
        <v>5.8712121212121104E-3</v>
      </c>
      <c r="L603" s="36">
        <f t="shared" si="197"/>
        <v>3.598484848484856E-3</v>
      </c>
      <c r="M603" s="36">
        <f t="shared" si="197"/>
        <v>9.4696969696969665E-3</v>
      </c>
      <c r="N603" s="36">
        <f t="shared" si="197"/>
        <v>320</v>
      </c>
      <c r="O603" s="36">
        <f t="shared" si="197"/>
        <v>179</v>
      </c>
      <c r="P603" s="36" t="str">
        <f t="shared" si="197"/>
        <v>MEX</v>
      </c>
      <c r="R603">
        <v>589</v>
      </c>
      <c r="S603" s="36" t="str">
        <f t="shared" si="185"/>
        <v>MEXICO AEREO</v>
      </c>
      <c r="T603" s="36">
        <f t="shared" si="185"/>
        <v>286</v>
      </c>
      <c r="U603" s="73">
        <v>0.70694444444444438</v>
      </c>
      <c r="V603" s="74">
        <v>0.70833333333333337</v>
      </c>
      <c r="W603" s="75">
        <v>1.388888888888995E-3</v>
      </c>
      <c r="X603" s="74">
        <v>0.71180555555555547</v>
      </c>
      <c r="Y603" s="75">
        <v>3.4722222222220989E-3</v>
      </c>
      <c r="Z603" s="76">
        <v>41735</v>
      </c>
      <c r="AA603" s="36" t="str">
        <f t="shared" si="198"/>
        <v>Nacional</v>
      </c>
      <c r="AB603" s="36">
        <f t="shared" si="198"/>
        <v>6.5789473684210557E-3</v>
      </c>
      <c r="AC603" s="36">
        <f t="shared" si="198"/>
        <v>5.2997076023391767E-3</v>
      </c>
      <c r="AD603" s="36">
        <f t="shared" si="198"/>
        <v>1.1878654970760232E-2</v>
      </c>
      <c r="AE603" s="36" t="str">
        <f t="shared" si="198"/>
        <v>B737-700</v>
      </c>
      <c r="AF603" s="36">
        <f t="shared" si="198"/>
        <v>126</v>
      </c>
      <c r="AG603" s="36" t="str">
        <f t="shared" si="198"/>
        <v>MEX</v>
      </c>
      <c r="AI603">
        <v>589</v>
      </c>
      <c r="AJ603" s="77" t="str">
        <f t="shared" si="194"/>
        <v>MEXICO AEREO</v>
      </c>
      <c r="AK603" s="77">
        <f t="shared" si="194"/>
        <v>228</v>
      </c>
      <c r="AL603" s="78">
        <v>0.5493055555555556</v>
      </c>
      <c r="AM603" s="79">
        <v>0.55555555555555558</v>
      </c>
      <c r="AN603" s="80">
        <v>6.2499999999999778E-3</v>
      </c>
      <c r="AO603" s="79">
        <v>0.57708333333333328</v>
      </c>
      <c r="AP603" s="80">
        <v>2.1527777777777701E-2</v>
      </c>
      <c r="AQ603" s="81">
        <v>41805</v>
      </c>
      <c r="AR603" s="77" t="str">
        <f t="shared" si="195"/>
        <v>Nacional</v>
      </c>
      <c r="AS603" s="77">
        <f t="shared" si="195"/>
        <v>8.9330808080807945E-3</v>
      </c>
      <c r="AT603" s="77">
        <f t="shared" si="195"/>
        <v>8.7121212121212283E-3</v>
      </c>
      <c r="AU603" s="77">
        <f t="shared" si="195"/>
        <v>1.7645202020202023E-2</v>
      </c>
      <c r="AV603" s="77">
        <f t="shared" si="195"/>
        <v>738</v>
      </c>
      <c r="AW603" s="77">
        <f t="shared" si="195"/>
        <v>189</v>
      </c>
      <c r="AX603" s="77" t="str">
        <f t="shared" si="195"/>
        <v>MEX</v>
      </c>
    </row>
    <row r="604" spans="1:50" x14ac:dyDescent="0.25">
      <c r="A604">
        <v>590</v>
      </c>
      <c r="B604" s="36" t="str">
        <f t="shared" si="196"/>
        <v>INTERAVIÓN</v>
      </c>
      <c r="C604" s="88">
        <v>2840</v>
      </c>
      <c r="D604" s="57">
        <v>0.7583333333333333</v>
      </c>
      <c r="E604" s="57">
        <v>0.76597222222222217</v>
      </c>
      <c r="F604" s="58">
        <v>7.6388888888888618E-3</v>
      </c>
      <c r="G604" s="57">
        <v>0.76944444444444438</v>
      </c>
      <c r="H604" s="58">
        <v>3.4722222222222099E-3</v>
      </c>
      <c r="I604" s="59">
        <v>41714</v>
      </c>
      <c r="J604" s="108" t="s">
        <v>22</v>
      </c>
      <c r="K604" s="61">
        <v>7.1428571428571496E-3</v>
      </c>
      <c r="L604" s="61">
        <v>1.2400793650793607E-2</v>
      </c>
      <c r="M604" s="142">
        <v>1.9543650793650755E-2</v>
      </c>
      <c r="N604" s="90">
        <v>320</v>
      </c>
      <c r="O604" s="91">
        <v>179</v>
      </c>
      <c r="P604" s="92" t="s">
        <v>55</v>
      </c>
      <c r="R604">
        <v>590</v>
      </c>
      <c r="S604" s="36" t="str">
        <f t="shared" si="185"/>
        <v>MEXICO AEREO</v>
      </c>
      <c r="T604" s="36">
        <f t="shared" si="185"/>
        <v>286</v>
      </c>
      <c r="U604" s="73">
        <v>0.59305555555555556</v>
      </c>
      <c r="V604" s="74">
        <v>0.59722222222222221</v>
      </c>
      <c r="W604" s="75">
        <v>4.1666666666666519E-3</v>
      </c>
      <c r="X604" s="74">
        <v>0.60416666666666663</v>
      </c>
      <c r="Y604" s="75">
        <v>6.9444444444444198E-3</v>
      </c>
      <c r="Z604" s="76">
        <v>41736</v>
      </c>
      <c r="AA604" s="36" t="str">
        <f t="shared" si="198"/>
        <v>Nacional</v>
      </c>
      <c r="AB604" s="36">
        <f t="shared" si="198"/>
        <v>6.5789473684210557E-3</v>
      </c>
      <c r="AC604" s="36">
        <f t="shared" si="198"/>
        <v>5.2997076023391767E-3</v>
      </c>
      <c r="AD604" s="36">
        <f t="shared" si="198"/>
        <v>1.1878654970760232E-2</v>
      </c>
      <c r="AE604" s="36" t="str">
        <f t="shared" si="198"/>
        <v>B737-700</v>
      </c>
      <c r="AF604" s="36">
        <f t="shared" si="198"/>
        <v>126</v>
      </c>
      <c r="AG604" s="36" t="str">
        <f t="shared" si="198"/>
        <v>MEX</v>
      </c>
      <c r="AI604">
        <v>590</v>
      </c>
      <c r="AJ604" s="77" t="str">
        <f t="shared" si="194"/>
        <v>MEXICO AEREO</v>
      </c>
      <c r="AK604" s="77">
        <f t="shared" si="194"/>
        <v>228</v>
      </c>
      <c r="AL604" s="78">
        <v>0.25208333333333333</v>
      </c>
      <c r="AM604" s="79">
        <v>0.26041666666666669</v>
      </c>
      <c r="AN604" s="80">
        <v>8.3333333333333592E-3</v>
      </c>
      <c r="AO604" s="79">
        <v>0.26805555555555555</v>
      </c>
      <c r="AP604" s="80">
        <v>7.6388888888888618E-3</v>
      </c>
      <c r="AQ604" s="81">
        <v>41806</v>
      </c>
      <c r="AR604" s="77" t="str">
        <f t="shared" si="195"/>
        <v>Nacional</v>
      </c>
      <c r="AS604" s="77">
        <f t="shared" si="195"/>
        <v>8.9330808080807945E-3</v>
      </c>
      <c r="AT604" s="77">
        <f t="shared" si="195"/>
        <v>8.7121212121212283E-3</v>
      </c>
      <c r="AU604" s="77">
        <f t="shared" si="195"/>
        <v>1.7645202020202023E-2</v>
      </c>
      <c r="AV604" s="77">
        <f t="shared" si="195"/>
        <v>738</v>
      </c>
      <c r="AW604" s="77">
        <f t="shared" si="195"/>
        <v>189</v>
      </c>
      <c r="AX604" s="77" t="str">
        <f t="shared" si="195"/>
        <v>MEX</v>
      </c>
    </row>
    <row r="605" spans="1:50" x14ac:dyDescent="0.25">
      <c r="A605">
        <v>591</v>
      </c>
      <c r="B605" s="36" t="str">
        <f t="shared" si="196"/>
        <v>INTERAVIÓN</v>
      </c>
      <c r="C605" s="36">
        <f t="shared" si="196"/>
        <v>2840</v>
      </c>
      <c r="D605" s="74">
        <v>0.68541666666666667</v>
      </c>
      <c r="E605" s="74">
        <v>0.69513888888888886</v>
      </c>
      <c r="F605" s="75">
        <v>9.7222222222221877E-3</v>
      </c>
      <c r="G605" s="74">
        <v>0.71180555555555547</v>
      </c>
      <c r="H605" s="75">
        <v>1.6666666666666607E-2</v>
      </c>
      <c r="I605" s="76">
        <v>41718</v>
      </c>
      <c r="J605" s="36" t="str">
        <f t="shared" ref="J605:P610" si="199">J604</f>
        <v>Internacional</v>
      </c>
      <c r="K605" s="36">
        <f t="shared" si="199"/>
        <v>7.1428571428571496E-3</v>
      </c>
      <c r="L605" s="36">
        <f t="shared" si="199"/>
        <v>1.2400793650793607E-2</v>
      </c>
      <c r="M605" s="36">
        <f t="shared" si="199"/>
        <v>1.9543650793650755E-2</v>
      </c>
      <c r="N605" s="36">
        <f t="shared" si="199"/>
        <v>320</v>
      </c>
      <c r="O605" s="36">
        <f t="shared" si="199"/>
        <v>179</v>
      </c>
      <c r="P605" s="36" t="str">
        <f t="shared" si="199"/>
        <v>SNA</v>
      </c>
      <c r="R605">
        <v>591</v>
      </c>
      <c r="S605" s="36" t="str">
        <f t="shared" si="185"/>
        <v>MEXICO AEREO</v>
      </c>
      <c r="T605" s="36">
        <f t="shared" si="185"/>
        <v>286</v>
      </c>
      <c r="U605" s="73">
        <v>0.59027777777777779</v>
      </c>
      <c r="V605" s="74">
        <v>0.59583333333333333</v>
      </c>
      <c r="W605" s="75">
        <v>5.5555555555555358E-3</v>
      </c>
      <c r="X605" s="74">
        <v>0.59791666666666665</v>
      </c>
      <c r="Y605" s="75">
        <v>2.0833333333333259E-3</v>
      </c>
      <c r="Z605" s="76">
        <v>41737</v>
      </c>
      <c r="AA605" s="36" t="str">
        <f t="shared" si="198"/>
        <v>Nacional</v>
      </c>
      <c r="AB605" s="36">
        <f t="shared" si="198"/>
        <v>6.5789473684210557E-3</v>
      </c>
      <c r="AC605" s="36">
        <f t="shared" si="198"/>
        <v>5.2997076023391767E-3</v>
      </c>
      <c r="AD605" s="36">
        <f t="shared" si="198"/>
        <v>1.1878654970760232E-2</v>
      </c>
      <c r="AE605" s="36" t="str">
        <f t="shared" si="198"/>
        <v>B737-700</v>
      </c>
      <c r="AF605" s="36">
        <f t="shared" si="198"/>
        <v>126</v>
      </c>
      <c r="AG605" s="36" t="str">
        <f t="shared" si="198"/>
        <v>MEX</v>
      </c>
      <c r="AI605">
        <v>591</v>
      </c>
      <c r="AJ605" s="77" t="str">
        <f t="shared" si="194"/>
        <v>MEXICO AEREO</v>
      </c>
      <c r="AK605" s="77">
        <f t="shared" si="194"/>
        <v>228</v>
      </c>
      <c r="AL605" s="78">
        <v>0.84513888888888899</v>
      </c>
      <c r="AM605" s="79">
        <v>0.85625000000000007</v>
      </c>
      <c r="AN605" s="80">
        <v>1.1111111111111072E-2</v>
      </c>
      <c r="AO605" s="79">
        <v>0.875</v>
      </c>
      <c r="AP605" s="80">
        <v>1.8749999999999933E-2</v>
      </c>
      <c r="AQ605" s="81">
        <v>41807</v>
      </c>
      <c r="AR605" s="77" t="str">
        <f t="shared" si="195"/>
        <v>Nacional</v>
      </c>
      <c r="AS605" s="77">
        <f t="shared" si="195"/>
        <v>8.9330808080807945E-3</v>
      </c>
      <c r="AT605" s="77">
        <f t="shared" si="195"/>
        <v>8.7121212121212283E-3</v>
      </c>
      <c r="AU605" s="77">
        <f t="shared" si="195"/>
        <v>1.7645202020202023E-2</v>
      </c>
      <c r="AV605" s="77">
        <f t="shared" si="195"/>
        <v>738</v>
      </c>
      <c r="AW605" s="77">
        <f t="shared" si="195"/>
        <v>189</v>
      </c>
      <c r="AX605" s="77" t="str">
        <f t="shared" si="195"/>
        <v>MEX</v>
      </c>
    </row>
    <row r="606" spans="1:50" x14ac:dyDescent="0.25">
      <c r="A606">
        <v>592</v>
      </c>
      <c r="B606" s="36" t="str">
        <f t="shared" si="196"/>
        <v>INTERAVIÓN</v>
      </c>
      <c r="C606" s="36">
        <f t="shared" si="196"/>
        <v>2840</v>
      </c>
      <c r="D606" s="74">
        <v>0.76944444444444438</v>
      </c>
      <c r="E606" s="74">
        <v>0.77638888888888891</v>
      </c>
      <c r="F606" s="75">
        <v>6.9444444444445308E-3</v>
      </c>
      <c r="G606" s="74">
        <v>0.78611111111111109</v>
      </c>
      <c r="H606" s="75">
        <v>9.7222222222221877E-3</v>
      </c>
      <c r="I606" s="76">
        <v>41721</v>
      </c>
      <c r="J606" s="36" t="str">
        <f t="shared" si="199"/>
        <v>Internacional</v>
      </c>
      <c r="K606" s="36">
        <f t="shared" si="199"/>
        <v>7.1428571428571496E-3</v>
      </c>
      <c r="L606" s="36">
        <f t="shared" si="199"/>
        <v>1.2400793650793607E-2</v>
      </c>
      <c r="M606" s="36">
        <f t="shared" si="199"/>
        <v>1.9543650793650755E-2</v>
      </c>
      <c r="N606" s="36">
        <f t="shared" si="199"/>
        <v>320</v>
      </c>
      <c r="O606" s="36">
        <f t="shared" si="199"/>
        <v>179</v>
      </c>
      <c r="P606" s="36" t="str">
        <f t="shared" si="199"/>
        <v>SNA</v>
      </c>
      <c r="R606">
        <v>592</v>
      </c>
      <c r="S606" s="36" t="str">
        <f t="shared" si="185"/>
        <v>MEXICO AEREO</v>
      </c>
      <c r="T606" s="36">
        <f t="shared" si="185"/>
        <v>286</v>
      </c>
      <c r="U606" s="73">
        <v>0.5854166666666667</v>
      </c>
      <c r="V606" s="74">
        <v>0.60069444444444442</v>
      </c>
      <c r="W606" s="75">
        <v>1.5277777777777724E-2</v>
      </c>
      <c r="X606" s="74">
        <v>0.60625000000000007</v>
      </c>
      <c r="Y606" s="75">
        <v>5.5555555555556468E-3</v>
      </c>
      <c r="Z606" s="76">
        <v>41738</v>
      </c>
      <c r="AA606" s="36" t="str">
        <f t="shared" si="198"/>
        <v>Nacional</v>
      </c>
      <c r="AB606" s="36">
        <f t="shared" si="198"/>
        <v>6.5789473684210557E-3</v>
      </c>
      <c r="AC606" s="36">
        <f t="shared" si="198"/>
        <v>5.2997076023391767E-3</v>
      </c>
      <c r="AD606" s="36">
        <f t="shared" si="198"/>
        <v>1.1878654970760232E-2</v>
      </c>
      <c r="AE606" s="36" t="str">
        <f t="shared" si="198"/>
        <v>B737-700</v>
      </c>
      <c r="AF606" s="36">
        <f t="shared" si="198"/>
        <v>126</v>
      </c>
      <c r="AG606" s="36" t="str">
        <f t="shared" si="198"/>
        <v>MEX</v>
      </c>
      <c r="AI606">
        <v>592</v>
      </c>
      <c r="AJ606" s="77" t="str">
        <f t="shared" si="194"/>
        <v>MEXICO AEREO</v>
      </c>
      <c r="AK606" s="77">
        <f t="shared" si="194"/>
        <v>228</v>
      </c>
      <c r="AL606" s="78">
        <v>0.6777777777777777</v>
      </c>
      <c r="AM606" s="79">
        <v>0.71388888888888891</v>
      </c>
      <c r="AN606" s="80">
        <v>3.6111111111111205E-2</v>
      </c>
      <c r="AO606" s="79">
        <v>0.71875</v>
      </c>
      <c r="AP606" s="80">
        <v>4.8611111111110938E-3</v>
      </c>
      <c r="AQ606" s="81">
        <v>41808</v>
      </c>
      <c r="AR606" s="77" t="str">
        <f t="shared" si="195"/>
        <v>Nacional</v>
      </c>
      <c r="AS606" s="77">
        <f t="shared" si="195"/>
        <v>8.9330808080807945E-3</v>
      </c>
      <c r="AT606" s="77">
        <f t="shared" si="195"/>
        <v>8.7121212121212283E-3</v>
      </c>
      <c r="AU606" s="77">
        <f t="shared" si="195"/>
        <v>1.7645202020202023E-2</v>
      </c>
      <c r="AV606" s="77">
        <f t="shared" si="195"/>
        <v>738</v>
      </c>
      <c r="AW606" s="77">
        <f t="shared" si="195"/>
        <v>189</v>
      </c>
      <c r="AX606" s="77" t="str">
        <f t="shared" si="195"/>
        <v>MEX</v>
      </c>
    </row>
    <row r="607" spans="1:50" x14ac:dyDescent="0.25">
      <c r="A607">
        <v>593</v>
      </c>
      <c r="B607" s="36" t="str">
        <f t="shared" si="196"/>
        <v>INTERAVIÓN</v>
      </c>
      <c r="C607" s="36">
        <f t="shared" si="196"/>
        <v>2840</v>
      </c>
      <c r="D607" s="74">
        <v>0.68958333333333333</v>
      </c>
      <c r="E607" s="74">
        <v>0.69930555555555562</v>
      </c>
      <c r="F607" s="75">
        <v>9.7222222222222987E-3</v>
      </c>
      <c r="G607" s="74">
        <v>0.71527777777777779</v>
      </c>
      <c r="H607" s="75">
        <v>1.5972222222222165E-2</v>
      </c>
      <c r="I607" s="76">
        <v>41722</v>
      </c>
      <c r="J607" s="36" t="str">
        <f t="shared" si="199"/>
        <v>Internacional</v>
      </c>
      <c r="K607" s="36">
        <f t="shared" si="199"/>
        <v>7.1428571428571496E-3</v>
      </c>
      <c r="L607" s="36">
        <f t="shared" si="199"/>
        <v>1.2400793650793607E-2</v>
      </c>
      <c r="M607" s="36">
        <f t="shared" si="199"/>
        <v>1.9543650793650755E-2</v>
      </c>
      <c r="N607" s="36">
        <f t="shared" si="199"/>
        <v>320</v>
      </c>
      <c r="O607" s="36">
        <f t="shared" si="199"/>
        <v>179</v>
      </c>
      <c r="P607" s="36" t="str">
        <f t="shared" si="199"/>
        <v>SNA</v>
      </c>
      <c r="R607">
        <v>593</v>
      </c>
      <c r="S607" s="36" t="str">
        <f t="shared" si="185"/>
        <v>MEXICO AEREO</v>
      </c>
      <c r="T607" s="36">
        <f t="shared" si="185"/>
        <v>286</v>
      </c>
      <c r="U607" s="73">
        <v>0.59861111111111109</v>
      </c>
      <c r="V607" s="74">
        <v>0.60138888888888886</v>
      </c>
      <c r="W607" s="75">
        <v>2.7777777777777679E-3</v>
      </c>
      <c r="X607" s="74">
        <v>0.6069444444444444</v>
      </c>
      <c r="Y607" s="75">
        <v>5.5555555555555358E-3</v>
      </c>
      <c r="Z607" s="76">
        <v>41739</v>
      </c>
      <c r="AA607" s="36" t="str">
        <f t="shared" si="198"/>
        <v>Nacional</v>
      </c>
      <c r="AB607" s="36">
        <f t="shared" si="198"/>
        <v>6.5789473684210557E-3</v>
      </c>
      <c r="AC607" s="36">
        <f t="shared" si="198"/>
        <v>5.2997076023391767E-3</v>
      </c>
      <c r="AD607" s="36">
        <f t="shared" si="198"/>
        <v>1.1878654970760232E-2</v>
      </c>
      <c r="AE607" s="36" t="str">
        <f t="shared" si="198"/>
        <v>B737-700</v>
      </c>
      <c r="AF607" s="36">
        <f t="shared" si="198"/>
        <v>126</v>
      </c>
      <c r="AG607" s="36" t="str">
        <f t="shared" si="198"/>
        <v>MEX</v>
      </c>
      <c r="AI607">
        <v>593</v>
      </c>
      <c r="AJ607" s="77" t="str">
        <f t="shared" si="194"/>
        <v>MEXICO AEREO</v>
      </c>
      <c r="AK607" s="77">
        <f t="shared" si="194"/>
        <v>228</v>
      </c>
      <c r="AL607" s="78">
        <v>0.67708333333333337</v>
      </c>
      <c r="AM607" s="79">
        <v>0.6791666666666667</v>
      </c>
      <c r="AN607" s="80">
        <v>2.0833333333333259E-3</v>
      </c>
      <c r="AO607" s="79">
        <v>0.68541666666666667</v>
      </c>
      <c r="AP607" s="80">
        <v>6.2499999999999778E-3</v>
      </c>
      <c r="AQ607" s="81">
        <v>41809</v>
      </c>
      <c r="AR607" s="77" t="str">
        <f t="shared" si="195"/>
        <v>Nacional</v>
      </c>
      <c r="AS607" s="77">
        <f t="shared" si="195"/>
        <v>8.9330808080807945E-3</v>
      </c>
      <c r="AT607" s="77">
        <f t="shared" si="195"/>
        <v>8.7121212121212283E-3</v>
      </c>
      <c r="AU607" s="77">
        <f t="shared" si="195"/>
        <v>1.7645202020202023E-2</v>
      </c>
      <c r="AV607" s="77">
        <f t="shared" si="195"/>
        <v>738</v>
      </c>
      <c r="AW607" s="77">
        <f t="shared" si="195"/>
        <v>189</v>
      </c>
      <c r="AX607" s="77" t="str">
        <f t="shared" si="195"/>
        <v>MEX</v>
      </c>
    </row>
    <row r="608" spans="1:50" x14ac:dyDescent="0.25">
      <c r="A608">
        <v>594</v>
      </c>
      <c r="B608" s="36" t="str">
        <f t="shared" si="196"/>
        <v>INTERAVIÓN</v>
      </c>
      <c r="C608" s="36">
        <f t="shared" si="196"/>
        <v>2840</v>
      </c>
      <c r="D608" s="74">
        <v>0.6875</v>
      </c>
      <c r="E608" s="74">
        <v>0.69027777777777777</v>
      </c>
      <c r="F608" s="75">
        <v>2.7777777777777679E-3</v>
      </c>
      <c r="G608" s="74">
        <v>0.71875</v>
      </c>
      <c r="H608" s="75">
        <v>2.8472222222222232E-2</v>
      </c>
      <c r="I608" s="76">
        <v>41726</v>
      </c>
      <c r="J608" s="36" t="str">
        <f t="shared" si="199"/>
        <v>Internacional</v>
      </c>
      <c r="K608" s="36">
        <f t="shared" si="199"/>
        <v>7.1428571428571496E-3</v>
      </c>
      <c r="L608" s="36">
        <f t="shared" si="199"/>
        <v>1.2400793650793607E-2</v>
      </c>
      <c r="M608" s="36">
        <f t="shared" si="199"/>
        <v>1.9543650793650755E-2</v>
      </c>
      <c r="N608" s="36">
        <f t="shared" si="199"/>
        <v>320</v>
      </c>
      <c r="O608" s="36">
        <f t="shared" si="199"/>
        <v>179</v>
      </c>
      <c r="P608" s="36" t="str">
        <f t="shared" si="199"/>
        <v>SNA</v>
      </c>
      <c r="R608">
        <v>594</v>
      </c>
      <c r="S608" s="36" t="str">
        <f t="shared" si="185"/>
        <v>MEXICO AEREO</v>
      </c>
      <c r="T608" s="36">
        <f t="shared" si="185"/>
        <v>286</v>
      </c>
      <c r="U608" s="73">
        <v>0.59375</v>
      </c>
      <c r="V608" s="74">
        <v>0.6020833333333333</v>
      </c>
      <c r="W608" s="75">
        <v>8.3333333333333037E-3</v>
      </c>
      <c r="X608" s="74">
        <v>0.61111111111111105</v>
      </c>
      <c r="Y608" s="75">
        <v>9.0277777777777457E-3</v>
      </c>
      <c r="Z608" s="76">
        <v>41741</v>
      </c>
      <c r="AA608" s="36" t="str">
        <f t="shared" si="198"/>
        <v>Nacional</v>
      </c>
      <c r="AB608" s="36">
        <f t="shared" si="198"/>
        <v>6.5789473684210557E-3</v>
      </c>
      <c r="AC608" s="36">
        <f t="shared" si="198"/>
        <v>5.2997076023391767E-3</v>
      </c>
      <c r="AD608" s="36">
        <f t="shared" si="198"/>
        <v>1.1878654970760232E-2</v>
      </c>
      <c r="AE608" s="36" t="str">
        <f t="shared" si="198"/>
        <v>B737-700</v>
      </c>
      <c r="AF608" s="36">
        <f t="shared" si="198"/>
        <v>126</v>
      </c>
      <c r="AG608" s="36" t="str">
        <f t="shared" si="198"/>
        <v>MEX</v>
      </c>
      <c r="AI608">
        <v>594</v>
      </c>
      <c r="AJ608" s="77" t="str">
        <f t="shared" si="194"/>
        <v>MEXICO AEREO</v>
      </c>
      <c r="AK608" s="77">
        <f t="shared" si="194"/>
        <v>228</v>
      </c>
      <c r="AL608" s="78">
        <v>0.68055555555555547</v>
      </c>
      <c r="AM608" s="79">
        <v>0.6875</v>
      </c>
      <c r="AN608" s="80">
        <v>6.9444444444445308E-3</v>
      </c>
      <c r="AO608" s="79">
        <v>0.69791666666666663</v>
      </c>
      <c r="AP608" s="80">
        <v>1.041666666666663E-2</v>
      </c>
      <c r="AQ608" s="81">
        <v>41810</v>
      </c>
      <c r="AR608" s="77" t="str">
        <f t="shared" si="195"/>
        <v>Nacional</v>
      </c>
      <c r="AS608" s="77">
        <f t="shared" si="195"/>
        <v>8.9330808080807945E-3</v>
      </c>
      <c r="AT608" s="77">
        <f t="shared" si="195"/>
        <v>8.7121212121212283E-3</v>
      </c>
      <c r="AU608" s="77">
        <f t="shared" si="195"/>
        <v>1.7645202020202023E-2</v>
      </c>
      <c r="AV608" s="77">
        <f t="shared" si="195"/>
        <v>738</v>
      </c>
      <c r="AW608" s="77">
        <f t="shared" si="195"/>
        <v>189</v>
      </c>
      <c r="AX608" s="77" t="str">
        <f t="shared" si="195"/>
        <v>MEX</v>
      </c>
    </row>
    <row r="609" spans="1:50" x14ac:dyDescent="0.25">
      <c r="A609">
        <v>595</v>
      </c>
      <c r="B609" s="36" t="str">
        <f t="shared" si="196"/>
        <v>INTERAVIÓN</v>
      </c>
      <c r="C609" s="36">
        <f t="shared" si="196"/>
        <v>2840</v>
      </c>
      <c r="D609" s="74">
        <v>0.76250000000000007</v>
      </c>
      <c r="E609" s="74">
        <v>0.76527777777777783</v>
      </c>
      <c r="F609" s="75">
        <v>2.7777777777777679E-3</v>
      </c>
      <c r="G609" s="74">
        <v>0.76874999999999993</v>
      </c>
      <c r="H609" s="75">
        <v>3.4722222222220989E-3</v>
      </c>
      <c r="I609" s="76">
        <v>41728</v>
      </c>
      <c r="J609" s="36" t="str">
        <f t="shared" si="199"/>
        <v>Internacional</v>
      </c>
      <c r="K609" s="36">
        <f t="shared" si="199"/>
        <v>7.1428571428571496E-3</v>
      </c>
      <c r="L609" s="36">
        <f t="shared" si="199"/>
        <v>1.2400793650793607E-2</v>
      </c>
      <c r="M609" s="36">
        <f t="shared" si="199"/>
        <v>1.9543650793650755E-2</v>
      </c>
      <c r="N609" s="36">
        <f t="shared" si="199"/>
        <v>320</v>
      </c>
      <c r="O609" s="36">
        <f t="shared" si="199"/>
        <v>179</v>
      </c>
      <c r="P609" s="36" t="str">
        <f t="shared" si="199"/>
        <v>SNA</v>
      </c>
      <c r="R609">
        <v>595</v>
      </c>
      <c r="S609" s="36" t="str">
        <f t="shared" si="185"/>
        <v>MEXICO AEREO</v>
      </c>
      <c r="T609" s="36">
        <f t="shared" si="185"/>
        <v>286</v>
      </c>
      <c r="U609" s="73">
        <v>0.61458333333333337</v>
      </c>
      <c r="V609" s="74">
        <v>0.62083333333333335</v>
      </c>
      <c r="W609" s="75">
        <v>6.2499999999999778E-3</v>
      </c>
      <c r="X609" s="74">
        <v>0.625</v>
      </c>
      <c r="Y609" s="75">
        <v>4.1666666666666519E-3</v>
      </c>
      <c r="Z609" s="76">
        <v>41743</v>
      </c>
      <c r="AA609" s="36" t="str">
        <f t="shared" si="198"/>
        <v>Nacional</v>
      </c>
      <c r="AB609" s="36">
        <f t="shared" si="198"/>
        <v>6.5789473684210557E-3</v>
      </c>
      <c r="AC609" s="36">
        <f t="shared" si="198"/>
        <v>5.2997076023391767E-3</v>
      </c>
      <c r="AD609" s="36">
        <f t="shared" si="198"/>
        <v>1.1878654970760232E-2</v>
      </c>
      <c r="AE609" s="36" t="str">
        <f t="shared" si="198"/>
        <v>B737-700</v>
      </c>
      <c r="AF609" s="36">
        <f t="shared" si="198"/>
        <v>126</v>
      </c>
      <c r="AG609" s="36" t="str">
        <f t="shared" si="198"/>
        <v>MEX</v>
      </c>
      <c r="AI609">
        <v>595</v>
      </c>
      <c r="AJ609" s="77" t="str">
        <f t="shared" si="194"/>
        <v>MEXICO AEREO</v>
      </c>
      <c r="AK609" s="77">
        <f t="shared" si="194"/>
        <v>228</v>
      </c>
      <c r="AL609" s="78">
        <v>0.70347222222222217</v>
      </c>
      <c r="AM609" s="79">
        <v>0.70694444444444438</v>
      </c>
      <c r="AN609" s="80">
        <v>3.4722222222222099E-3</v>
      </c>
      <c r="AO609" s="79">
        <v>0.71875</v>
      </c>
      <c r="AP609" s="80">
        <v>1.1805555555555625E-2</v>
      </c>
      <c r="AQ609" s="81">
        <v>41811</v>
      </c>
      <c r="AR609" s="77" t="str">
        <f t="shared" si="195"/>
        <v>Nacional</v>
      </c>
      <c r="AS609" s="77">
        <f t="shared" si="195"/>
        <v>8.9330808080807945E-3</v>
      </c>
      <c r="AT609" s="77">
        <f t="shared" si="195"/>
        <v>8.7121212121212283E-3</v>
      </c>
      <c r="AU609" s="77">
        <f t="shared" si="195"/>
        <v>1.7645202020202023E-2</v>
      </c>
      <c r="AV609" s="77">
        <f t="shared" si="195"/>
        <v>738</v>
      </c>
      <c r="AW609" s="77">
        <f t="shared" si="195"/>
        <v>189</v>
      </c>
      <c r="AX609" s="77" t="str">
        <f t="shared" si="195"/>
        <v>MEX</v>
      </c>
    </row>
    <row r="610" spans="1:50" ht="15.75" thickBot="1" x14ac:dyDescent="0.3">
      <c r="A610">
        <v>596</v>
      </c>
      <c r="B610" s="36" t="str">
        <f t="shared" si="196"/>
        <v>INTERAVIÓN</v>
      </c>
      <c r="C610" s="36">
        <f t="shared" si="196"/>
        <v>2840</v>
      </c>
      <c r="D610" s="84">
        <v>0.69444444444444453</v>
      </c>
      <c r="E610" s="84">
        <v>0.70486111111111116</v>
      </c>
      <c r="F610" s="85">
        <v>1.041666666666663E-2</v>
      </c>
      <c r="G610" s="84">
        <v>0.71388888888888891</v>
      </c>
      <c r="H610" s="85">
        <v>9.0277777777777457E-3</v>
      </c>
      <c r="I610" s="86">
        <v>41729</v>
      </c>
      <c r="J610" s="36" t="str">
        <f t="shared" si="199"/>
        <v>Internacional</v>
      </c>
      <c r="K610" s="36">
        <f t="shared" si="199"/>
        <v>7.1428571428571496E-3</v>
      </c>
      <c r="L610" s="36">
        <f t="shared" si="199"/>
        <v>1.2400793650793607E-2</v>
      </c>
      <c r="M610" s="36">
        <f t="shared" si="199"/>
        <v>1.9543650793650755E-2</v>
      </c>
      <c r="N610" s="36">
        <f t="shared" si="199"/>
        <v>320</v>
      </c>
      <c r="O610" s="36">
        <f t="shared" si="199"/>
        <v>179</v>
      </c>
      <c r="P610" s="36" t="str">
        <f t="shared" si="199"/>
        <v>SNA</v>
      </c>
      <c r="R610">
        <v>596</v>
      </c>
      <c r="S610" s="36" t="str">
        <f t="shared" si="185"/>
        <v>MEXICO AEREO</v>
      </c>
      <c r="T610" s="36">
        <f t="shared" si="185"/>
        <v>286</v>
      </c>
      <c r="U610" s="73">
        <v>0.57986111111111105</v>
      </c>
      <c r="V610" s="74">
        <v>0.58888888888888891</v>
      </c>
      <c r="W610" s="75">
        <v>9.0277777777778567E-3</v>
      </c>
      <c r="X610" s="74">
        <v>0.59236111111111112</v>
      </c>
      <c r="Y610" s="75">
        <v>3.4722222222222099E-3</v>
      </c>
      <c r="Z610" s="76">
        <v>41745</v>
      </c>
      <c r="AA610" s="36" t="str">
        <f t="shared" si="198"/>
        <v>Nacional</v>
      </c>
      <c r="AB610" s="36">
        <f t="shared" si="198"/>
        <v>6.5789473684210557E-3</v>
      </c>
      <c r="AC610" s="36">
        <f t="shared" si="198"/>
        <v>5.2997076023391767E-3</v>
      </c>
      <c r="AD610" s="36">
        <f t="shared" si="198"/>
        <v>1.1878654970760232E-2</v>
      </c>
      <c r="AE610" s="36" t="str">
        <f t="shared" si="198"/>
        <v>B737-700</v>
      </c>
      <c r="AF610" s="36">
        <f t="shared" si="198"/>
        <v>126</v>
      </c>
      <c r="AG610" s="36" t="str">
        <f t="shared" si="198"/>
        <v>MEX</v>
      </c>
      <c r="AI610">
        <v>596</v>
      </c>
      <c r="AJ610" s="77" t="str">
        <f t="shared" si="194"/>
        <v>MEXICO AEREO</v>
      </c>
      <c r="AK610" s="77">
        <f t="shared" si="194"/>
        <v>228</v>
      </c>
      <c r="AL610" s="78">
        <v>0.68819444444444444</v>
      </c>
      <c r="AM610" s="79">
        <v>0.69305555555555554</v>
      </c>
      <c r="AN610" s="80">
        <v>4.8611111111110938E-3</v>
      </c>
      <c r="AO610" s="79">
        <v>0.70208333333333339</v>
      </c>
      <c r="AP610" s="80">
        <v>9.0277777777778567E-3</v>
      </c>
      <c r="AQ610" s="81">
        <v>41813</v>
      </c>
      <c r="AR610" s="77" t="str">
        <f t="shared" si="195"/>
        <v>Nacional</v>
      </c>
      <c r="AS610" s="77">
        <f t="shared" si="195"/>
        <v>8.9330808080807945E-3</v>
      </c>
      <c r="AT610" s="77">
        <f t="shared" si="195"/>
        <v>8.7121212121212283E-3</v>
      </c>
      <c r="AU610" s="77">
        <f t="shared" si="195"/>
        <v>1.7645202020202023E-2</v>
      </c>
      <c r="AV610" s="77">
        <f t="shared" si="195"/>
        <v>738</v>
      </c>
      <c r="AW610" s="77">
        <f t="shared" si="195"/>
        <v>189</v>
      </c>
      <c r="AX610" s="77" t="str">
        <f t="shared" si="195"/>
        <v>MEX</v>
      </c>
    </row>
    <row r="611" spans="1:50" ht="15.75" thickBot="1" x14ac:dyDescent="0.3">
      <c r="A611">
        <v>597</v>
      </c>
      <c r="B611" s="36" t="str">
        <f t="shared" si="196"/>
        <v>INTERAVIÓN</v>
      </c>
      <c r="C611" s="88">
        <v>2224</v>
      </c>
      <c r="D611" s="57">
        <v>0.23263888888888887</v>
      </c>
      <c r="E611" s="57">
        <v>0.24652777777777779</v>
      </c>
      <c r="F611" s="58">
        <v>1.3888888888888923E-2</v>
      </c>
      <c r="G611" s="57">
        <v>0.25</v>
      </c>
      <c r="H611" s="58">
        <v>3.4722222222222099E-3</v>
      </c>
      <c r="I611" s="59">
        <v>41724</v>
      </c>
      <c r="J611" s="60" t="s">
        <v>19</v>
      </c>
      <c r="K611" s="61">
        <v>6.3888888888888745E-3</v>
      </c>
      <c r="L611" s="61">
        <v>4.5138888888888954E-3</v>
      </c>
      <c r="M611" s="142">
        <v>1.090277777777777E-2</v>
      </c>
      <c r="N611" s="90">
        <v>320</v>
      </c>
      <c r="O611" s="91">
        <v>179</v>
      </c>
      <c r="P611" s="92" t="s">
        <v>21</v>
      </c>
      <c r="R611">
        <v>597</v>
      </c>
      <c r="S611" s="36" t="str">
        <f t="shared" si="185"/>
        <v>MEXICO AEREO</v>
      </c>
      <c r="T611" s="36">
        <f t="shared" si="185"/>
        <v>286</v>
      </c>
      <c r="U611" s="73">
        <v>0.6069444444444444</v>
      </c>
      <c r="V611" s="74">
        <v>0.61388888888888882</v>
      </c>
      <c r="W611" s="75">
        <v>6.9444444444444198E-3</v>
      </c>
      <c r="X611" s="74">
        <v>0.62013888888888891</v>
      </c>
      <c r="Y611" s="75">
        <v>6.2500000000000888E-3</v>
      </c>
      <c r="Z611" s="76">
        <v>41748</v>
      </c>
      <c r="AA611" s="36" t="str">
        <f t="shared" si="198"/>
        <v>Nacional</v>
      </c>
      <c r="AB611" s="36">
        <f t="shared" si="198"/>
        <v>6.5789473684210557E-3</v>
      </c>
      <c r="AC611" s="36">
        <f t="shared" si="198"/>
        <v>5.2997076023391767E-3</v>
      </c>
      <c r="AD611" s="36">
        <f t="shared" si="198"/>
        <v>1.1878654970760232E-2</v>
      </c>
      <c r="AE611" s="36" t="str">
        <f t="shared" si="198"/>
        <v>B737-700</v>
      </c>
      <c r="AF611" s="36">
        <f t="shared" si="198"/>
        <v>126</v>
      </c>
      <c r="AG611" s="36" t="str">
        <f t="shared" si="198"/>
        <v>MEX</v>
      </c>
      <c r="AI611">
        <v>597</v>
      </c>
      <c r="AJ611" s="77" t="str">
        <f t="shared" si="194"/>
        <v>MEXICO AEREO</v>
      </c>
      <c r="AK611" s="77">
        <f t="shared" si="194"/>
        <v>228</v>
      </c>
      <c r="AL611" s="94">
        <v>0.64444444444444449</v>
      </c>
      <c r="AM611" s="95">
        <v>0.69305555555555554</v>
      </c>
      <c r="AN611" s="96">
        <v>4.8611111111111049E-2</v>
      </c>
      <c r="AO611" s="95">
        <v>0.70000000000000007</v>
      </c>
      <c r="AP611" s="96">
        <v>6.9444444444445308E-3</v>
      </c>
      <c r="AQ611" s="97">
        <v>41812</v>
      </c>
      <c r="AR611" s="77" t="str">
        <f t="shared" si="195"/>
        <v>Nacional</v>
      </c>
      <c r="AS611" s="77">
        <f t="shared" si="195"/>
        <v>8.9330808080807945E-3</v>
      </c>
      <c r="AT611" s="77">
        <f t="shared" si="195"/>
        <v>8.7121212121212283E-3</v>
      </c>
      <c r="AU611" s="77">
        <f t="shared" si="195"/>
        <v>1.7645202020202023E-2</v>
      </c>
      <c r="AV611" s="77">
        <f t="shared" si="195"/>
        <v>738</v>
      </c>
      <c r="AW611" s="77">
        <f t="shared" si="195"/>
        <v>189</v>
      </c>
      <c r="AX611" s="77" t="str">
        <f t="shared" si="195"/>
        <v>MEX</v>
      </c>
    </row>
    <row r="612" spans="1:50" x14ac:dyDescent="0.25">
      <c r="A612">
        <v>598</v>
      </c>
      <c r="B612" s="36" t="str">
        <f t="shared" si="196"/>
        <v>INTERAVIÓN</v>
      </c>
      <c r="C612" s="36">
        <f t="shared" si="196"/>
        <v>2224</v>
      </c>
      <c r="D612" s="74">
        <v>0.59722222222222221</v>
      </c>
      <c r="E612" s="74">
        <v>0.6020833333333333</v>
      </c>
      <c r="F612" s="75">
        <v>4.8611111111110938E-3</v>
      </c>
      <c r="G612" s="74">
        <v>0.60763888888888895</v>
      </c>
      <c r="H612" s="75">
        <v>5.5555555555556468E-3</v>
      </c>
      <c r="I612" s="76">
        <v>41715</v>
      </c>
      <c r="J612" s="36" t="str">
        <f t="shared" ref="J612:P620" si="200">J611</f>
        <v>Nacional</v>
      </c>
      <c r="K612" s="36">
        <f t="shared" si="200"/>
        <v>6.3888888888888745E-3</v>
      </c>
      <c r="L612" s="36">
        <f t="shared" si="200"/>
        <v>4.5138888888888954E-3</v>
      </c>
      <c r="M612" s="36">
        <f t="shared" si="200"/>
        <v>1.090277777777777E-2</v>
      </c>
      <c r="N612" s="36">
        <f t="shared" si="200"/>
        <v>320</v>
      </c>
      <c r="O612" s="36">
        <f t="shared" si="200"/>
        <v>179</v>
      </c>
      <c r="P612" s="36" t="str">
        <f t="shared" si="200"/>
        <v>MEX</v>
      </c>
      <c r="R612">
        <v>598</v>
      </c>
      <c r="S612" s="36" t="str">
        <f t="shared" si="185"/>
        <v>MEXICO AEREO</v>
      </c>
      <c r="T612" s="36">
        <f t="shared" si="185"/>
        <v>286</v>
      </c>
      <c r="U612" s="73">
        <v>0.60555555555555551</v>
      </c>
      <c r="V612" s="74">
        <v>0.60625000000000007</v>
      </c>
      <c r="W612" s="75">
        <v>6.94444444444553E-4</v>
      </c>
      <c r="X612" s="74">
        <v>0.60833333333333328</v>
      </c>
      <c r="Y612" s="75">
        <v>2.0833333333332149E-3</v>
      </c>
      <c r="Z612" s="76">
        <v>41749</v>
      </c>
      <c r="AA612" s="36" t="str">
        <f t="shared" si="198"/>
        <v>Nacional</v>
      </c>
      <c r="AB612" s="36">
        <f t="shared" si="198"/>
        <v>6.5789473684210557E-3</v>
      </c>
      <c r="AC612" s="36">
        <f t="shared" si="198"/>
        <v>5.2997076023391767E-3</v>
      </c>
      <c r="AD612" s="36">
        <f t="shared" si="198"/>
        <v>1.1878654970760232E-2</v>
      </c>
      <c r="AE612" s="36" t="str">
        <f t="shared" si="198"/>
        <v>B737-700</v>
      </c>
      <c r="AF612" s="36">
        <f t="shared" si="198"/>
        <v>126</v>
      </c>
      <c r="AG612" s="36" t="str">
        <f t="shared" si="198"/>
        <v>MEX</v>
      </c>
      <c r="AI612">
        <v>598</v>
      </c>
      <c r="AJ612" s="77" t="str">
        <f t="shared" si="194"/>
        <v>MEXICO AEREO</v>
      </c>
      <c r="AK612" s="63">
        <v>214</v>
      </c>
      <c r="AL612" s="64">
        <v>0.63680555555555551</v>
      </c>
      <c r="AM612" s="65">
        <v>0.64374999999999993</v>
      </c>
      <c r="AN612" s="66">
        <v>6.9444444444444198E-3</v>
      </c>
      <c r="AO612" s="65">
        <v>0.65069444444444446</v>
      </c>
      <c r="AP612" s="66">
        <v>6.9444444444445308E-3</v>
      </c>
      <c r="AQ612" s="67">
        <v>41791</v>
      </c>
      <c r="AR612" s="68" t="s">
        <v>19</v>
      </c>
      <c r="AS612" s="69">
        <v>5.6652046783625971E-3</v>
      </c>
      <c r="AT612" s="70">
        <v>8.1505847953216356E-3</v>
      </c>
      <c r="AU612" s="70">
        <v>1.3815789473684233E-2</v>
      </c>
      <c r="AV612" s="71" t="s">
        <v>20</v>
      </c>
      <c r="AW612" s="71">
        <v>50</v>
      </c>
      <c r="AX612" s="72" t="s">
        <v>21</v>
      </c>
    </row>
    <row r="613" spans="1:50" x14ac:dyDescent="0.25">
      <c r="A613">
        <v>599</v>
      </c>
      <c r="B613" s="36" t="str">
        <f t="shared" si="196"/>
        <v>INTERAVIÓN</v>
      </c>
      <c r="C613" s="36">
        <f t="shared" si="196"/>
        <v>2224</v>
      </c>
      <c r="D613" s="74">
        <v>0.58750000000000002</v>
      </c>
      <c r="E613" s="74">
        <v>0.59375</v>
      </c>
      <c r="F613" s="75">
        <v>6.2499999999999778E-3</v>
      </c>
      <c r="G613" s="74">
        <v>0.59652777777777777</v>
      </c>
      <c r="H613" s="75">
        <v>2.7777777777777679E-3</v>
      </c>
      <c r="I613" s="76">
        <v>41716</v>
      </c>
      <c r="J613" s="36" t="str">
        <f t="shared" si="200"/>
        <v>Nacional</v>
      </c>
      <c r="K613" s="36">
        <f t="shared" si="200"/>
        <v>6.3888888888888745E-3</v>
      </c>
      <c r="L613" s="36">
        <f t="shared" si="200"/>
        <v>4.5138888888888954E-3</v>
      </c>
      <c r="M613" s="36">
        <f t="shared" si="200"/>
        <v>1.090277777777777E-2</v>
      </c>
      <c r="N613" s="36">
        <f t="shared" si="200"/>
        <v>320</v>
      </c>
      <c r="O613" s="36">
        <f t="shared" si="200"/>
        <v>179</v>
      </c>
      <c r="P613" s="36" t="str">
        <f t="shared" si="200"/>
        <v>MEX</v>
      </c>
      <c r="R613">
        <v>599</v>
      </c>
      <c r="S613" s="36" t="str">
        <f t="shared" si="185"/>
        <v>MEXICO AEREO</v>
      </c>
      <c r="T613" s="36">
        <f t="shared" si="185"/>
        <v>286</v>
      </c>
      <c r="U613" s="73">
        <v>0.60277777777777775</v>
      </c>
      <c r="V613" s="74">
        <v>0.60763888888888895</v>
      </c>
      <c r="W613" s="75">
        <v>4.8611111111112049E-3</v>
      </c>
      <c r="X613" s="74">
        <v>0.6166666666666667</v>
      </c>
      <c r="Y613" s="75">
        <v>9.0277777777777457E-3</v>
      </c>
      <c r="Z613" s="76">
        <v>41753</v>
      </c>
      <c r="AA613" s="36" t="str">
        <f t="shared" si="198"/>
        <v>Nacional</v>
      </c>
      <c r="AB613" s="36">
        <f t="shared" si="198"/>
        <v>6.5789473684210557E-3</v>
      </c>
      <c r="AC613" s="36">
        <f t="shared" si="198"/>
        <v>5.2997076023391767E-3</v>
      </c>
      <c r="AD613" s="36">
        <f t="shared" si="198"/>
        <v>1.1878654970760232E-2</v>
      </c>
      <c r="AE613" s="36" t="str">
        <f t="shared" si="198"/>
        <v>B737-700</v>
      </c>
      <c r="AF613" s="36">
        <f t="shared" si="198"/>
        <v>126</v>
      </c>
      <c r="AG613" s="36" t="str">
        <f t="shared" si="198"/>
        <v>MEX</v>
      </c>
      <c r="AI613">
        <v>599</v>
      </c>
      <c r="AJ613" s="77" t="str">
        <f t="shared" si="194"/>
        <v>MEXICO AEREO</v>
      </c>
      <c r="AK613" s="77">
        <f t="shared" si="194"/>
        <v>214</v>
      </c>
      <c r="AL613" s="78">
        <v>0.63263888888888886</v>
      </c>
      <c r="AM613" s="79">
        <v>0.63750000000000007</v>
      </c>
      <c r="AN613" s="80">
        <v>4.8611111111112049E-3</v>
      </c>
      <c r="AO613" s="79">
        <v>0.6430555555555556</v>
      </c>
      <c r="AP613" s="80">
        <v>5.5555555555555358E-3</v>
      </c>
      <c r="AQ613" s="81">
        <v>41792</v>
      </c>
      <c r="AR613" s="77" t="str">
        <f t="shared" ref="AR613:AX630" si="201">AR612</f>
        <v>Nacional</v>
      </c>
      <c r="AS613" s="77">
        <f t="shared" si="201"/>
        <v>5.6652046783625971E-3</v>
      </c>
      <c r="AT613" s="77">
        <f t="shared" si="201"/>
        <v>8.1505847953216356E-3</v>
      </c>
      <c r="AU613" s="77">
        <f t="shared" si="201"/>
        <v>1.3815789473684233E-2</v>
      </c>
      <c r="AV613" s="77" t="str">
        <f t="shared" si="201"/>
        <v>ER4</v>
      </c>
      <c r="AW613" s="77">
        <f t="shared" si="201"/>
        <v>50</v>
      </c>
      <c r="AX613" s="77" t="str">
        <f t="shared" si="201"/>
        <v>MEX</v>
      </c>
    </row>
    <row r="614" spans="1:50" x14ac:dyDescent="0.25">
      <c r="A614">
        <v>600</v>
      </c>
      <c r="B614" s="36" t="str">
        <f t="shared" si="196"/>
        <v>INTERAVIÓN</v>
      </c>
      <c r="C614" s="36">
        <f t="shared" si="196"/>
        <v>2224</v>
      </c>
      <c r="D614" s="74">
        <v>0.58611111111111114</v>
      </c>
      <c r="E614" s="74">
        <v>0.59375</v>
      </c>
      <c r="F614" s="75">
        <v>7.6388888888888618E-3</v>
      </c>
      <c r="G614" s="74">
        <v>0.60069444444444442</v>
      </c>
      <c r="H614" s="75">
        <v>6.9444444444444198E-3</v>
      </c>
      <c r="I614" s="76">
        <v>41717</v>
      </c>
      <c r="J614" s="36" t="str">
        <f t="shared" si="200"/>
        <v>Nacional</v>
      </c>
      <c r="K614" s="36">
        <f t="shared" si="200"/>
        <v>6.3888888888888745E-3</v>
      </c>
      <c r="L614" s="36">
        <f t="shared" si="200"/>
        <v>4.5138888888888954E-3</v>
      </c>
      <c r="M614" s="36">
        <f t="shared" si="200"/>
        <v>1.090277777777777E-2</v>
      </c>
      <c r="N614" s="36">
        <f t="shared" si="200"/>
        <v>320</v>
      </c>
      <c r="O614" s="36">
        <f t="shared" si="200"/>
        <v>179</v>
      </c>
      <c r="P614" s="36" t="str">
        <f t="shared" si="200"/>
        <v>MEX</v>
      </c>
      <c r="R614">
        <v>600</v>
      </c>
      <c r="S614" s="36" t="str">
        <f t="shared" si="185"/>
        <v>MEXICO AEREO</v>
      </c>
      <c r="T614" s="36">
        <f t="shared" si="185"/>
        <v>286</v>
      </c>
      <c r="U614" s="73">
        <v>0.59652777777777777</v>
      </c>
      <c r="V614" s="74">
        <v>0.60277777777777775</v>
      </c>
      <c r="W614" s="75">
        <v>6.2499999999999778E-3</v>
      </c>
      <c r="X614" s="74">
        <v>0.6069444444444444</v>
      </c>
      <c r="Y614" s="75">
        <v>4.1666666666666519E-3</v>
      </c>
      <c r="Z614" s="76">
        <v>41754</v>
      </c>
      <c r="AA614" s="36" t="str">
        <f t="shared" si="198"/>
        <v>Nacional</v>
      </c>
      <c r="AB614" s="36">
        <f t="shared" si="198"/>
        <v>6.5789473684210557E-3</v>
      </c>
      <c r="AC614" s="36">
        <f t="shared" si="198"/>
        <v>5.2997076023391767E-3</v>
      </c>
      <c r="AD614" s="36">
        <f t="shared" si="198"/>
        <v>1.1878654970760232E-2</v>
      </c>
      <c r="AE614" s="36" t="str">
        <f t="shared" si="198"/>
        <v>B737-700</v>
      </c>
      <c r="AF614" s="36">
        <f t="shared" si="198"/>
        <v>126</v>
      </c>
      <c r="AG614" s="36" t="str">
        <f t="shared" si="198"/>
        <v>MEX</v>
      </c>
      <c r="AI614">
        <v>600</v>
      </c>
      <c r="AJ614" s="77" t="str">
        <f t="shared" si="194"/>
        <v>MEXICO AEREO</v>
      </c>
      <c r="AK614" s="77">
        <f t="shared" si="194"/>
        <v>214</v>
      </c>
      <c r="AL614" s="78">
        <v>0.63680555555555551</v>
      </c>
      <c r="AM614" s="79">
        <v>0.63888888888888895</v>
      </c>
      <c r="AN614" s="80">
        <v>2.083333333333437E-3</v>
      </c>
      <c r="AO614" s="79">
        <v>0.64722222222222225</v>
      </c>
      <c r="AP614" s="80">
        <v>8.3333333333333037E-3</v>
      </c>
      <c r="AQ614" s="81">
        <v>41793</v>
      </c>
      <c r="AR614" s="77" t="str">
        <f t="shared" si="201"/>
        <v>Nacional</v>
      </c>
      <c r="AS614" s="77">
        <f t="shared" si="201"/>
        <v>5.6652046783625971E-3</v>
      </c>
      <c r="AT614" s="77">
        <f t="shared" si="201"/>
        <v>8.1505847953216356E-3</v>
      </c>
      <c r="AU614" s="77">
        <f t="shared" si="201"/>
        <v>1.3815789473684233E-2</v>
      </c>
      <c r="AV614" s="77" t="str">
        <f t="shared" si="201"/>
        <v>ER4</v>
      </c>
      <c r="AW614" s="77">
        <f t="shared" si="201"/>
        <v>50</v>
      </c>
      <c r="AX614" s="77" t="str">
        <f t="shared" si="201"/>
        <v>MEX</v>
      </c>
    </row>
    <row r="615" spans="1:50" x14ac:dyDescent="0.25">
      <c r="A615">
        <v>601</v>
      </c>
      <c r="B615" s="36" t="str">
        <f t="shared" si="196"/>
        <v>INTERAVIÓN</v>
      </c>
      <c r="C615" s="36">
        <f t="shared" si="196"/>
        <v>2224</v>
      </c>
      <c r="D615" s="74">
        <v>0.59097222222222223</v>
      </c>
      <c r="E615" s="74">
        <v>0.59583333333333333</v>
      </c>
      <c r="F615" s="75">
        <v>4.8611111111110938E-3</v>
      </c>
      <c r="G615" s="74">
        <v>0.60347222222222219</v>
      </c>
      <c r="H615" s="75">
        <v>7.6388888888888618E-3</v>
      </c>
      <c r="I615" s="76">
        <v>41718</v>
      </c>
      <c r="J615" s="36" t="str">
        <f t="shared" si="200"/>
        <v>Nacional</v>
      </c>
      <c r="K615" s="36">
        <f t="shared" si="200"/>
        <v>6.3888888888888745E-3</v>
      </c>
      <c r="L615" s="36">
        <f t="shared" si="200"/>
        <v>4.5138888888888954E-3</v>
      </c>
      <c r="M615" s="36">
        <f t="shared" si="200"/>
        <v>1.090277777777777E-2</v>
      </c>
      <c r="N615" s="36">
        <f t="shared" si="200"/>
        <v>320</v>
      </c>
      <c r="O615" s="36">
        <f t="shared" si="200"/>
        <v>179</v>
      </c>
      <c r="P615" s="36" t="str">
        <f t="shared" si="200"/>
        <v>MEX</v>
      </c>
      <c r="R615">
        <v>601</v>
      </c>
      <c r="S615" s="36" t="str">
        <f t="shared" si="185"/>
        <v>MEXICO AEREO</v>
      </c>
      <c r="T615" s="36">
        <f t="shared" si="185"/>
        <v>286</v>
      </c>
      <c r="U615" s="73">
        <v>0.59722222222222221</v>
      </c>
      <c r="V615" s="74">
        <v>0.59930555555555554</v>
      </c>
      <c r="W615" s="75">
        <v>2.0833333333333259E-3</v>
      </c>
      <c r="X615" s="74">
        <v>0.60902777777777783</v>
      </c>
      <c r="Y615" s="75">
        <v>9.7222222222222987E-3</v>
      </c>
      <c r="Z615" s="76">
        <v>41756</v>
      </c>
      <c r="AA615" s="36" t="str">
        <f t="shared" si="198"/>
        <v>Nacional</v>
      </c>
      <c r="AB615" s="36">
        <f t="shared" si="198"/>
        <v>6.5789473684210557E-3</v>
      </c>
      <c r="AC615" s="36">
        <f t="shared" si="198"/>
        <v>5.2997076023391767E-3</v>
      </c>
      <c r="AD615" s="36">
        <f t="shared" si="198"/>
        <v>1.1878654970760232E-2</v>
      </c>
      <c r="AE615" s="36" t="str">
        <f t="shared" si="198"/>
        <v>B737-700</v>
      </c>
      <c r="AF615" s="36">
        <f t="shared" si="198"/>
        <v>126</v>
      </c>
      <c r="AG615" s="36" t="str">
        <f t="shared" si="198"/>
        <v>MEX</v>
      </c>
      <c r="AI615">
        <v>601</v>
      </c>
      <c r="AJ615" s="77" t="str">
        <f t="shared" si="194"/>
        <v>MEXICO AEREO</v>
      </c>
      <c r="AK615" s="77">
        <f t="shared" si="194"/>
        <v>214</v>
      </c>
      <c r="AL615" s="78">
        <v>0.63263888888888886</v>
      </c>
      <c r="AM615" s="79">
        <v>0.63750000000000007</v>
      </c>
      <c r="AN615" s="80">
        <v>4.8611111111112049E-3</v>
      </c>
      <c r="AO615" s="79">
        <v>0.64097222222222217</v>
      </c>
      <c r="AP615" s="80">
        <v>3.4722222222220989E-3</v>
      </c>
      <c r="AQ615" s="81">
        <v>41794</v>
      </c>
      <c r="AR615" s="77" t="str">
        <f t="shared" si="201"/>
        <v>Nacional</v>
      </c>
      <c r="AS615" s="77">
        <f t="shared" si="201"/>
        <v>5.6652046783625971E-3</v>
      </c>
      <c r="AT615" s="77">
        <f t="shared" si="201"/>
        <v>8.1505847953216356E-3</v>
      </c>
      <c r="AU615" s="77">
        <f t="shared" si="201"/>
        <v>1.3815789473684233E-2</v>
      </c>
      <c r="AV615" s="77" t="str">
        <f t="shared" si="201"/>
        <v>ER4</v>
      </c>
      <c r="AW615" s="77">
        <f t="shared" si="201"/>
        <v>50</v>
      </c>
      <c r="AX615" s="77" t="str">
        <f t="shared" si="201"/>
        <v>MEX</v>
      </c>
    </row>
    <row r="616" spans="1:50" x14ac:dyDescent="0.25">
      <c r="A616">
        <v>602</v>
      </c>
      <c r="B616" s="36" t="str">
        <f t="shared" si="196"/>
        <v>INTERAVIÓN</v>
      </c>
      <c r="C616" s="36">
        <f t="shared" si="196"/>
        <v>2224</v>
      </c>
      <c r="D616" s="74">
        <v>0.59652777777777777</v>
      </c>
      <c r="E616" s="74">
        <v>0.6020833333333333</v>
      </c>
      <c r="F616" s="75">
        <v>5.5555555555555358E-3</v>
      </c>
      <c r="G616" s="74">
        <v>0.60486111111111118</v>
      </c>
      <c r="H616" s="75">
        <v>2.7777777777778789E-3</v>
      </c>
      <c r="I616" s="76">
        <v>41722</v>
      </c>
      <c r="J616" s="36" t="str">
        <f t="shared" si="200"/>
        <v>Nacional</v>
      </c>
      <c r="K616" s="36">
        <f t="shared" si="200"/>
        <v>6.3888888888888745E-3</v>
      </c>
      <c r="L616" s="36">
        <f t="shared" si="200"/>
        <v>4.5138888888888954E-3</v>
      </c>
      <c r="M616" s="36">
        <f t="shared" si="200"/>
        <v>1.090277777777777E-2</v>
      </c>
      <c r="N616" s="36">
        <f t="shared" si="200"/>
        <v>320</v>
      </c>
      <c r="O616" s="36">
        <f t="shared" si="200"/>
        <v>179</v>
      </c>
      <c r="P616" s="36" t="str">
        <f t="shared" si="200"/>
        <v>MEX</v>
      </c>
      <c r="R616">
        <v>602</v>
      </c>
      <c r="S616" s="36" t="str">
        <f t="shared" si="185"/>
        <v>MEXICO AEREO</v>
      </c>
      <c r="T616" s="36">
        <f t="shared" si="185"/>
        <v>286</v>
      </c>
      <c r="U616" s="73">
        <v>0.59375</v>
      </c>
      <c r="V616" s="74">
        <v>0.60069444444444442</v>
      </c>
      <c r="W616" s="75">
        <v>6.9444444444444198E-3</v>
      </c>
      <c r="X616" s="74">
        <v>0.60416666666666663</v>
      </c>
      <c r="Y616" s="75">
        <v>3.4722222222222099E-3</v>
      </c>
      <c r="Z616" s="76">
        <v>41757</v>
      </c>
      <c r="AA616" s="36" t="str">
        <f t="shared" si="198"/>
        <v>Nacional</v>
      </c>
      <c r="AB616" s="36">
        <f t="shared" si="198"/>
        <v>6.5789473684210557E-3</v>
      </c>
      <c r="AC616" s="36">
        <f t="shared" si="198"/>
        <v>5.2997076023391767E-3</v>
      </c>
      <c r="AD616" s="36">
        <f t="shared" si="198"/>
        <v>1.1878654970760232E-2</v>
      </c>
      <c r="AE616" s="36" t="str">
        <f t="shared" si="198"/>
        <v>B737-700</v>
      </c>
      <c r="AF616" s="36">
        <f t="shared" si="198"/>
        <v>126</v>
      </c>
      <c r="AG616" s="36" t="str">
        <f t="shared" si="198"/>
        <v>MEX</v>
      </c>
      <c r="AI616">
        <v>602</v>
      </c>
      <c r="AJ616" s="77" t="str">
        <f t="shared" si="194"/>
        <v>MEXICO AEREO</v>
      </c>
      <c r="AK616" s="77">
        <f t="shared" si="194"/>
        <v>214</v>
      </c>
      <c r="AL616" s="78">
        <v>0.63750000000000007</v>
      </c>
      <c r="AM616" s="79">
        <v>0.6381944444444444</v>
      </c>
      <c r="AN616" s="80">
        <v>6.9444444444433095E-4</v>
      </c>
      <c r="AO616" s="79">
        <v>0.64444444444444449</v>
      </c>
      <c r="AP616" s="80">
        <v>6.2500000000000888E-3</v>
      </c>
      <c r="AQ616" s="81">
        <v>41795</v>
      </c>
      <c r="AR616" s="77" t="str">
        <f t="shared" si="201"/>
        <v>Nacional</v>
      </c>
      <c r="AS616" s="77">
        <f t="shared" si="201"/>
        <v>5.6652046783625971E-3</v>
      </c>
      <c r="AT616" s="77">
        <f t="shared" si="201"/>
        <v>8.1505847953216356E-3</v>
      </c>
      <c r="AU616" s="77">
        <f t="shared" si="201"/>
        <v>1.3815789473684233E-2</v>
      </c>
      <c r="AV616" s="77" t="str">
        <f t="shared" si="201"/>
        <v>ER4</v>
      </c>
      <c r="AW616" s="77">
        <f t="shared" si="201"/>
        <v>50</v>
      </c>
      <c r="AX616" s="77" t="str">
        <f t="shared" si="201"/>
        <v>MEX</v>
      </c>
    </row>
    <row r="617" spans="1:50" x14ac:dyDescent="0.25">
      <c r="A617">
        <v>603</v>
      </c>
      <c r="B617" s="36" t="str">
        <f t="shared" si="196"/>
        <v>INTERAVIÓN</v>
      </c>
      <c r="C617" s="36">
        <f t="shared" si="196"/>
        <v>2224</v>
      </c>
      <c r="D617" s="74">
        <v>0.59097222222222223</v>
      </c>
      <c r="E617" s="74">
        <v>0.59583333333333333</v>
      </c>
      <c r="F617" s="75">
        <v>4.8611111111110938E-3</v>
      </c>
      <c r="G617" s="74">
        <v>0.6020833333333333</v>
      </c>
      <c r="H617" s="75">
        <v>6.2499999999999778E-3</v>
      </c>
      <c r="I617" s="76">
        <v>41725</v>
      </c>
      <c r="J617" s="36" t="str">
        <f t="shared" si="200"/>
        <v>Nacional</v>
      </c>
      <c r="K617" s="36">
        <f t="shared" si="200"/>
        <v>6.3888888888888745E-3</v>
      </c>
      <c r="L617" s="36">
        <f t="shared" si="200"/>
        <v>4.5138888888888954E-3</v>
      </c>
      <c r="M617" s="36">
        <f t="shared" si="200"/>
        <v>1.090277777777777E-2</v>
      </c>
      <c r="N617" s="36">
        <f t="shared" si="200"/>
        <v>320</v>
      </c>
      <c r="O617" s="36">
        <f t="shared" si="200"/>
        <v>179</v>
      </c>
      <c r="P617" s="36" t="str">
        <f t="shared" si="200"/>
        <v>MEX</v>
      </c>
      <c r="R617">
        <v>603</v>
      </c>
      <c r="S617" s="36" t="str">
        <f t="shared" si="185"/>
        <v>MEXICO AEREO</v>
      </c>
      <c r="T617" s="36">
        <f t="shared" si="185"/>
        <v>286</v>
      </c>
      <c r="U617" s="73">
        <v>0.58750000000000002</v>
      </c>
      <c r="V617" s="74">
        <v>0.59513888888888888</v>
      </c>
      <c r="W617" s="75">
        <v>7.6388888888888618E-3</v>
      </c>
      <c r="X617" s="74">
        <v>0.60347222222222219</v>
      </c>
      <c r="Y617" s="75">
        <v>8.3333333333333037E-3</v>
      </c>
      <c r="Z617" s="76">
        <v>41758</v>
      </c>
      <c r="AA617" s="36" t="str">
        <f t="shared" si="198"/>
        <v>Nacional</v>
      </c>
      <c r="AB617" s="36">
        <f t="shared" si="198"/>
        <v>6.5789473684210557E-3</v>
      </c>
      <c r="AC617" s="36">
        <f t="shared" si="198"/>
        <v>5.2997076023391767E-3</v>
      </c>
      <c r="AD617" s="36">
        <f t="shared" si="198"/>
        <v>1.1878654970760232E-2</v>
      </c>
      <c r="AE617" s="36" t="str">
        <f t="shared" si="198"/>
        <v>B737-700</v>
      </c>
      <c r="AF617" s="36">
        <f t="shared" si="198"/>
        <v>126</v>
      </c>
      <c r="AG617" s="36" t="str">
        <f t="shared" si="198"/>
        <v>MEX</v>
      </c>
      <c r="AI617">
        <v>603</v>
      </c>
      <c r="AJ617" s="77" t="str">
        <f t="shared" si="194"/>
        <v>MEXICO AEREO</v>
      </c>
      <c r="AK617" s="77">
        <f t="shared" si="194"/>
        <v>214</v>
      </c>
      <c r="AL617" s="78">
        <v>0.69861111111111107</v>
      </c>
      <c r="AM617" s="79">
        <v>0.70277777777777783</v>
      </c>
      <c r="AN617" s="80">
        <v>4.1666666666667629E-3</v>
      </c>
      <c r="AO617" s="79">
        <v>0.70763888888888893</v>
      </c>
      <c r="AP617" s="80">
        <v>4.8611111111110938E-3</v>
      </c>
      <c r="AQ617" s="81">
        <v>41796</v>
      </c>
      <c r="AR617" s="77" t="str">
        <f t="shared" si="201"/>
        <v>Nacional</v>
      </c>
      <c r="AS617" s="77">
        <f t="shared" si="201"/>
        <v>5.6652046783625971E-3</v>
      </c>
      <c r="AT617" s="77">
        <f t="shared" si="201"/>
        <v>8.1505847953216356E-3</v>
      </c>
      <c r="AU617" s="77">
        <f t="shared" si="201"/>
        <v>1.3815789473684233E-2</v>
      </c>
      <c r="AV617" s="77" t="str">
        <f t="shared" si="201"/>
        <v>ER4</v>
      </c>
      <c r="AW617" s="77">
        <f t="shared" si="201"/>
        <v>50</v>
      </c>
      <c r="AX617" s="77" t="str">
        <f t="shared" si="201"/>
        <v>MEX</v>
      </c>
    </row>
    <row r="618" spans="1:50" ht="15.75" thickBot="1" x14ac:dyDescent="0.3">
      <c r="A618">
        <v>604</v>
      </c>
      <c r="B618" s="36" t="str">
        <f t="shared" si="196"/>
        <v>INTERAVIÓN</v>
      </c>
      <c r="C618" s="36">
        <f t="shared" si="196"/>
        <v>2224</v>
      </c>
      <c r="D618" s="74">
        <v>0.58472222222222225</v>
      </c>
      <c r="E618" s="74">
        <v>0.59305555555555556</v>
      </c>
      <c r="F618" s="75">
        <v>8.3333333333333037E-3</v>
      </c>
      <c r="G618" s="74">
        <v>0.59583333333333333</v>
      </c>
      <c r="H618" s="75">
        <v>2.7777777777777679E-3</v>
      </c>
      <c r="I618" s="76">
        <v>41725</v>
      </c>
      <c r="J618" s="36" t="str">
        <f t="shared" si="200"/>
        <v>Nacional</v>
      </c>
      <c r="K618" s="36">
        <f t="shared" si="200"/>
        <v>6.3888888888888745E-3</v>
      </c>
      <c r="L618" s="36">
        <f t="shared" si="200"/>
        <v>4.5138888888888954E-3</v>
      </c>
      <c r="M618" s="36">
        <f t="shared" si="200"/>
        <v>1.090277777777777E-2</v>
      </c>
      <c r="N618" s="36">
        <f t="shared" si="200"/>
        <v>320</v>
      </c>
      <c r="O618" s="36">
        <f t="shared" si="200"/>
        <v>179</v>
      </c>
      <c r="P618" s="36" t="str">
        <f t="shared" si="200"/>
        <v>MEX</v>
      </c>
      <c r="R618">
        <v>604</v>
      </c>
      <c r="S618" s="36" t="str">
        <f t="shared" si="185"/>
        <v>MEXICO AEREO</v>
      </c>
      <c r="T618" s="36">
        <f t="shared" si="185"/>
        <v>286</v>
      </c>
      <c r="U618" s="73">
        <v>0.59375</v>
      </c>
      <c r="V618" s="74">
        <v>0.60347222222222219</v>
      </c>
      <c r="W618" s="75">
        <v>9.7222222222221877E-3</v>
      </c>
      <c r="X618" s="74">
        <v>0.60902777777777783</v>
      </c>
      <c r="Y618" s="75">
        <v>5.5555555555556468E-3</v>
      </c>
      <c r="Z618" s="76">
        <v>41759</v>
      </c>
      <c r="AA618" s="36" t="str">
        <f t="shared" si="198"/>
        <v>Nacional</v>
      </c>
      <c r="AB618" s="36">
        <f t="shared" si="198"/>
        <v>6.5789473684210557E-3</v>
      </c>
      <c r="AC618" s="36">
        <f t="shared" si="198"/>
        <v>5.2997076023391767E-3</v>
      </c>
      <c r="AD618" s="36">
        <f t="shared" si="198"/>
        <v>1.1878654970760232E-2</v>
      </c>
      <c r="AE618" s="36" t="str">
        <f t="shared" si="198"/>
        <v>B737-700</v>
      </c>
      <c r="AF618" s="36">
        <f t="shared" si="198"/>
        <v>126</v>
      </c>
      <c r="AG618" s="36" t="str">
        <f t="shared" si="198"/>
        <v>MEX</v>
      </c>
      <c r="AI618">
        <v>604</v>
      </c>
      <c r="AJ618" s="77" t="str">
        <f t="shared" si="194"/>
        <v>MEXICO AEREO</v>
      </c>
      <c r="AK618" s="77">
        <f t="shared" si="194"/>
        <v>214</v>
      </c>
      <c r="AL618" s="78">
        <v>0.62152777777777779</v>
      </c>
      <c r="AM618" s="79">
        <v>0.62708333333333333</v>
      </c>
      <c r="AN618" s="80">
        <v>5.5555555555555358E-3</v>
      </c>
      <c r="AO618" s="79">
        <v>0.63888888888888895</v>
      </c>
      <c r="AP618" s="80">
        <v>1.1805555555555625E-2</v>
      </c>
      <c r="AQ618" s="81">
        <v>41798</v>
      </c>
      <c r="AR618" s="77" t="str">
        <f t="shared" si="201"/>
        <v>Nacional</v>
      </c>
      <c r="AS618" s="77">
        <f t="shared" si="201"/>
        <v>5.6652046783625971E-3</v>
      </c>
      <c r="AT618" s="77">
        <f t="shared" si="201"/>
        <v>8.1505847953216356E-3</v>
      </c>
      <c r="AU618" s="77">
        <f t="shared" si="201"/>
        <v>1.3815789473684233E-2</v>
      </c>
      <c r="AV618" s="77" t="str">
        <f t="shared" si="201"/>
        <v>ER4</v>
      </c>
      <c r="AW618" s="77">
        <f t="shared" si="201"/>
        <v>50</v>
      </c>
      <c r="AX618" s="77" t="str">
        <f t="shared" si="201"/>
        <v>MEX</v>
      </c>
    </row>
    <row r="619" spans="1:50" ht="15.75" thickBot="1" x14ac:dyDescent="0.3">
      <c r="A619">
        <v>605</v>
      </c>
      <c r="B619" s="36" t="str">
        <f t="shared" si="196"/>
        <v>INTERAVIÓN</v>
      </c>
      <c r="C619" s="36">
        <f t="shared" si="196"/>
        <v>2224</v>
      </c>
      <c r="D619" s="74">
        <v>0.59305555555555556</v>
      </c>
      <c r="E619" s="74">
        <v>0.59722222222222221</v>
      </c>
      <c r="F619" s="75">
        <v>4.1666666666666519E-3</v>
      </c>
      <c r="G619" s="74">
        <v>0.60069444444444442</v>
      </c>
      <c r="H619" s="75">
        <v>3.4722222222222099E-3</v>
      </c>
      <c r="I619" s="76">
        <v>41726</v>
      </c>
      <c r="J619" s="36" t="str">
        <f t="shared" si="200"/>
        <v>Nacional</v>
      </c>
      <c r="K619" s="36">
        <f t="shared" si="200"/>
        <v>6.3888888888888745E-3</v>
      </c>
      <c r="L619" s="36">
        <f t="shared" si="200"/>
        <v>4.5138888888888954E-3</v>
      </c>
      <c r="M619" s="36">
        <f t="shared" si="200"/>
        <v>1.090277777777777E-2</v>
      </c>
      <c r="N619" s="36">
        <f t="shared" si="200"/>
        <v>320</v>
      </c>
      <c r="O619" s="36">
        <f t="shared" si="200"/>
        <v>179</v>
      </c>
      <c r="P619" s="36" t="str">
        <f t="shared" si="200"/>
        <v>MEX</v>
      </c>
      <c r="R619">
        <v>605</v>
      </c>
      <c r="S619" s="45" t="s">
        <v>18</v>
      </c>
      <c r="T619" s="36">
        <f t="shared" ref="T619:T636" si="202">T618</f>
        <v>286</v>
      </c>
      <c r="U619" s="83">
        <v>0.58888888888888891</v>
      </c>
      <c r="V619" s="84">
        <v>0.59583333333333333</v>
      </c>
      <c r="W619" s="85">
        <v>6.9444444444444198E-3</v>
      </c>
      <c r="X619" s="84">
        <v>0.59930555555555554</v>
      </c>
      <c r="Y619" s="85">
        <v>3.4722222222222099E-3</v>
      </c>
      <c r="Z619" s="86">
        <v>41730</v>
      </c>
      <c r="AA619" s="36" t="str">
        <f t="shared" si="198"/>
        <v>Nacional</v>
      </c>
      <c r="AB619" s="36">
        <f t="shared" si="198"/>
        <v>6.5789473684210557E-3</v>
      </c>
      <c r="AC619" s="36">
        <f t="shared" si="198"/>
        <v>5.2997076023391767E-3</v>
      </c>
      <c r="AD619" s="36">
        <f t="shared" si="198"/>
        <v>1.1878654970760232E-2</v>
      </c>
      <c r="AE619" s="36" t="str">
        <f t="shared" si="198"/>
        <v>B737-700</v>
      </c>
      <c r="AF619" s="36">
        <f t="shared" si="198"/>
        <v>126</v>
      </c>
      <c r="AG619" s="36" t="str">
        <f t="shared" si="198"/>
        <v>MEX</v>
      </c>
      <c r="AI619">
        <v>605</v>
      </c>
      <c r="AJ619" s="77" t="str">
        <f t="shared" si="194"/>
        <v>MEXICO AEREO</v>
      </c>
      <c r="AK619" s="77">
        <f t="shared" si="194"/>
        <v>214</v>
      </c>
      <c r="AL619" s="78">
        <v>0.63680555555555551</v>
      </c>
      <c r="AM619" s="79">
        <v>0.64236111111111105</v>
      </c>
      <c r="AN619" s="80">
        <v>5.5555555555555358E-3</v>
      </c>
      <c r="AO619" s="79">
        <v>0.65138888888888891</v>
      </c>
      <c r="AP619" s="80">
        <v>9.0277777777778567E-3</v>
      </c>
      <c r="AQ619" s="81">
        <v>41799</v>
      </c>
      <c r="AR619" s="77" t="str">
        <f t="shared" si="201"/>
        <v>Nacional</v>
      </c>
      <c r="AS619" s="77">
        <f t="shared" si="201"/>
        <v>5.6652046783625971E-3</v>
      </c>
      <c r="AT619" s="77">
        <f t="shared" si="201"/>
        <v>8.1505847953216356E-3</v>
      </c>
      <c r="AU619" s="77">
        <f t="shared" si="201"/>
        <v>1.3815789473684233E-2</v>
      </c>
      <c r="AV619" s="77" t="str">
        <f t="shared" si="201"/>
        <v>ER4</v>
      </c>
      <c r="AW619" s="77">
        <f t="shared" si="201"/>
        <v>50</v>
      </c>
      <c r="AX619" s="77" t="str">
        <f t="shared" si="201"/>
        <v>MEX</v>
      </c>
    </row>
    <row r="620" spans="1:50" ht="15.75" thickBot="1" x14ac:dyDescent="0.3">
      <c r="A620">
        <v>606</v>
      </c>
      <c r="B620" s="36" t="str">
        <f t="shared" si="196"/>
        <v>INTERAVIÓN</v>
      </c>
      <c r="C620" s="36">
        <f t="shared" si="196"/>
        <v>2224</v>
      </c>
      <c r="D620" s="84">
        <v>0.58333333333333337</v>
      </c>
      <c r="E620" s="84">
        <v>0.58680555555555558</v>
      </c>
      <c r="F620" s="85">
        <v>3.4722222222222099E-3</v>
      </c>
      <c r="G620" s="84">
        <v>0.59027777777777779</v>
      </c>
      <c r="H620" s="85">
        <v>3.4722222222222099E-3</v>
      </c>
      <c r="I620" s="86">
        <v>41729</v>
      </c>
      <c r="J620" s="36" t="str">
        <f t="shared" si="200"/>
        <v>Nacional</v>
      </c>
      <c r="K620" s="36">
        <f t="shared" si="200"/>
        <v>6.3888888888888745E-3</v>
      </c>
      <c r="L620" s="36">
        <f t="shared" si="200"/>
        <v>4.5138888888888954E-3</v>
      </c>
      <c r="M620" s="36">
        <f t="shared" si="200"/>
        <v>1.090277777777777E-2</v>
      </c>
      <c r="N620" s="36">
        <f t="shared" si="200"/>
        <v>320</v>
      </c>
      <c r="O620" s="36">
        <f t="shared" si="200"/>
        <v>179</v>
      </c>
      <c r="P620" s="36" t="str">
        <f t="shared" si="200"/>
        <v>MEX</v>
      </c>
      <c r="R620">
        <v>606</v>
      </c>
      <c r="S620" s="36" t="str">
        <f t="shared" ref="S620:T680" si="203">S619</f>
        <v>MEXICO AEREO</v>
      </c>
      <c r="T620" s="55">
        <v>276</v>
      </c>
      <c r="U620" s="56">
        <v>0.37777777777777777</v>
      </c>
      <c r="V620" s="57">
        <v>0.38194444444444442</v>
      </c>
      <c r="W620" s="58">
        <v>4.1666666666666519E-3</v>
      </c>
      <c r="X620" s="57">
        <v>0.39097222222222222</v>
      </c>
      <c r="Y620" s="58">
        <v>9.0277777777778012E-3</v>
      </c>
      <c r="Z620" s="59">
        <v>41730</v>
      </c>
      <c r="AA620" s="60" t="s">
        <v>19</v>
      </c>
      <c r="AB620" s="61">
        <v>6.3541666666666555E-3</v>
      </c>
      <c r="AC620" s="61">
        <v>7.6736111111111085E-3</v>
      </c>
      <c r="AD620" s="62">
        <v>1.4027777777777764E-2</v>
      </c>
      <c r="AE620" s="167" t="s">
        <v>45</v>
      </c>
      <c r="AF620" s="167">
        <v>126</v>
      </c>
      <c r="AG620" s="168" t="s">
        <v>21</v>
      </c>
      <c r="AI620">
        <v>606</v>
      </c>
      <c r="AJ620" s="77" t="str">
        <f t="shared" si="194"/>
        <v>MEXICO AEREO</v>
      </c>
      <c r="AK620" s="77">
        <f t="shared" si="194"/>
        <v>214</v>
      </c>
      <c r="AL620" s="78">
        <v>0.875</v>
      </c>
      <c r="AM620" s="79">
        <v>0.87777777777777777</v>
      </c>
      <c r="AN620" s="80">
        <v>2.7777777777777679E-3</v>
      </c>
      <c r="AO620" s="79">
        <v>0.89027777777777783</v>
      </c>
      <c r="AP620" s="80">
        <v>1.2500000000000067E-2</v>
      </c>
      <c r="AQ620" s="81">
        <v>41801</v>
      </c>
      <c r="AR620" s="77" t="str">
        <f t="shared" si="201"/>
        <v>Nacional</v>
      </c>
      <c r="AS620" s="77">
        <f t="shared" si="201"/>
        <v>5.6652046783625971E-3</v>
      </c>
      <c r="AT620" s="77">
        <f t="shared" si="201"/>
        <v>8.1505847953216356E-3</v>
      </c>
      <c r="AU620" s="77">
        <f t="shared" si="201"/>
        <v>1.3815789473684233E-2</v>
      </c>
      <c r="AV620" s="77" t="str">
        <f t="shared" si="201"/>
        <v>ER4</v>
      </c>
      <c r="AW620" s="77">
        <f t="shared" si="201"/>
        <v>50</v>
      </c>
      <c r="AX620" s="77" t="str">
        <f t="shared" si="201"/>
        <v>MEX</v>
      </c>
    </row>
    <row r="621" spans="1:50" x14ac:dyDescent="0.25">
      <c r="A621">
        <v>607</v>
      </c>
      <c r="B621" s="36" t="str">
        <f t="shared" si="196"/>
        <v>INTERAVIÓN</v>
      </c>
      <c r="C621" s="88">
        <v>2222</v>
      </c>
      <c r="D621" s="57">
        <v>0.24652777777777779</v>
      </c>
      <c r="E621" s="57">
        <v>0.25</v>
      </c>
      <c r="F621" s="58">
        <v>3.4722222222222099E-3</v>
      </c>
      <c r="G621" s="57">
        <v>0.25763888888888892</v>
      </c>
      <c r="H621" s="58">
        <v>7.6388888888889173E-3</v>
      </c>
      <c r="I621" s="59">
        <v>41715</v>
      </c>
      <c r="J621" s="60" t="s">
        <v>19</v>
      </c>
      <c r="K621" s="61">
        <v>6.2500000000000099E-3</v>
      </c>
      <c r="L621" s="169">
        <v>6.8287037037036979E-3</v>
      </c>
      <c r="M621" s="170">
        <v>1.3078703703703707E-2</v>
      </c>
      <c r="N621" s="90">
        <v>320</v>
      </c>
      <c r="O621" s="91">
        <v>179</v>
      </c>
      <c r="P621" s="92" t="s">
        <v>21</v>
      </c>
      <c r="R621">
        <v>607</v>
      </c>
      <c r="S621" s="36" t="str">
        <f t="shared" si="203"/>
        <v>MEXICO AEREO</v>
      </c>
      <c r="T621" s="36">
        <f t="shared" si="203"/>
        <v>276</v>
      </c>
      <c r="U621" s="73">
        <v>0.37986111111111115</v>
      </c>
      <c r="V621" s="74">
        <v>0.38819444444444445</v>
      </c>
      <c r="W621" s="75">
        <v>8.3333333333333037E-3</v>
      </c>
      <c r="X621" s="74">
        <v>0.3979166666666667</v>
      </c>
      <c r="Y621" s="75">
        <v>9.7222222222222432E-3</v>
      </c>
      <c r="Z621" s="76">
        <v>41731</v>
      </c>
      <c r="AA621" s="36" t="str">
        <f t="shared" ref="AA621:AG639" si="204">AA620</f>
        <v>Nacional</v>
      </c>
      <c r="AB621" s="36">
        <f t="shared" si="204"/>
        <v>6.3541666666666555E-3</v>
      </c>
      <c r="AC621" s="36">
        <f t="shared" si="204"/>
        <v>7.6736111111111085E-3</v>
      </c>
      <c r="AD621" s="36">
        <f t="shared" si="204"/>
        <v>1.4027777777777764E-2</v>
      </c>
      <c r="AE621" s="36" t="str">
        <f t="shared" si="204"/>
        <v>B737-700</v>
      </c>
      <c r="AF621" s="36">
        <f t="shared" si="204"/>
        <v>126</v>
      </c>
      <c r="AG621" s="36" t="str">
        <f t="shared" si="204"/>
        <v>MEX</v>
      </c>
      <c r="AI621">
        <v>607</v>
      </c>
      <c r="AJ621" s="77" t="str">
        <f t="shared" si="194"/>
        <v>MEXICO AEREO</v>
      </c>
      <c r="AK621" s="77">
        <f t="shared" si="194"/>
        <v>214</v>
      </c>
      <c r="AL621" s="78">
        <v>0.4291666666666667</v>
      </c>
      <c r="AM621" s="79">
        <v>0.43472222222222223</v>
      </c>
      <c r="AN621" s="80">
        <v>5.5555555555555358E-3</v>
      </c>
      <c r="AO621" s="79">
        <v>0.43888888888888888</v>
      </c>
      <c r="AP621" s="80">
        <v>4.1666666666666519E-3</v>
      </c>
      <c r="AQ621" s="81">
        <v>41801</v>
      </c>
      <c r="AR621" s="77" t="str">
        <f t="shared" si="201"/>
        <v>Nacional</v>
      </c>
      <c r="AS621" s="77">
        <f t="shared" si="201"/>
        <v>5.6652046783625971E-3</v>
      </c>
      <c r="AT621" s="77">
        <f t="shared" si="201"/>
        <v>8.1505847953216356E-3</v>
      </c>
      <c r="AU621" s="77">
        <f t="shared" si="201"/>
        <v>1.3815789473684233E-2</v>
      </c>
      <c r="AV621" s="77" t="str">
        <f t="shared" si="201"/>
        <v>ER4</v>
      </c>
      <c r="AW621" s="77">
        <f t="shared" si="201"/>
        <v>50</v>
      </c>
      <c r="AX621" s="77" t="str">
        <f t="shared" si="201"/>
        <v>MEX</v>
      </c>
    </row>
    <row r="622" spans="1:50" x14ac:dyDescent="0.25">
      <c r="A622">
        <v>608</v>
      </c>
      <c r="B622" s="36" t="str">
        <f t="shared" si="196"/>
        <v>INTERAVIÓN</v>
      </c>
      <c r="C622" s="36">
        <f t="shared" si="196"/>
        <v>2222</v>
      </c>
      <c r="D622" s="74">
        <v>0.24166666666666667</v>
      </c>
      <c r="E622" s="74">
        <v>0.25</v>
      </c>
      <c r="F622" s="75">
        <v>8.3333333333333315E-3</v>
      </c>
      <c r="G622" s="74">
        <v>0.25694444444444448</v>
      </c>
      <c r="H622" s="75">
        <v>6.9444444444444753E-3</v>
      </c>
      <c r="I622" s="76">
        <v>41716</v>
      </c>
      <c r="J622" s="36" t="str">
        <f t="shared" ref="J622:P626" si="205">J621</f>
        <v>Nacional</v>
      </c>
      <c r="K622" s="36">
        <f t="shared" si="205"/>
        <v>6.2500000000000099E-3</v>
      </c>
      <c r="L622" s="36">
        <f t="shared" si="205"/>
        <v>6.8287037037036979E-3</v>
      </c>
      <c r="M622" s="36">
        <f t="shared" si="205"/>
        <v>1.3078703703703707E-2</v>
      </c>
      <c r="N622" s="36">
        <f t="shared" si="205"/>
        <v>320</v>
      </c>
      <c r="O622" s="36">
        <f t="shared" si="205"/>
        <v>179</v>
      </c>
      <c r="P622" s="36" t="str">
        <f t="shared" si="205"/>
        <v>MEX</v>
      </c>
      <c r="R622">
        <v>608</v>
      </c>
      <c r="S622" s="36" t="str">
        <f t="shared" si="203"/>
        <v>MEXICO AEREO</v>
      </c>
      <c r="T622" s="36">
        <f t="shared" si="203"/>
        <v>276</v>
      </c>
      <c r="U622" s="73">
        <v>0.3756944444444445</v>
      </c>
      <c r="V622" s="74">
        <v>0.3840277777777778</v>
      </c>
      <c r="W622" s="75">
        <v>8.3333333333333037E-3</v>
      </c>
      <c r="X622" s="74">
        <v>0.38541666666666669</v>
      </c>
      <c r="Y622" s="75">
        <v>1.388888888888884E-3</v>
      </c>
      <c r="Z622" s="76">
        <v>41732</v>
      </c>
      <c r="AA622" s="36" t="str">
        <f t="shared" si="204"/>
        <v>Nacional</v>
      </c>
      <c r="AB622" s="36">
        <f t="shared" si="204"/>
        <v>6.3541666666666555E-3</v>
      </c>
      <c r="AC622" s="36">
        <f t="shared" si="204"/>
        <v>7.6736111111111085E-3</v>
      </c>
      <c r="AD622" s="36">
        <f t="shared" si="204"/>
        <v>1.4027777777777764E-2</v>
      </c>
      <c r="AE622" s="36" t="str">
        <f t="shared" si="204"/>
        <v>B737-700</v>
      </c>
      <c r="AF622" s="36">
        <f t="shared" si="204"/>
        <v>126</v>
      </c>
      <c r="AG622" s="36" t="str">
        <f t="shared" si="204"/>
        <v>MEX</v>
      </c>
      <c r="AI622">
        <v>608</v>
      </c>
      <c r="AJ622" s="77" t="str">
        <f t="shared" si="194"/>
        <v>MEXICO AEREO</v>
      </c>
      <c r="AK622" s="77">
        <f t="shared" si="194"/>
        <v>214</v>
      </c>
      <c r="AL622" s="78">
        <v>0.26319444444444445</v>
      </c>
      <c r="AM622" s="79">
        <v>0.27361111111111108</v>
      </c>
      <c r="AN622" s="80">
        <v>1.041666666666663E-2</v>
      </c>
      <c r="AO622" s="79">
        <v>0.29166666666666669</v>
      </c>
      <c r="AP622" s="80">
        <v>1.8055555555555602E-2</v>
      </c>
      <c r="AQ622" s="81">
        <v>41802</v>
      </c>
      <c r="AR622" s="77" t="str">
        <f t="shared" si="201"/>
        <v>Nacional</v>
      </c>
      <c r="AS622" s="77">
        <f t="shared" si="201"/>
        <v>5.6652046783625971E-3</v>
      </c>
      <c r="AT622" s="77">
        <f t="shared" si="201"/>
        <v>8.1505847953216356E-3</v>
      </c>
      <c r="AU622" s="77">
        <f t="shared" si="201"/>
        <v>1.3815789473684233E-2</v>
      </c>
      <c r="AV622" s="77" t="str">
        <f t="shared" si="201"/>
        <v>ER4</v>
      </c>
      <c r="AW622" s="77">
        <f t="shared" si="201"/>
        <v>50</v>
      </c>
      <c r="AX622" s="77" t="str">
        <f t="shared" si="201"/>
        <v>MEX</v>
      </c>
    </row>
    <row r="623" spans="1:50" x14ac:dyDescent="0.25">
      <c r="A623">
        <v>609</v>
      </c>
      <c r="B623" s="36" t="str">
        <f t="shared" si="196"/>
        <v>INTERAVIÓN</v>
      </c>
      <c r="C623" s="36">
        <f t="shared" si="196"/>
        <v>2222</v>
      </c>
      <c r="D623" s="74">
        <v>0.24791666666666667</v>
      </c>
      <c r="E623" s="74">
        <v>0.25555555555555559</v>
      </c>
      <c r="F623" s="75">
        <v>7.6388888888889173E-3</v>
      </c>
      <c r="G623" s="74">
        <v>0.2673611111111111</v>
      </c>
      <c r="H623" s="75">
        <v>1.1805555555555514E-2</v>
      </c>
      <c r="I623" s="76">
        <v>41719</v>
      </c>
      <c r="J623" s="36" t="str">
        <f t="shared" si="205"/>
        <v>Nacional</v>
      </c>
      <c r="K623" s="36">
        <f t="shared" si="205"/>
        <v>6.2500000000000099E-3</v>
      </c>
      <c r="L623" s="36">
        <f t="shared" si="205"/>
        <v>6.8287037037036979E-3</v>
      </c>
      <c r="M623" s="36">
        <f t="shared" si="205"/>
        <v>1.3078703703703707E-2</v>
      </c>
      <c r="N623" s="36">
        <f t="shared" si="205"/>
        <v>320</v>
      </c>
      <c r="O623" s="36">
        <f t="shared" si="205"/>
        <v>179</v>
      </c>
      <c r="P623" s="36" t="str">
        <f t="shared" si="205"/>
        <v>MEX</v>
      </c>
      <c r="R623">
        <v>609</v>
      </c>
      <c r="S623" s="36" t="str">
        <f t="shared" si="203"/>
        <v>MEXICO AEREO</v>
      </c>
      <c r="T623" s="36">
        <f t="shared" si="203"/>
        <v>276</v>
      </c>
      <c r="U623" s="73">
        <v>0.37916666666666665</v>
      </c>
      <c r="V623" s="74">
        <v>0.3840277777777778</v>
      </c>
      <c r="W623" s="75">
        <v>4.8611111111111494E-3</v>
      </c>
      <c r="X623" s="74">
        <v>0.39097222222222222</v>
      </c>
      <c r="Y623" s="75">
        <v>6.9444444444444198E-3</v>
      </c>
      <c r="Z623" s="76">
        <v>41733</v>
      </c>
      <c r="AA623" s="36" t="str">
        <f t="shared" si="204"/>
        <v>Nacional</v>
      </c>
      <c r="AB623" s="36">
        <f t="shared" si="204"/>
        <v>6.3541666666666555E-3</v>
      </c>
      <c r="AC623" s="36">
        <f t="shared" si="204"/>
        <v>7.6736111111111085E-3</v>
      </c>
      <c r="AD623" s="36">
        <f t="shared" si="204"/>
        <v>1.4027777777777764E-2</v>
      </c>
      <c r="AE623" s="36" t="str">
        <f t="shared" si="204"/>
        <v>B737-700</v>
      </c>
      <c r="AF623" s="36">
        <f t="shared" si="204"/>
        <v>126</v>
      </c>
      <c r="AG623" s="36" t="str">
        <f t="shared" si="204"/>
        <v>MEX</v>
      </c>
      <c r="AI623">
        <v>609</v>
      </c>
      <c r="AJ623" s="77" t="str">
        <f t="shared" si="194"/>
        <v>MEXICO AEREO</v>
      </c>
      <c r="AK623" s="77">
        <f t="shared" si="194"/>
        <v>214</v>
      </c>
      <c r="AL623" s="78">
        <v>0.57222222222222219</v>
      </c>
      <c r="AM623" s="79">
        <v>0.57638888888888895</v>
      </c>
      <c r="AN623" s="80">
        <v>4.1666666666667629E-3</v>
      </c>
      <c r="AO623" s="79">
        <v>0.58194444444444449</v>
      </c>
      <c r="AP623" s="80">
        <v>5.5555555555555358E-3</v>
      </c>
      <c r="AQ623" s="81">
        <v>41803</v>
      </c>
      <c r="AR623" s="77" t="str">
        <f t="shared" si="201"/>
        <v>Nacional</v>
      </c>
      <c r="AS623" s="77">
        <f t="shared" si="201"/>
        <v>5.6652046783625971E-3</v>
      </c>
      <c r="AT623" s="77">
        <f t="shared" si="201"/>
        <v>8.1505847953216356E-3</v>
      </c>
      <c r="AU623" s="77">
        <f t="shared" si="201"/>
        <v>1.3815789473684233E-2</v>
      </c>
      <c r="AV623" s="77" t="str">
        <f t="shared" si="201"/>
        <v>ER4</v>
      </c>
      <c r="AW623" s="77">
        <f t="shared" si="201"/>
        <v>50</v>
      </c>
      <c r="AX623" s="77" t="str">
        <f t="shared" si="201"/>
        <v>MEX</v>
      </c>
    </row>
    <row r="624" spans="1:50" x14ac:dyDescent="0.25">
      <c r="A624">
        <v>610</v>
      </c>
      <c r="B624" s="36" t="str">
        <f t="shared" si="196"/>
        <v>INTERAVIÓN</v>
      </c>
      <c r="C624" s="36">
        <f t="shared" si="196"/>
        <v>2222</v>
      </c>
      <c r="D624" s="74">
        <v>0.24861111111111112</v>
      </c>
      <c r="E624" s="74">
        <v>0.25694444444444448</v>
      </c>
      <c r="F624" s="75">
        <v>8.3333333333333592E-3</v>
      </c>
      <c r="G624" s="74">
        <v>0.26597222222222222</v>
      </c>
      <c r="H624" s="75">
        <v>9.0277777777777457E-3</v>
      </c>
      <c r="I624" s="76">
        <v>41723</v>
      </c>
      <c r="J624" s="36" t="str">
        <f t="shared" si="205"/>
        <v>Nacional</v>
      </c>
      <c r="K624" s="36">
        <f t="shared" si="205"/>
        <v>6.2500000000000099E-3</v>
      </c>
      <c r="L624" s="36">
        <f t="shared" si="205"/>
        <v>6.8287037037036979E-3</v>
      </c>
      <c r="M624" s="36">
        <f t="shared" si="205"/>
        <v>1.3078703703703707E-2</v>
      </c>
      <c r="N624" s="36">
        <f t="shared" si="205"/>
        <v>320</v>
      </c>
      <c r="O624" s="36">
        <f t="shared" si="205"/>
        <v>179</v>
      </c>
      <c r="P624" s="36" t="str">
        <f t="shared" si="205"/>
        <v>MEX</v>
      </c>
      <c r="R624">
        <v>610</v>
      </c>
      <c r="S624" s="36" t="str">
        <f t="shared" si="203"/>
        <v>MEXICO AEREO</v>
      </c>
      <c r="T624" s="36">
        <f t="shared" si="203"/>
        <v>276</v>
      </c>
      <c r="U624" s="73">
        <v>0.38194444444444442</v>
      </c>
      <c r="V624" s="74">
        <v>0.3888888888888889</v>
      </c>
      <c r="W624" s="75">
        <v>6.9444444444444753E-3</v>
      </c>
      <c r="X624" s="74">
        <v>0.3923611111111111</v>
      </c>
      <c r="Y624" s="75">
        <v>3.4722222222222099E-3</v>
      </c>
      <c r="Z624" s="76">
        <v>41735</v>
      </c>
      <c r="AA624" s="36" t="str">
        <f t="shared" si="204"/>
        <v>Nacional</v>
      </c>
      <c r="AB624" s="36">
        <f t="shared" si="204"/>
        <v>6.3541666666666555E-3</v>
      </c>
      <c r="AC624" s="36">
        <f t="shared" si="204"/>
        <v>7.6736111111111085E-3</v>
      </c>
      <c r="AD624" s="36">
        <f t="shared" si="204"/>
        <v>1.4027777777777764E-2</v>
      </c>
      <c r="AE624" s="36" t="str">
        <f t="shared" si="204"/>
        <v>B737-700</v>
      </c>
      <c r="AF624" s="36">
        <f t="shared" si="204"/>
        <v>126</v>
      </c>
      <c r="AG624" s="36" t="str">
        <f t="shared" si="204"/>
        <v>MEX</v>
      </c>
      <c r="AI624">
        <v>610</v>
      </c>
      <c r="AJ624" s="77" t="str">
        <f t="shared" si="194"/>
        <v>MEXICO AEREO</v>
      </c>
      <c r="AK624" s="77">
        <f t="shared" si="194"/>
        <v>214</v>
      </c>
      <c r="AL624" s="78">
        <v>0.24722222222222223</v>
      </c>
      <c r="AM624" s="79">
        <v>0.2590277777777778</v>
      </c>
      <c r="AN624" s="80">
        <v>1.1805555555555569E-2</v>
      </c>
      <c r="AO624" s="79">
        <v>0.28125</v>
      </c>
      <c r="AP624" s="80">
        <v>2.2222222222222199E-2</v>
      </c>
      <c r="AQ624" s="81">
        <v>41806</v>
      </c>
      <c r="AR624" s="77" t="str">
        <f t="shared" si="201"/>
        <v>Nacional</v>
      </c>
      <c r="AS624" s="77">
        <f t="shared" si="201"/>
        <v>5.6652046783625971E-3</v>
      </c>
      <c r="AT624" s="77">
        <f t="shared" si="201"/>
        <v>8.1505847953216356E-3</v>
      </c>
      <c r="AU624" s="77">
        <f t="shared" si="201"/>
        <v>1.3815789473684233E-2</v>
      </c>
      <c r="AV624" s="77" t="str">
        <f t="shared" si="201"/>
        <v>ER4</v>
      </c>
      <c r="AW624" s="77">
        <f t="shared" si="201"/>
        <v>50</v>
      </c>
      <c r="AX624" s="77" t="str">
        <f t="shared" si="201"/>
        <v>MEX</v>
      </c>
    </row>
    <row r="625" spans="1:50" x14ac:dyDescent="0.25">
      <c r="A625">
        <v>611</v>
      </c>
      <c r="B625" s="36" t="str">
        <f t="shared" si="196"/>
        <v>INTERAVIÓN</v>
      </c>
      <c r="C625" s="36">
        <f t="shared" si="196"/>
        <v>2222</v>
      </c>
      <c r="D625" s="74">
        <v>0.25347222222222221</v>
      </c>
      <c r="E625" s="74">
        <v>0.25763888888888892</v>
      </c>
      <c r="F625" s="75">
        <v>4.1666666666667074E-3</v>
      </c>
      <c r="G625" s="74">
        <v>0.26111111111111113</v>
      </c>
      <c r="H625" s="75">
        <v>3.4722222222222099E-3</v>
      </c>
      <c r="I625" s="76">
        <v>41724</v>
      </c>
      <c r="J625" s="36" t="str">
        <f t="shared" si="205"/>
        <v>Nacional</v>
      </c>
      <c r="K625" s="36">
        <f t="shared" si="205"/>
        <v>6.2500000000000099E-3</v>
      </c>
      <c r="L625" s="36">
        <f t="shared" si="205"/>
        <v>6.8287037037036979E-3</v>
      </c>
      <c r="M625" s="36">
        <f t="shared" si="205"/>
        <v>1.3078703703703707E-2</v>
      </c>
      <c r="N625" s="36">
        <f t="shared" si="205"/>
        <v>320</v>
      </c>
      <c r="O625" s="36">
        <f t="shared" si="205"/>
        <v>179</v>
      </c>
      <c r="P625" s="36" t="str">
        <f t="shared" si="205"/>
        <v>MEX</v>
      </c>
      <c r="R625">
        <v>611</v>
      </c>
      <c r="S625" s="36" t="str">
        <f t="shared" si="203"/>
        <v>MEXICO AEREO</v>
      </c>
      <c r="T625" s="36">
        <f t="shared" si="203"/>
        <v>276</v>
      </c>
      <c r="U625" s="73">
        <v>0.375</v>
      </c>
      <c r="V625" s="74">
        <v>0.38680555555555557</v>
      </c>
      <c r="W625" s="75">
        <v>1.1805555555555569E-2</v>
      </c>
      <c r="X625" s="74">
        <v>0.3923611111111111</v>
      </c>
      <c r="Y625" s="75">
        <v>5.5555555555555358E-3</v>
      </c>
      <c r="Z625" s="76">
        <v>41737</v>
      </c>
      <c r="AA625" s="36" t="str">
        <f t="shared" si="204"/>
        <v>Nacional</v>
      </c>
      <c r="AB625" s="36">
        <f t="shared" si="204"/>
        <v>6.3541666666666555E-3</v>
      </c>
      <c r="AC625" s="36">
        <f t="shared" si="204"/>
        <v>7.6736111111111085E-3</v>
      </c>
      <c r="AD625" s="36">
        <f t="shared" si="204"/>
        <v>1.4027777777777764E-2</v>
      </c>
      <c r="AE625" s="36" t="str">
        <f t="shared" si="204"/>
        <v>B737-700</v>
      </c>
      <c r="AF625" s="36">
        <f t="shared" si="204"/>
        <v>126</v>
      </c>
      <c r="AG625" s="36" t="str">
        <f t="shared" si="204"/>
        <v>MEX</v>
      </c>
      <c r="AI625">
        <v>611</v>
      </c>
      <c r="AJ625" s="77" t="str">
        <f t="shared" si="194"/>
        <v>MEXICO AEREO</v>
      </c>
      <c r="AK625" s="77">
        <f t="shared" si="194"/>
        <v>214</v>
      </c>
      <c r="AL625" s="78">
        <v>0.84097222222222223</v>
      </c>
      <c r="AM625" s="79">
        <v>0.8520833333333333</v>
      </c>
      <c r="AN625" s="80">
        <v>1.1111111111111072E-2</v>
      </c>
      <c r="AO625" s="79">
        <v>0.86041666666666661</v>
      </c>
      <c r="AP625" s="80">
        <v>8.3333333333333037E-3</v>
      </c>
      <c r="AQ625" s="81">
        <v>41807</v>
      </c>
      <c r="AR625" s="77" t="str">
        <f t="shared" si="201"/>
        <v>Nacional</v>
      </c>
      <c r="AS625" s="77">
        <f t="shared" si="201"/>
        <v>5.6652046783625971E-3</v>
      </c>
      <c r="AT625" s="77">
        <f t="shared" si="201"/>
        <v>8.1505847953216356E-3</v>
      </c>
      <c r="AU625" s="77">
        <f t="shared" si="201"/>
        <v>1.3815789473684233E-2</v>
      </c>
      <c r="AV625" s="77" t="str">
        <f t="shared" si="201"/>
        <v>ER4</v>
      </c>
      <c r="AW625" s="77">
        <f t="shared" si="201"/>
        <v>50</v>
      </c>
      <c r="AX625" s="77" t="str">
        <f t="shared" si="201"/>
        <v>MEX</v>
      </c>
    </row>
    <row r="626" spans="1:50" ht="15.75" thickBot="1" x14ac:dyDescent="0.3">
      <c r="A626">
        <v>612</v>
      </c>
      <c r="B626" s="36" t="str">
        <f t="shared" si="196"/>
        <v>INTERAVIÓN</v>
      </c>
      <c r="C626" s="36">
        <f t="shared" si="196"/>
        <v>2222</v>
      </c>
      <c r="D626" s="120">
        <v>0.24722222222222223</v>
      </c>
      <c r="E626" s="120">
        <v>0.25277777777777777</v>
      </c>
      <c r="F626" s="121">
        <v>5.5555555555555358E-3</v>
      </c>
      <c r="G626" s="120">
        <v>0.25486111111111109</v>
      </c>
      <c r="H626" s="121">
        <v>2.0833333333333259E-3</v>
      </c>
      <c r="I626" s="122">
        <v>41725</v>
      </c>
      <c r="J626" s="36" t="str">
        <f t="shared" si="205"/>
        <v>Nacional</v>
      </c>
      <c r="K626" s="36">
        <f t="shared" si="205"/>
        <v>6.2500000000000099E-3</v>
      </c>
      <c r="L626" s="36">
        <f t="shared" si="205"/>
        <v>6.8287037037036979E-3</v>
      </c>
      <c r="M626" s="36">
        <f t="shared" si="205"/>
        <v>1.3078703703703707E-2</v>
      </c>
      <c r="N626" s="36">
        <f t="shared" si="205"/>
        <v>320</v>
      </c>
      <c r="O626" s="36">
        <f t="shared" si="205"/>
        <v>179</v>
      </c>
      <c r="P626" s="36" t="str">
        <f t="shared" si="205"/>
        <v>MEX</v>
      </c>
      <c r="R626">
        <v>612</v>
      </c>
      <c r="S626" s="36" t="str">
        <f t="shared" si="203"/>
        <v>MEXICO AEREO</v>
      </c>
      <c r="T626" s="36">
        <f t="shared" si="203"/>
        <v>276</v>
      </c>
      <c r="U626" s="73">
        <v>0.38680555555555557</v>
      </c>
      <c r="V626" s="74">
        <v>0.39166666666666666</v>
      </c>
      <c r="W626" s="75">
        <v>4.8611111111110938E-3</v>
      </c>
      <c r="X626" s="74">
        <v>0.40208333333333335</v>
      </c>
      <c r="Y626" s="75">
        <v>1.0416666666666685E-2</v>
      </c>
      <c r="Z626" s="76">
        <v>41739</v>
      </c>
      <c r="AA626" s="36" t="str">
        <f t="shared" si="204"/>
        <v>Nacional</v>
      </c>
      <c r="AB626" s="36">
        <f t="shared" si="204"/>
        <v>6.3541666666666555E-3</v>
      </c>
      <c r="AC626" s="36">
        <f t="shared" si="204"/>
        <v>7.6736111111111085E-3</v>
      </c>
      <c r="AD626" s="36">
        <f t="shared" si="204"/>
        <v>1.4027777777777764E-2</v>
      </c>
      <c r="AE626" s="36" t="str">
        <f t="shared" si="204"/>
        <v>B737-700</v>
      </c>
      <c r="AF626" s="36">
        <f t="shared" si="204"/>
        <v>126</v>
      </c>
      <c r="AG626" s="36" t="str">
        <f t="shared" si="204"/>
        <v>MEX</v>
      </c>
      <c r="AI626">
        <v>612</v>
      </c>
      <c r="AJ626" s="77" t="str">
        <f t="shared" si="194"/>
        <v>MEXICO AEREO</v>
      </c>
      <c r="AK626" s="77">
        <f t="shared" si="194"/>
        <v>214</v>
      </c>
      <c r="AL626" s="78">
        <v>0.66111111111111109</v>
      </c>
      <c r="AM626" s="79">
        <v>0.6645833333333333</v>
      </c>
      <c r="AN626" s="80">
        <v>3.4722222222222099E-3</v>
      </c>
      <c r="AO626" s="79">
        <v>0.66666666666666663</v>
      </c>
      <c r="AP626" s="80">
        <v>2.0833333333333259E-3</v>
      </c>
      <c r="AQ626" s="81">
        <v>41808</v>
      </c>
      <c r="AR626" s="77" t="str">
        <f t="shared" si="201"/>
        <v>Nacional</v>
      </c>
      <c r="AS626" s="77">
        <f t="shared" si="201"/>
        <v>5.6652046783625971E-3</v>
      </c>
      <c r="AT626" s="77">
        <f t="shared" si="201"/>
        <v>8.1505847953216356E-3</v>
      </c>
      <c r="AU626" s="77">
        <f t="shared" si="201"/>
        <v>1.3815789473684233E-2</v>
      </c>
      <c r="AV626" s="77" t="str">
        <f t="shared" si="201"/>
        <v>ER4</v>
      </c>
      <c r="AW626" s="77">
        <f t="shared" si="201"/>
        <v>50</v>
      </c>
      <c r="AX626" s="77" t="str">
        <f t="shared" si="201"/>
        <v>MEX</v>
      </c>
    </row>
    <row r="627" spans="1:50" x14ac:dyDescent="0.25">
      <c r="A627">
        <v>613</v>
      </c>
      <c r="B627" s="36" t="str">
        <f t="shared" si="196"/>
        <v>INTERAVIÓN</v>
      </c>
      <c r="C627" s="88">
        <v>2220</v>
      </c>
      <c r="D627" s="57">
        <v>0.80555555555555547</v>
      </c>
      <c r="E627" s="57">
        <v>0.81458333333333333</v>
      </c>
      <c r="F627" s="58">
        <v>9.0277777777778567E-3</v>
      </c>
      <c r="G627" s="57">
        <v>0.81944444444444453</v>
      </c>
      <c r="H627" s="58">
        <v>4.8611111111112049E-3</v>
      </c>
      <c r="I627" s="59">
        <v>41716</v>
      </c>
      <c r="J627" s="60" t="s">
        <v>19</v>
      </c>
      <c r="K627" s="61">
        <v>4.464285714285714E-3</v>
      </c>
      <c r="L627" s="61">
        <v>6.8452380952381342E-3</v>
      </c>
      <c r="M627" s="142">
        <v>1.1309523809523849E-2</v>
      </c>
      <c r="N627" s="90">
        <v>320</v>
      </c>
      <c r="O627" s="91">
        <v>179</v>
      </c>
      <c r="P627" s="92" t="s">
        <v>21</v>
      </c>
      <c r="R627">
        <v>613</v>
      </c>
      <c r="S627" s="36" t="str">
        <f t="shared" si="203"/>
        <v>MEXICO AEREO</v>
      </c>
      <c r="T627" s="36">
        <f t="shared" si="203"/>
        <v>276</v>
      </c>
      <c r="U627" s="73">
        <v>0.3756944444444445</v>
      </c>
      <c r="V627" s="74">
        <v>0.38541666666666669</v>
      </c>
      <c r="W627" s="75">
        <v>9.7222222222221877E-3</v>
      </c>
      <c r="X627" s="74">
        <v>0.3972222222222222</v>
      </c>
      <c r="Y627" s="75">
        <v>1.1805555555555514E-2</v>
      </c>
      <c r="Z627" s="76">
        <v>41741</v>
      </c>
      <c r="AA627" s="36" t="str">
        <f t="shared" si="204"/>
        <v>Nacional</v>
      </c>
      <c r="AB627" s="36">
        <f t="shared" si="204"/>
        <v>6.3541666666666555E-3</v>
      </c>
      <c r="AC627" s="36">
        <f t="shared" si="204"/>
        <v>7.6736111111111085E-3</v>
      </c>
      <c r="AD627" s="36">
        <f t="shared" si="204"/>
        <v>1.4027777777777764E-2</v>
      </c>
      <c r="AE627" s="36" t="str">
        <f t="shared" si="204"/>
        <v>B737-700</v>
      </c>
      <c r="AF627" s="36">
        <f t="shared" si="204"/>
        <v>126</v>
      </c>
      <c r="AG627" s="36" t="str">
        <f t="shared" si="204"/>
        <v>MEX</v>
      </c>
      <c r="AI627">
        <v>613</v>
      </c>
      <c r="AJ627" s="77" t="str">
        <f t="shared" si="194"/>
        <v>MEXICO AEREO</v>
      </c>
      <c r="AK627" s="77">
        <f t="shared" si="194"/>
        <v>214</v>
      </c>
      <c r="AL627" s="78">
        <v>0.63194444444444442</v>
      </c>
      <c r="AM627" s="79">
        <v>0.63750000000000007</v>
      </c>
      <c r="AN627" s="80">
        <v>5.5555555555556468E-3</v>
      </c>
      <c r="AO627" s="79">
        <v>0.64236111111111105</v>
      </c>
      <c r="AP627" s="80">
        <v>4.8611111111109828E-3</v>
      </c>
      <c r="AQ627" s="81">
        <v>41809</v>
      </c>
      <c r="AR627" s="77" t="str">
        <f t="shared" si="201"/>
        <v>Nacional</v>
      </c>
      <c r="AS627" s="77">
        <f t="shared" si="201"/>
        <v>5.6652046783625971E-3</v>
      </c>
      <c r="AT627" s="77">
        <f t="shared" si="201"/>
        <v>8.1505847953216356E-3</v>
      </c>
      <c r="AU627" s="77">
        <f t="shared" si="201"/>
        <v>1.3815789473684233E-2</v>
      </c>
      <c r="AV627" s="77" t="str">
        <f t="shared" si="201"/>
        <v>ER4</v>
      </c>
      <c r="AW627" s="77">
        <f t="shared" si="201"/>
        <v>50</v>
      </c>
      <c r="AX627" s="77" t="str">
        <f t="shared" si="201"/>
        <v>MEX</v>
      </c>
    </row>
    <row r="628" spans="1:50" x14ac:dyDescent="0.25">
      <c r="A628">
        <v>614</v>
      </c>
      <c r="B628" s="36" t="str">
        <f t="shared" si="196"/>
        <v>INTERAVIÓN</v>
      </c>
      <c r="C628" s="36">
        <f t="shared" si="196"/>
        <v>2220</v>
      </c>
      <c r="D628" s="74">
        <v>0.8027777777777777</v>
      </c>
      <c r="E628" s="74">
        <v>0.80555555555555547</v>
      </c>
      <c r="F628" s="75">
        <v>2.7777777777777679E-3</v>
      </c>
      <c r="G628" s="74">
        <v>0.81180555555555556</v>
      </c>
      <c r="H628" s="75">
        <v>6.2500000000000888E-3</v>
      </c>
      <c r="I628" s="76">
        <v>41717</v>
      </c>
      <c r="J628" s="36" t="str">
        <f t="shared" ref="J628:P633" si="206">J627</f>
        <v>Nacional</v>
      </c>
      <c r="K628" s="36">
        <f t="shared" si="206"/>
        <v>4.464285714285714E-3</v>
      </c>
      <c r="L628" s="36">
        <f t="shared" si="206"/>
        <v>6.8452380952381342E-3</v>
      </c>
      <c r="M628" s="36">
        <f t="shared" si="206"/>
        <v>1.1309523809523849E-2</v>
      </c>
      <c r="N628" s="36">
        <f t="shared" si="206"/>
        <v>320</v>
      </c>
      <c r="O628" s="36">
        <f t="shared" si="206"/>
        <v>179</v>
      </c>
      <c r="P628" s="36" t="str">
        <f t="shared" si="206"/>
        <v>MEX</v>
      </c>
      <c r="R628">
        <v>614</v>
      </c>
      <c r="S628" s="36" t="str">
        <f t="shared" si="203"/>
        <v>MEXICO AEREO</v>
      </c>
      <c r="T628" s="36">
        <f t="shared" si="203"/>
        <v>276</v>
      </c>
      <c r="U628" s="73">
        <v>0.37777777777777777</v>
      </c>
      <c r="V628" s="74">
        <v>0.38194444444444442</v>
      </c>
      <c r="W628" s="75">
        <v>4.1666666666666519E-3</v>
      </c>
      <c r="X628" s="74">
        <v>0.39097222222222222</v>
      </c>
      <c r="Y628" s="75">
        <v>9.0277777777778012E-3</v>
      </c>
      <c r="Z628" s="76">
        <v>41742</v>
      </c>
      <c r="AA628" s="36" t="str">
        <f t="shared" si="204"/>
        <v>Nacional</v>
      </c>
      <c r="AB628" s="36">
        <f t="shared" si="204"/>
        <v>6.3541666666666555E-3</v>
      </c>
      <c r="AC628" s="36">
        <f t="shared" si="204"/>
        <v>7.6736111111111085E-3</v>
      </c>
      <c r="AD628" s="36">
        <f t="shared" si="204"/>
        <v>1.4027777777777764E-2</v>
      </c>
      <c r="AE628" s="36" t="str">
        <f t="shared" si="204"/>
        <v>B737-700</v>
      </c>
      <c r="AF628" s="36">
        <f t="shared" si="204"/>
        <v>126</v>
      </c>
      <c r="AG628" s="36" t="str">
        <f t="shared" si="204"/>
        <v>MEX</v>
      </c>
      <c r="AI628">
        <v>614</v>
      </c>
      <c r="AJ628" s="77" t="str">
        <f t="shared" si="194"/>
        <v>MEXICO AEREO</v>
      </c>
      <c r="AK628" s="77">
        <f t="shared" si="194"/>
        <v>214</v>
      </c>
      <c r="AL628" s="78">
        <v>0.63541666666666663</v>
      </c>
      <c r="AM628" s="79">
        <v>0.63611111111111118</v>
      </c>
      <c r="AN628" s="80">
        <v>6.94444444444553E-4</v>
      </c>
      <c r="AO628" s="79">
        <v>0.64722222222222225</v>
      </c>
      <c r="AP628" s="80">
        <v>1.1111111111111072E-2</v>
      </c>
      <c r="AQ628" s="81">
        <v>41810</v>
      </c>
      <c r="AR628" s="77" t="str">
        <f t="shared" si="201"/>
        <v>Nacional</v>
      </c>
      <c r="AS628" s="77">
        <f t="shared" si="201"/>
        <v>5.6652046783625971E-3</v>
      </c>
      <c r="AT628" s="77">
        <f t="shared" si="201"/>
        <v>8.1505847953216356E-3</v>
      </c>
      <c r="AU628" s="77">
        <f t="shared" si="201"/>
        <v>1.3815789473684233E-2</v>
      </c>
      <c r="AV628" s="77" t="str">
        <f t="shared" si="201"/>
        <v>ER4</v>
      </c>
      <c r="AW628" s="77">
        <f t="shared" si="201"/>
        <v>50</v>
      </c>
      <c r="AX628" s="77" t="str">
        <f t="shared" si="201"/>
        <v>MEX</v>
      </c>
    </row>
    <row r="629" spans="1:50" x14ac:dyDescent="0.25">
      <c r="A629">
        <v>615</v>
      </c>
      <c r="B629" s="36" t="str">
        <f t="shared" si="196"/>
        <v>INTERAVIÓN</v>
      </c>
      <c r="C629" s="36">
        <f t="shared" si="196"/>
        <v>2220</v>
      </c>
      <c r="D629" s="74">
        <v>0.70138888888888884</v>
      </c>
      <c r="E629" s="74">
        <v>0.70416666666666661</v>
      </c>
      <c r="F629" s="75">
        <v>2.7777777777777679E-3</v>
      </c>
      <c r="G629" s="74">
        <v>0.71180555555555547</v>
      </c>
      <c r="H629" s="75">
        <v>7.6388888888888618E-3</v>
      </c>
      <c r="I629" s="76">
        <v>41720</v>
      </c>
      <c r="J629" s="36" t="str">
        <f t="shared" si="206"/>
        <v>Nacional</v>
      </c>
      <c r="K629" s="36">
        <f t="shared" si="206"/>
        <v>4.464285714285714E-3</v>
      </c>
      <c r="L629" s="36">
        <f t="shared" si="206"/>
        <v>6.8452380952381342E-3</v>
      </c>
      <c r="M629" s="36">
        <f t="shared" si="206"/>
        <v>1.1309523809523849E-2</v>
      </c>
      <c r="N629" s="36">
        <f t="shared" si="206"/>
        <v>320</v>
      </c>
      <c r="O629" s="36">
        <f t="shared" si="206"/>
        <v>179</v>
      </c>
      <c r="P629" s="36" t="str">
        <f t="shared" si="206"/>
        <v>MEX</v>
      </c>
      <c r="R629">
        <v>615</v>
      </c>
      <c r="S629" s="36" t="str">
        <f t="shared" si="203"/>
        <v>MEXICO AEREO</v>
      </c>
      <c r="T629" s="36">
        <f t="shared" si="203"/>
        <v>276</v>
      </c>
      <c r="U629" s="73">
        <v>0.38194444444444442</v>
      </c>
      <c r="V629" s="74">
        <v>0.3923611111111111</v>
      </c>
      <c r="W629" s="75">
        <v>1.0416666666666685E-2</v>
      </c>
      <c r="X629" s="74">
        <v>0.39930555555555558</v>
      </c>
      <c r="Y629" s="75">
        <v>6.9444444444444753E-3</v>
      </c>
      <c r="Z629" s="76">
        <v>41743</v>
      </c>
      <c r="AA629" s="36" t="str">
        <f t="shared" si="204"/>
        <v>Nacional</v>
      </c>
      <c r="AB629" s="36">
        <f t="shared" si="204"/>
        <v>6.3541666666666555E-3</v>
      </c>
      <c r="AC629" s="36">
        <f t="shared" si="204"/>
        <v>7.6736111111111085E-3</v>
      </c>
      <c r="AD629" s="36">
        <f t="shared" si="204"/>
        <v>1.4027777777777764E-2</v>
      </c>
      <c r="AE629" s="36" t="str">
        <f t="shared" si="204"/>
        <v>B737-700</v>
      </c>
      <c r="AF629" s="36">
        <f t="shared" si="204"/>
        <v>126</v>
      </c>
      <c r="AG629" s="36" t="str">
        <f t="shared" si="204"/>
        <v>MEX</v>
      </c>
      <c r="AI629">
        <v>615</v>
      </c>
      <c r="AJ629" s="77" t="str">
        <f t="shared" si="194"/>
        <v>MEXICO AEREO</v>
      </c>
      <c r="AK629" s="77">
        <f t="shared" si="194"/>
        <v>214</v>
      </c>
      <c r="AL629" s="78">
        <v>0.6333333333333333</v>
      </c>
      <c r="AM629" s="79">
        <v>0.63680555555555551</v>
      </c>
      <c r="AN629" s="80">
        <v>3.4722222222222099E-3</v>
      </c>
      <c r="AO629" s="79">
        <v>0.64236111111111105</v>
      </c>
      <c r="AP629" s="80">
        <v>5.5555555555555358E-3</v>
      </c>
      <c r="AQ629" s="81">
        <v>41813</v>
      </c>
      <c r="AR629" s="77" t="str">
        <f t="shared" si="201"/>
        <v>Nacional</v>
      </c>
      <c r="AS629" s="77">
        <f t="shared" si="201"/>
        <v>5.6652046783625971E-3</v>
      </c>
      <c r="AT629" s="77">
        <f t="shared" si="201"/>
        <v>8.1505847953216356E-3</v>
      </c>
      <c r="AU629" s="77">
        <f t="shared" si="201"/>
        <v>1.3815789473684233E-2</v>
      </c>
      <c r="AV629" s="77" t="str">
        <f t="shared" si="201"/>
        <v>ER4</v>
      </c>
      <c r="AW629" s="77">
        <f t="shared" si="201"/>
        <v>50</v>
      </c>
      <c r="AX629" s="77" t="str">
        <f t="shared" si="201"/>
        <v>MEX</v>
      </c>
    </row>
    <row r="630" spans="1:50" ht="15.75" thickBot="1" x14ac:dyDescent="0.3">
      <c r="A630">
        <v>616</v>
      </c>
      <c r="B630" s="36" t="str">
        <f t="shared" si="196"/>
        <v>INTERAVIÓN</v>
      </c>
      <c r="C630" s="36">
        <f t="shared" si="196"/>
        <v>2220</v>
      </c>
      <c r="D630" s="74">
        <v>0.70138888888888884</v>
      </c>
      <c r="E630" s="74">
        <v>0.70416666666666661</v>
      </c>
      <c r="F630" s="75">
        <v>2.7777777777777679E-3</v>
      </c>
      <c r="G630" s="74">
        <v>0.71180555555555547</v>
      </c>
      <c r="H630" s="75">
        <v>7.6388888888888618E-3</v>
      </c>
      <c r="I630" s="76">
        <v>41720</v>
      </c>
      <c r="J630" s="36" t="str">
        <f t="shared" si="206"/>
        <v>Nacional</v>
      </c>
      <c r="K630" s="36">
        <f t="shared" si="206"/>
        <v>4.464285714285714E-3</v>
      </c>
      <c r="L630" s="36">
        <f t="shared" si="206"/>
        <v>6.8452380952381342E-3</v>
      </c>
      <c r="M630" s="36">
        <f t="shared" si="206"/>
        <v>1.1309523809523849E-2</v>
      </c>
      <c r="N630" s="36">
        <f t="shared" si="206"/>
        <v>320</v>
      </c>
      <c r="O630" s="36">
        <f t="shared" si="206"/>
        <v>179</v>
      </c>
      <c r="P630" s="36" t="str">
        <f t="shared" si="206"/>
        <v>MEX</v>
      </c>
      <c r="R630">
        <v>616</v>
      </c>
      <c r="S630" s="36" t="str">
        <f t="shared" si="203"/>
        <v>MEXICO AEREO</v>
      </c>
      <c r="T630" s="36">
        <f t="shared" si="203"/>
        <v>276</v>
      </c>
      <c r="U630" s="73">
        <v>0.37986111111111115</v>
      </c>
      <c r="V630" s="74">
        <v>0.38611111111111113</v>
      </c>
      <c r="W630" s="75">
        <v>6.2499999999999778E-3</v>
      </c>
      <c r="X630" s="74">
        <v>0.39861111111111108</v>
      </c>
      <c r="Y630" s="75">
        <v>1.2499999999999956E-2</v>
      </c>
      <c r="Z630" s="76">
        <v>41744</v>
      </c>
      <c r="AA630" s="36" t="str">
        <f t="shared" si="204"/>
        <v>Nacional</v>
      </c>
      <c r="AB630" s="36">
        <f t="shared" si="204"/>
        <v>6.3541666666666555E-3</v>
      </c>
      <c r="AC630" s="36">
        <f t="shared" si="204"/>
        <v>7.6736111111111085E-3</v>
      </c>
      <c r="AD630" s="36">
        <f t="shared" si="204"/>
        <v>1.4027777777777764E-2</v>
      </c>
      <c r="AE630" s="36" t="str">
        <f t="shared" si="204"/>
        <v>B737-700</v>
      </c>
      <c r="AF630" s="36">
        <f t="shared" si="204"/>
        <v>126</v>
      </c>
      <c r="AG630" s="36" t="str">
        <f t="shared" si="204"/>
        <v>MEX</v>
      </c>
      <c r="AI630">
        <v>616</v>
      </c>
      <c r="AJ630" s="77" t="str">
        <f t="shared" si="194"/>
        <v>MEXICO AEREO</v>
      </c>
      <c r="AK630" s="77">
        <f t="shared" si="194"/>
        <v>214</v>
      </c>
      <c r="AL630" s="94">
        <v>0.63263888888888886</v>
      </c>
      <c r="AM630" s="95">
        <v>0.64652777777777781</v>
      </c>
      <c r="AN630" s="96">
        <v>1.3888888888888951E-2</v>
      </c>
      <c r="AO630" s="95">
        <v>0.65069444444444446</v>
      </c>
      <c r="AP630" s="96">
        <v>4.1666666666666519E-3</v>
      </c>
      <c r="AQ630" s="97">
        <v>41812</v>
      </c>
      <c r="AR630" s="77" t="str">
        <f t="shared" si="201"/>
        <v>Nacional</v>
      </c>
      <c r="AS630" s="77">
        <f t="shared" si="201"/>
        <v>5.6652046783625971E-3</v>
      </c>
      <c r="AT630" s="77">
        <f t="shared" si="201"/>
        <v>8.1505847953216356E-3</v>
      </c>
      <c r="AU630" s="77">
        <f t="shared" si="201"/>
        <v>1.3815789473684233E-2</v>
      </c>
      <c r="AV630" s="77" t="str">
        <f t="shared" si="201"/>
        <v>ER4</v>
      </c>
      <c r="AW630" s="77">
        <f t="shared" si="201"/>
        <v>50</v>
      </c>
      <c r="AX630" s="77" t="str">
        <f t="shared" si="201"/>
        <v>MEX</v>
      </c>
    </row>
    <row r="631" spans="1:50" x14ac:dyDescent="0.25">
      <c r="A631">
        <v>617</v>
      </c>
      <c r="B631" s="36" t="str">
        <f t="shared" si="196"/>
        <v>INTERAVIÓN</v>
      </c>
      <c r="C631" s="36">
        <f t="shared" si="196"/>
        <v>2220</v>
      </c>
      <c r="D631" s="74">
        <v>0.84097222222222223</v>
      </c>
      <c r="E631" s="74">
        <v>0.84583333333333333</v>
      </c>
      <c r="F631" s="75">
        <v>4.8611111111110938E-3</v>
      </c>
      <c r="G631" s="74">
        <v>0.85625000000000007</v>
      </c>
      <c r="H631" s="75">
        <v>1.0416666666666741E-2</v>
      </c>
      <c r="I631" s="76">
        <v>41721</v>
      </c>
      <c r="J631" s="36" t="str">
        <f t="shared" si="206"/>
        <v>Nacional</v>
      </c>
      <c r="K631" s="36">
        <f t="shared" si="206"/>
        <v>4.464285714285714E-3</v>
      </c>
      <c r="L631" s="36">
        <f t="shared" si="206"/>
        <v>6.8452380952381342E-3</v>
      </c>
      <c r="M631" s="36">
        <f t="shared" si="206"/>
        <v>1.1309523809523849E-2</v>
      </c>
      <c r="N631" s="36">
        <f t="shared" si="206"/>
        <v>320</v>
      </c>
      <c r="O631" s="36">
        <f t="shared" si="206"/>
        <v>179</v>
      </c>
      <c r="P631" s="36" t="str">
        <f t="shared" si="206"/>
        <v>MEX</v>
      </c>
      <c r="R631">
        <v>617</v>
      </c>
      <c r="S631" s="36" t="str">
        <f t="shared" si="203"/>
        <v>MEXICO AEREO</v>
      </c>
      <c r="T631" s="36">
        <f t="shared" si="203"/>
        <v>276</v>
      </c>
      <c r="U631" s="73">
        <v>0.37986111111111115</v>
      </c>
      <c r="V631" s="74">
        <v>0.38472222222222219</v>
      </c>
      <c r="W631" s="75">
        <v>4.8611111111110383E-3</v>
      </c>
      <c r="X631" s="74">
        <v>0.39166666666666666</v>
      </c>
      <c r="Y631" s="75">
        <v>6.9444444444444753E-3</v>
      </c>
      <c r="Z631" s="76">
        <v>41745</v>
      </c>
      <c r="AA631" s="36" t="str">
        <f t="shared" si="204"/>
        <v>Nacional</v>
      </c>
      <c r="AB631" s="36">
        <f t="shared" si="204"/>
        <v>6.3541666666666555E-3</v>
      </c>
      <c r="AC631" s="36">
        <f t="shared" si="204"/>
        <v>7.6736111111111085E-3</v>
      </c>
      <c r="AD631" s="36">
        <f t="shared" si="204"/>
        <v>1.4027777777777764E-2</v>
      </c>
      <c r="AE631" s="36" t="str">
        <f t="shared" si="204"/>
        <v>B737-700</v>
      </c>
      <c r="AF631" s="36">
        <f t="shared" si="204"/>
        <v>126</v>
      </c>
      <c r="AG631" s="36" t="str">
        <f t="shared" si="204"/>
        <v>MEX</v>
      </c>
      <c r="AI631">
        <v>617</v>
      </c>
      <c r="AJ631" s="77" t="str">
        <f t="shared" si="194"/>
        <v>MEXICO AEREO</v>
      </c>
      <c r="AK631" s="63">
        <v>186</v>
      </c>
      <c r="AL631" s="64">
        <v>0.99722222222222223</v>
      </c>
      <c r="AM631" s="65">
        <v>1.0041666666666667</v>
      </c>
      <c r="AN631" s="66">
        <v>6.9444444444444198E-3</v>
      </c>
      <c r="AO631" s="65">
        <v>1.0138888888888888</v>
      </c>
      <c r="AP631" s="66">
        <v>9.7222222222221877E-3</v>
      </c>
      <c r="AQ631" s="67">
        <v>41791</v>
      </c>
      <c r="AR631" s="68" t="s">
        <v>19</v>
      </c>
      <c r="AS631" s="69">
        <v>8.9673913043478107E-3</v>
      </c>
      <c r="AT631" s="70">
        <v>8.6654589371980666E-3</v>
      </c>
      <c r="AU631" s="70">
        <v>1.7632850241545879E-2</v>
      </c>
      <c r="AV631" s="71">
        <v>738</v>
      </c>
      <c r="AW631" s="71">
        <v>189</v>
      </c>
      <c r="AX631" s="72" t="s">
        <v>21</v>
      </c>
    </row>
    <row r="632" spans="1:50" x14ac:dyDescent="0.25">
      <c r="A632">
        <v>618</v>
      </c>
      <c r="B632" s="36" t="str">
        <f t="shared" si="196"/>
        <v>INTERAVIÓN</v>
      </c>
      <c r="C632" s="36">
        <f t="shared" si="196"/>
        <v>2220</v>
      </c>
      <c r="D632" s="74">
        <v>0.83680555555555547</v>
      </c>
      <c r="E632" s="74">
        <v>0.84375</v>
      </c>
      <c r="F632" s="75">
        <v>6.9444444444445308E-3</v>
      </c>
      <c r="G632" s="74">
        <v>0.84861111111111109</v>
      </c>
      <c r="H632" s="75">
        <v>4.8611111111110938E-3</v>
      </c>
      <c r="I632" s="76">
        <v>41726</v>
      </c>
      <c r="J632" s="36" t="str">
        <f t="shared" si="206"/>
        <v>Nacional</v>
      </c>
      <c r="K632" s="36">
        <f t="shared" si="206"/>
        <v>4.464285714285714E-3</v>
      </c>
      <c r="L632" s="36">
        <f t="shared" si="206"/>
        <v>6.8452380952381342E-3</v>
      </c>
      <c r="M632" s="36">
        <f t="shared" si="206"/>
        <v>1.1309523809523849E-2</v>
      </c>
      <c r="N632" s="36">
        <f t="shared" si="206"/>
        <v>320</v>
      </c>
      <c r="O632" s="36">
        <f t="shared" si="206"/>
        <v>179</v>
      </c>
      <c r="P632" s="36" t="str">
        <f t="shared" si="206"/>
        <v>MEX</v>
      </c>
      <c r="R632">
        <v>618</v>
      </c>
      <c r="S632" s="36" t="str">
        <f t="shared" si="203"/>
        <v>MEXICO AEREO</v>
      </c>
      <c r="T632" s="36">
        <f t="shared" si="203"/>
        <v>276</v>
      </c>
      <c r="U632" s="73">
        <v>0.37708333333333338</v>
      </c>
      <c r="V632" s="74">
        <v>0.38194444444444442</v>
      </c>
      <c r="W632" s="75">
        <v>4.8611111111110383E-3</v>
      </c>
      <c r="X632" s="74">
        <v>0.38680555555555557</v>
      </c>
      <c r="Y632" s="75">
        <v>4.8611111111111494E-3</v>
      </c>
      <c r="Z632" s="76">
        <v>41748</v>
      </c>
      <c r="AA632" s="36" t="str">
        <f t="shared" si="204"/>
        <v>Nacional</v>
      </c>
      <c r="AB632" s="36">
        <f t="shared" si="204"/>
        <v>6.3541666666666555E-3</v>
      </c>
      <c r="AC632" s="36">
        <f t="shared" si="204"/>
        <v>7.6736111111111085E-3</v>
      </c>
      <c r="AD632" s="36">
        <f t="shared" si="204"/>
        <v>1.4027777777777764E-2</v>
      </c>
      <c r="AE632" s="36" t="str">
        <f t="shared" si="204"/>
        <v>B737-700</v>
      </c>
      <c r="AF632" s="36">
        <f t="shared" si="204"/>
        <v>126</v>
      </c>
      <c r="AG632" s="36" t="str">
        <f t="shared" si="204"/>
        <v>MEX</v>
      </c>
      <c r="AI632">
        <v>618</v>
      </c>
      <c r="AJ632" s="77" t="str">
        <f t="shared" si="194"/>
        <v>MEXICO AEREO</v>
      </c>
      <c r="AK632" s="77">
        <f t="shared" si="194"/>
        <v>186</v>
      </c>
      <c r="AL632" s="78">
        <v>0.97152777777777777</v>
      </c>
      <c r="AM632" s="79">
        <v>0.97638888888888886</v>
      </c>
      <c r="AN632" s="80">
        <v>4.8611111111110938E-3</v>
      </c>
      <c r="AO632" s="79">
        <v>0.9770833333333333</v>
      </c>
      <c r="AP632" s="80">
        <v>6.9444444444444198E-4</v>
      </c>
      <c r="AQ632" s="81">
        <v>41792</v>
      </c>
      <c r="AR632" s="77" t="str">
        <f t="shared" ref="AR632:AX653" si="207">AR631</f>
        <v>Nacional</v>
      </c>
      <c r="AS632" s="77">
        <f t="shared" si="207"/>
        <v>8.9673913043478107E-3</v>
      </c>
      <c r="AT632" s="77">
        <f t="shared" si="207"/>
        <v>8.6654589371980666E-3</v>
      </c>
      <c r="AU632" s="77">
        <f t="shared" si="207"/>
        <v>1.7632850241545879E-2</v>
      </c>
      <c r="AV632" s="77">
        <f t="shared" si="207"/>
        <v>738</v>
      </c>
      <c r="AW632" s="77">
        <f t="shared" si="207"/>
        <v>189</v>
      </c>
      <c r="AX632" s="77" t="str">
        <f t="shared" si="207"/>
        <v>MEX</v>
      </c>
    </row>
    <row r="633" spans="1:50" ht="15.75" thickBot="1" x14ac:dyDescent="0.3">
      <c r="A633">
        <v>619</v>
      </c>
      <c r="B633" s="36" t="str">
        <f t="shared" si="196"/>
        <v>INTERAVIÓN</v>
      </c>
      <c r="C633" s="36">
        <f t="shared" si="196"/>
        <v>2220</v>
      </c>
      <c r="D633" s="84">
        <v>0.69444444444444453</v>
      </c>
      <c r="E633" s="84">
        <v>0.69652777777777775</v>
      </c>
      <c r="F633" s="85">
        <v>2.0833333333332149E-3</v>
      </c>
      <c r="G633" s="84">
        <v>0.70277777777777783</v>
      </c>
      <c r="H633" s="85">
        <v>6.2500000000000888E-3</v>
      </c>
      <c r="I633" s="86">
        <v>41727</v>
      </c>
      <c r="J633" s="36" t="str">
        <f t="shared" si="206"/>
        <v>Nacional</v>
      </c>
      <c r="K633" s="36">
        <f t="shared" si="206"/>
        <v>4.464285714285714E-3</v>
      </c>
      <c r="L633" s="36">
        <f t="shared" si="206"/>
        <v>6.8452380952381342E-3</v>
      </c>
      <c r="M633" s="36">
        <f t="shared" si="206"/>
        <v>1.1309523809523849E-2</v>
      </c>
      <c r="N633" s="36">
        <f t="shared" si="206"/>
        <v>320</v>
      </c>
      <c r="O633" s="36">
        <f t="shared" si="206"/>
        <v>179</v>
      </c>
      <c r="P633" s="36" t="str">
        <f t="shared" si="206"/>
        <v>MEX</v>
      </c>
      <c r="R633">
        <v>619</v>
      </c>
      <c r="S633" s="36" t="str">
        <f t="shared" si="203"/>
        <v>MEXICO AEREO</v>
      </c>
      <c r="T633" s="36">
        <f t="shared" si="203"/>
        <v>276</v>
      </c>
      <c r="U633" s="73">
        <v>0.38750000000000001</v>
      </c>
      <c r="V633" s="74">
        <v>0.39444444444444443</v>
      </c>
      <c r="W633" s="75">
        <v>6.9444444444444198E-3</v>
      </c>
      <c r="X633" s="74">
        <v>0.40138888888888885</v>
      </c>
      <c r="Y633" s="75">
        <v>6.9444444444444198E-3</v>
      </c>
      <c r="Z633" s="76">
        <v>41751</v>
      </c>
      <c r="AA633" s="36" t="str">
        <f t="shared" si="204"/>
        <v>Nacional</v>
      </c>
      <c r="AB633" s="36">
        <f t="shared" si="204"/>
        <v>6.3541666666666555E-3</v>
      </c>
      <c r="AC633" s="36">
        <f t="shared" si="204"/>
        <v>7.6736111111111085E-3</v>
      </c>
      <c r="AD633" s="36">
        <f t="shared" si="204"/>
        <v>1.4027777777777764E-2</v>
      </c>
      <c r="AE633" s="36" t="str">
        <f t="shared" si="204"/>
        <v>B737-700</v>
      </c>
      <c r="AF633" s="36">
        <f t="shared" si="204"/>
        <v>126</v>
      </c>
      <c r="AG633" s="36" t="str">
        <f t="shared" si="204"/>
        <v>MEX</v>
      </c>
      <c r="AI633">
        <v>619</v>
      </c>
      <c r="AJ633" s="77" t="str">
        <f t="shared" si="194"/>
        <v>MEXICO AEREO</v>
      </c>
      <c r="AK633" s="77">
        <f t="shared" si="194"/>
        <v>186</v>
      </c>
      <c r="AL633" s="78">
        <v>0.98749999999999993</v>
      </c>
      <c r="AM633" s="79">
        <v>0.98958333333333337</v>
      </c>
      <c r="AN633" s="80">
        <v>2.083333333333437E-3</v>
      </c>
      <c r="AO633" s="79">
        <v>0.99305555555555547</v>
      </c>
      <c r="AP633" s="80">
        <v>3.4722222222220989E-3</v>
      </c>
      <c r="AQ633" s="81">
        <v>41793</v>
      </c>
      <c r="AR633" s="77" t="str">
        <f t="shared" si="207"/>
        <v>Nacional</v>
      </c>
      <c r="AS633" s="77">
        <f t="shared" si="207"/>
        <v>8.9673913043478107E-3</v>
      </c>
      <c r="AT633" s="77">
        <f t="shared" si="207"/>
        <v>8.6654589371980666E-3</v>
      </c>
      <c r="AU633" s="77">
        <f t="shared" si="207"/>
        <v>1.7632850241545879E-2</v>
      </c>
      <c r="AV633" s="77">
        <f t="shared" si="207"/>
        <v>738</v>
      </c>
      <c r="AW633" s="77">
        <f t="shared" si="207"/>
        <v>189</v>
      </c>
      <c r="AX633" s="77" t="str">
        <f t="shared" si="207"/>
        <v>MEX</v>
      </c>
    </row>
    <row r="634" spans="1:50" x14ac:dyDescent="0.25">
      <c r="A634">
        <v>620</v>
      </c>
      <c r="B634" s="36" t="str">
        <f t="shared" si="196"/>
        <v>INTERAVIÓN</v>
      </c>
      <c r="C634" s="88">
        <v>2218</v>
      </c>
      <c r="D634" s="57">
        <v>0.93680555555555556</v>
      </c>
      <c r="E634" s="57">
        <v>0.94930555555555562</v>
      </c>
      <c r="F634" s="58">
        <v>1.2500000000000067E-2</v>
      </c>
      <c r="G634" s="57">
        <v>0.95208333333333339</v>
      </c>
      <c r="H634" s="58">
        <v>2.7777777777777679E-3</v>
      </c>
      <c r="I634" s="59">
        <v>41715</v>
      </c>
      <c r="J634" s="60" t="s">
        <v>19</v>
      </c>
      <c r="K634" s="61">
        <v>9.6450617283950768E-3</v>
      </c>
      <c r="L634" s="61">
        <v>5.8641975308642257E-3</v>
      </c>
      <c r="M634" s="142">
        <v>1.5509259259259302E-2</v>
      </c>
      <c r="N634" s="90">
        <v>320</v>
      </c>
      <c r="O634" s="91">
        <v>179</v>
      </c>
      <c r="P634" s="92" t="s">
        <v>21</v>
      </c>
      <c r="R634">
        <v>620</v>
      </c>
      <c r="S634" s="36" t="str">
        <f t="shared" si="203"/>
        <v>MEXICO AEREO</v>
      </c>
      <c r="T634" s="36">
        <f t="shared" si="203"/>
        <v>276</v>
      </c>
      <c r="U634" s="73">
        <v>0.38680555555555557</v>
      </c>
      <c r="V634" s="74">
        <v>0.3888888888888889</v>
      </c>
      <c r="W634" s="75">
        <v>2.0833333333333259E-3</v>
      </c>
      <c r="X634" s="74">
        <v>0.39583333333333331</v>
      </c>
      <c r="Y634" s="75">
        <v>6.9444444444444198E-3</v>
      </c>
      <c r="Z634" s="76">
        <v>41753</v>
      </c>
      <c r="AA634" s="36" t="str">
        <f t="shared" si="204"/>
        <v>Nacional</v>
      </c>
      <c r="AB634" s="36">
        <f t="shared" si="204"/>
        <v>6.3541666666666555E-3</v>
      </c>
      <c r="AC634" s="36">
        <f t="shared" si="204"/>
        <v>7.6736111111111085E-3</v>
      </c>
      <c r="AD634" s="36">
        <f t="shared" si="204"/>
        <v>1.4027777777777764E-2</v>
      </c>
      <c r="AE634" s="36" t="str">
        <f t="shared" si="204"/>
        <v>B737-700</v>
      </c>
      <c r="AF634" s="36">
        <f t="shared" si="204"/>
        <v>126</v>
      </c>
      <c r="AG634" s="36" t="str">
        <f t="shared" si="204"/>
        <v>MEX</v>
      </c>
      <c r="AI634">
        <v>620</v>
      </c>
      <c r="AJ634" s="77" t="str">
        <f t="shared" si="194"/>
        <v>MEXICO AEREO</v>
      </c>
      <c r="AK634" s="77">
        <f t="shared" si="194"/>
        <v>186</v>
      </c>
      <c r="AL634" s="78">
        <v>1.0055555555555555</v>
      </c>
      <c r="AM634" s="79">
        <v>1.0083333333333333</v>
      </c>
      <c r="AN634" s="80">
        <v>2.7777777777777679E-3</v>
      </c>
      <c r="AO634" s="79">
        <v>1.0173611111111112</v>
      </c>
      <c r="AP634" s="80">
        <v>9.0277777777778567E-3</v>
      </c>
      <c r="AQ634" s="81">
        <v>41794</v>
      </c>
      <c r="AR634" s="77" t="str">
        <f t="shared" si="207"/>
        <v>Nacional</v>
      </c>
      <c r="AS634" s="77">
        <f t="shared" si="207"/>
        <v>8.9673913043478107E-3</v>
      </c>
      <c r="AT634" s="77">
        <f t="shared" si="207"/>
        <v>8.6654589371980666E-3</v>
      </c>
      <c r="AU634" s="77">
        <f t="shared" si="207"/>
        <v>1.7632850241545879E-2</v>
      </c>
      <c r="AV634" s="77">
        <f t="shared" si="207"/>
        <v>738</v>
      </c>
      <c r="AW634" s="77">
        <f t="shared" si="207"/>
        <v>189</v>
      </c>
      <c r="AX634" s="77" t="str">
        <f t="shared" si="207"/>
        <v>MEX</v>
      </c>
    </row>
    <row r="635" spans="1:50" x14ac:dyDescent="0.25">
      <c r="A635">
        <v>621</v>
      </c>
      <c r="B635" s="36" t="str">
        <f t="shared" si="196"/>
        <v>INTERAVIÓN</v>
      </c>
      <c r="C635" s="36">
        <f t="shared" si="196"/>
        <v>2218</v>
      </c>
      <c r="D635" s="74">
        <v>0.87430555555555556</v>
      </c>
      <c r="E635" s="74">
        <v>0.88888888888888884</v>
      </c>
      <c r="F635" s="75">
        <v>1.4583333333333282E-2</v>
      </c>
      <c r="G635" s="74">
        <v>0.8930555555555556</v>
      </c>
      <c r="H635" s="75">
        <v>4.1666666666667629E-3</v>
      </c>
      <c r="I635" s="76">
        <v>41716</v>
      </c>
      <c r="J635" s="36" t="str">
        <f t="shared" ref="J635:P642" si="208">J634</f>
        <v>Nacional</v>
      </c>
      <c r="K635" s="36">
        <f t="shared" si="208"/>
        <v>9.6450617283950768E-3</v>
      </c>
      <c r="L635" s="36">
        <f t="shared" si="208"/>
        <v>5.8641975308642257E-3</v>
      </c>
      <c r="M635" s="36">
        <f t="shared" si="208"/>
        <v>1.5509259259259302E-2</v>
      </c>
      <c r="N635" s="36">
        <f t="shared" si="208"/>
        <v>320</v>
      </c>
      <c r="O635" s="36">
        <f t="shared" si="208"/>
        <v>179</v>
      </c>
      <c r="P635" s="36" t="str">
        <f t="shared" si="208"/>
        <v>MEX</v>
      </c>
      <c r="R635">
        <v>621</v>
      </c>
      <c r="S635" s="36" t="str">
        <f t="shared" si="203"/>
        <v>MEXICO AEREO</v>
      </c>
      <c r="T635" s="36">
        <f t="shared" si="203"/>
        <v>276</v>
      </c>
      <c r="U635" s="73">
        <v>0.38125000000000003</v>
      </c>
      <c r="V635" s="74">
        <v>0.38680555555555557</v>
      </c>
      <c r="W635" s="75">
        <v>5.5555555555555358E-3</v>
      </c>
      <c r="X635" s="74">
        <v>0.39374999999999999</v>
      </c>
      <c r="Y635" s="75">
        <v>6.9444444444444198E-3</v>
      </c>
      <c r="Z635" s="76">
        <v>41754</v>
      </c>
      <c r="AA635" s="36" t="str">
        <f t="shared" si="204"/>
        <v>Nacional</v>
      </c>
      <c r="AB635" s="36">
        <f t="shared" si="204"/>
        <v>6.3541666666666555E-3</v>
      </c>
      <c r="AC635" s="36">
        <f t="shared" si="204"/>
        <v>7.6736111111111085E-3</v>
      </c>
      <c r="AD635" s="36">
        <f t="shared" si="204"/>
        <v>1.4027777777777764E-2</v>
      </c>
      <c r="AE635" s="36" t="str">
        <f t="shared" si="204"/>
        <v>B737-700</v>
      </c>
      <c r="AF635" s="36">
        <f t="shared" si="204"/>
        <v>126</v>
      </c>
      <c r="AG635" s="36" t="str">
        <f t="shared" si="204"/>
        <v>MEX</v>
      </c>
      <c r="AI635">
        <v>621</v>
      </c>
      <c r="AJ635" s="77" t="str">
        <f t="shared" si="194"/>
        <v>MEXICO AEREO</v>
      </c>
      <c r="AK635" s="77">
        <f t="shared" si="194"/>
        <v>186</v>
      </c>
      <c r="AL635" s="78">
        <v>0.97222222222222221</v>
      </c>
      <c r="AM635" s="79">
        <v>0.98819444444444438</v>
      </c>
      <c r="AN635" s="80">
        <v>1.5972222222222165E-2</v>
      </c>
      <c r="AO635" s="79">
        <v>0.99444444444444446</v>
      </c>
      <c r="AP635" s="80">
        <v>6.2500000000000888E-3</v>
      </c>
      <c r="AQ635" s="81">
        <v>41795</v>
      </c>
      <c r="AR635" s="77" t="str">
        <f t="shared" si="207"/>
        <v>Nacional</v>
      </c>
      <c r="AS635" s="77">
        <f t="shared" si="207"/>
        <v>8.9673913043478107E-3</v>
      </c>
      <c r="AT635" s="77">
        <f t="shared" si="207"/>
        <v>8.6654589371980666E-3</v>
      </c>
      <c r="AU635" s="77">
        <f t="shared" si="207"/>
        <v>1.7632850241545879E-2</v>
      </c>
      <c r="AV635" s="77">
        <f t="shared" si="207"/>
        <v>738</v>
      </c>
      <c r="AW635" s="77">
        <f t="shared" si="207"/>
        <v>189</v>
      </c>
      <c r="AX635" s="77" t="str">
        <f t="shared" si="207"/>
        <v>MEX</v>
      </c>
    </row>
    <row r="636" spans="1:50" x14ac:dyDescent="0.25">
      <c r="A636">
        <v>622</v>
      </c>
      <c r="B636" s="36" t="str">
        <f t="shared" si="196"/>
        <v>INTERAVIÓN</v>
      </c>
      <c r="C636" s="36">
        <f t="shared" si="196"/>
        <v>2218</v>
      </c>
      <c r="D636" s="74">
        <v>0.9159722222222223</v>
      </c>
      <c r="E636" s="74">
        <v>0.92361111111111116</v>
      </c>
      <c r="F636" s="75">
        <v>7.6388888888888618E-3</v>
      </c>
      <c r="G636" s="74">
        <v>0.9291666666666667</v>
      </c>
      <c r="H636" s="75">
        <v>5.5555555555555358E-3</v>
      </c>
      <c r="I636" s="76">
        <v>41719</v>
      </c>
      <c r="J636" s="36" t="str">
        <f t="shared" si="208"/>
        <v>Nacional</v>
      </c>
      <c r="K636" s="36">
        <f t="shared" si="208"/>
        <v>9.6450617283950768E-3</v>
      </c>
      <c r="L636" s="36">
        <f t="shared" si="208"/>
        <v>5.8641975308642257E-3</v>
      </c>
      <c r="M636" s="36">
        <f t="shared" si="208"/>
        <v>1.5509259259259302E-2</v>
      </c>
      <c r="N636" s="36">
        <f t="shared" si="208"/>
        <v>320</v>
      </c>
      <c r="O636" s="36">
        <f t="shared" si="208"/>
        <v>179</v>
      </c>
      <c r="P636" s="36" t="str">
        <f t="shared" si="208"/>
        <v>MEX</v>
      </c>
      <c r="R636">
        <v>622</v>
      </c>
      <c r="S636" s="36" t="str">
        <f t="shared" si="203"/>
        <v>MEXICO AEREO</v>
      </c>
      <c r="T636" s="36">
        <f t="shared" si="203"/>
        <v>276</v>
      </c>
      <c r="U636" s="73">
        <v>0.3840277777777778</v>
      </c>
      <c r="V636" s="74">
        <v>0.38819444444444445</v>
      </c>
      <c r="W636" s="75">
        <v>4.1666666666666519E-3</v>
      </c>
      <c r="X636" s="74">
        <v>0.39930555555555558</v>
      </c>
      <c r="Y636" s="75">
        <v>1.1111111111111127E-2</v>
      </c>
      <c r="Z636" s="76">
        <v>41756</v>
      </c>
      <c r="AA636" s="36" t="str">
        <f t="shared" si="204"/>
        <v>Nacional</v>
      </c>
      <c r="AB636" s="36">
        <f t="shared" si="204"/>
        <v>6.3541666666666555E-3</v>
      </c>
      <c r="AC636" s="36">
        <f t="shared" si="204"/>
        <v>7.6736111111111085E-3</v>
      </c>
      <c r="AD636" s="36">
        <f t="shared" si="204"/>
        <v>1.4027777777777764E-2</v>
      </c>
      <c r="AE636" s="36" t="str">
        <f t="shared" si="204"/>
        <v>B737-700</v>
      </c>
      <c r="AF636" s="36">
        <f t="shared" si="204"/>
        <v>126</v>
      </c>
      <c r="AG636" s="36" t="str">
        <f t="shared" si="204"/>
        <v>MEX</v>
      </c>
      <c r="AI636">
        <v>622</v>
      </c>
      <c r="AJ636" s="77" t="str">
        <f t="shared" si="194"/>
        <v>MEXICO AEREO</v>
      </c>
      <c r="AK636" s="77">
        <f t="shared" si="194"/>
        <v>186</v>
      </c>
      <c r="AL636" s="78">
        <v>0.97499999999999998</v>
      </c>
      <c r="AM636" s="79">
        <v>0.97569444444444453</v>
      </c>
      <c r="AN636" s="80">
        <v>6.94444444444553E-4</v>
      </c>
      <c r="AO636" s="79">
        <v>0.98472222222222217</v>
      </c>
      <c r="AP636" s="80">
        <v>9.0277777777776347E-3</v>
      </c>
      <c r="AQ636" s="81">
        <v>41796</v>
      </c>
      <c r="AR636" s="77" t="str">
        <f t="shared" si="207"/>
        <v>Nacional</v>
      </c>
      <c r="AS636" s="77">
        <f t="shared" si="207"/>
        <v>8.9673913043478107E-3</v>
      </c>
      <c r="AT636" s="77">
        <f t="shared" si="207"/>
        <v>8.6654589371980666E-3</v>
      </c>
      <c r="AU636" s="77">
        <f t="shared" si="207"/>
        <v>1.7632850241545879E-2</v>
      </c>
      <c r="AV636" s="77">
        <f t="shared" si="207"/>
        <v>738</v>
      </c>
      <c r="AW636" s="77">
        <f t="shared" si="207"/>
        <v>189</v>
      </c>
      <c r="AX636" s="77" t="str">
        <f t="shared" si="207"/>
        <v>MEX</v>
      </c>
    </row>
    <row r="637" spans="1:50" x14ac:dyDescent="0.25">
      <c r="A637">
        <v>623</v>
      </c>
      <c r="B637" s="36" t="str">
        <f t="shared" si="196"/>
        <v>INTERAVIÓN</v>
      </c>
      <c r="C637" s="36">
        <f t="shared" si="196"/>
        <v>2218</v>
      </c>
      <c r="D637" s="74">
        <v>0.90347222222222223</v>
      </c>
      <c r="E637" s="74">
        <v>0.90972222222222221</v>
      </c>
      <c r="F637" s="75">
        <v>6.2499999999999778E-3</v>
      </c>
      <c r="G637" s="74">
        <v>0.92708333333333337</v>
      </c>
      <c r="H637" s="75">
        <v>1.736111111111116E-2</v>
      </c>
      <c r="I637" s="76">
        <v>41721</v>
      </c>
      <c r="J637" s="36" t="str">
        <f t="shared" si="208"/>
        <v>Nacional</v>
      </c>
      <c r="K637" s="36">
        <f t="shared" si="208"/>
        <v>9.6450617283950768E-3</v>
      </c>
      <c r="L637" s="36">
        <f t="shared" si="208"/>
        <v>5.8641975308642257E-3</v>
      </c>
      <c r="M637" s="36">
        <f t="shared" si="208"/>
        <v>1.5509259259259302E-2</v>
      </c>
      <c r="N637" s="36">
        <f t="shared" si="208"/>
        <v>320</v>
      </c>
      <c r="O637" s="36">
        <f t="shared" si="208"/>
        <v>179</v>
      </c>
      <c r="P637" s="36" t="str">
        <f t="shared" si="208"/>
        <v>MEX</v>
      </c>
      <c r="R637">
        <v>623</v>
      </c>
      <c r="S637" s="36" t="str">
        <f t="shared" si="203"/>
        <v>MEXICO AEREO</v>
      </c>
      <c r="T637" s="36">
        <f t="shared" si="203"/>
        <v>276</v>
      </c>
      <c r="U637" s="73">
        <v>0.39305555555555555</v>
      </c>
      <c r="V637" s="74">
        <v>0.39930555555555558</v>
      </c>
      <c r="W637" s="75">
        <v>6.2500000000000333E-3</v>
      </c>
      <c r="X637" s="74">
        <v>0.40902777777777777</v>
      </c>
      <c r="Y637" s="75">
        <v>9.7222222222221877E-3</v>
      </c>
      <c r="Z637" s="76">
        <v>41757</v>
      </c>
      <c r="AA637" s="36" t="str">
        <f t="shared" si="204"/>
        <v>Nacional</v>
      </c>
      <c r="AB637" s="36">
        <f t="shared" si="204"/>
        <v>6.3541666666666555E-3</v>
      </c>
      <c r="AC637" s="36">
        <f t="shared" si="204"/>
        <v>7.6736111111111085E-3</v>
      </c>
      <c r="AD637" s="36">
        <f t="shared" si="204"/>
        <v>1.4027777777777764E-2</v>
      </c>
      <c r="AE637" s="36" t="str">
        <f t="shared" si="204"/>
        <v>B737-700</v>
      </c>
      <c r="AF637" s="36">
        <f t="shared" si="204"/>
        <v>126</v>
      </c>
      <c r="AG637" s="36" t="str">
        <f t="shared" si="204"/>
        <v>MEX</v>
      </c>
      <c r="AI637">
        <v>623</v>
      </c>
      <c r="AJ637" s="77" t="str">
        <f t="shared" si="194"/>
        <v>MEXICO AEREO</v>
      </c>
      <c r="AK637" s="77">
        <f t="shared" si="194"/>
        <v>186</v>
      </c>
      <c r="AL637" s="78">
        <v>0.97222222222222221</v>
      </c>
      <c r="AM637" s="79">
        <v>0.97916666666666663</v>
      </c>
      <c r="AN637" s="80">
        <v>6.9444444444444198E-3</v>
      </c>
      <c r="AO637" s="79">
        <v>0.98472222222222217</v>
      </c>
      <c r="AP637" s="80">
        <v>5.5555555555555358E-3</v>
      </c>
      <c r="AQ637" s="81">
        <v>41797</v>
      </c>
      <c r="AR637" s="77" t="str">
        <f t="shared" si="207"/>
        <v>Nacional</v>
      </c>
      <c r="AS637" s="77">
        <f t="shared" si="207"/>
        <v>8.9673913043478107E-3</v>
      </c>
      <c r="AT637" s="77">
        <f t="shared" si="207"/>
        <v>8.6654589371980666E-3</v>
      </c>
      <c r="AU637" s="77">
        <f t="shared" si="207"/>
        <v>1.7632850241545879E-2</v>
      </c>
      <c r="AV637" s="77">
        <f t="shared" si="207"/>
        <v>738</v>
      </c>
      <c r="AW637" s="77">
        <f t="shared" si="207"/>
        <v>189</v>
      </c>
      <c r="AX637" s="77" t="str">
        <f t="shared" si="207"/>
        <v>MEX</v>
      </c>
    </row>
    <row r="638" spans="1:50" ht="15.75" thickBot="1" x14ac:dyDescent="0.3">
      <c r="A638">
        <v>624</v>
      </c>
      <c r="B638" s="36" t="str">
        <f t="shared" si="196"/>
        <v>INTERAVIÓN</v>
      </c>
      <c r="C638" s="36">
        <f t="shared" si="196"/>
        <v>2218</v>
      </c>
      <c r="D638" s="74">
        <v>0.92222222222222217</v>
      </c>
      <c r="E638" s="74">
        <v>0.92986111111111114</v>
      </c>
      <c r="F638" s="75">
        <v>7.6388888888889728E-3</v>
      </c>
      <c r="G638" s="74">
        <v>0.93541666666666667</v>
      </c>
      <c r="H638" s="75">
        <v>5.5555555555555358E-3</v>
      </c>
      <c r="I638" s="76">
        <v>41723</v>
      </c>
      <c r="J638" s="36" t="str">
        <f t="shared" si="208"/>
        <v>Nacional</v>
      </c>
      <c r="K638" s="36">
        <f t="shared" si="208"/>
        <v>9.6450617283950768E-3</v>
      </c>
      <c r="L638" s="36">
        <f t="shared" si="208"/>
        <v>5.8641975308642257E-3</v>
      </c>
      <c r="M638" s="36">
        <f t="shared" si="208"/>
        <v>1.5509259259259302E-2</v>
      </c>
      <c r="N638" s="36">
        <f t="shared" si="208"/>
        <v>320</v>
      </c>
      <c r="O638" s="36">
        <f t="shared" si="208"/>
        <v>179</v>
      </c>
      <c r="P638" s="36" t="str">
        <f t="shared" si="208"/>
        <v>MEX</v>
      </c>
      <c r="R638">
        <v>624</v>
      </c>
      <c r="S638" s="36" t="str">
        <f t="shared" si="203"/>
        <v>MEXICO AEREO</v>
      </c>
      <c r="T638" s="36">
        <f t="shared" si="203"/>
        <v>276</v>
      </c>
      <c r="U638" s="73">
        <v>0.37777777777777777</v>
      </c>
      <c r="V638" s="74">
        <v>0.3833333333333333</v>
      </c>
      <c r="W638" s="75">
        <v>5.5555555555555358E-3</v>
      </c>
      <c r="X638" s="74">
        <v>0.39374999999999999</v>
      </c>
      <c r="Y638" s="75">
        <v>1.0416666666666685E-2</v>
      </c>
      <c r="Z638" s="76">
        <v>41758</v>
      </c>
      <c r="AA638" s="36" t="str">
        <f t="shared" si="204"/>
        <v>Nacional</v>
      </c>
      <c r="AB638" s="36">
        <f t="shared" si="204"/>
        <v>6.3541666666666555E-3</v>
      </c>
      <c r="AC638" s="36">
        <f t="shared" si="204"/>
        <v>7.6736111111111085E-3</v>
      </c>
      <c r="AD638" s="36">
        <f t="shared" si="204"/>
        <v>1.4027777777777764E-2</v>
      </c>
      <c r="AE638" s="36" t="str">
        <f t="shared" si="204"/>
        <v>B737-700</v>
      </c>
      <c r="AF638" s="36">
        <f t="shared" si="204"/>
        <v>126</v>
      </c>
      <c r="AG638" s="36" t="str">
        <f t="shared" si="204"/>
        <v>MEX</v>
      </c>
      <c r="AI638">
        <v>624</v>
      </c>
      <c r="AJ638" s="77" t="str">
        <f t="shared" si="194"/>
        <v>MEXICO AEREO</v>
      </c>
      <c r="AK638" s="77">
        <f t="shared" si="194"/>
        <v>186</v>
      </c>
      <c r="AL638" s="78">
        <v>0.97013888888888899</v>
      </c>
      <c r="AM638" s="79">
        <v>0.97638888888888886</v>
      </c>
      <c r="AN638" s="80">
        <v>6.2499999999998668E-3</v>
      </c>
      <c r="AO638" s="79">
        <v>0.98472222222222217</v>
      </c>
      <c r="AP638" s="80">
        <v>8.3333333333333037E-3</v>
      </c>
      <c r="AQ638" s="81">
        <v>41798</v>
      </c>
      <c r="AR638" s="77" t="str">
        <f t="shared" si="207"/>
        <v>Nacional</v>
      </c>
      <c r="AS638" s="77">
        <f t="shared" si="207"/>
        <v>8.9673913043478107E-3</v>
      </c>
      <c r="AT638" s="77">
        <f t="shared" si="207"/>
        <v>8.6654589371980666E-3</v>
      </c>
      <c r="AU638" s="77">
        <f t="shared" si="207"/>
        <v>1.7632850241545879E-2</v>
      </c>
      <c r="AV638" s="77">
        <f t="shared" si="207"/>
        <v>738</v>
      </c>
      <c r="AW638" s="77">
        <f t="shared" si="207"/>
        <v>189</v>
      </c>
      <c r="AX638" s="77" t="str">
        <f t="shared" si="207"/>
        <v>MEX</v>
      </c>
    </row>
    <row r="639" spans="1:50" ht="15.75" thickBot="1" x14ac:dyDescent="0.3">
      <c r="A639">
        <v>625</v>
      </c>
      <c r="B639" s="36" t="str">
        <f t="shared" si="196"/>
        <v>INTERAVIÓN</v>
      </c>
      <c r="C639" s="36">
        <f t="shared" si="196"/>
        <v>2218</v>
      </c>
      <c r="D639" s="74">
        <v>0.95694444444444438</v>
      </c>
      <c r="E639" s="74">
        <v>0.96875</v>
      </c>
      <c r="F639" s="75">
        <v>1.1805555555555625E-2</v>
      </c>
      <c r="G639" s="74">
        <v>0.97291666666666676</v>
      </c>
      <c r="H639" s="75">
        <v>4.1666666666667629E-3</v>
      </c>
      <c r="I639" s="76">
        <v>41724</v>
      </c>
      <c r="J639" s="36" t="str">
        <f t="shared" si="208"/>
        <v>Nacional</v>
      </c>
      <c r="K639" s="36">
        <f t="shared" si="208"/>
        <v>9.6450617283950768E-3</v>
      </c>
      <c r="L639" s="36">
        <f t="shared" si="208"/>
        <v>5.8641975308642257E-3</v>
      </c>
      <c r="M639" s="36">
        <f t="shared" si="208"/>
        <v>1.5509259259259302E-2</v>
      </c>
      <c r="N639" s="36">
        <f t="shared" si="208"/>
        <v>320</v>
      </c>
      <c r="O639" s="36">
        <f t="shared" si="208"/>
        <v>179</v>
      </c>
      <c r="P639" s="36" t="str">
        <f t="shared" si="208"/>
        <v>MEX</v>
      </c>
      <c r="R639">
        <v>625</v>
      </c>
      <c r="S639" s="36" t="str">
        <f t="shared" si="203"/>
        <v>MEXICO AEREO</v>
      </c>
      <c r="T639" s="36">
        <f t="shared" si="203"/>
        <v>276</v>
      </c>
      <c r="U639" s="83">
        <v>0.3923611111111111</v>
      </c>
      <c r="V639" s="84">
        <v>0.39930555555555558</v>
      </c>
      <c r="W639" s="85">
        <v>6.9444444444444753E-3</v>
      </c>
      <c r="X639" s="84">
        <v>0.40208333333333335</v>
      </c>
      <c r="Y639" s="85">
        <v>2.7777777777777679E-3</v>
      </c>
      <c r="Z639" s="86">
        <v>41759</v>
      </c>
      <c r="AA639" s="36" t="str">
        <f t="shared" si="204"/>
        <v>Nacional</v>
      </c>
      <c r="AB639" s="36">
        <f t="shared" si="204"/>
        <v>6.3541666666666555E-3</v>
      </c>
      <c r="AC639" s="36">
        <f t="shared" si="204"/>
        <v>7.6736111111111085E-3</v>
      </c>
      <c r="AD639" s="36">
        <f t="shared" si="204"/>
        <v>1.4027777777777764E-2</v>
      </c>
      <c r="AE639" s="36" t="str">
        <f t="shared" si="204"/>
        <v>B737-700</v>
      </c>
      <c r="AF639" s="36">
        <f t="shared" si="204"/>
        <v>126</v>
      </c>
      <c r="AG639" s="36" t="str">
        <f t="shared" si="204"/>
        <v>MEX</v>
      </c>
      <c r="AI639">
        <v>625</v>
      </c>
      <c r="AJ639" s="63" t="s">
        <v>18</v>
      </c>
      <c r="AK639" s="77">
        <f t="shared" ref="AK639:AK660" si="209">AK638</f>
        <v>186</v>
      </c>
      <c r="AL639" s="78">
        <v>0.97222222222222221</v>
      </c>
      <c r="AM639" s="79">
        <v>0.97569444444444453</v>
      </c>
      <c r="AN639" s="80">
        <v>3.4722222222223209E-3</v>
      </c>
      <c r="AO639" s="79">
        <v>0.98263888888888884</v>
      </c>
      <c r="AP639" s="80">
        <v>6.9444444444443088E-3</v>
      </c>
      <c r="AQ639" s="81">
        <v>41799</v>
      </c>
      <c r="AR639" s="77" t="str">
        <f t="shared" si="207"/>
        <v>Nacional</v>
      </c>
      <c r="AS639" s="77">
        <f t="shared" si="207"/>
        <v>8.9673913043478107E-3</v>
      </c>
      <c r="AT639" s="77">
        <f t="shared" si="207"/>
        <v>8.6654589371980666E-3</v>
      </c>
      <c r="AU639" s="77">
        <f t="shared" si="207"/>
        <v>1.7632850241545879E-2</v>
      </c>
      <c r="AV639" s="77">
        <f t="shared" si="207"/>
        <v>738</v>
      </c>
      <c r="AW639" s="77">
        <f t="shared" si="207"/>
        <v>189</v>
      </c>
      <c r="AX639" s="77" t="str">
        <f t="shared" si="207"/>
        <v>MEX</v>
      </c>
    </row>
    <row r="640" spans="1:50" x14ac:dyDescent="0.25">
      <c r="A640">
        <v>626</v>
      </c>
      <c r="B640" s="36" t="str">
        <f t="shared" si="196"/>
        <v>INTERAVIÓN</v>
      </c>
      <c r="C640" s="36">
        <f t="shared" si="196"/>
        <v>2218</v>
      </c>
      <c r="D640" s="74">
        <v>0.89236111111111116</v>
      </c>
      <c r="E640" s="74">
        <v>0.90069444444444446</v>
      </c>
      <c r="F640" s="75">
        <v>8.3333333333333037E-3</v>
      </c>
      <c r="G640" s="74">
        <v>0.90416666666666667</v>
      </c>
      <c r="H640" s="75">
        <v>3.4722222222222099E-3</v>
      </c>
      <c r="I640" s="76">
        <v>41724</v>
      </c>
      <c r="J640" s="36" t="str">
        <f t="shared" si="208"/>
        <v>Nacional</v>
      </c>
      <c r="K640" s="36">
        <f t="shared" si="208"/>
        <v>9.6450617283950768E-3</v>
      </c>
      <c r="L640" s="36">
        <f t="shared" si="208"/>
        <v>5.8641975308642257E-3</v>
      </c>
      <c r="M640" s="36">
        <f t="shared" si="208"/>
        <v>1.5509259259259302E-2</v>
      </c>
      <c r="N640" s="36">
        <f t="shared" si="208"/>
        <v>320</v>
      </c>
      <c r="O640" s="36">
        <f t="shared" si="208"/>
        <v>179</v>
      </c>
      <c r="P640" s="36" t="str">
        <f t="shared" si="208"/>
        <v>MEX</v>
      </c>
      <c r="R640">
        <v>626</v>
      </c>
      <c r="S640" s="36" t="str">
        <f t="shared" si="203"/>
        <v>MEXICO AEREO</v>
      </c>
      <c r="T640" s="55">
        <v>254</v>
      </c>
      <c r="U640" s="56">
        <v>0.74722222222222223</v>
      </c>
      <c r="V640" s="57">
        <v>0.75</v>
      </c>
      <c r="W640" s="58">
        <v>2.7777777777777679E-3</v>
      </c>
      <c r="X640" s="57">
        <v>0.75347222222222221</v>
      </c>
      <c r="Y640" s="58">
        <v>3.4722222222222099E-3</v>
      </c>
      <c r="Z640" s="59">
        <v>41730</v>
      </c>
      <c r="AA640" s="60" t="s">
        <v>19</v>
      </c>
      <c r="AB640" s="61">
        <v>4.5138888888889006E-3</v>
      </c>
      <c r="AC640" s="61">
        <v>3.4722222222222376E-3</v>
      </c>
      <c r="AD640" s="62">
        <v>7.9861111111111382E-3</v>
      </c>
      <c r="AE640" s="167" t="s">
        <v>20</v>
      </c>
      <c r="AF640" s="167">
        <v>50</v>
      </c>
      <c r="AG640" s="168" t="s">
        <v>21</v>
      </c>
      <c r="AI640">
        <v>626</v>
      </c>
      <c r="AJ640" s="77" t="str">
        <f t="shared" ref="AJ640:AK685" si="210">AJ639</f>
        <v>MEXICO AEREO</v>
      </c>
      <c r="AK640" s="77">
        <f t="shared" si="209"/>
        <v>186</v>
      </c>
      <c r="AL640" s="78">
        <v>0.59097222222222223</v>
      </c>
      <c r="AM640" s="79">
        <v>0.60069444444444442</v>
      </c>
      <c r="AN640" s="80">
        <v>9.7222222222221877E-3</v>
      </c>
      <c r="AO640" s="79">
        <v>0.60486111111111118</v>
      </c>
      <c r="AP640" s="80">
        <v>4.1666666666667629E-3</v>
      </c>
      <c r="AQ640" s="81">
        <v>41800</v>
      </c>
      <c r="AR640" s="77" t="str">
        <f t="shared" si="207"/>
        <v>Nacional</v>
      </c>
      <c r="AS640" s="77">
        <f t="shared" si="207"/>
        <v>8.9673913043478107E-3</v>
      </c>
      <c r="AT640" s="77">
        <f t="shared" si="207"/>
        <v>8.6654589371980666E-3</v>
      </c>
      <c r="AU640" s="77">
        <f t="shared" si="207"/>
        <v>1.7632850241545879E-2</v>
      </c>
      <c r="AV640" s="77">
        <f t="shared" si="207"/>
        <v>738</v>
      </c>
      <c r="AW640" s="77">
        <f t="shared" si="207"/>
        <v>189</v>
      </c>
      <c r="AX640" s="77" t="str">
        <f t="shared" si="207"/>
        <v>MEX</v>
      </c>
    </row>
    <row r="641" spans="1:50" x14ac:dyDescent="0.25">
      <c r="A641">
        <v>627</v>
      </c>
      <c r="B641" s="36" t="str">
        <f t="shared" si="196"/>
        <v>INTERAVIÓN</v>
      </c>
      <c r="C641" s="36">
        <f t="shared" si="196"/>
        <v>2218</v>
      </c>
      <c r="D641" s="74">
        <v>0.90208333333333324</v>
      </c>
      <c r="E641" s="74">
        <v>0.90902777777777777</v>
      </c>
      <c r="F641" s="75">
        <v>6.9444444444445308E-3</v>
      </c>
      <c r="G641" s="74">
        <v>0.91388888888888886</v>
      </c>
      <c r="H641" s="75">
        <v>4.8611111111110938E-3</v>
      </c>
      <c r="I641" s="76">
        <v>41725</v>
      </c>
      <c r="J641" s="36" t="str">
        <f t="shared" si="208"/>
        <v>Nacional</v>
      </c>
      <c r="K641" s="36">
        <f t="shared" si="208"/>
        <v>9.6450617283950768E-3</v>
      </c>
      <c r="L641" s="36">
        <f t="shared" si="208"/>
        <v>5.8641975308642257E-3</v>
      </c>
      <c r="M641" s="36">
        <f t="shared" si="208"/>
        <v>1.5509259259259302E-2</v>
      </c>
      <c r="N641" s="36">
        <f t="shared" si="208"/>
        <v>320</v>
      </c>
      <c r="O641" s="36">
        <f t="shared" si="208"/>
        <v>179</v>
      </c>
      <c r="P641" s="36" t="str">
        <f t="shared" si="208"/>
        <v>MEX</v>
      </c>
      <c r="R641">
        <v>627</v>
      </c>
      <c r="S641" s="36" t="str">
        <f t="shared" si="203"/>
        <v>MEXICO AEREO</v>
      </c>
      <c r="T641" s="36">
        <f t="shared" si="203"/>
        <v>254</v>
      </c>
      <c r="U641" s="73">
        <v>0.7402777777777777</v>
      </c>
      <c r="V641" s="74">
        <v>0.74583333333333324</v>
      </c>
      <c r="W641" s="75">
        <v>5.5555555555555358E-3</v>
      </c>
      <c r="X641" s="74">
        <v>0.75</v>
      </c>
      <c r="Y641" s="75">
        <v>4.1666666666667629E-3</v>
      </c>
      <c r="Z641" s="76">
        <v>41731</v>
      </c>
      <c r="AA641" s="36" t="str">
        <f t="shared" ref="AA641:AG643" si="211">AA640</f>
        <v>Nacional</v>
      </c>
      <c r="AB641" s="36">
        <f t="shared" si="211"/>
        <v>4.5138888888889006E-3</v>
      </c>
      <c r="AC641" s="36">
        <f t="shared" si="211"/>
        <v>3.4722222222222376E-3</v>
      </c>
      <c r="AD641" s="36">
        <f t="shared" si="211"/>
        <v>7.9861111111111382E-3</v>
      </c>
      <c r="AE641" s="36" t="str">
        <f t="shared" si="211"/>
        <v>ER4</v>
      </c>
      <c r="AF641" s="36">
        <f t="shared" si="211"/>
        <v>50</v>
      </c>
      <c r="AG641" s="36" t="str">
        <f t="shared" si="211"/>
        <v>MEX</v>
      </c>
      <c r="AI641">
        <v>627</v>
      </c>
      <c r="AJ641" s="77" t="str">
        <f t="shared" si="210"/>
        <v>MEXICO AEREO</v>
      </c>
      <c r="AK641" s="77">
        <f t="shared" si="209"/>
        <v>186</v>
      </c>
      <c r="AL641" s="78">
        <v>0.21944444444444444</v>
      </c>
      <c r="AM641" s="79">
        <v>0.23472222222222219</v>
      </c>
      <c r="AN641" s="80">
        <v>1.5277777777777751E-2</v>
      </c>
      <c r="AO641" s="79">
        <v>0.25277777777777777</v>
      </c>
      <c r="AP641" s="80">
        <v>1.8055555555555575E-2</v>
      </c>
      <c r="AQ641" s="81">
        <v>41801</v>
      </c>
      <c r="AR641" s="77" t="str">
        <f t="shared" si="207"/>
        <v>Nacional</v>
      </c>
      <c r="AS641" s="77">
        <f t="shared" si="207"/>
        <v>8.9673913043478107E-3</v>
      </c>
      <c r="AT641" s="77">
        <f t="shared" si="207"/>
        <v>8.6654589371980666E-3</v>
      </c>
      <c r="AU641" s="77">
        <f t="shared" si="207"/>
        <v>1.7632850241545879E-2</v>
      </c>
      <c r="AV641" s="77">
        <f t="shared" si="207"/>
        <v>738</v>
      </c>
      <c r="AW641" s="77">
        <f t="shared" si="207"/>
        <v>189</v>
      </c>
      <c r="AX641" s="77" t="str">
        <f t="shared" si="207"/>
        <v>MEX</v>
      </c>
    </row>
    <row r="642" spans="1:50" ht="15.75" thickBot="1" x14ac:dyDescent="0.3">
      <c r="A642">
        <v>628</v>
      </c>
      <c r="B642" s="36" t="str">
        <f t="shared" si="196"/>
        <v>INTERAVIÓN</v>
      </c>
      <c r="C642" s="36">
        <f t="shared" si="196"/>
        <v>2218</v>
      </c>
      <c r="D642" s="84">
        <v>0.92499999999999993</v>
      </c>
      <c r="E642" s="84">
        <v>0.93611111111111101</v>
      </c>
      <c r="F642" s="85">
        <v>1.1111111111111072E-2</v>
      </c>
      <c r="G642" s="84">
        <v>0.94097222222222221</v>
      </c>
      <c r="H642" s="85">
        <v>4.8611111111112049E-3</v>
      </c>
      <c r="I642" s="86">
        <v>41726</v>
      </c>
      <c r="J642" s="36" t="str">
        <f t="shared" si="208"/>
        <v>Nacional</v>
      </c>
      <c r="K642" s="36">
        <f t="shared" si="208"/>
        <v>9.6450617283950768E-3</v>
      </c>
      <c r="L642" s="36">
        <f t="shared" si="208"/>
        <v>5.8641975308642257E-3</v>
      </c>
      <c r="M642" s="36">
        <f t="shared" si="208"/>
        <v>1.5509259259259302E-2</v>
      </c>
      <c r="N642" s="36">
        <f t="shared" si="208"/>
        <v>320</v>
      </c>
      <c r="O642" s="36">
        <f t="shared" si="208"/>
        <v>179</v>
      </c>
      <c r="P642" s="36" t="str">
        <f t="shared" si="208"/>
        <v>MEX</v>
      </c>
      <c r="R642">
        <v>628</v>
      </c>
      <c r="S642" s="36" t="str">
        <f t="shared" si="203"/>
        <v>MEXICO AEREO</v>
      </c>
      <c r="T642" s="36">
        <f t="shared" si="203"/>
        <v>254</v>
      </c>
      <c r="U642" s="73">
        <v>0.74444444444444446</v>
      </c>
      <c r="V642" s="74">
        <v>0.75138888888888899</v>
      </c>
      <c r="W642" s="75">
        <v>6.9444444444445308E-3</v>
      </c>
      <c r="X642" s="74">
        <v>0.75416666666666676</v>
      </c>
      <c r="Y642" s="75">
        <v>2.7777777777777679E-3</v>
      </c>
      <c r="Z642" s="76">
        <v>41733</v>
      </c>
      <c r="AA642" s="36" t="str">
        <f t="shared" si="211"/>
        <v>Nacional</v>
      </c>
      <c r="AB642" s="36">
        <f t="shared" si="211"/>
        <v>4.5138888888889006E-3</v>
      </c>
      <c r="AC642" s="36">
        <f t="shared" si="211"/>
        <v>3.4722222222222376E-3</v>
      </c>
      <c r="AD642" s="36">
        <f t="shared" si="211"/>
        <v>7.9861111111111382E-3</v>
      </c>
      <c r="AE642" s="36" t="str">
        <f t="shared" si="211"/>
        <v>ER4</v>
      </c>
      <c r="AF642" s="36">
        <f t="shared" si="211"/>
        <v>50</v>
      </c>
      <c r="AG642" s="36" t="str">
        <f t="shared" si="211"/>
        <v>MEX</v>
      </c>
      <c r="AI642">
        <v>628</v>
      </c>
      <c r="AJ642" s="77" t="str">
        <f t="shared" si="210"/>
        <v>MEXICO AEREO</v>
      </c>
      <c r="AK642" s="77">
        <f t="shared" si="209"/>
        <v>186</v>
      </c>
      <c r="AL642" s="78">
        <v>0.5625</v>
      </c>
      <c r="AM642" s="79">
        <v>0.5708333333333333</v>
      </c>
      <c r="AN642" s="80">
        <v>8.3333333333333037E-3</v>
      </c>
      <c r="AO642" s="79">
        <v>0.58819444444444446</v>
      </c>
      <c r="AP642" s="80">
        <v>1.736111111111116E-2</v>
      </c>
      <c r="AQ642" s="81">
        <v>41802</v>
      </c>
      <c r="AR642" s="77" t="str">
        <f t="shared" si="207"/>
        <v>Nacional</v>
      </c>
      <c r="AS642" s="77">
        <f t="shared" si="207"/>
        <v>8.9673913043478107E-3</v>
      </c>
      <c r="AT642" s="77">
        <f t="shared" si="207"/>
        <v>8.6654589371980666E-3</v>
      </c>
      <c r="AU642" s="77">
        <f t="shared" si="207"/>
        <v>1.7632850241545879E-2</v>
      </c>
      <c r="AV642" s="77">
        <f t="shared" si="207"/>
        <v>738</v>
      </c>
      <c r="AW642" s="77">
        <f t="shared" si="207"/>
        <v>189</v>
      </c>
      <c r="AX642" s="77" t="str">
        <f t="shared" si="207"/>
        <v>MEX</v>
      </c>
    </row>
    <row r="643" spans="1:50" ht="15.75" thickBot="1" x14ac:dyDescent="0.3">
      <c r="A643">
        <v>629</v>
      </c>
      <c r="B643" s="36" t="str">
        <f t="shared" si="196"/>
        <v>INTERAVIÓN</v>
      </c>
      <c r="C643" s="88">
        <v>2216</v>
      </c>
      <c r="D643" s="57">
        <v>0.84513888888888899</v>
      </c>
      <c r="E643" s="57">
        <v>0.85</v>
      </c>
      <c r="F643" s="58">
        <v>4.8611111111109828E-3</v>
      </c>
      <c r="G643" s="57">
        <v>0.85416666666666663</v>
      </c>
      <c r="H643" s="58">
        <v>4.1666666666666519E-3</v>
      </c>
      <c r="I643" s="59">
        <v>41713</v>
      </c>
      <c r="J643" s="60" t="s">
        <v>19</v>
      </c>
      <c r="K643" s="61">
        <v>5.9974747474747661E-3</v>
      </c>
      <c r="L643" s="61">
        <v>4.4823232323232065E-3</v>
      </c>
      <c r="M643" s="142">
        <v>1.0479797979797973E-2</v>
      </c>
      <c r="N643" s="90">
        <v>320</v>
      </c>
      <c r="O643" s="91">
        <v>179</v>
      </c>
      <c r="P643" s="92" t="s">
        <v>21</v>
      </c>
      <c r="R643">
        <v>629</v>
      </c>
      <c r="S643" s="36" t="str">
        <f t="shared" si="203"/>
        <v>MEXICO AEREO</v>
      </c>
      <c r="T643" s="36">
        <f t="shared" si="203"/>
        <v>254</v>
      </c>
      <c r="U643" s="83">
        <v>0.74722222222222223</v>
      </c>
      <c r="V643" s="84">
        <v>0.75</v>
      </c>
      <c r="W643" s="85">
        <v>2.7777777777777679E-3</v>
      </c>
      <c r="X643" s="84">
        <v>0.75347222222222221</v>
      </c>
      <c r="Y643" s="85">
        <v>3.4722222222222099E-3</v>
      </c>
      <c r="Z643" s="86">
        <v>41742</v>
      </c>
      <c r="AA643" s="36" t="str">
        <f t="shared" si="211"/>
        <v>Nacional</v>
      </c>
      <c r="AB643" s="36">
        <f t="shared" si="211"/>
        <v>4.5138888888889006E-3</v>
      </c>
      <c r="AC643" s="36">
        <f t="shared" si="211"/>
        <v>3.4722222222222376E-3</v>
      </c>
      <c r="AD643" s="36">
        <f t="shared" si="211"/>
        <v>7.9861111111111382E-3</v>
      </c>
      <c r="AE643" s="36" t="str">
        <f t="shared" si="211"/>
        <v>ER4</v>
      </c>
      <c r="AF643" s="36">
        <f t="shared" si="211"/>
        <v>50</v>
      </c>
      <c r="AG643" s="36" t="str">
        <f t="shared" si="211"/>
        <v>MEX</v>
      </c>
      <c r="AI643">
        <v>629</v>
      </c>
      <c r="AJ643" s="77" t="str">
        <f t="shared" si="210"/>
        <v>MEXICO AEREO</v>
      </c>
      <c r="AK643" s="77">
        <f t="shared" si="209"/>
        <v>186</v>
      </c>
      <c r="AL643" s="78">
        <v>0.4597222222222222</v>
      </c>
      <c r="AM643" s="79">
        <v>0.46527777777777773</v>
      </c>
      <c r="AN643" s="80">
        <v>5.5555555555555358E-3</v>
      </c>
      <c r="AO643" s="79">
        <v>0.47291666666666665</v>
      </c>
      <c r="AP643" s="80">
        <v>7.6388888888889173E-3</v>
      </c>
      <c r="AQ643" s="81">
        <v>41803</v>
      </c>
      <c r="AR643" s="77" t="str">
        <f t="shared" si="207"/>
        <v>Nacional</v>
      </c>
      <c r="AS643" s="77">
        <f t="shared" si="207"/>
        <v>8.9673913043478107E-3</v>
      </c>
      <c r="AT643" s="77">
        <f t="shared" si="207"/>
        <v>8.6654589371980666E-3</v>
      </c>
      <c r="AU643" s="77">
        <f t="shared" si="207"/>
        <v>1.7632850241545879E-2</v>
      </c>
      <c r="AV643" s="77">
        <f t="shared" si="207"/>
        <v>738</v>
      </c>
      <c r="AW643" s="77">
        <f t="shared" si="207"/>
        <v>189</v>
      </c>
      <c r="AX643" s="77" t="str">
        <f t="shared" si="207"/>
        <v>MEX</v>
      </c>
    </row>
    <row r="644" spans="1:50" x14ac:dyDescent="0.25">
      <c r="A644">
        <v>630</v>
      </c>
      <c r="B644" s="36" t="str">
        <f t="shared" si="196"/>
        <v>INTERAVIÓN</v>
      </c>
      <c r="C644" s="36">
        <f t="shared" si="196"/>
        <v>2216</v>
      </c>
      <c r="D644" s="74">
        <v>0.68402777777777779</v>
      </c>
      <c r="E644" s="74">
        <v>0.68680555555555556</v>
      </c>
      <c r="F644" s="75">
        <v>2.7777777777777679E-3</v>
      </c>
      <c r="G644" s="74">
        <v>0.69027777777777777</v>
      </c>
      <c r="H644" s="75">
        <v>3.4722222222222099E-3</v>
      </c>
      <c r="I644" s="76">
        <v>41714</v>
      </c>
      <c r="J644" s="36" t="str">
        <f t="shared" ref="J644:P653" si="212">J643</f>
        <v>Nacional</v>
      </c>
      <c r="K644" s="36">
        <f t="shared" si="212"/>
        <v>5.9974747474747661E-3</v>
      </c>
      <c r="L644" s="36">
        <f t="shared" si="212"/>
        <v>4.4823232323232065E-3</v>
      </c>
      <c r="M644" s="36">
        <f t="shared" si="212"/>
        <v>1.0479797979797973E-2</v>
      </c>
      <c r="N644" s="36">
        <f t="shared" si="212"/>
        <v>320</v>
      </c>
      <c r="O644" s="36">
        <f t="shared" si="212"/>
        <v>179</v>
      </c>
      <c r="P644" s="36" t="str">
        <f t="shared" si="212"/>
        <v>MEX</v>
      </c>
      <c r="R644">
        <v>630</v>
      </c>
      <c r="S644" s="36" t="str">
        <f t="shared" si="203"/>
        <v>MEXICO AEREO</v>
      </c>
      <c r="T644" s="55">
        <v>252</v>
      </c>
      <c r="U644" s="56">
        <v>0.71527777777777779</v>
      </c>
      <c r="V644" s="57">
        <v>0.72152777777777777</v>
      </c>
      <c r="W644" s="58">
        <v>6.2499999999999778E-3</v>
      </c>
      <c r="X644" s="57">
        <v>0.72916666666666663</v>
      </c>
      <c r="Y644" s="58">
        <v>7.6388888888888618E-3</v>
      </c>
      <c r="Z644" s="59">
        <v>41730</v>
      </c>
      <c r="AA644" s="60" t="s">
        <v>19</v>
      </c>
      <c r="AB644" s="61">
        <v>5.2266081871345368E-3</v>
      </c>
      <c r="AC644" s="61">
        <v>8.0409356725145795E-3</v>
      </c>
      <c r="AD644" s="62">
        <v>1.3267543859649115E-2</v>
      </c>
      <c r="AE644" s="167" t="s">
        <v>45</v>
      </c>
      <c r="AF644" s="167">
        <v>126</v>
      </c>
      <c r="AG644" s="168" t="s">
        <v>21</v>
      </c>
      <c r="AI644">
        <v>630</v>
      </c>
      <c r="AJ644" s="77" t="str">
        <f t="shared" si="210"/>
        <v>MEXICO AEREO</v>
      </c>
      <c r="AK644" s="77">
        <f t="shared" si="209"/>
        <v>186</v>
      </c>
      <c r="AL644" s="78">
        <v>0.70972222222222225</v>
      </c>
      <c r="AM644" s="79">
        <v>0.72152777777777777</v>
      </c>
      <c r="AN644" s="80">
        <v>1.1805555555555514E-2</v>
      </c>
      <c r="AO644" s="79">
        <v>0.72638888888888886</v>
      </c>
      <c r="AP644" s="80">
        <v>4.8611111111110938E-3</v>
      </c>
      <c r="AQ644" s="81">
        <v>41804</v>
      </c>
      <c r="AR644" s="77" t="str">
        <f t="shared" si="207"/>
        <v>Nacional</v>
      </c>
      <c r="AS644" s="77">
        <f t="shared" si="207"/>
        <v>8.9673913043478107E-3</v>
      </c>
      <c r="AT644" s="77">
        <f t="shared" si="207"/>
        <v>8.6654589371980666E-3</v>
      </c>
      <c r="AU644" s="77">
        <f t="shared" si="207"/>
        <v>1.7632850241545879E-2</v>
      </c>
      <c r="AV644" s="77">
        <f t="shared" si="207"/>
        <v>738</v>
      </c>
      <c r="AW644" s="77">
        <f t="shared" si="207"/>
        <v>189</v>
      </c>
      <c r="AX644" s="77" t="str">
        <f t="shared" si="207"/>
        <v>MEX</v>
      </c>
    </row>
    <row r="645" spans="1:50" x14ac:dyDescent="0.25">
      <c r="A645">
        <v>631</v>
      </c>
      <c r="B645" s="36" t="str">
        <f t="shared" si="196"/>
        <v>INTERAVIÓN</v>
      </c>
      <c r="C645" s="36">
        <f t="shared" si="196"/>
        <v>2216</v>
      </c>
      <c r="D645" s="74">
        <v>0.87361111111111101</v>
      </c>
      <c r="E645" s="74">
        <v>0.88124999999999998</v>
      </c>
      <c r="F645" s="75">
        <v>7.6388888888889728E-3</v>
      </c>
      <c r="G645" s="74">
        <v>0.88750000000000007</v>
      </c>
      <c r="H645" s="75">
        <v>6.2500000000000888E-3</v>
      </c>
      <c r="I645" s="76">
        <v>41715</v>
      </c>
      <c r="J645" s="36" t="str">
        <f t="shared" si="212"/>
        <v>Nacional</v>
      </c>
      <c r="K645" s="36">
        <f t="shared" si="212"/>
        <v>5.9974747474747661E-3</v>
      </c>
      <c r="L645" s="36">
        <f t="shared" si="212"/>
        <v>4.4823232323232065E-3</v>
      </c>
      <c r="M645" s="36">
        <f t="shared" si="212"/>
        <v>1.0479797979797973E-2</v>
      </c>
      <c r="N645" s="36">
        <f t="shared" si="212"/>
        <v>320</v>
      </c>
      <c r="O645" s="36">
        <f t="shared" si="212"/>
        <v>179</v>
      </c>
      <c r="P645" s="36" t="str">
        <f t="shared" si="212"/>
        <v>MEX</v>
      </c>
      <c r="R645">
        <v>631</v>
      </c>
      <c r="S645" s="36" t="str">
        <f t="shared" si="203"/>
        <v>MEXICO AEREO</v>
      </c>
      <c r="T645" s="36">
        <f t="shared" si="203"/>
        <v>252</v>
      </c>
      <c r="U645" s="73">
        <v>0.72430555555555554</v>
      </c>
      <c r="V645" s="74">
        <v>0.73055555555555562</v>
      </c>
      <c r="W645" s="75">
        <v>6.2500000000000888E-3</v>
      </c>
      <c r="X645" s="74">
        <v>0.73749999999999993</v>
      </c>
      <c r="Y645" s="75">
        <v>6.9444444444443088E-3</v>
      </c>
      <c r="Z645" s="76">
        <v>41731</v>
      </c>
      <c r="AA645" s="36" t="str">
        <f t="shared" ref="AA645:AG662" si="213">AA644</f>
        <v>Nacional</v>
      </c>
      <c r="AB645" s="36">
        <f t="shared" si="213"/>
        <v>5.2266081871345368E-3</v>
      </c>
      <c r="AC645" s="36">
        <f t="shared" si="213"/>
        <v>8.0409356725145795E-3</v>
      </c>
      <c r="AD645" s="36">
        <f t="shared" si="213"/>
        <v>1.3267543859649115E-2</v>
      </c>
      <c r="AE645" s="36" t="str">
        <f t="shared" si="213"/>
        <v>B737-700</v>
      </c>
      <c r="AF645" s="36">
        <f t="shared" si="213"/>
        <v>126</v>
      </c>
      <c r="AG645" s="36" t="str">
        <f t="shared" si="213"/>
        <v>MEX</v>
      </c>
      <c r="AI645">
        <v>631</v>
      </c>
      <c r="AJ645" s="77" t="str">
        <f t="shared" si="210"/>
        <v>MEXICO AEREO</v>
      </c>
      <c r="AK645" s="77">
        <f t="shared" si="209"/>
        <v>186</v>
      </c>
      <c r="AL645" s="78">
        <v>0.75138888888888899</v>
      </c>
      <c r="AM645" s="79">
        <v>0.79722222222222217</v>
      </c>
      <c r="AN645" s="80">
        <v>4.5833333333333171E-2</v>
      </c>
      <c r="AO645" s="79">
        <v>0.8041666666666667</v>
      </c>
      <c r="AP645" s="80">
        <v>6.9444444444445308E-3</v>
      </c>
      <c r="AQ645" s="81">
        <v>41805</v>
      </c>
      <c r="AR645" s="77" t="str">
        <f t="shared" si="207"/>
        <v>Nacional</v>
      </c>
      <c r="AS645" s="77">
        <f t="shared" si="207"/>
        <v>8.9673913043478107E-3</v>
      </c>
      <c r="AT645" s="77">
        <f t="shared" si="207"/>
        <v>8.6654589371980666E-3</v>
      </c>
      <c r="AU645" s="77">
        <f t="shared" si="207"/>
        <v>1.7632850241545879E-2</v>
      </c>
      <c r="AV645" s="77">
        <f t="shared" si="207"/>
        <v>738</v>
      </c>
      <c r="AW645" s="77">
        <f t="shared" si="207"/>
        <v>189</v>
      </c>
      <c r="AX645" s="77" t="str">
        <f t="shared" si="207"/>
        <v>MEX</v>
      </c>
    </row>
    <row r="646" spans="1:50" x14ac:dyDescent="0.25">
      <c r="A646">
        <v>632</v>
      </c>
      <c r="B646" s="36" t="str">
        <f t="shared" si="196"/>
        <v>INTERAVIÓN</v>
      </c>
      <c r="C646" s="36">
        <f t="shared" si="196"/>
        <v>2216</v>
      </c>
      <c r="D646" s="74">
        <v>0.84305555555555556</v>
      </c>
      <c r="E646" s="74">
        <v>0.85069444444444453</v>
      </c>
      <c r="F646" s="75">
        <v>7.6388888888889728E-3</v>
      </c>
      <c r="G646" s="74">
        <v>0.85416666666666663</v>
      </c>
      <c r="H646" s="75">
        <v>3.4722222222220989E-3</v>
      </c>
      <c r="I646" s="76">
        <v>41716</v>
      </c>
      <c r="J646" s="36" t="str">
        <f t="shared" si="212"/>
        <v>Nacional</v>
      </c>
      <c r="K646" s="36">
        <f t="shared" si="212"/>
        <v>5.9974747474747661E-3</v>
      </c>
      <c r="L646" s="36">
        <f t="shared" si="212"/>
        <v>4.4823232323232065E-3</v>
      </c>
      <c r="M646" s="36">
        <f t="shared" si="212"/>
        <v>1.0479797979797973E-2</v>
      </c>
      <c r="N646" s="36">
        <f t="shared" si="212"/>
        <v>320</v>
      </c>
      <c r="O646" s="36">
        <f t="shared" si="212"/>
        <v>179</v>
      </c>
      <c r="P646" s="36" t="str">
        <f t="shared" si="212"/>
        <v>MEX</v>
      </c>
      <c r="R646">
        <v>632</v>
      </c>
      <c r="S646" s="36" t="str">
        <f t="shared" si="203"/>
        <v>MEXICO AEREO</v>
      </c>
      <c r="T646" s="36">
        <f t="shared" si="203"/>
        <v>252</v>
      </c>
      <c r="U646" s="73">
        <v>0.72916666666666663</v>
      </c>
      <c r="V646" s="74">
        <v>0.73611111111111116</v>
      </c>
      <c r="W646" s="75">
        <v>6.9444444444445308E-3</v>
      </c>
      <c r="X646" s="74">
        <v>0.74375000000000002</v>
      </c>
      <c r="Y646" s="75">
        <v>7.6388888888888618E-3</v>
      </c>
      <c r="Z646" s="76">
        <v>41732</v>
      </c>
      <c r="AA646" s="36" t="str">
        <f t="shared" si="213"/>
        <v>Nacional</v>
      </c>
      <c r="AB646" s="36">
        <f t="shared" si="213"/>
        <v>5.2266081871345368E-3</v>
      </c>
      <c r="AC646" s="36">
        <f t="shared" si="213"/>
        <v>8.0409356725145795E-3</v>
      </c>
      <c r="AD646" s="36">
        <f t="shared" si="213"/>
        <v>1.3267543859649115E-2</v>
      </c>
      <c r="AE646" s="36" t="str">
        <f t="shared" si="213"/>
        <v>B737-700</v>
      </c>
      <c r="AF646" s="36">
        <f t="shared" si="213"/>
        <v>126</v>
      </c>
      <c r="AG646" s="36" t="str">
        <f t="shared" si="213"/>
        <v>MEX</v>
      </c>
      <c r="AI646">
        <v>632</v>
      </c>
      <c r="AJ646" s="77" t="str">
        <f t="shared" si="210"/>
        <v>MEXICO AEREO</v>
      </c>
      <c r="AK646" s="77">
        <f t="shared" si="209"/>
        <v>186</v>
      </c>
      <c r="AL646" s="78">
        <v>0.94861111111111107</v>
      </c>
      <c r="AM646" s="79">
        <v>0.96180555555555547</v>
      </c>
      <c r="AN646" s="80">
        <v>1.3194444444444398E-2</v>
      </c>
      <c r="AO646" s="79">
        <v>0.98333333333333339</v>
      </c>
      <c r="AP646" s="80">
        <v>2.1527777777777923E-2</v>
      </c>
      <c r="AQ646" s="81">
        <v>41806</v>
      </c>
      <c r="AR646" s="77" t="str">
        <f t="shared" si="207"/>
        <v>Nacional</v>
      </c>
      <c r="AS646" s="77">
        <f t="shared" si="207"/>
        <v>8.9673913043478107E-3</v>
      </c>
      <c r="AT646" s="77">
        <f t="shared" si="207"/>
        <v>8.6654589371980666E-3</v>
      </c>
      <c r="AU646" s="77">
        <f t="shared" si="207"/>
        <v>1.7632850241545879E-2</v>
      </c>
      <c r="AV646" s="77">
        <f t="shared" si="207"/>
        <v>738</v>
      </c>
      <c r="AW646" s="77">
        <f t="shared" si="207"/>
        <v>189</v>
      </c>
      <c r="AX646" s="77" t="str">
        <f t="shared" si="207"/>
        <v>MEX</v>
      </c>
    </row>
    <row r="647" spans="1:50" x14ac:dyDescent="0.25">
      <c r="A647">
        <v>633</v>
      </c>
      <c r="B647" s="36" t="str">
        <f t="shared" si="196"/>
        <v>INTERAVIÓN</v>
      </c>
      <c r="C647" s="36">
        <f t="shared" si="196"/>
        <v>2216</v>
      </c>
      <c r="D647" s="74">
        <v>0.88263888888888886</v>
      </c>
      <c r="E647" s="74">
        <v>0.88541666666666663</v>
      </c>
      <c r="F647" s="75">
        <v>2.7777777777777679E-3</v>
      </c>
      <c r="G647" s="74">
        <v>0.88888888888888884</v>
      </c>
      <c r="H647" s="75">
        <v>3.4722222222222099E-3</v>
      </c>
      <c r="I647" s="76">
        <v>41719</v>
      </c>
      <c r="J647" s="36" t="str">
        <f t="shared" si="212"/>
        <v>Nacional</v>
      </c>
      <c r="K647" s="36">
        <f t="shared" si="212"/>
        <v>5.9974747474747661E-3</v>
      </c>
      <c r="L647" s="36">
        <f t="shared" si="212"/>
        <v>4.4823232323232065E-3</v>
      </c>
      <c r="M647" s="36">
        <f t="shared" si="212"/>
        <v>1.0479797979797973E-2</v>
      </c>
      <c r="N647" s="36">
        <f t="shared" si="212"/>
        <v>320</v>
      </c>
      <c r="O647" s="36">
        <f t="shared" si="212"/>
        <v>179</v>
      </c>
      <c r="P647" s="36" t="str">
        <f t="shared" si="212"/>
        <v>MEX</v>
      </c>
      <c r="R647">
        <v>633</v>
      </c>
      <c r="S647" s="36" t="str">
        <f t="shared" si="203"/>
        <v>MEXICO AEREO</v>
      </c>
      <c r="T647" s="36">
        <f t="shared" si="203"/>
        <v>252</v>
      </c>
      <c r="U647" s="73">
        <v>0.72222222222222221</v>
      </c>
      <c r="V647" s="74">
        <v>0.72777777777777775</v>
      </c>
      <c r="W647" s="75">
        <v>5.5555555555555358E-3</v>
      </c>
      <c r="X647" s="74">
        <v>0.7368055555555556</v>
      </c>
      <c r="Y647" s="75">
        <v>9.0277777777778567E-3</v>
      </c>
      <c r="Z647" s="76">
        <v>41733</v>
      </c>
      <c r="AA647" s="36" t="str">
        <f t="shared" si="213"/>
        <v>Nacional</v>
      </c>
      <c r="AB647" s="36">
        <f t="shared" si="213"/>
        <v>5.2266081871345368E-3</v>
      </c>
      <c r="AC647" s="36">
        <f t="shared" si="213"/>
        <v>8.0409356725145795E-3</v>
      </c>
      <c r="AD647" s="36">
        <f t="shared" si="213"/>
        <v>1.3267543859649115E-2</v>
      </c>
      <c r="AE647" s="36" t="str">
        <f t="shared" si="213"/>
        <v>B737-700</v>
      </c>
      <c r="AF647" s="36">
        <f t="shared" si="213"/>
        <v>126</v>
      </c>
      <c r="AG647" s="36" t="str">
        <f t="shared" si="213"/>
        <v>MEX</v>
      </c>
      <c r="AI647">
        <v>633</v>
      </c>
      <c r="AJ647" s="77" t="str">
        <f t="shared" si="210"/>
        <v>MEXICO AEREO</v>
      </c>
      <c r="AK647" s="77">
        <f t="shared" si="209"/>
        <v>186</v>
      </c>
      <c r="AL647" s="78">
        <v>0.68194444444444446</v>
      </c>
      <c r="AM647" s="79">
        <v>0.69513888888888886</v>
      </c>
      <c r="AN647" s="80">
        <v>1.3194444444444398E-2</v>
      </c>
      <c r="AO647" s="79">
        <v>0.69791666666666663</v>
      </c>
      <c r="AP647" s="80">
        <v>2.7777777777777679E-3</v>
      </c>
      <c r="AQ647" s="81">
        <v>41807</v>
      </c>
      <c r="AR647" s="77" t="str">
        <f t="shared" si="207"/>
        <v>Nacional</v>
      </c>
      <c r="AS647" s="77">
        <f t="shared" si="207"/>
        <v>8.9673913043478107E-3</v>
      </c>
      <c r="AT647" s="77">
        <f t="shared" si="207"/>
        <v>8.6654589371980666E-3</v>
      </c>
      <c r="AU647" s="77">
        <f t="shared" si="207"/>
        <v>1.7632850241545879E-2</v>
      </c>
      <c r="AV647" s="77">
        <f t="shared" si="207"/>
        <v>738</v>
      </c>
      <c r="AW647" s="77">
        <f t="shared" si="207"/>
        <v>189</v>
      </c>
      <c r="AX647" s="77" t="str">
        <f t="shared" si="207"/>
        <v>MEX</v>
      </c>
    </row>
    <row r="648" spans="1:50" x14ac:dyDescent="0.25">
      <c r="A648">
        <v>634</v>
      </c>
      <c r="B648" s="36" t="str">
        <f t="shared" si="196"/>
        <v>INTERAVIÓN</v>
      </c>
      <c r="C648" s="36">
        <f t="shared" si="196"/>
        <v>2216</v>
      </c>
      <c r="D648" s="74">
        <v>0.65833333333333333</v>
      </c>
      <c r="E648" s="74">
        <v>0.66527777777777775</v>
      </c>
      <c r="F648" s="75">
        <v>6.9444444444444198E-3</v>
      </c>
      <c r="G648" s="74">
        <v>0.6694444444444444</v>
      </c>
      <c r="H648" s="75">
        <v>4.1666666666666519E-3</v>
      </c>
      <c r="I648" s="76">
        <v>41721</v>
      </c>
      <c r="J648" s="36" t="str">
        <f t="shared" si="212"/>
        <v>Nacional</v>
      </c>
      <c r="K648" s="36">
        <f t="shared" si="212"/>
        <v>5.9974747474747661E-3</v>
      </c>
      <c r="L648" s="36">
        <f t="shared" si="212"/>
        <v>4.4823232323232065E-3</v>
      </c>
      <c r="M648" s="36">
        <f t="shared" si="212"/>
        <v>1.0479797979797973E-2</v>
      </c>
      <c r="N648" s="36">
        <f t="shared" si="212"/>
        <v>320</v>
      </c>
      <c r="O648" s="36">
        <f t="shared" si="212"/>
        <v>179</v>
      </c>
      <c r="P648" s="36" t="str">
        <f t="shared" si="212"/>
        <v>MEX</v>
      </c>
      <c r="R648">
        <v>634</v>
      </c>
      <c r="S648" s="36" t="str">
        <f t="shared" si="203"/>
        <v>MEXICO AEREO</v>
      </c>
      <c r="T648" s="36">
        <f t="shared" si="203"/>
        <v>252</v>
      </c>
      <c r="U648" s="73">
        <v>0.74305555555555547</v>
      </c>
      <c r="V648" s="74">
        <v>0.74791666666666667</v>
      </c>
      <c r="W648" s="75">
        <v>4.8611111111112049E-3</v>
      </c>
      <c r="X648" s="74">
        <v>0.75347222222222221</v>
      </c>
      <c r="Y648" s="75">
        <v>5.5555555555555358E-3</v>
      </c>
      <c r="Z648" s="76">
        <v>41735</v>
      </c>
      <c r="AA648" s="36" t="str">
        <f t="shared" si="213"/>
        <v>Nacional</v>
      </c>
      <c r="AB648" s="36">
        <f t="shared" si="213"/>
        <v>5.2266081871345368E-3</v>
      </c>
      <c r="AC648" s="36">
        <f t="shared" si="213"/>
        <v>8.0409356725145795E-3</v>
      </c>
      <c r="AD648" s="36">
        <f t="shared" si="213"/>
        <v>1.3267543859649115E-2</v>
      </c>
      <c r="AE648" s="36" t="str">
        <f t="shared" si="213"/>
        <v>B737-700</v>
      </c>
      <c r="AF648" s="36">
        <f t="shared" si="213"/>
        <v>126</v>
      </c>
      <c r="AG648" s="36" t="str">
        <f t="shared" si="213"/>
        <v>MEX</v>
      </c>
      <c r="AI648">
        <v>634</v>
      </c>
      <c r="AJ648" s="77" t="str">
        <f t="shared" si="210"/>
        <v>MEXICO AEREO</v>
      </c>
      <c r="AK648" s="77">
        <f t="shared" si="209"/>
        <v>186</v>
      </c>
      <c r="AL648" s="78">
        <v>0.98263888888888884</v>
      </c>
      <c r="AM648" s="79">
        <v>0.98402777777777783</v>
      </c>
      <c r="AN648" s="80">
        <v>1.388888888888995E-3</v>
      </c>
      <c r="AO648" s="79">
        <v>0.98819444444444438</v>
      </c>
      <c r="AP648" s="80">
        <v>4.1666666666665408E-3</v>
      </c>
      <c r="AQ648" s="81">
        <v>41808</v>
      </c>
      <c r="AR648" s="77" t="str">
        <f t="shared" si="207"/>
        <v>Nacional</v>
      </c>
      <c r="AS648" s="77">
        <f t="shared" si="207"/>
        <v>8.9673913043478107E-3</v>
      </c>
      <c r="AT648" s="77">
        <f t="shared" si="207"/>
        <v>8.6654589371980666E-3</v>
      </c>
      <c r="AU648" s="77">
        <f t="shared" si="207"/>
        <v>1.7632850241545879E-2</v>
      </c>
      <c r="AV648" s="77">
        <f t="shared" si="207"/>
        <v>738</v>
      </c>
      <c r="AW648" s="77">
        <f t="shared" si="207"/>
        <v>189</v>
      </c>
      <c r="AX648" s="77" t="str">
        <f t="shared" si="207"/>
        <v>MEX</v>
      </c>
    </row>
    <row r="649" spans="1:50" x14ac:dyDescent="0.25">
      <c r="A649">
        <v>635</v>
      </c>
      <c r="B649" s="36" t="str">
        <f t="shared" si="196"/>
        <v>INTERAVIÓN</v>
      </c>
      <c r="C649" s="36">
        <f t="shared" si="196"/>
        <v>2216</v>
      </c>
      <c r="D649" s="74">
        <v>0.85069444444444453</v>
      </c>
      <c r="E649" s="74">
        <v>0.85555555555555562</v>
      </c>
      <c r="F649" s="75">
        <v>4.8611111111110938E-3</v>
      </c>
      <c r="G649" s="74">
        <v>0.85833333333333339</v>
      </c>
      <c r="H649" s="75">
        <v>2.7777777777777679E-3</v>
      </c>
      <c r="I649" s="76">
        <v>41724</v>
      </c>
      <c r="J649" s="36" t="str">
        <f t="shared" si="212"/>
        <v>Nacional</v>
      </c>
      <c r="K649" s="36">
        <f t="shared" si="212"/>
        <v>5.9974747474747661E-3</v>
      </c>
      <c r="L649" s="36">
        <f t="shared" si="212"/>
        <v>4.4823232323232065E-3</v>
      </c>
      <c r="M649" s="36">
        <f t="shared" si="212"/>
        <v>1.0479797979797973E-2</v>
      </c>
      <c r="N649" s="36">
        <f t="shared" si="212"/>
        <v>320</v>
      </c>
      <c r="O649" s="36">
        <f t="shared" si="212"/>
        <v>179</v>
      </c>
      <c r="P649" s="36" t="str">
        <f t="shared" si="212"/>
        <v>MEX</v>
      </c>
      <c r="R649">
        <v>635</v>
      </c>
      <c r="S649" s="36" t="str">
        <f t="shared" si="203"/>
        <v>MEXICO AEREO</v>
      </c>
      <c r="T649" s="36">
        <f t="shared" si="203"/>
        <v>252</v>
      </c>
      <c r="U649" s="73">
        <v>0.71666666666666667</v>
      </c>
      <c r="V649" s="74">
        <v>0.71805555555555556</v>
      </c>
      <c r="W649" s="75">
        <v>1.388888888888884E-3</v>
      </c>
      <c r="X649" s="74">
        <v>0.72777777777777775</v>
      </c>
      <c r="Y649" s="75">
        <v>9.7222222222221877E-3</v>
      </c>
      <c r="Z649" s="76">
        <v>41736</v>
      </c>
      <c r="AA649" s="36" t="str">
        <f t="shared" si="213"/>
        <v>Nacional</v>
      </c>
      <c r="AB649" s="36">
        <f t="shared" si="213"/>
        <v>5.2266081871345368E-3</v>
      </c>
      <c r="AC649" s="36">
        <f t="shared" si="213"/>
        <v>8.0409356725145795E-3</v>
      </c>
      <c r="AD649" s="36">
        <f t="shared" si="213"/>
        <v>1.3267543859649115E-2</v>
      </c>
      <c r="AE649" s="36" t="str">
        <f t="shared" si="213"/>
        <v>B737-700</v>
      </c>
      <c r="AF649" s="36">
        <f t="shared" si="213"/>
        <v>126</v>
      </c>
      <c r="AG649" s="36" t="str">
        <f t="shared" si="213"/>
        <v>MEX</v>
      </c>
      <c r="AI649">
        <v>635</v>
      </c>
      <c r="AJ649" s="77" t="str">
        <f t="shared" si="210"/>
        <v>MEXICO AEREO</v>
      </c>
      <c r="AK649" s="77">
        <f t="shared" si="209"/>
        <v>186</v>
      </c>
      <c r="AL649" s="78">
        <v>0.98125000000000007</v>
      </c>
      <c r="AM649" s="79">
        <v>0.9902777777777777</v>
      </c>
      <c r="AN649" s="80">
        <v>9.0277777777776347E-3</v>
      </c>
      <c r="AO649" s="79">
        <v>0.99930555555555556</v>
      </c>
      <c r="AP649" s="80">
        <v>9.0277777777778567E-3</v>
      </c>
      <c r="AQ649" s="81">
        <v>41809</v>
      </c>
      <c r="AR649" s="77" t="str">
        <f t="shared" si="207"/>
        <v>Nacional</v>
      </c>
      <c r="AS649" s="77">
        <f t="shared" si="207"/>
        <v>8.9673913043478107E-3</v>
      </c>
      <c r="AT649" s="77">
        <f t="shared" si="207"/>
        <v>8.6654589371980666E-3</v>
      </c>
      <c r="AU649" s="77">
        <f t="shared" si="207"/>
        <v>1.7632850241545879E-2</v>
      </c>
      <c r="AV649" s="77">
        <f t="shared" si="207"/>
        <v>738</v>
      </c>
      <c r="AW649" s="77">
        <f t="shared" si="207"/>
        <v>189</v>
      </c>
      <c r="AX649" s="77" t="str">
        <f t="shared" si="207"/>
        <v>MEX</v>
      </c>
    </row>
    <row r="650" spans="1:50" x14ac:dyDescent="0.25">
      <c r="A650">
        <v>636</v>
      </c>
      <c r="B650" s="36" t="str">
        <f t="shared" si="196"/>
        <v>INTERAVIÓN</v>
      </c>
      <c r="C650" s="36">
        <f t="shared" si="196"/>
        <v>2216</v>
      </c>
      <c r="D650" s="74">
        <v>0.83194444444444438</v>
      </c>
      <c r="E650" s="74">
        <v>0.83472222222222225</v>
      </c>
      <c r="F650" s="75">
        <v>2.7777777777778789E-3</v>
      </c>
      <c r="G650" s="74">
        <v>0.84166666666666667</v>
      </c>
      <c r="H650" s="75">
        <v>6.9444444444444198E-3</v>
      </c>
      <c r="I650" s="76">
        <v>41724</v>
      </c>
      <c r="J650" s="36" t="str">
        <f t="shared" si="212"/>
        <v>Nacional</v>
      </c>
      <c r="K650" s="36">
        <f t="shared" si="212"/>
        <v>5.9974747474747661E-3</v>
      </c>
      <c r="L650" s="36">
        <f t="shared" si="212"/>
        <v>4.4823232323232065E-3</v>
      </c>
      <c r="M650" s="36">
        <f t="shared" si="212"/>
        <v>1.0479797979797973E-2</v>
      </c>
      <c r="N650" s="36">
        <f t="shared" si="212"/>
        <v>320</v>
      </c>
      <c r="O650" s="36">
        <f t="shared" si="212"/>
        <v>179</v>
      </c>
      <c r="P650" s="36" t="str">
        <f t="shared" si="212"/>
        <v>MEX</v>
      </c>
      <c r="R650">
        <v>636</v>
      </c>
      <c r="S650" s="36" t="str">
        <f t="shared" si="203"/>
        <v>MEXICO AEREO</v>
      </c>
      <c r="T650" s="36">
        <f t="shared" si="203"/>
        <v>252</v>
      </c>
      <c r="U650" s="73">
        <v>0.70833333333333337</v>
      </c>
      <c r="V650" s="74">
        <v>0.71180555555555547</v>
      </c>
      <c r="W650" s="75">
        <v>3.4722222222220989E-3</v>
      </c>
      <c r="X650" s="74">
        <v>0.72083333333333333</v>
      </c>
      <c r="Y650" s="75">
        <v>9.0277777777778567E-3</v>
      </c>
      <c r="Z650" s="76">
        <v>41737</v>
      </c>
      <c r="AA650" s="36" t="str">
        <f t="shared" si="213"/>
        <v>Nacional</v>
      </c>
      <c r="AB650" s="36">
        <f t="shared" si="213"/>
        <v>5.2266081871345368E-3</v>
      </c>
      <c r="AC650" s="36">
        <f t="shared" si="213"/>
        <v>8.0409356725145795E-3</v>
      </c>
      <c r="AD650" s="36">
        <f t="shared" si="213"/>
        <v>1.3267543859649115E-2</v>
      </c>
      <c r="AE650" s="36" t="str">
        <f t="shared" si="213"/>
        <v>B737-700</v>
      </c>
      <c r="AF650" s="36">
        <f t="shared" si="213"/>
        <v>126</v>
      </c>
      <c r="AG650" s="36" t="str">
        <f t="shared" si="213"/>
        <v>MEX</v>
      </c>
      <c r="AI650">
        <v>636</v>
      </c>
      <c r="AJ650" s="77" t="str">
        <f t="shared" si="210"/>
        <v>MEXICO AEREO</v>
      </c>
      <c r="AK650" s="77">
        <f t="shared" si="209"/>
        <v>186</v>
      </c>
      <c r="AL650" s="78">
        <v>5.486111111111111E-2</v>
      </c>
      <c r="AM650" s="79">
        <v>6.1805555555555558E-2</v>
      </c>
      <c r="AN650" s="80">
        <v>6.9444444444444475E-3</v>
      </c>
      <c r="AO650" s="79">
        <v>7.2916666666666671E-2</v>
      </c>
      <c r="AP650" s="80">
        <v>1.1111111111111113E-2</v>
      </c>
      <c r="AQ650" s="81">
        <v>41810</v>
      </c>
      <c r="AR650" s="77" t="str">
        <f t="shared" si="207"/>
        <v>Nacional</v>
      </c>
      <c r="AS650" s="77">
        <f t="shared" si="207"/>
        <v>8.9673913043478107E-3</v>
      </c>
      <c r="AT650" s="77">
        <f t="shared" si="207"/>
        <v>8.6654589371980666E-3</v>
      </c>
      <c r="AU650" s="77">
        <f t="shared" si="207"/>
        <v>1.7632850241545879E-2</v>
      </c>
      <c r="AV650" s="77">
        <f t="shared" si="207"/>
        <v>738</v>
      </c>
      <c r="AW650" s="77">
        <f t="shared" si="207"/>
        <v>189</v>
      </c>
      <c r="AX650" s="77" t="str">
        <f t="shared" si="207"/>
        <v>MEX</v>
      </c>
    </row>
    <row r="651" spans="1:50" x14ac:dyDescent="0.25">
      <c r="A651">
        <v>637</v>
      </c>
      <c r="B651" s="36" t="str">
        <f t="shared" si="196"/>
        <v>INTERAVIÓN</v>
      </c>
      <c r="C651" s="36">
        <f t="shared" si="196"/>
        <v>2216</v>
      </c>
      <c r="D651" s="74">
        <v>0.85</v>
      </c>
      <c r="E651" s="74">
        <v>0.8534722222222223</v>
      </c>
      <c r="F651" s="75">
        <v>3.4722222222223209E-3</v>
      </c>
      <c r="G651" s="74">
        <v>0.86319444444444438</v>
      </c>
      <c r="H651" s="75">
        <v>9.7222222222220767E-3</v>
      </c>
      <c r="I651" s="76">
        <v>41725</v>
      </c>
      <c r="J651" s="36" t="str">
        <f t="shared" si="212"/>
        <v>Nacional</v>
      </c>
      <c r="K651" s="36">
        <f t="shared" si="212"/>
        <v>5.9974747474747661E-3</v>
      </c>
      <c r="L651" s="36">
        <f t="shared" si="212"/>
        <v>4.4823232323232065E-3</v>
      </c>
      <c r="M651" s="36">
        <f t="shared" si="212"/>
        <v>1.0479797979797973E-2</v>
      </c>
      <c r="N651" s="36">
        <f t="shared" si="212"/>
        <v>320</v>
      </c>
      <c r="O651" s="36">
        <f t="shared" si="212"/>
        <v>179</v>
      </c>
      <c r="P651" s="36" t="str">
        <f t="shared" si="212"/>
        <v>MEX</v>
      </c>
      <c r="R651">
        <v>637</v>
      </c>
      <c r="S651" s="36" t="str">
        <f t="shared" si="203"/>
        <v>MEXICO AEREO</v>
      </c>
      <c r="T651" s="36">
        <f t="shared" si="203"/>
        <v>252</v>
      </c>
      <c r="U651" s="73">
        <v>0.71597222222222223</v>
      </c>
      <c r="V651" s="74">
        <v>0.71875</v>
      </c>
      <c r="W651" s="75">
        <v>2.7777777777777679E-3</v>
      </c>
      <c r="X651" s="74">
        <v>0.72222222222222221</v>
      </c>
      <c r="Y651" s="75">
        <v>3.4722222222222099E-3</v>
      </c>
      <c r="Z651" s="76">
        <v>41738</v>
      </c>
      <c r="AA651" s="36" t="str">
        <f t="shared" si="213"/>
        <v>Nacional</v>
      </c>
      <c r="AB651" s="36">
        <f t="shared" si="213"/>
        <v>5.2266081871345368E-3</v>
      </c>
      <c r="AC651" s="36">
        <f t="shared" si="213"/>
        <v>8.0409356725145795E-3</v>
      </c>
      <c r="AD651" s="36">
        <f t="shared" si="213"/>
        <v>1.3267543859649115E-2</v>
      </c>
      <c r="AE651" s="36" t="str">
        <f t="shared" si="213"/>
        <v>B737-700</v>
      </c>
      <c r="AF651" s="36">
        <f t="shared" si="213"/>
        <v>126</v>
      </c>
      <c r="AG651" s="36" t="str">
        <f t="shared" si="213"/>
        <v>MEX</v>
      </c>
      <c r="AI651">
        <v>637</v>
      </c>
      <c r="AJ651" s="77" t="str">
        <f t="shared" si="210"/>
        <v>MEXICO AEREO</v>
      </c>
      <c r="AK651" s="77">
        <f t="shared" si="209"/>
        <v>186</v>
      </c>
      <c r="AL651" s="78">
        <v>0.96736111111111101</v>
      </c>
      <c r="AM651" s="79">
        <v>0.97430555555555554</v>
      </c>
      <c r="AN651" s="80">
        <v>6.9444444444445308E-3</v>
      </c>
      <c r="AO651" s="79">
        <v>0.98472222222222217</v>
      </c>
      <c r="AP651" s="80">
        <v>1.041666666666663E-2</v>
      </c>
      <c r="AQ651" s="81">
        <v>41811</v>
      </c>
      <c r="AR651" s="77" t="str">
        <f t="shared" si="207"/>
        <v>Nacional</v>
      </c>
      <c r="AS651" s="77">
        <f t="shared" si="207"/>
        <v>8.9673913043478107E-3</v>
      </c>
      <c r="AT651" s="77">
        <f t="shared" si="207"/>
        <v>8.6654589371980666E-3</v>
      </c>
      <c r="AU651" s="77">
        <f t="shared" si="207"/>
        <v>1.7632850241545879E-2</v>
      </c>
      <c r="AV651" s="77">
        <f t="shared" si="207"/>
        <v>738</v>
      </c>
      <c r="AW651" s="77">
        <f t="shared" si="207"/>
        <v>189</v>
      </c>
      <c r="AX651" s="77" t="str">
        <f t="shared" si="207"/>
        <v>MEX</v>
      </c>
    </row>
    <row r="652" spans="1:50" x14ac:dyDescent="0.25">
      <c r="A652">
        <v>638</v>
      </c>
      <c r="B652" s="36" t="str">
        <f t="shared" si="196"/>
        <v>INTERAVIÓN</v>
      </c>
      <c r="C652" s="36">
        <f t="shared" si="196"/>
        <v>2216</v>
      </c>
      <c r="D652" s="74">
        <v>0.84722222222222221</v>
      </c>
      <c r="E652" s="74">
        <v>0.85902777777777783</v>
      </c>
      <c r="F652" s="75">
        <v>1.1805555555555625E-2</v>
      </c>
      <c r="G652" s="74">
        <v>0.8618055555555556</v>
      </c>
      <c r="H652" s="75">
        <v>2.7777777777777679E-3</v>
      </c>
      <c r="I652" s="76">
        <v>41726</v>
      </c>
      <c r="J652" s="36" t="str">
        <f t="shared" si="212"/>
        <v>Nacional</v>
      </c>
      <c r="K652" s="36">
        <f t="shared" si="212"/>
        <v>5.9974747474747661E-3</v>
      </c>
      <c r="L652" s="36">
        <f t="shared" si="212"/>
        <v>4.4823232323232065E-3</v>
      </c>
      <c r="M652" s="36">
        <f t="shared" si="212"/>
        <v>1.0479797979797973E-2</v>
      </c>
      <c r="N652" s="36">
        <f t="shared" si="212"/>
        <v>320</v>
      </c>
      <c r="O652" s="36">
        <f t="shared" si="212"/>
        <v>179</v>
      </c>
      <c r="P652" s="36" t="str">
        <f t="shared" si="212"/>
        <v>MEX</v>
      </c>
      <c r="R652">
        <v>638</v>
      </c>
      <c r="S652" s="36" t="str">
        <f t="shared" si="203"/>
        <v>MEXICO AEREO</v>
      </c>
      <c r="T652" s="36">
        <f t="shared" si="203"/>
        <v>252</v>
      </c>
      <c r="U652" s="73">
        <v>0.71736111111111101</v>
      </c>
      <c r="V652" s="74">
        <v>0.72291666666666676</v>
      </c>
      <c r="W652" s="75">
        <v>5.5555555555557579E-3</v>
      </c>
      <c r="X652" s="74">
        <v>0.73055555555555562</v>
      </c>
      <c r="Y652" s="75">
        <v>7.6388888888888618E-3</v>
      </c>
      <c r="Z652" s="76">
        <v>41739</v>
      </c>
      <c r="AA652" s="36" t="str">
        <f t="shared" si="213"/>
        <v>Nacional</v>
      </c>
      <c r="AB652" s="36">
        <f t="shared" si="213"/>
        <v>5.2266081871345368E-3</v>
      </c>
      <c r="AC652" s="36">
        <f t="shared" si="213"/>
        <v>8.0409356725145795E-3</v>
      </c>
      <c r="AD652" s="36">
        <f t="shared" si="213"/>
        <v>1.3267543859649115E-2</v>
      </c>
      <c r="AE652" s="36" t="str">
        <f t="shared" si="213"/>
        <v>B737-700</v>
      </c>
      <c r="AF652" s="36">
        <f t="shared" si="213"/>
        <v>126</v>
      </c>
      <c r="AG652" s="36" t="str">
        <f t="shared" si="213"/>
        <v>MEX</v>
      </c>
      <c r="AI652">
        <v>638</v>
      </c>
      <c r="AJ652" s="77" t="str">
        <f t="shared" si="210"/>
        <v>MEXICO AEREO</v>
      </c>
      <c r="AK652" s="77">
        <f t="shared" si="209"/>
        <v>186</v>
      </c>
      <c r="AL652" s="78">
        <v>0.97083333333333333</v>
      </c>
      <c r="AM652" s="79">
        <v>0.97638888888888886</v>
      </c>
      <c r="AN652" s="80">
        <v>5.5555555555555358E-3</v>
      </c>
      <c r="AO652" s="79">
        <v>0.98749999999999993</v>
      </c>
      <c r="AP652" s="80">
        <v>1.1111111111111072E-2</v>
      </c>
      <c r="AQ652" s="81">
        <v>41812</v>
      </c>
      <c r="AR652" s="77" t="str">
        <f t="shared" si="207"/>
        <v>Nacional</v>
      </c>
      <c r="AS652" s="77">
        <f t="shared" si="207"/>
        <v>8.9673913043478107E-3</v>
      </c>
      <c r="AT652" s="77">
        <f t="shared" si="207"/>
        <v>8.6654589371980666E-3</v>
      </c>
      <c r="AU652" s="77">
        <f t="shared" si="207"/>
        <v>1.7632850241545879E-2</v>
      </c>
      <c r="AV652" s="77">
        <f t="shared" si="207"/>
        <v>738</v>
      </c>
      <c r="AW652" s="77">
        <f t="shared" si="207"/>
        <v>189</v>
      </c>
      <c r="AX652" s="77" t="str">
        <f t="shared" si="207"/>
        <v>MEX</v>
      </c>
    </row>
    <row r="653" spans="1:50" ht="15.75" thickBot="1" x14ac:dyDescent="0.3">
      <c r="A653">
        <v>639</v>
      </c>
      <c r="B653" s="36" t="s">
        <v>65</v>
      </c>
      <c r="C653" s="36">
        <f t="shared" ref="C653:C662" si="214">C652</f>
        <v>2216</v>
      </c>
      <c r="D653" s="84">
        <v>0.83333333333333337</v>
      </c>
      <c r="E653" s="84">
        <v>0.84375</v>
      </c>
      <c r="F653" s="85">
        <v>1.041666666666663E-2</v>
      </c>
      <c r="G653" s="84">
        <v>0.84583333333333333</v>
      </c>
      <c r="H653" s="85">
        <v>2.0833333333333259E-3</v>
      </c>
      <c r="I653" s="86">
        <v>41727</v>
      </c>
      <c r="J653" s="36" t="str">
        <f t="shared" si="212"/>
        <v>Nacional</v>
      </c>
      <c r="K653" s="36">
        <f t="shared" si="212"/>
        <v>5.9974747474747661E-3</v>
      </c>
      <c r="L653" s="36">
        <f t="shared" si="212"/>
        <v>4.4823232323232065E-3</v>
      </c>
      <c r="M653" s="36">
        <f t="shared" si="212"/>
        <v>1.0479797979797973E-2</v>
      </c>
      <c r="N653" s="36">
        <f t="shared" si="212"/>
        <v>320</v>
      </c>
      <c r="O653" s="36">
        <f t="shared" si="212"/>
        <v>179</v>
      </c>
      <c r="P653" s="36" t="str">
        <f t="shared" si="212"/>
        <v>MEX</v>
      </c>
      <c r="R653">
        <v>639</v>
      </c>
      <c r="S653" s="36" t="str">
        <f t="shared" si="203"/>
        <v>MEXICO AEREO</v>
      </c>
      <c r="T653" s="36">
        <f t="shared" si="203"/>
        <v>252</v>
      </c>
      <c r="U653" s="73">
        <v>0.71250000000000002</v>
      </c>
      <c r="V653" s="74">
        <v>0.71875</v>
      </c>
      <c r="W653" s="75">
        <v>6.2499999999999778E-3</v>
      </c>
      <c r="X653" s="74">
        <v>0.72569444444444453</v>
      </c>
      <c r="Y653" s="75">
        <v>6.9444444444445308E-3</v>
      </c>
      <c r="Z653" s="76">
        <v>41743</v>
      </c>
      <c r="AA653" s="36" t="str">
        <f t="shared" si="213"/>
        <v>Nacional</v>
      </c>
      <c r="AB653" s="36">
        <f t="shared" si="213"/>
        <v>5.2266081871345368E-3</v>
      </c>
      <c r="AC653" s="36">
        <f t="shared" si="213"/>
        <v>8.0409356725145795E-3</v>
      </c>
      <c r="AD653" s="36">
        <f t="shared" si="213"/>
        <v>1.3267543859649115E-2</v>
      </c>
      <c r="AE653" s="36" t="str">
        <f t="shared" si="213"/>
        <v>B737-700</v>
      </c>
      <c r="AF653" s="36">
        <f t="shared" si="213"/>
        <v>126</v>
      </c>
      <c r="AG653" s="36" t="str">
        <f t="shared" si="213"/>
        <v>MEX</v>
      </c>
      <c r="AI653">
        <v>639</v>
      </c>
      <c r="AJ653" s="77" t="str">
        <f t="shared" si="210"/>
        <v>MEXICO AEREO</v>
      </c>
      <c r="AK653" s="77">
        <f t="shared" si="209"/>
        <v>186</v>
      </c>
      <c r="AL653" s="94">
        <v>4.5138888888888888E-2</v>
      </c>
      <c r="AM653" s="95">
        <v>4.8611111111111112E-2</v>
      </c>
      <c r="AN653" s="96">
        <v>3.4722222222222238E-3</v>
      </c>
      <c r="AO653" s="95">
        <v>5.9722222222222225E-2</v>
      </c>
      <c r="AP653" s="96">
        <v>1.1111111111111113E-2</v>
      </c>
      <c r="AQ653" s="97">
        <v>41813</v>
      </c>
      <c r="AR653" s="77" t="str">
        <f t="shared" si="207"/>
        <v>Nacional</v>
      </c>
      <c r="AS653" s="77">
        <f t="shared" si="207"/>
        <v>8.9673913043478107E-3</v>
      </c>
      <c r="AT653" s="77">
        <f t="shared" si="207"/>
        <v>8.6654589371980666E-3</v>
      </c>
      <c r="AU653" s="77">
        <f t="shared" si="207"/>
        <v>1.7632850241545879E-2</v>
      </c>
      <c r="AV653" s="77">
        <f t="shared" si="207"/>
        <v>738</v>
      </c>
      <c r="AW653" s="77">
        <f t="shared" si="207"/>
        <v>189</v>
      </c>
      <c r="AX653" s="77" t="str">
        <f t="shared" si="207"/>
        <v>MEX</v>
      </c>
    </row>
    <row r="654" spans="1:50" x14ac:dyDescent="0.25">
      <c r="A654">
        <v>640</v>
      </c>
      <c r="B654" s="36" t="str">
        <f t="shared" ref="B654:C708" si="215">B653</f>
        <v>INTERAVIÓN</v>
      </c>
      <c r="C654" s="88">
        <v>2214</v>
      </c>
      <c r="D654" s="57">
        <v>0.3298611111111111</v>
      </c>
      <c r="E654" s="57">
        <v>0.33680555555555558</v>
      </c>
      <c r="F654" s="58">
        <v>6.9444444444444753E-3</v>
      </c>
      <c r="G654" s="57">
        <v>0.33958333333333335</v>
      </c>
      <c r="H654" s="58">
        <v>2.7777777777777679E-3</v>
      </c>
      <c r="I654" s="59">
        <v>41717</v>
      </c>
      <c r="J654" s="108" t="s">
        <v>19</v>
      </c>
      <c r="K654" s="61">
        <v>6.9444444444444475E-3</v>
      </c>
      <c r="L654" s="61">
        <v>4.8611111111110938E-3</v>
      </c>
      <c r="M654" s="142">
        <v>1.1805555555555541E-2</v>
      </c>
      <c r="N654" s="90">
        <v>320</v>
      </c>
      <c r="O654" s="91">
        <v>179</v>
      </c>
      <c r="P654" s="92" t="s">
        <v>21</v>
      </c>
      <c r="R654">
        <v>640</v>
      </c>
      <c r="S654" s="36" t="str">
        <f t="shared" si="203"/>
        <v>MEXICO AEREO</v>
      </c>
      <c r="T654" s="36">
        <f t="shared" si="203"/>
        <v>252</v>
      </c>
      <c r="U654" s="73">
        <v>0.71875</v>
      </c>
      <c r="V654" s="74">
        <v>0.72361111111111109</v>
      </c>
      <c r="W654" s="75">
        <v>4.8611111111110938E-3</v>
      </c>
      <c r="X654" s="74">
        <v>0.72986111111111107</v>
      </c>
      <c r="Y654" s="75">
        <v>6.2499999999999778E-3</v>
      </c>
      <c r="Z654" s="76">
        <v>41744</v>
      </c>
      <c r="AA654" s="36" t="str">
        <f t="shared" si="213"/>
        <v>Nacional</v>
      </c>
      <c r="AB654" s="36">
        <f t="shared" si="213"/>
        <v>5.2266081871345368E-3</v>
      </c>
      <c r="AC654" s="36">
        <f t="shared" si="213"/>
        <v>8.0409356725145795E-3</v>
      </c>
      <c r="AD654" s="36">
        <f t="shared" si="213"/>
        <v>1.3267543859649115E-2</v>
      </c>
      <c r="AE654" s="36" t="str">
        <f t="shared" si="213"/>
        <v>B737-700</v>
      </c>
      <c r="AF654" s="36">
        <f t="shared" si="213"/>
        <v>126</v>
      </c>
      <c r="AG654" s="36" t="str">
        <f t="shared" si="213"/>
        <v>MEX</v>
      </c>
      <c r="AI654">
        <v>640</v>
      </c>
      <c r="AJ654" s="77" t="str">
        <f t="shared" si="210"/>
        <v>MEXICO AEREO</v>
      </c>
      <c r="AK654" s="63">
        <v>160</v>
      </c>
      <c r="AL654" s="64">
        <v>0.92569444444444438</v>
      </c>
      <c r="AM654" s="65">
        <v>0.93194444444444446</v>
      </c>
      <c r="AN654" s="66">
        <v>6.2500000000000888E-3</v>
      </c>
      <c r="AO654" s="65">
        <v>0.94097222222222221</v>
      </c>
      <c r="AP654" s="66">
        <v>9.0277777777777457E-3</v>
      </c>
      <c r="AQ654" s="67">
        <v>41791</v>
      </c>
      <c r="AR654" s="68" t="s">
        <v>19</v>
      </c>
      <c r="AS654" s="69">
        <v>6.5104166666666748E-3</v>
      </c>
      <c r="AT654" s="70">
        <v>1.3476822916666666</v>
      </c>
      <c r="AU654" s="70">
        <v>1.3541927083333334</v>
      </c>
      <c r="AV654" s="71">
        <v>738</v>
      </c>
      <c r="AW654" s="71">
        <v>189</v>
      </c>
      <c r="AX654" s="72" t="s">
        <v>21</v>
      </c>
    </row>
    <row r="655" spans="1:50" ht="15.75" thickBot="1" x14ac:dyDescent="0.3">
      <c r="A655">
        <v>641</v>
      </c>
      <c r="B655" s="36" t="str">
        <f t="shared" si="215"/>
        <v>INTERAVIÓN</v>
      </c>
      <c r="C655" s="36">
        <f>C654</f>
        <v>2214</v>
      </c>
      <c r="D655" s="84">
        <v>0.3263888888888889</v>
      </c>
      <c r="E655" s="84">
        <v>0.33333333333333331</v>
      </c>
      <c r="F655" s="85">
        <v>6.9444444444444198E-3</v>
      </c>
      <c r="G655" s="84">
        <v>0.34027777777777773</v>
      </c>
      <c r="H655" s="85">
        <v>6.9444444444444198E-3</v>
      </c>
      <c r="I655" s="86">
        <v>41729</v>
      </c>
      <c r="J655" s="36" t="str">
        <f t="shared" ref="J655:P655" si="216">J654</f>
        <v>Nacional</v>
      </c>
      <c r="K655" s="36">
        <f t="shared" si="216"/>
        <v>6.9444444444444475E-3</v>
      </c>
      <c r="L655" s="36">
        <f t="shared" si="216"/>
        <v>4.8611111111110938E-3</v>
      </c>
      <c r="M655" s="36">
        <f t="shared" si="216"/>
        <v>1.1805555555555541E-2</v>
      </c>
      <c r="N655" s="36">
        <f t="shared" si="216"/>
        <v>320</v>
      </c>
      <c r="O655" s="36">
        <f t="shared" si="216"/>
        <v>179</v>
      </c>
      <c r="P655" s="36" t="str">
        <f t="shared" si="216"/>
        <v>MEX</v>
      </c>
      <c r="R655">
        <v>641</v>
      </c>
      <c r="S655" s="36" t="str">
        <f t="shared" si="203"/>
        <v>MEXICO AEREO</v>
      </c>
      <c r="T655" s="36">
        <f t="shared" si="203"/>
        <v>252</v>
      </c>
      <c r="U655" s="73">
        <v>0.72569444444444453</v>
      </c>
      <c r="V655" s="74">
        <v>0.73055555555555562</v>
      </c>
      <c r="W655" s="75">
        <v>4.8611111111110938E-3</v>
      </c>
      <c r="X655" s="74">
        <v>0.7402777777777777</v>
      </c>
      <c r="Y655" s="75">
        <v>9.7222222222220767E-3</v>
      </c>
      <c r="Z655" s="76">
        <v>41745</v>
      </c>
      <c r="AA655" s="36" t="str">
        <f t="shared" si="213"/>
        <v>Nacional</v>
      </c>
      <c r="AB655" s="36">
        <f t="shared" si="213"/>
        <v>5.2266081871345368E-3</v>
      </c>
      <c r="AC655" s="36">
        <f t="shared" si="213"/>
        <v>8.0409356725145795E-3</v>
      </c>
      <c r="AD655" s="36">
        <f t="shared" si="213"/>
        <v>1.3267543859649115E-2</v>
      </c>
      <c r="AE655" s="36" t="str">
        <f t="shared" si="213"/>
        <v>B737-700</v>
      </c>
      <c r="AF655" s="36">
        <f t="shared" si="213"/>
        <v>126</v>
      </c>
      <c r="AG655" s="36" t="str">
        <f t="shared" si="213"/>
        <v>MEX</v>
      </c>
      <c r="AI655">
        <v>641</v>
      </c>
      <c r="AJ655" s="77" t="str">
        <f t="shared" si="210"/>
        <v>MEXICO AEREO</v>
      </c>
      <c r="AK655" s="77">
        <f t="shared" si="210"/>
        <v>160</v>
      </c>
      <c r="AL655" s="78">
        <v>0.92986111111111114</v>
      </c>
      <c r="AM655" s="79">
        <v>0.93402777777777779</v>
      </c>
      <c r="AN655" s="80">
        <v>4.1666666666666519E-3</v>
      </c>
      <c r="AO655" s="79">
        <v>0.94861111111111107</v>
      </c>
      <c r="AP655" s="80">
        <v>1.4583333333333282E-2</v>
      </c>
      <c r="AQ655" s="81">
        <v>41792</v>
      </c>
      <c r="AR655" s="77" t="str">
        <f t="shared" ref="AR655:AX669" si="217">AR654</f>
        <v>Nacional</v>
      </c>
      <c r="AS655" s="77">
        <f t="shared" si="217"/>
        <v>6.5104166666666748E-3</v>
      </c>
      <c r="AT655" s="77">
        <f t="shared" si="217"/>
        <v>1.3476822916666666</v>
      </c>
      <c r="AU655" s="77">
        <f t="shared" si="217"/>
        <v>1.3541927083333334</v>
      </c>
      <c r="AV655" s="77">
        <f t="shared" si="217"/>
        <v>738</v>
      </c>
      <c r="AW655" s="77">
        <f t="shared" si="217"/>
        <v>189</v>
      </c>
      <c r="AX655" s="77" t="str">
        <f t="shared" si="217"/>
        <v>MEX</v>
      </c>
    </row>
    <row r="656" spans="1:50" x14ac:dyDescent="0.25">
      <c r="A656">
        <v>642</v>
      </c>
      <c r="B656" s="36" t="str">
        <f t="shared" si="215"/>
        <v>INTERAVIÓN</v>
      </c>
      <c r="C656" s="88">
        <v>2212</v>
      </c>
      <c r="D656" s="57">
        <v>0.94652777777777775</v>
      </c>
      <c r="E656" s="57">
        <v>0.95277777777777783</v>
      </c>
      <c r="F656" s="58">
        <v>6.2500000000000888E-3</v>
      </c>
      <c r="G656" s="57">
        <v>0.95486111111111116</v>
      </c>
      <c r="H656" s="58">
        <v>2.0833333333333259E-3</v>
      </c>
      <c r="I656" s="59">
        <v>41715</v>
      </c>
      <c r="J656" s="108" t="s">
        <v>19</v>
      </c>
      <c r="K656" s="61">
        <v>1.6319444444444442E-2</v>
      </c>
      <c r="L656" s="61">
        <v>4.745370370370372E-3</v>
      </c>
      <c r="M656" s="142">
        <v>2.1064814814814814E-2</v>
      </c>
      <c r="N656" s="90">
        <v>320</v>
      </c>
      <c r="O656" s="91">
        <v>179</v>
      </c>
      <c r="P656" s="92" t="s">
        <v>21</v>
      </c>
      <c r="R656">
        <v>642</v>
      </c>
      <c r="S656" s="36" t="str">
        <f t="shared" si="203"/>
        <v>MEXICO AEREO</v>
      </c>
      <c r="T656" s="36">
        <f t="shared" si="203"/>
        <v>252</v>
      </c>
      <c r="U656" s="73">
        <v>0.71944444444444444</v>
      </c>
      <c r="V656" s="74">
        <v>0.72569444444444453</v>
      </c>
      <c r="W656" s="75">
        <v>6.2500000000000888E-3</v>
      </c>
      <c r="X656" s="74">
        <v>0.73472222222222217</v>
      </c>
      <c r="Y656" s="75">
        <v>9.0277777777776347E-3</v>
      </c>
      <c r="Z656" s="76">
        <v>41749</v>
      </c>
      <c r="AA656" s="36" t="str">
        <f t="shared" si="213"/>
        <v>Nacional</v>
      </c>
      <c r="AB656" s="36">
        <f t="shared" si="213"/>
        <v>5.2266081871345368E-3</v>
      </c>
      <c r="AC656" s="36">
        <f t="shared" si="213"/>
        <v>8.0409356725145795E-3</v>
      </c>
      <c r="AD656" s="36">
        <f t="shared" si="213"/>
        <v>1.3267543859649115E-2</v>
      </c>
      <c r="AE656" s="36" t="str">
        <f t="shared" si="213"/>
        <v>B737-700</v>
      </c>
      <c r="AF656" s="36">
        <f t="shared" si="213"/>
        <v>126</v>
      </c>
      <c r="AG656" s="36" t="str">
        <f t="shared" si="213"/>
        <v>MEX</v>
      </c>
      <c r="AI656">
        <v>642</v>
      </c>
      <c r="AJ656" s="77" t="str">
        <f t="shared" si="210"/>
        <v>MEXICO AEREO</v>
      </c>
      <c r="AK656" s="77">
        <f t="shared" si="210"/>
        <v>160</v>
      </c>
      <c r="AL656" s="78">
        <v>0.92708333333333337</v>
      </c>
      <c r="AM656" s="79">
        <v>0.93055555555555547</v>
      </c>
      <c r="AN656" s="80">
        <v>3.4722222222220989E-3</v>
      </c>
      <c r="AO656" s="79">
        <v>0.93819444444444444</v>
      </c>
      <c r="AP656" s="80">
        <v>7.6388888888889728E-3</v>
      </c>
      <c r="AQ656" s="81">
        <v>41793</v>
      </c>
      <c r="AR656" s="77" t="str">
        <f t="shared" si="217"/>
        <v>Nacional</v>
      </c>
      <c r="AS656" s="77">
        <f t="shared" si="217"/>
        <v>6.5104166666666748E-3</v>
      </c>
      <c r="AT656" s="77">
        <f t="shared" si="217"/>
        <v>1.3476822916666666</v>
      </c>
      <c r="AU656" s="77">
        <f t="shared" si="217"/>
        <v>1.3541927083333334</v>
      </c>
      <c r="AV656" s="77">
        <f t="shared" si="217"/>
        <v>738</v>
      </c>
      <c r="AW656" s="77">
        <f t="shared" si="217"/>
        <v>189</v>
      </c>
      <c r="AX656" s="77" t="str">
        <f t="shared" si="217"/>
        <v>MEX</v>
      </c>
    </row>
    <row r="657" spans="1:50" x14ac:dyDescent="0.25">
      <c r="A657">
        <v>643</v>
      </c>
      <c r="B657" s="36" t="str">
        <f t="shared" si="215"/>
        <v>INTERAVIÓN</v>
      </c>
      <c r="C657" s="36">
        <f t="shared" si="215"/>
        <v>2212</v>
      </c>
      <c r="D657" s="74">
        <v>0.95000000000000007</v>
      </c>
      <c r="E657" s="74">
        <v>0.95624999999999993</v>
      </c>
      <c r="F657" s="75">
        <v>6.2499999999998668E-3</v>
      </c>
      <c r="G657" s="74">
        <v>0.96388888888888891</v>
      </c>
      <c r="H657" s="75">
        <v>7.6388888888889728E-3</v>
      </c>
      <c r="I657" s="76">
        <v>41719</v>
      </c>
      <c r="J657" s="36" t="str">
        <f t="shared" ref="J657:P661" si="218">J656</f>
        <v>Nacional</v>
      </c>
      <c r="K657" s="36">
        <f t="shared" si="218"/>
        <v>1.6319444444444442E-2</v>
      </c>
      <c r="L657" s="36">
        <f t="shared" si="218"/>
        <v>4.745370370370372E-3</v>
      </c>
      <c r="M657" s="36">
        <f t="shared" si="218"/>
        <v>2.1064814814814814E-2</v>
      </c>
      <c r="N657" s="36">
        <f t="shared" si="218"/>
        <v>320</v>
      </c>
      <c r="O657" s="36">
        <f t="shared" si="218"/>
        <v>179</v>
      </c>
      <c r="P657" s="36" t="str">
        <f t="shared" si="218"/>
        <v>MEX</v>
      </c>
      <c r="R657">
        <v>643</v>
      </c>
      <c r="S657" s="36" t="str">
        <f t="shared" si="203"/>
        <v>MEXICO AEREO</v>
      </c>
      <c r="T657" s="36">
        <f t="shared" si="203"/>
        <v>252</v>
      </c>
      <c r="U657" s="73">
        <v>0.72499999999999998</v>
      </c>
      <c r="V657" s="74">
        <v>0.73263888888888884</v>
      </c>
      <c r="W657" s="75">
        <v>7.6388888888888618E-3</v>
      </c>
      <c r="X657" s="74">
        <v>0.73819444444444438</v>
      </c>
      <c r="Y657" s="75">
        <v>5.5555555555555358E-3</v>
      </c>
      <c r="Z657" s="76">
        <v>41753</v>
      </c>
      <c r="AA657" s="36" t="str">
        <f t="shared" si="213"/>
        <v>Nacional</v>
      </c>
      <c r="AB657" s="36">
        <f t="shared" si="213"/>
        <v>5.2266081871345368E-3</v>
      </c>
      <c r="AC657" s="36">
        <f t="shared" si="213"/>
        <v>8.0409356725145795E-3</v>
      </c>
      <c r="AD657" s="36">
        <f t="shared" si="213"/>
        <v>1.3267543859649115E-2</v>
      </c>
      <c r="AE657" s="36" t="str">
        <f t="shared" si="213"/>
        <v>B737-700</v>
      </c>
      <c r="AF657" s="36">
        <f t="shared" si="213"/>
        <v>126</v>
      </c>
      <c r="AG657" s="36" t="str">
        <f t="shared" si="213"/>
        <v>MEX</v>
      </c>
      <c r="AI657">
        <v>643</v>
      </c>
      <c r="AJ657" s="77" t="str">
        <f t="shared" si="210"/>
        <v>MEXICO AEREO</v>
      </c>
      <c r="AK657" s="77">
        <f t="shared" si="210"/>
        <v>160</v>
      </c>
      <c r="AL657" s="78">
        <v>0.90972222222222221</v>
      </c>
      <c r="AM657" s="79">
        <v>0.9145833333333333</v>
      </c>
      <c r="AN657" s="80">
        <v>4.8611111111110938E-3</v>
      </c>
      <c r="AO657" s="79">
        <v>0.92152777777777783</v>
      </c>
      <c r="AP657" s="80">
        <v>6.9444444444445308E-3</v>
      </c>
      <c r="AQ657" s="81">
        <v>41794</v>
      </c>
      <c r="AR657" s="77" t="str">
        <f t="shared" si="217"/>
        <v>Nacional</v>
      </c>
      <c r="AS657" s="77">
        <f t="shared" si="217"/>
        <v>6.5104166666666748E-3</v>
      </c>
      <c r="AT657" s="77">
        <f t="shared" si="217"/>
        <v>1.3476822916666666</v>
      </c>
      <c r="AU657" s="77">
        <f t="shared" si="217"/>
        <v>1.3541927083333334</v>
      </c>
      <c r="AV657" s="77">
        <f t="shared" si="217"/>
        <v>738</v>
      </c>
      <c r="AW657" s="77">
        <f t="shared" si="217"/>
        <v>189</v>
      </c>
      <c r="AX657" s="77" t="str">
        <f t="shared" si="217"/>
        <v>MEX</v>
      </c>
    </row>
    <row r="658" spans="1:50" x14ac:dyDescent="0.25">
      <c r="A658">
        <v>644</v>
      </c>
      <c r="B658" s="36" t="str">
        <f t="shared" si="215"/>
        <v>INTERAVIÓN</v>
      </c>
      <c r="C658" s="36">
        <f t="shared" si="215"/>
        <v>2212</v>
      </c>
      <c r="D658" s="74">
        <v>0.89236111111111116</v>
      </c>
      <c r="E658" s="74">
        <v>0.94374999999999998</v>
      </c>
      <c r="F658" s="75">
        <v>5.1388888888888817E-2</v>
      </c>
      <c r="G658" s="74">
        <v>0.9458333333333333</v>
      </c>
      <c r="H658" s="75">
        <v>2.0833333333333259E-3</v>
      </c>
      <c r="I658" s="76">
        <v>41721</v>
      </c>
      <c r="J658" s="36" t="str">
        <f t="shared" si="218"/>
        <v>Nacional</v>
      </c>
      <c r="K658" s="36">
        <f t="shared" si="218"/>
        <v>1.6319444444444442E-2</v>
      </c>
      <c r="L658" s="36">
        <f t="shared" si="218"/>
        <v>4.745370370370372E-3</v>
      </c>
      <c r="M658" s="36">
        <f t="shared" si="218"/>
        <v>2.1064814814814814E-2</v>
      </c>
      <c r="N658" s="36">
        <f t="shared" si="218"/>
        <v>320</v>
      </c>
      <c r="O658" s="36">
        <f t="shared" si="218"/>
        <v>179</v>
      </c>
      <c r="P658" s="36" t="str">
        <f t="shared" si="218"/>
        <v>MEX</v>
      </c>
      <c r="R658">
        <v>644</v>
      </c>
      <c r="S658" s="36" t="str">
        <f t="shared" si="203"/>
        <v>MEXICO AEREO</v>
      </c>
      <c r="T658" s="36">
        <f t="shared" si="203"/>
        <v>252</v>
      </c>
      <c r="U658" s="73">
        <v>0.71944444444444444</v>
      </c>
      <c r="V658" s="74">
        <v>0.72638888888888886</v>
      </c>
      <c r="W658" s="75">
        <v>6.9444444444444198E-3</v>
      </c>
      <c r="X658" s="74">
        <v>0.73472222222222217</v>
      </c>
      <c r="Y658" s="75">
        <v>8.3333333333333037E-3</v>
      </c>
      <c r="Z658" s="76">
        <v>41754</v>
      </c>
      <c r="AA658" s="36" t="str">
        <f t="shared" si="213"/>
        <v>Nacional</v>
      </c>
      <c r="AB658" s="36">
        <f t="shared" si="213"/>
        <v>5.2266081871345368E-3</v>
      </c>
      <c r="AC658" s="36">
        <f t="shared" si="213"/>
        <v>8.0409356725145795E-3</v>
      </c>
      <c r="AD658" s="36">
        <f t="shared" si="213"/>
        <v>1.3267543859649115E-2</v>
      </c>
      <c r="AE658" s="36" t="str">
        <f t="shared" si="213"/>
        <v>B737-700</v>
      </c>
      <c r="AF658" s="36">
        <f t="shared" si="213"/>
        <v>126</v>
      </c>
      <c r="AG658" s="36" t="str">
        <f t="shared" si="213"/>
        <v>MEX</v>
      </c>
      <c r="AI658">
        <v>644</v>
      </c>
      <c r="AJ658" s="77" t="str">
        <f t="shared" si="210"/>
        <v>MEXICO AEREO</v>
      </c>
      <c r="AK658" s="77">
        <f t="shared" si="210"/>
        <v>160</v>
      </c>
      <c r="AL658" s="78">
        <v>0.93055555555555547</v>
      </c>
      <c r="AM658" s="79">
        <v>0.93888888888888899</v>
      </c>
      <c r="AN658" s="80">
        <v>8.3333333333335258E-3</v>
      </c>
      <c r="AO658" s="79">
        <v>0.95694444444444438</v>
      </c>
      <c r="AP658" s="80">
        <v>1.805555555555538E-2</v>
      </c>
      <c r="AQ658" s="81">
        <v>41796</v>
      </c>
      <c r="AR658" s="77" t="str">
        <f t="shared" si="217"/>
        <v>Nacional</v>
      </c>
      <c r="AS658" s="77">
        <f t="shared" si="217"/>
        <v>6.5104166666666748E-3</v>
      </c>
      <c r="AT658" s="77">
        <f t="shared" si="217"/>
        <v>1.3476822916666666</v>
      </c>
      <c r="AU658" s="77">
        <f t="shared" si="217"/>
        <v>1.3541927083333334</v>
      </c>
      <c r="AV658" s="77">
        <f t="shared" si="217"/>
        <v>738</v>
      </c>
      <c r="AW658" s="77">
        <f t="shared" si="217"/>
        <v>189</v>
      </c>
      <c r="AX658" s="77" t="str">
        <f t="shared" si="217"/>
        <v>MEX</v>
      </c>
    </row>
    <row r="659" spans="1:50" x14ac:dyDescent="0.25">
      <c r="A659">
        <v>645</v>
      </c>
      <c r="B659" s="36" t="str">
        <f t="shared" si="215"/>
        <v>INTERAVIÓN</v>
      </c>
      <c r="C659" s="36">
        <f t="shared" si="215"/>
        <v>2212</v>
      </c>
      <c r="D659" s="74">
        <v>0.9458333333333333</v>
      </c>
      <c r="E659" s="74">
        <v>0.95347222222222217</v>
      </c>
      <c r="F659" s="75">
        <v>7.6388888888888618E-3</v>
      </c>
      <c r="G659" s="74">
        <v>0.95763888888888893</v>
      </c>
      <c r="H659" s="75">
        <v>4.1666666666667629E-3</v>
      </c>
      <c r="I659" s="76">
        <v>41723</v>
      </c>
      <c r="J659" s="36" t="str">
        <f t="shared" si="218"/>
        <v>Nacional</v>
      </c>
      <c r="K659" s="36">
        <f t="shared" si="218"/>
        <v>1.6319444444444442E-2</v>
      </c>
      <c r="L659" s="36">
        <f t="shared" si="218"/>
        <v>4.745370370370372E-3</v>
      </c>
      <c r="M659" s="36">
        <f t="shared" si="218"/>
        <v>2.1064814814814814E-2</v>
      </c>
      <c r="N659" s="36">
        <f t="shared" si="218"/>
        <v>320</v>
      </c>
      <c r="O659" s="36">
        <f t="shared" si="218"/>
        <v>179</v>
      </c>
      <c r="P659" s="36" t="str">
        <f t="shared" si="218"/>
        <v>MEX</v>
      </c>
      <c r="R659">
        <v>645</v>
      </c>
      <c r="S659" s="36" t="str">
        <f t="shared" si="203"/>
        <v>MEXICO AEREO</v>
      </c>
      <c r="T659" s="36">
        <f t="shared" si="203"/>
        <v>252</v>
      </c>
      <c r="U659" s="73">
        <v>0.72222222222222221</v>
      </c>
      <c r="V659" s="74">
        <v>0.72569444444444453</v>
      </c>
      <c r="W659" s="75">
        <v>3.4722222222223209E-3</v>
      </c>
      <c r="X659" s="74">
        <v>0.74444444444444446</v>
      </c>
      <c r="Y659" s="75">
        <v>1.8749999999999933E-2</v>
      </c>
      <c r="Z659" s="76">
        <v>41756</v>
      </c>
      <c r="AA659" s="36" t="str">
        <f t="shared" si="213"/>
        <v>Nacional</v>
      </c>
      <c r="AB659" s="36">
        <f t="shared" si="213"/>
        <v>5.2266081871345368E-3</v>
      </c>
      <c r="AC659" s="36">
        <f t="shared" si="213"/>
        <v>8.0409356725145795E-3</v>
      </c>
      <c r="AD659" s="36">
        <f t="shared" si="213"/>
        <v>1.3267543859649115E-2</v>
      </c>
      <c r="AE659" s="36" t="str">
        <f t="shared" si="213"/>
        <v>B737-700</v>
      </c>
      <c r="AF659" s="36">
        <f t="shared" si="213"/>
        <v>126</v>
      </c>
      <c r="AG659" s="36" t="str">
        <f t="shared" si="213"/>
        <v>MEX</v>
      </c>
      <c r="AI659">
        <v>645</v>
      </c>
      <c r="AJ659" s="77" t="str">
        <f t="shared" si="210"/>
        <v>MEXICO AEREO</v>
      </c>
      <c r="AK659" s="77">
        <f t="shared" si="210"/>
        <v>160</v>
      </c>
      <c r="AL659" s="78">
        <v>0.92013888888888884</v>
      </c>
      <c r="AM659" s="79">
        <v>0.9243055555555556</v>
      </c>
      <c r="AN659" s="80">
        <v>4.1666666666667629E-3</v>
      </c>
      <c r="AO659" s="79">
        <v>0.93611111111111101</v>
      </c>
      <c r="AP659" s="80">
        <v>1.1805555555555403E-2</v>
      </c>
      <c r="AQ659" s="81">
        <v>41798</v>
      </c>
      <c r="AR659" s="77" t="str">
        <f t="shared" si="217"/>
        <v>Nacional</v>
      </c>
      <c r="AS659" s="77">
        <f t="shared" si="217"/>
        <v>6.5104166666666748E-3</v>
      </c>
      <c r="AT659" s="77">
        <f t="shared" si="217"/>
        <v>1.3476822916666666</v>
      </c>
      <c r="AU659" s="77">
        <f t="shared" si="217"/>
        <v>1.3541927083333334</v>
      </c>
      <c r="AV659" s="77">
        <f t="shared" si="217"/>
        <v>738</v>
      </c>
      <c r="AW659" s="77">
        <f t="shared" si="217"/>
        <v>189</v>
      </c>
      <c r="AX659" s="77" t="str">
        <f t="shared" si="217"/>
        <v>MEX</v>
      </c>
    </row>
    <row r="660" spans="1:50" x14ac:dyDescent="0.25">
      <c r="A660">
        <v>646</v>
      </c>
      <c r="B660" s="36" t="str">
        <f t="shared" si="215"/>
        <v>INTERAVIÓN</v>
      </c>
      <c r="C660" s="36">
        <f t="shared" si="215"/>
        <v>2212</v>
      </c>
      <c r="D660" s="74">
        <v>0.93055555555555547</v>
      </c>
      <c r="E660" s="74">
        <v>0.94930555555555562</v>
      </c>
      <c r="F660" s="75">
        <v>1.8750000000000155E-2</v>
      </c>
      <c r="G660" s="74">
        <v>0.95416666666666661</v>
      </c>
      <c r="H660" s="75">
        <v>4.8611111111109828E-3</v>
      </c>
      <c r="I660" s="76">
        <v>41725</v>
      </c>
      <c r="J660" s="36" t="str">
        <f t="shared" si="218"/>
        <v>Nacional</v>
      </c>
      <c r="K660" s="36">
        <f t="shared" si="218"/>
        <v>1.6319444444444442E-2</v>
      </c>
      <c r="L660" s="36">
        <f t="shared" si="218"/>
        <v>4.745370370370372E-3</v>
      </c>
      <c r="M660" s="36">
        <f t="shared" si="218"/>
        <v>2.1064814814814814E-2</v>
      </c>
      <c r="N660" s="36">
        <f t="shared" si="218"/>
        <v>320</v>
      </c>
      <c r="O660" s="36">
        <f t="shared" si="218"/>
        <v>179</v>
      </c>
      <c r="P660" s="36" t="str">
        <f t="shared" si="218"/>
        <v>MEX</v>
      </c>
      <c r="R660">
        <v>646</v>
      </c>
      <c r="S660" s="36" t="str">
        <f t="shared" si="203"/>
        <v>MEXICO AEREO</v>
      </c>
      <c r="T660" s="36">
        <f t="shared" si="203"/>
        <v>252</v>
      </c>
      <c r="U660" s="73">
        <v>0.7270833333333333</v>
      </c>
      <c r="V660" s="74">
        <v>0.73125000000000007</v>
      </c>
      <c r="W660" s="75">
        <v>4.1666666666667629E-3</v>
      </c>
      <c r="X660" s="74">
        <v>0.74236111111111114</v>
      </c>
      <c r="Y660" s="75">
        <v>1.1111111111111072E-2</v>
      </c>
      <c r="Z660" s="76">
        <v>41757</v>
      </c>
      <c r="AA660" s="36" t="str">
        <f t="shared" si="213"/>
        <v>Nacional</v>
      </c>
      <c r="AB660" s="36">
        <f t="shared" si="213"/>
        <v>5.2266081871345368E-3</v>
      </c>
      <c r="AC660" s="36">
        <f t="shared" si="213"/>
        <v>8.0409356725145795E-3</v>
      </c>
      <c r="AD660" s="36">
        <f t="shared" si="213"/>
        <v>1.3267543859649115E-2</v>
      </c>
      <c r="AE660" s="36" t="str">
        <f t="shared" si="213"/>
        <v>B737-700</v>
      </c>
      <c r="AF660" s="36">
        <f t="shared" si="213"/>
        <v>126</v>
      </c>
      <c r="AG660" s="36" t="str">
        <f t="shared" si="213"/>
        <v>MEX</v>
      </c>
      <c r="AI660">
        <v>646</v>
      </c>
      <c r="AJ660" s="77" t="str">
        <f t="shared" si="210"/>
        <v>MEXICO AEREO</v>
      </c>
      <c r="AK660" s="77">
        <f t="shared" si="210"/>
        <v>160</v>
      </c>
      <c r="AL660" s="78">
        <v>0.92708333333333337</v>
      </c>
      <c r="AM660" s="79">
        <v>0.93055555555555547</v>
      </c>
      <c r="AN660" s="80">
        <v>3.4722222222220989E-3</v>
      </c>
      <c r="AO660" s="79">
        <v>0.95208333333333339</v>
      </c>
      <c r="AP660" s="80">
        <v>2.1527777777777923E-2</v>
      </c>
      <c r="AQ660" s="81">
        <v>41799</v>
      </c>
      <c r="AR660" s="77" t="str">
        <f t="shared" si="217"/>
        <v>Nacional</v>
      </c>
      <c r="AS660" s="77">
        <f t="shared" si="217"/>
        <v>6.5104166666666748E-3</v>
      </c>
      <c r="AT660" s="77">
        <f t="shared" si="217"/>
        <v>1.3476822916666666</v>
      </c>
      <c r="AU660" s="77">
        <f t="shared" si="217"/>
        <v>1.3541927083333334</v>
      </c>
      <c r="AV660" s="77">
        <f t="shared" si="217"/>
        <v>738</v>
      </c>
      <c r="AW660" s="77">
        <f t="shared" si="217"/>
        <v>189</v>
      </c>
      <c r="AX660" s="77" t="str">
        <f t="shared" si="217"/>
        <v>MEX</v>
      </c>
    </row>
    <row r="661" spans="1:50" ht="15.75" thickBot="1" x14ac:dyDescent="0.3">
      <c r="A661">
        <v>647</v>
      </c>
      <c r="B661" s="36" t="str">
        <f t="shared" si="215"/>
        <v>INTERAVIÓN</v>
      </c>
      <c r="C661" s="36">
        <f t="shared" si="215"/>
        <v>2212</v>
      </c>
      <c r="D661" s="84">
        <v>0.9555555555555556</v>
      </c>
      <c r="E661" s="84">
        <v>0.96319444444444446</v>
      </c>
      <c r="F661" s="85">
        <v>7.6388888888888618E-3</v>
      </c>
      <c r="G661" s="84">
        <v>0.97083333333333333</v>
      </c>
      <c r="H661" s="85">
        <v>7.6388888888888618E-3</v>
      </c>
      <c r="I661" s="86">
        <v>41726</v>
      </c>
      <c r="J661" s="36" t="str">
        <f t="shared" si="218"/>
        <v>Nacional</v>
      </c>
      <c r="K661" s="36">
        <f t="shared" si="218"/>
        <v>1.6319444444444442E-2</v>
      </c>
      <c r="L661" s="36">
        <f t="shared" si="218"/>
        <v>4.745370370370372E-3</v>
      </c>
      <c r="M661" s="36">
        <f t="shared" si="218"/>
        <v>2.1064814814814814E-2</v>
      </c>
      <c r="N661" s="36">
        <f t="shared" si="218"/>
        <v>320</v>
      </c>
      <c r="O661" s="36">
        <f t="shared" si="218"/>
        <v>179</v>
      </c>
      <c r="P661" s="36" t="str">
        <f t="shared" si="218"/>
        <v>MEX</v>
      </c>
      <c r="R661">
        <v>647</v>
      </c>
      <c r="S661" s="36" t="str">
        <f t="shared" si="203"/>
        <v>MEXICO AEREO</v>
      </c>
      <c r="T661" s="36">
        <f t="shared" si="203"/>
        <v>252</v>
      </c>
      <c r="U661" s="73">
        <v>0.72361111111111109</v>
      </c>
      <c r="V661" s="74">
        <v>0.7284722222222223</v>
      </c>
      <c r="W661" s="75">
        <v>4.8611111111112049E-3</v>
      </c>
      <c r="X661" s="74">
        <v>0.73819444444444438</v>
      </c>
      <c r="Y661" s="75">
        <v>9.7222222222220767E-3</v>
      </c>
      <c r="Z661" s="76">
        <v>41758</v>
      </c>
      <c r="AA661" s="36" t="str">
        <f t="shared" si="213"/>
        <v>Nacional</v>
      </c>
      <c r="AB661" s="36">
        <f t="shared" si="213"/>
        <v>5.2266081871345368E-3</v>
      </c>
      <c r="AC661" s="36">
        <f t="shared" si="213"/>
        <v>8.0409356725145795E-3</v>
      </c>
      <c r="AD661" s="36">
        <f t="shared" si="213"/>
        <v>1.3267543859649115E-2</v>
      </c>
      <c r="AE661" s="36" t="str">
        <f t="shared" si="213"/>
        <v>B737-700</v>
      </c>
      <c r="AF661" s="36">
        <f t="shared" si="213"/>
        <v>126</v>
      </c>
      <c r="AG661" s="36" t="str">
        <f t="shared" si="213"/>
        <v>MEX</v>
      </c>
      <c r="AI661">
        <v>647</v>
      </c>
      <c r="AJ661" s="77" t="str">
        <f t="shared" si="210"/>
        <v>MEXICO AEREO</v>
      </c>
      <c r="AK661" s="77">
        <f t="shared" si="210"/>
        <v>160</v>
      </c>
      <c r="AL661" s="78">
        <v>0.37013888888888885</v>
      </c>
      <c r="AM661" s="79">
        <v>0.37638888888888888</v>
      </c>
      <c r="AN661" s="80">
        <v>6.2500000000000333E-3</v>
      </c>
      <c r="AO661" s="79">
        <v>0.38680555555555557</v>
      </c>
      <c r="AP661" s="80">
        <v>1.0416666666666685E-2</v>
      </c>
      <c r="AQ661" s="81">
        <v>41800</v>
      </c>
      <c r="AR661" s="77" t="str">
        <f t="shared" si="217"/>
        <v>Nacional</v>
      </c>
      <c r="AS661" s="77">
        <f t="shared" si="217"/>
        <v>6.5104166666666748E-3</v>
      </c>
      <c r="AT661" s="77">
        <f t="shared" si="217"/>
        <v>1.3476822916666666</v>
      </c>
      <c r="AU661" s="77">
        <f t="shared" si="217"/>
        <v>1.3541927083333334</v>
      </c>
      <c r="AV661" s="77">
        <f t="shared" si="217"/>
        <v>738</v>
      </c>
      <c r="AW661" s="77">
        <f t="shared" si="217"/>
        <v>189</v>
      </c>
      <c r="AX661" s="77" t="str">
        <f t="shared" si="217"/>
        <v>MEX</v>
      </c>
    </row>
    <row r="662" spans="1:50" ht="15.75" thickBot="1" x14ac:dyDescent="0.3">
      <c r="A662">
        <v>648</v>
      </c>
      <c r="B662" s="36" t="str">
        <f t="shared" si="215"/>
        <v>INTERAVIÓN</v>
      </c>
      <c r="C662" s="88">
        <v>2210</v>
      </c>
      <c r="D662" s="57">
        <v>0.45763888888888887</v>
      </c>
      <c r="E662" s="57">
        <v>0.46527777777777773</v>
      </c>
      <c r="F662" s="58">
        <v>7.6388888888888618E-3</v>
      </c>
      <c r="G662" s="57">
        <v>0.46875</v>
      </c>
      <c r="H662" s="58">
        <v>3.4722222222222654E-3</v>
      </c>
      <c r="I662" s="59">
        <v>41716</v>
      </c>
      <c r="J662" s="108" t="s">
        <v>19</v>
      </c>
      <c r="K662" s="61">
        <v>6.6666666666666654E-3</v>
      </c>
      <c r="L662" s="61">
        <v>4.8611111111111216E-3</v>
      </c>
      <c r="M662" s="142">
        <v>1.1527777777777786E-2</v>
      </c>
      <c r="N662" s="90">
        <v>320</v>
      </c>
      <c r="O662" s="91">
        <v>179</v>
      </c>
      <c r="P662" s="92" t="s">
        <v>21</v>
      </c>
      <c r="R662">
        <v>648</v>
      </c>
      <c r="S662" s="36" t="str">
        <f t="shared" si="203"/>
        <v>MEXICO AEREO</v>
      </c>
      <c r="T662" s="36">
        <f t="shared" si="203"/>
        <v>252</v>
      </c>
      <c r="U662" s="83">
        <v>0.71875</v>
      </c>
      <c r="V662" s="84">
        <v>0.72569444444444453</v>
      </c>
      <c r="W662" s="85">
        <v>6.9444444444445308E-3</v>
      </c>
      <c r="X662" s="84">
        <v>0.72638888888888886</v>
      </c>
      <c r="Y662" s="85">
        <v>6.9444444444433095E-4</v>
      </c>
      <c r="Z662" s="86">
        <v>41759</v>
      </c>
      <c r="AA662" s="36" t="str">
        <f t="shared" si="213"/>
        <v>Nacional</v>
      </c>
      <c r="AB662" s="36">
        <f t="shared" si="213"/>
        <v>5.2266081871345368E-3</v>
      </c>
      <c r="AC662" s="36">
        <f t="shared" si="213"/>
        <v>8.0409356725145795E-3</v>
      </c>
      <c r="AD662" s="36">
        <f t="shared" si="213"/>
        <v>1.3267543859649115E-2</v>
      </c>
      <c r="AE662" s="36" t="str">
        <f t="shared" si="213"/>
        <v>B737-700</v>
      </c>
      <c r="AF662" s="36">
        <f t="shared" si="213"/>
        <v>126</v>
      </c>
      <c r="AG662" s="36" t="str">
        <f t="shared" si="213"/>
        <v>MEX</v>
      </c>
      <c r="AI662">
        <v>648</v>
      </c>
      <c r="AJ662" s="77" t="str">
        <f t="shared" si="210"/>
        <v>MEXICO AEREO</v>
      </c>
      <c r="AK662" s="77">
        <f t="shared" si="210"/>
        <v>160</v>
      </c>
      <c r="AL662" s="78">
        <v>0.51388888888888895</v>
      </c>
      <c r="AM662" s="79">
        <v>0.52152777777777781</v>
      </c>
      <c r="AN662" s="80">
        <v>7.6388888888888618E-3</v>
      </c>
      <c r="AO662" s="79">
        <v>0.53125</v>
      </c>
      <c r="AP662" s="80">
        <v>9.7222222222221877E-3</v>
      </c>
      <c r="AQ662" s="81">
        <v>41801</v>
      </c>
      <c r="AR662" s="77" t="str">
        <f t="shared" si="217"/>
        <v>Nacional</v>
      </c>
      <c r="AS662" s="77">
        <f t="shared" si="217"/>
        <v>6.5104166666666748E-3</v>
      </c>
      <c r="AT662" s="77">
        <f t="shared" si="217"/>
        <v>1.3476822916666666</v>
      </c>
      <c r="AU662" s="77">
        <f t="shared" si="217"/>
        <v>1.3541927083333334</v>
      </c>
      <c r="AV662" s="77">
        <f t="shared" si="217"/>
        <v>738</v>
      </c>
      <c r="AW662" s="77">
        <f t="shared" si="217"/>
        <v>189</v>
      </c>
      <c r="AX662" s="77" t="str">
        <f t="shared" si="217"/>
        <v>MEX</v>
      </c>
    </row>
    <row r="663" spans="1:50" x14ac:dyDescent="0.25">
      <c r="A663">
        <v>649</v>
      </c>
      <c r="B663" s="36" t="str">
        <f t="shared" si="215"/>
        <v>INTERAVIÓN</v>
      </c>
      <c r="C663" s="36">
        <f t="shared" si="215"/>
        <v>2210</v>
      </c>
      <c r="D663" s="74">
        <v>0.4375</v>
      </c>
      <c r="E663" s="74">
        <v>0.44444444444444442</v>
      </c>
      <c r="F663" s="75">
        <v>6.9444444444444198E-3</v>
      </c>
      <c r="G663" s="74">
        <v>0.44861111111111113</v>
      </c>
      <c r="H663" s="75">
        <v>4.1666666666667074E-3</v>
      </c>
      <c r="I663" s="76">
        <v>41717</v>
      </c>
      <c r="J663" s="36" t="str">
        <f t="shared" ref="J663:P671" si="219">J662</f>
        <v>Nacional</v>
      </c>
      <c r="K663" s="36">
        <f t="shared" si="219"/>
        <v>6.6666666666666654E-3</v>
      </c>
      <c r="L663" s="36">
        <f t="shared" si="219"/>
        <v>4.8611111111111216E-3</v>
      </c>
      <c r="M663" s="36">
        <f t="shared" si="219"/>
        <v>1.1527777777777786E-2</v>
      </c>
      <c r="N663" s="36">
        <f t="shared" si="219"/>
        <v>320</v>
      </c>
      <c r="O663" s="36">
        <f t="shared" si="219"/>
        <v>179</v>
      </c>
      <c r="P663" s="36" t="str">
        <f t="shared" si="219"/>
        <v>MEX</v>
      </c>
      <c r="R663">
        <v>649</v>
      </c>
      <c r="S663" s="36" t="str">
        <f t="shared" si="203"/>
        <v>MEXICO AEREO</v>
      </c>
      <c r="T663" s="55">
        <v>228</v>
      </c>
      <c r="U663" s="56">
        <v>0.6791666666666667</v>
      </c>
      <c r="V663" s="57">
        <v>0.68263888888888891</v>
      </c>
      <c r="W663" s="58">
        <v>3.4722222222222099E-3</v>
      </c>
      <c r="X663" s="57">
        <v>0.68680555555555556</v>
      </c>
      <c r="Y663" s="58">
        <v>4.1666666666666519E-3</v>
      </c>
      <c r="Z663" s="59">
        <v>41730</v>
      </c>
      <c r="AA663" s="60" t="s">
        <v>19</v>
      </c>
      <c r="AB663" s="61">
        <v>5.7484567901234674E-3</v>
      </c>
      <c r="AC663" s="61">
        <v>7.7932098765431824E-3</v>
      </c>
      <c r="AD663" s="62">
        <v>1.354166666666665E-2</v>
      </c>
      <c r="AE663" s="167" t="s">
        <v>45</v>
      </c>
      <c r="AF663" s="167">
        <v>126</v>
      </c>
      <c r="AG663" s="168" t="s">
        <v>21</v>
      </c>
      <c r="AI663">
        <v>649</v>
      </c>
      <c r="AJ663" s="77" t="str">
        <f t="shared" si="210"/>
        <v>MEXICO AEREO</v>
      </c>
      <c r="AK663" s="77">
        <f t="shared" si="210"/>
        <v>160</v>
      </c>
      <c r="AL663" s="78">
        <v>0.45208333333333334</v>
      </c>
      <c r="AM663" s="79">
        <v>0.4548611111111111</v>
      </c>
      <c r="AN663" s="80">
        <v>2.7777777777777679E-3</v>
      </c>
      <c r="AO663" s="79">
        <v>0.46180555555555558</v>
      </c>
      <c r="AP663" s="80">
        <v>6.9444444444444753E-3</v>
      </c>
      <c r="AQ663" s="81">
        <v>41803</v>
      </c>
      <c r="AR663" s="77" t="str">
        <f t="shared" si="217"/>
        <v>Nacional</v>
      </c>
      <c r="AS663" s="77">
        <f t="shared" si="217"/>
        <v>6.5104166666666748E-3</v>
      </c>
      <c r="AT663" s="77">
        <f t="shared" si="217"/>
        <v>1.3476822916666666</v>
      </c>
      <c r="AU663" s="77">
        <f t="shared" si="217"/>
        <v>1.3541927083333334</v>
      </c>
      <c r="AV663" s="77">
        <f t="shared" si="217"/>
        <v>738</v>
      </c>
      <c r="AW663" s="77">
        <f t="shared" si="217"/>
        <v>189</v>
      </c>
      <c r="AX663" s="77" t="str">
        <f t="shared" si="217"/>
        <v>MEX</v>
      </c>
    </row>
    <row r="664" spans="1:50" x14ac:dyDescent="0.25">
      <c r="A664">
        <v>650</v>
      </c>
      <c r="B664" s="36" t="str">
        <f t="shared" si="215"/>
        <v>INTERAVIÓN</v>
      </c>
      <c r="C664" s="36">
        <f t="shared" si="215"/>
        <v>2210</v>
      </c>
      <c r="D664" s="74">
        <v>0.44305555555555554</v>
      </c>
      <c r="E664" s="74">
        <v>0.45555555555555555</v>
      </c>
      <c r="F664" s="75">
        <v>1.2500000000000011E-2</v>
      </c>
      <c r="G664" s="74">
        <v>0.46666666666666662</v>
      </c>
      <c r="H664" s="75">
        <v>1.1111111111111072E-2</v>
      </c>
      <c r="I664" s="76">
        <v>41718</v>
      </c>
      <c r="J664" s="36" t="str">
        <f t="shared" si="219"/>
        <v>Nacional</v>
      </c>
      <c r="K664" s="36">
        <f t="shared" si="219"/>
        <v>6.6666666666666654E-3</v>
      </c>
      <c r="L664" s="36">
        <f t="shared" si="219"/>
        <v>4.8611111111111216E-3</v>
      </c>
      <c r="M664" s="36">
        <f t="shared" si="219"/>
        <v>1.1527777777777786E-2</v>
      </c>
      <c r="N664" s="36">
        <f t="shared" si="219"/>
        <v>320</v>
      </c>
      <c r="O664" s="36">
        <f t="shared" si="219"/>
        <v>179</v>
      </c>
      <c r="P664" s="36" t="str">
        <f t="shared" si="219"/>
        <v>MEX</v>
      </c>
      <c r="R664">
        <v>650</v>
      </c>
      <c r="S664" s="36" t="str">
        <f t="shared" si="203"/>
        <v>MEXICO AEREO</v>
      </c>
      <c r="T664" s="36">
        <f t="shared" si="203"/>
        <v>228</v>
      </c>
      <c r="U664" s="73">
        <v>0.65069444444444446</v>
      </c>
      <c r="V664" s="74">
        <v>0.67013888888888884</v>
      </c>
      <c r="W664" s="75">
        <v>1.9444444444444375E-2</v>
      </c>
      <c r="X664" s="74">
        <v>0.68472222222222223</v>
      </c>
      <c r="Y664" s="75">
        <v>1.4583333333333393E-2</v>
      </c>
      <c r="Z664" s="76">
        <v>41731</v>
      </c>
      <c r="AA664" s="36" t="str">
        <f t="shared" ref="AA664:AG680" si="220">AA663</f>
        <v>Nacional</v>
      </c>
      <c r="AB664" s="36">
        <f t="shared" si="220"/>
        <v>5.7484567901234674E-3</v>
      </c>
      <c r="AC664" s="36">
        <f t="shared" si="220"/>
        <v>7.7932098765431824E-3</v>
      </c>
      <c r="AD664" s="36">
        <f t="shared" si="220"/>
        <v>1.354166666666665E-2</v>
      </c>
      <c r="AE664" s="36" t="str">
        <f t="shared" si="220"/>
        <v>B737-700</v>
      </c>
      <c r="AF664" s="36">
        <f t="shared" si="220"/>
        <v>126</v>
      </c>
      <c r="AG664" s="36" t="str">
        <f t="shared" si="220"/>
        <v>MEX</v>
      </c>
      <c r="AI664">
        <v>650</v>
      </c>
      <c r="AJ664" s="77" t="str">
        <f t="shared" si="210"/>
        <v>MEXICO AEREO</v>
      </c>
      <c r="AK664" s="77">
        <f t="shared" si="210"/>
        <v>160</v>
      </c>
      <c r="AL664" s="78">
        <v>0.88194444444444453</v>
      </c>
      <c r="AM664" s="79">
        <v>0.8930555555555556</v>
      </c>
      <c r="AN664" s="80">
        <v>1.1111111111111072E-2</v>
      </c>
      <c r="AO664" s="79">
        <v>0.90138888888888891</v>
      </c>
      <c r="AP664" s="80">
        <v>8.3333333333333037E-3</v>
      </c>
      <c r="AQ664" s="81">
        <v>41807</v>
      </c>
      <c r="AR664" s="77" t="str">
        <f t="shared" si="217"/>
        <v>Nacional</v>
      </c>
      <c r="AS664" s="77">
        <f t="shared" si="217"/>
        <v>6.5104166666666748E-3</v>
      </c>
      <c r="AT664" s="77">
        <f t="shared" si="217"/>
        <v>1.3476822916666666</v>
      </c>
      <c r="AU664" s="77">
        <f t="shared" si="217"/>
        <v>1.3541927083333334</v>
      </c>
      <c r="AV664" s="77">
        <f t="shared" si="217"/>
        <v>738</v>
      </c>
      <c r="AW664" s="77">
        <f t="shared" si="217"/>
        <v>189</v>
      </c>
      <c r="AX664" s="77" t="str">
        <f t="shared" si="217"/>
        <v>MEX</v>
      </c>
    </row>
    <row r="665" spans="1:50" x14ac:dyDescent="0.25">
      <c r="A665">
        <v>651</v>
      </c>
      <c r="B665" s="36" t="str">
        <f t="shared" si="215"/>
        <v>INTERAVIÓN</v>
      </c>
      <c r="C665" s="36">
        <f t="shared" si="215"/>
        <v>2210</v>
      </c>
      <c r="D665" s="74">
        <v>0.4291666666666667</v>
      </c>
      <c r="E665" s="74">
        <v>0.44097222222222227</v>
      </c>
      <c r="F665" s="75">
        <v>1.1805555555555569E-2</v>
      </c>
      <c r="G665" s="74">
        <v>0.44791666666666669</v>
      </c>
      <c r="H665" s="75">
        <v>6.9444444444444198E-3</v>
      </c>
      <c r="I665" s="76">
        <v>41721</v>
      </c>
      <c r="J665" s="36" t="str">
        <f t="shared" si="219"/>
        <v>Nacional</v>
      </c>
      <c r="K665" s="36">
        <f t="shared" si="219"/>
        <v>6.6666666666666654E-3</v>
      </c>
      <c r="L665" s="36">
        <f t="shared" si="219"/>
        <v>4.8611111111111216E-3</v>
      </c>
      <c r="M665" s="36">
        <f t="shared" si="219"/>
        <v>1.1527777777777786E-2</v>
      </c>
      <c r="N665" s="36">
        <f t="shared" si="219"/>
        <v>320</v>
      </c>
      <c r="O665" s="36">
        <f t="shared" si="219"/>
        <v>179</v>
      </c>
      <c r="P665" s="36" t="str">
        <f t="shared" si="219"/>
        <v>MEX</v>
      </c>
      <c r="R665">
        <v>651</v>
      </c>
      <c r="S665" s="36" t="str">
        <f t="shared" si="203"/>
        <v>MEXICO AEREO</v>
      </c>
      <c r="T665" s="36">
        <f t="shared" si="203"/>
        <v>228</v>
      </c>
      <c r="U665" s="73">
        <v>0.71527777777777779</v>
      </c>
      <c r="V665" s="74">
        <v>0.72013888888888899</v>
      </c>
      <c r="W665" s="75">
        <v>4.8611111111112049E-3</v>
      </c>
      <c r="X665" s="74">
        <v>0.72569444444444453</v>
      </c>
      <c r="Y665" s="75">
        <v>5.5555555555555358E-3</v>
      </c>
      <c r="Z665" s="76">
        <v>41733</v>
      </c>
      <c r="AA665" s="36" t="str">
        <f t="shared" si="220"/>
        <v>Nacional</v>
      </c>
      <c r="AB665" s="36">
        <f t="shared" si="220"/>
        <v>5.7484567901234674E-3</v>
      </c>
      <c r="AC665" s="36">
        <f t="shared" si="220"/>
        <v>7.7932098765431824E-3</v>
      </c>
      <c r="AD665" s="36">
        <f t="shared" si="220"/>
        <v>1.354166666666665E-2</v>
      </c>
      <c r="AE665" s="36" t="str">
        <f t="shared" si="220"/>
        <v>B737-700</v>
      </c>
      <c r="AF665" s="36">
        <f t="shared" si="220"/>
        <v>126</v>
      </c>
      <c r="AG665" s="36" t="str">
        <f t="shared" si="220"/>
        <v>MEX</v>
      </c>
      <c r="AI665">
        <v>651</v>
      </c>
      <c r="AJ665" s="77" t="str">
        <f t="shared" si="210"/>
        <v>MEXICO AEREO</v>
      </c>
      <c r="AK665" s="77">
        <f t="shared" si="210"/>
        <v>160</v>
      </c>
      <c r="AL665" s="78">
        <v>0.92638888888888893</v>
      </c>
      <c r="AM665" s="79">
        <v>0.9375</v>
      </c>
      <c r="AN665" s="80">
        <v>1.1111111111111072E-2</v>
      </c>
      <c r="AO665" s="79">
        <v>0.94097222222222221</v>
      </c>
      <c r="AP665" s="80">
        <v>3.4722222222222099E-3</v>
      </c>
      <c r="AQ665" s="81">
        <v>41808</v>
      </c>
      <c r="AR665" s="77" t="str">
        <f t="shared" si="217"/>
        <v>Nacional</v>
      </c>
      <c r="AS665" s="77">
        <f t="shared" si="217"/>
        <v>6.5104166666666748E-3</v>
      </c>
      <c r="AT665" s="77">
        <f t="shared" si="217"/>
        <v>1.3476822916666666</v>
      </c>
      <c r="AU665" s="77">
        <f t="shared" si="217"/>
        <v>1.3541927083333334</v>
      </c>
      <c r="AV665" s="77">
        <f t="shared" si="217"/>
        <v>738</v>
      </c>
      <c r="AW665" s="77">
        <f t="shared" si="217"/>
        <v>189</v>
      </c>
      <c r="AX665" s="77" t="str">
        <f t="shared" si="217"/>
        <v>MEX</v>
      </c>
    </row>
    <row r="666" spans="1:50" x14ac:dyDescent="0.25">
      <c r="A666">
        <v>652</v>
      </c>
      <c r="B666" s="36" t="str">
        <f t="shared" si="215"/>
        <v>INTERAVIÓN</v>
      </c>
      <c r="C666" s="36">
        <f t="shared" si="215"/>
        <v>2210</v>
      </c>
      <c r="D666" s="74">
        <v>0.4375</v>
      </c>
      <c r="E666" s="74">
        <v>0.43958333333333338</v>
      </c>
      <c r="F666" s="75">
        <v>2.0833333333333814E-3</v>
      </c>
      <c r="G666" s="74">
        <v>0.44236111111111115</v>
      </c>
      <c r="H666" s="75">
        <v>2.7777777777777679E-3</v>
      </c>
      <c r="I666" s="76">
        <v>41722</v>
      </c>
      <c r="J666" s="36" t="str">
        <f t="shared" si="219"/>
        <v>Nacional</v>
      </c>
      <c r="K666" s="36">
        <f t="shared" si="219"/>
        <v>6.6666666666666654E-3</v>
      </c>
      <c r="L666" s="36">
        <f t="shared" si="219"/>
        <v>4.8611111111111216E-3</v>
      </c>
      <c r="M666" s="36">
        <f t="shared" si="219"/>
        <v>1.1527777777777786E-2</v>
      </c>
      <c r="N666" s="36">
        <f t="shared" si="219"/>
        <v>320</v>
      </c>
      <c r="O666" s="36">
        <f t="shared" si="219"/>
        <v>179</v>
      </c>
      <c r="P666" s="36" t="str">
        <f t="shared" si="219"/>
        <v>MEX</v>
      </c>
      <c r="R666">
        <v>652</v>
      </c>
      <c r="S666" s="36" t="str">
        <f t="shared" si="203"/>
        <v>MEXICO AEREO</v>
      </c>
      <c r="T666" s="36">
        <f t="shared" si="203"/>
        <v>228</v>
      </c>
      <c r="U666" s="73">
        <v>0.70833333333333337</v>
      </c>
      <c r="V666" s="74">
        <v>0.71180555555555547</v>
      </c>
      <c r="W666" s="75">
        <v>3.4722222222220989E-3</v>
      </c>
      <c r="X666" s="74">
        <v>0.71875</v>
      </c>
      <c r="Y666" s="75">
        <v>6.9444444444445308E-3</v>
      </c>
      <c r="Z666" s="76">
        <v>41735</v>
      </c>
      <c r="AA666" s="36" t="str">
        <f t="shared" si="220"/>
        <v>Nacional</v>
      </c>
      <c r="AB666" s="36">
        <f t="shared" si="220"/>
        <v>5.7484567901234674E-3</v>
      </c>
      <c r="AC666" s="36">
        <f t="shared" si="220"/>
        <v>7.7932098765431824E-3</v>
      </c>
      <c r="AD666" s="36">
        <f t="shared" si="220"/>
        <v>1.354166666666665E-2</v>
      </c>
      <c r="AE666" s="36" t="str">
        <f t="shared" si="220"/>
        <v>B737-700</v>
      </c>
      <c r="AF666" s="36">
        <f t="shared" si="220"/>
        <v>126</v>
      </c>
      <c r="AG666" s="36" t="str">
        <f t="shared" si="220"/>
        <v>MEX</v>
      </c>
      <c r="AI666">
        <v>652</v>
      </c>
      <c r="AJ666" s="77" t="str">
        <f t="shared" si="210"/>
        <v>MEXICO AEREO</v>
      </c>
      <c r="AK666" s="77">
        <f t="shared" si="210"/>
        <v>160</v>
      </c>
      <c r="AL666" s="78">
        <v>0.94861111111111107</v>
      </c>
      <c r="AM666" s="79">
        <v>0.95763888888888893</v>
      </c>
      <c r="AN666" s="80">
        <v>9.0277777777778567E-3</v>
      </c>
      <c r="AO666" s="79">
        <v>0.96527777777777779</v>
      </c>
      <c r="AP666" s="80">
        <v>7.6388888888888618E-3</v>
      </c>
      <c r="AQ666" s="81">
        <v>41809</v>
      </c>
      <c r="AR666" s="77" t="str">
        <f t="shared" si="217"/>
        <v>Nacional</v>
      </c>
      <c r="AS666" s="77">
        <f t="shared" si="217"/>
        <v>6.5104166666666748E-3</v>
      </c>
      <c r="AT666" s="77">
        <f t="shared" si="217"/>
        <v>1.3476822916666666</v>
      </c>
      <c r="AU666" s="77">
        <f t="shared" si="217"/>
        <v>1.3541927083333334</v>
      </c>
      <c r="AV666" s="77">
        <f t="shared" si="217"/>
        <v>738</v>
      </c>
      <c r="AW666" s="77">
        <f t="shared" si="217"/>
        <v>189</v>
      </c>
      <c r="AX666" s="77" t="str">
        <f t="shared" si="217"/>
        <v>MEX</v>
      </c>
    </row>
    <row r="667" spans="1:50" x14ac:dyDescent="0.25">
      <c r="A667">
        <v>653</v>
      </c>
      <c r="B667" s="36" t="str">
        <f t="shared" si="215"/>
        <v>INTERAVIÓN</v>
      </c>
      <c r="C667" s="36">
        <f t="shared" si="215"/>
        <v>2210</v>
      </c>
      <c r="D667" s="74">
        <v>0.43611111111111112</v>
      </c>
      <c r="E667" s="74">
        <v>0.44097222222222227</v>
      </c>
      <c r="F667" s="75">
        <v>4.8611111111111494E-3</v>
      </c>
      <c r="G667" s="74">
        <v>0.4465277777777778</v>
      </c>
      <c r="H667" s="75">
        <v>5.5555555555555358E-3</v>
      </c>
      <c r="I667" s="76">
        <v>41725</v>
      </c>
      <c r="J667" s="36" t="str">
        <f t="shared" si="219"/>
        <v>Nacional</v>
      </c>
      <c r="K667" s="36">
        <f t="shared" si="219"/>
        <v>6.6666666666666654E-3</v>
      </c>
      <c r="L667" s="36">
        <f t="shared" si="219"/>
        <v>4.8611111111111216E-3</v>
      </c>
      <c r="M667" s="36">
        <f t="shared" si="219"/>
        <v>1.1527777777777786E-2</v>
      </c>
      <c r="N667" s="36">
        <f t="shared" si="219"/>
        <v>320</v>
      </c>
      <c r="O667" s="36">
        <f t="shared" si="219"/>
        <v>179</v>
      </c>
      <c r="P667" s="36" t="str">
        <f t="shared" si="219"/>
        <v>MEX</v>
      </c>
      <c r="R667">
        <v>653</v>
      </c>
      <c r="S667" s="36" t="str">
        <f t="shared" si="203"/>
        <v>MEXICO AEREO</v>
      </c>
      <c r="T667" s="36">
        <f t="shared" si="203"/>
        <v>228</v>
      </c>
      <c r="U667" s="73">
        <v>0.6694444444444444</v>
      </c>
      <c r="V667" s="74">
        <v>0.67222222222222217</v>
      </c>
      <c r="W667" s="75">
        <v>2.7777777777777679E-3</v>
      </c>
      <c r="X667" s="74">
        <v>0.6777777777777777</v>
      </c>
      <c r="Y667" s="75">
        <v>5.5555555555555358E-3</v>
      </c>
      <c r="Z667" s="76">
        <v>41736</v>
      </c>
      <c r="AA667" s="36" t="str">
        <f t="shared" si="220"/>
        <v>Nacional</v>
      </c>
      <c r="AB667" s="36">
        <f t="shared" si="220"/>
        <v>5.7484567901234674E-3</v>
      </c>
      <c r="AC667" s="36">
        <f t="shared" si="220"/>
        <v>7.7932098765431824E-3</v>
      </c>
      <c r="AD667" s="36">
        <f t="shared" si="220"/>
        <v>1.354166666666665E-2</v>
      </c>
      <c r="AE667" s="36" t="str">
        <f t="shared" si="220"/>
        <v>B737-700</v>
      </c>
      <c r="AF667" s="36">
        <f t="shared" si="220"/>
        <v>126</v>
      </c>
      <c r="AG667" s="36" t="str">
        <f t="shared" si="220"/>
        <v>MEX</v>
      </c>
      <c r="AI667">
        <v>653</v>
      </c>
      <c r="AJ667" s="77" t="str">
        <f t="shared" si="210"/>
        <v>MEXICO AEREO</v>
      </c>
      <c r="AK667" s="77">
        <f t="shared" si="210"/>
        <v>160</v>
      </c>
      <c r="AL667" s="78">
        <v>0.93680555555555556</v>
      </c>
      <c r="AM667" s="79">
        <v>0.94513888888888886</v>
      </c>
      <c r="AN667" s="80">
        <v>8.3333333333333037E-3</v>
      </c>
      <c r="AO667" s="79">
        <v>0.95624999999999993</v>
      </c>
      <c r="AP667" s="80">
        <v>1.1111111111111072E-2</v>
      </c>
      <c r="AQ667" s="81">
        <v>41810</v>
      </c>
      <c r="AR667" s="77" t="str">
        <f t="shared" si="217"/>
        <v>Nacional</v>
      </c>
      <c r="AS667" s="77">
        <f t="shared" si="217"/>
        <v>6.5104166666666748E-3</v>
      </c>
      <c r="AT667" s="77">
        <f t="shared" si="217"/>
        <v>1.3476822916666666</v>
      </c>
      <c r="AU667" s="77">
        <f t="shared" si="217"/>
        <v>1.3541927083333334</v>
      </c>
      <c r="AV667" s="77">
        <f t="shared" si="217"/>
        <v>738</v>
      </c>
      <c r="AW667" s="77">
        <f t="shared" si="217"/>
        <v>189</v>
      </c>
      <c r="AX667" s="77" t="str">
        <f t="shared" si="217"/>
        <v>MEX</v>
      </c>
    </row>
    <row r="668" spans="1:50" x14ac:dyDescent="0.25">
      <c r="A668">
        <v>654</v>
      </c>
      <c r="B668" s="36" t="str">
        <f t="shared" si="215"/>
        <v>INTERAVIÓN</v>
      </c>
      <c r="C668" s="36">
        <f t="shared" si="215"/>
        <v>2210</v>
      </c>
      <c r="D668" s="74">
        <v>0.4465277777777778</v>
      </c>
      <c r="E668" s="74">
        <v>0.45208333333333334</v>
      </c>
      <c r="F668" s="75">
        <v>5.5555555555555358E-3</v>
      </c>
      <c r="G668" s="74">
        <v>0.45416666666666666</v>
      </c>
      <c r="H668" s="75">
        <v>2.0833333333333259E-3</v>
      </c>
      <c r="I668" s="76">
        <v>41725</v>
      </c>
      <c r="J668" s="36" t="str">
        <f t="shared" si="219"/>
        <v>Nacional</v>
      </c>
      <c r="K668" s="36">
        <f t="shared" si="219"/>
        <v>6.6666666666666654E-3</v>
      </c>
      <c r="L668" s="36">
        <f t="shared" si="219"/>
        <v>4.8611111111111216E-3</v>
      </c>
      <c r="M668" s="36">
        <f t="shared" si="219"/>
        <v>1.1527777777777786E-2</v>
      </c>
      <c r="N668" s="36">
        <f t="shared" si="219"/>
        <v>320</v>
      </c>
      <c r="O668" s="36">
        <f t="shared" si="219"/>
        <v>179</v>
      </c>
      <c r="P668" s="36" t="str">
        <f t="shared" si="219"/>
        <v>MEX</v>
      </c>
      <c r="R668">
        <v>654</v>
      </c>
      <c r="S668" s="36" t="str">
        <f t="shared" si="203"/>
        <v>MEXICO AEREO</v>
      </c>
      <c r="T668" s="36">
        <f t="shared" si="203"/>
        <v>228</v>
      </c>
      <c r="U668" s="73">
        <v>0.6791666666666667</v>
      </c>
      <c r="V668" s="74">
        <v>0.68194444444444446</v>
      </c>
      <c r="W668" s="75">
        <v>2.7777777777777679E-3</v>
      </c>
      <c r="X668" s="74">
        <v>0.68819444444444444</v>
      </c>
      <c r="Y668" s="75">
        <v>6.2499999999999778E-3</v>
      </c>
      <c r="Z668" s="76">
        <v>41737</v>
      </c>
      <c r="AA668" s="36" t="str">
        <f t="shared" si="220"/>
        <v>Nacional</v>
      </c>
      <c r="AB668" s="36">
        <f t="shared" si="220"/>
        <v>5.7484567901234674E-3</v>
      </c>
      <c r="AC668" s="36">
        <f t="shared" si="220"/>
        <v>7.7932098765431824E-3</v>
      </c>
      <c r="AD668" s="36">
        <f t="shared" si="220"/>
        <v>1.354166666666665E-2</v>
      </c>
      <c r="AE668" s="36" t="str">
        <f t="shared" si="220"/>
        <v>B737-700</v>
      </c>
      <c r="AF668" s="36">
        <f t="shared" si="220"/>
        <v>126</v>
      </c>
      <c r="AG668" s="36" t="str">
        <f t="shared" si="220"/>
        <v>MEX</v>
      </c>
      <c r="AI668">
        <v>654</v>
      </c>
      <c r="AJ668" s="77" t="str">
        <f t="shared" si="210"/>
        <v>MEXICO AEREO</v>
      </c>
      <c r="AK668" s="77">
        <f t="shared" si="210"/>
        <v>160</v>
      </c>
      <c r="AL668" s="78">
        <v>0.92499999999999993</v>
      </c>
      <c r="AM668" s="79">
        <v>0.93125000000000002</v>
      </c>
      <c r="AN668" s="80">
        <v>6.2500000000000888E-3</v>
      </c>
      <c r="AO668" s="79">
        <v>22.34</v>
      </c>
      <c r="AP668" s="80">
        <v>21.408750000000001</v>
      </c>
      <c r="AQ668" s="81">
        <v>41812</v>
      </c>
      <c r="AR668" s="77" t="str">
        <f t="shared" si="217"/>
        <v>Nacional</v>
      </c>
      <c r="AS668" s="77">
        <f t="shared" si="217"/>
        <v>6.5104166666666748E-3</v>
      </c>
      <c r="AT668" s="77">
        <f t="shared" si="217"/>
        <v>1.3476822916666666</v>
      </c>
      <c r="AU668" s="77">
        <f t="shared" si="217"/>
        <v>1.3541927083333334</v>
      </c>
      <c r="AV668" s="77">
        <f t="shared" si="217"/>
        <v>738</v>
      </c>
      <c r="AW668" s="77">
        <f t="shared" si="217"/>
        <v>189</v>
      </c>
      <c r="AX668" s="77" t="str">
        <f t="shared" si="217"/>
        <v>MEX</v>
      </c>
    </row>
    <row r="669" spans="1:50" ht="15.75" thickBot="1" x14ac:dyDescent="0.3">
      <c r="A669">
        <v>655</v>
      </c>
      <c r="B669" s="36" t="str">
        <f t="shared" si="215"/>
        <v>INTERAVIÓN</v>
      </c>
      <c r="C669" s="36">
        <f t="shared" si="215"/>
        <v>2210</v>
      </c>
      <c r="D669" s="74">
        <v>0.4375</v>
      </c>
      <c r="E669" s="74">
        <v>0.44444444444444442</v>
      </c>
      <c r="F669" s="75">
        <v>6.9444444444444198E-3</v>
      </c>
      <c r="G669" s="74">
        <v>0.44861111111111113</v>
      </c>
      <c r="H669" s="75">
        <v>4.1666666666667074E-3</v>
      </c>
      <c r="I669" s="76">
        <v>41726</v>
      </c>
      <c r="J669" s="36" t="str">
        <f t="shared" si="219"/>
        <v>Nacional</v>
      </c>
      <c r="K669" s="36">
        <f t="shared" si="219"/>
        <v>6.6666666666666654E-3</v>
      </c>
      <c r="L669" s="36">
        <f t="shared" si="219"/>
        <v>4.8611111111111216E-3</v>
      </c>
      <c r="M669" s="36">
        <f t="shared" si="219"/>
        <v>1.1527777777777786E-2</v>
      </c>
      <c r="N669" s="36">
        <f t="shared" si="219"/>
        <v>320</v>
      </c>
      <c r="O669" s="36">
        <f t="shared" si="219"/>
        <v>179</v>
      </c>
      <c r="P669" s="36" t="str">
        <f t="shared" si="219"/>
        <v>MEX</v>
      </c>
      <c r="R669">
        <v>655</v>
      </c>
      <c r="S669" s="36" t="str">
        <f t="shared" si="203"/>
        <v>MEXICO AEREO</v>
      </c>
      <c r="T669" s="36">
        <f t="shared" si="203"/>
        <v>228</v>
      </c>
      <c r="U669" s="73">
        <v>0.67708333333333337</v>
      </c>
      <c r="V669" s="74">
        <v>0.6791666666666667</v>
      </c>
      <c r="W669" s="75">
        <v>2.0833333333333259E-3</v>
      </c>
      <c r="X669" s="74">
        <v>0.68194444444444446</v>
      </c>
      <c r="Y669" s="75">
        <v>2.7777777777777679E-3</v>
      </c>
      <c r="Z669" s="76">
        <v>41738</v>
      </c>
      <c r="AA669" s="36" t="str">
        <f t="shared" si="220"/>
        <v>Nacional</v>
      </c>
      <c r="AB669" s="36">
        <f t="shared" si="220"/>
        <v>5.7484567901234674E-3</v>
      </c>
      <c r="AC669" s="36">
        <f t="shared" si="220"/>
        <v>7.7932098765431824E-3</v>
      </c>
      <c r="AD669" s="36">
        <f t="shared" si="220"/>
        <v>1.354166666666665E-2</v>
      </c>
      <c r="AE669" s="36" t="str">
        <f t="shared" si="220"/>
        <v>B737-700</v>
      </c>
      <c r="AF669" s="36">
        <f t="shared" si="220"/>
        <v>126</v>
      </c>
      <c r="AG669" s="36" t="str">
        <f t="shared" si="220"/>
        <v>MEX</v>
      </c>
      <c r="AI669">
        <v>655</v>
      </c>
      <c r="AJ669" s="77" t="str">
        <f t="shared" si="210"/>
        <v>MEXICO AEREO</v>
      </c>
      <c r="AK669" s="77">
        <f t="shared" si="210"/>
        <v>160</v>
      </c>
      <c r="AL669" s="94">
        <v>0.92708333333333337</v>
      </c>
      <c r="AM669" s="95">
        <v>0.93402777777777779</v>
      </c>
      <c r="AN669" s="96">
        <v>6.9444444444444198E-3</v>
      </c>
      <c r="AO669" s="95">
        <v>0.94097222222222221</v>
      </c>
      <c r="AP669" s="96">
        <v>6.9444444444444198E-3</v>
      </c>
      <c r="AQ669" s="97">
        <v>41813</v>
      </c>
      <c r="AR669" s="77" t="str">
        <f t="shared" si="217"/>
        <v>Nacional</v>
      </c>
      <c r="AS669" s="77">
        <f t="shared" si="217"/>
        <v>6.5104166666666748E-3</v>
      </c>
      <c r="AT669" s="77">
        <f t="shared" si="217"/>
        <v>1.3476822916666666</v>
      </c>
      <c r="AU669" s="77">
        <f t="shared" si="217"/>
        <v>1.3541927083333334</v>
      </c>
      <c r="AV669" s="77">
        <f t="shared" si="217"/>
        <v>738</v>
      </c>
      <c r="AW669" s="77">
        <f t="shared" si="217"/>
        <v>189</v>
      </c>
      <c r="AX669" s="77" t="str">
        <f t="shared" si="217"/>
        <v>MEX</v>
      </c>
    </row>
    <row r="670" spans="1:50" x14ac:dyDescent="0.25">
      <c r="A670">
        <v>656</v>
      </c>
      <c r="B670" s="36" t="str">
        <f t="shared" si="215"/>
        <v>INTERAVIÓN</v>
      </c>
      <c r="C670" s="36">
        <f t="shared" si="215"/>
        <v>2210</v>
      </c>
      <c r="D670" s="74">
        <v>0.43541666666666662</v>
      </c>
      <c r="E670" s="74">
        <v>0.44027777777777777</v>
      </c>
      <c r="F670" s="75">
        <v>4.8611111111111494E-3</v>
      </c>
      <c r="G670" s="74">
        <v>0.44375000000000003</v>
      </c>
      <c r="H670" s="75">
        <v>3.4722222222222654E-3</v>
      </c>
      <c r="I670" s="76">
        <v>41727</v>
      </c>
      <c r="J670" s="36" t="str">
        <f t="shared" si="219"/>
        <v>Nacional</v>
      </c>
      <c r="K670" s="36">
        <f t="shared" si="219"/>
        <v>6.6666666666666654E-3</v>
      </c>
      <c r="L670" s="36">
        <f t="shared" si="219"/>
        <v>4.8611111111111216E-3</v>
      </c>
      <c r="M670" s="36">
        <f t="shared" si="219"/>
        <v>1.1527777777777786E-2</v>
      </c>
      <c r="N670" s="36">
        <f t="shared" si="219"/>
        <v>320</v>
      </c>
      <c r="O670" s="36">
        <f t="shared" si="219"/>
        <v>179</v>
      </c>
      <c r="P670" s="36" t="str">
        <f t="shared" si="219"/>
        <v>MEX</v>
      </c>
      <c r="R670">
        <v>656</v>
      </c>
      <c r="S670" s="36" t="str">
        <f t="shared" si="203"/>
        <v>MEXICO AEREO</v>
      </c>
      <c r="T670" s="36">
        <f t="shared" si="203"/>
        <v>228</v>
      </c>
      <c r="U670" s="73">
        <v>0.68125000000000002</v>
      </c>
      <c r="V670" s="74">
        <v>0.68402777777777779</v>
      </c>
      <c r="W670" s="75">
        <v>2.7777777777777679E-3</v>
      </c>
      <c r="X670" s="74">
        <v>0.69236111111111109</v>
      </c>
      <c r="Y670" s="75">
        <v>8.3333333333333037E-3</v>
      </c>
      <c r="Z670" s="76">
        <v>41739</v>
      </c>
      <c r="AA670" s="36" t="str">
        <f t="shared" si="220"/>
        <v>Nacional</v>
      </c>
      <c r="AB670" s="36">
        <f t="shared" si="220"/>
        <v>5.7484567901234674E-3</v>
      </c>
      <c r="AC670" s="36">
        <f t="shared" si="220"/>
        <v>7.7932098765431824E-3</v>
      </c>
      <c r="AD670" s="36">
        <f t="shared" si="220"/>
        <v>1.354166666666665E-2</v>
      </c>
      <c r="AE670" s="36" t="str">
        <f t="shared" si="220"/>
        <v>B737-700</v>
      </c>
      <c r="AF670" s="36">
        <f t="shared" si="220"/>
        <v>126</v>
      </c>
      <c r="AG670" s="36" t="str">
        <f t="shared" si="220"/>
        <v>MEX</v>
      </c>
      <c r="AI670">
        <v>656</v>
      </c>
      <c r="AJ670" s="77" t="str">
        <f t="shared" si="210"/>
        <v>MEXICO AEREO</v>
      </c>
      <c r="AK670" s="63">
        <v>156</v>
      </c>
      <c r="AL670" s="64">
        <v>0.54999999999999993</v>
      </c>
      <c r="AM670" s="65">
        <v>0.55208333333333337</v>
      </c>
      <c r="AN670" s="66">
        <v>2.083333333333437E-3</v>
      </c>
      <c r="AO670" s="65">
        <v>0.55694444444444446</v>
      </c>
      <c r="AP670" s="66">
        <v>4.8611111111110938E-3</v>
      </c>
      <c r="AQ670" s="67">
        <v>41792</v>
      </c>
      <c r="AR670" s="68" t="s">
        <v>19</v>
      </c>
      <c r="AS670" s="69">
        <v>6.9444444444444623E-3</v>
      </c>
      <c r="AT670" s="70">
        <v>7.371794871794863E-3</v>
      </c>
      <c r="AU670" s="70">
        <v>1.4316239316239324E-2</v>
      </c>
      <c r="AV670" s="71" t="s">
        <v>50</v>
      </c>
      <c r="AW670" s="71">
        <v>99</v>
      </c>
      <c r="AX670" s="72" t="s">
        <v>21</v>
      </c>
    </row>
    <row r="671" spans="1:50" ht="15.75" thickBot="1" x14ac:dyDescent="0.3">
      <c r="A671">
        <v>657</v>
      </c>
      <c r="B671" s="36" t="str">
        <f t="shared" si="215"/>
        <v>INTERAVIÓN</v>
      </c>
      <c r="C671" s="36">
        <f t="shared" si="215"/>
        <v>2210</v>
      </c>
      <c r="D671" s="84">
        <v>0.43055555555555558</v>
      </c>
      <c r="E671" s="84">
        <v>0.43402777777777773</v>
      </c>
      <c r="F671" s="85">
        <v>3.4722222222221544E-3</v>
      </c>
      <c r="G671" s="84">
        <v>0.43888888888888888</v>
      </c>
      <c r="H671" s="85">
        <v>4.8611111111111494E-3</v>
      </c>
      <c r="I671" s="86">
        <v>41729</v>
      </c>
      <c r="J671" s="36" t="str">
        <f t="shared" si="219"/>
        <v>Nacional</v>
      </c>
      <c r="K671" s="36">
        <f t="shared" si="219"/>
        <v>6.6666666666666654E-3</v>
      </c>
      <c r="L671" s="36">
        <f t="shared" si="219"/>
        <v>4.8611111111111216E-3</v>
      </c>
      <c r="M671" s="36">
        <f t="shared" si="219"/>
        <v>1.1527777777777786E-2</v>
      </c>
      <c r="N671" s="36">
        <f t="shared" si="219"/>
        <v>320</v>
      </c>
      <c r="O671" s="36">
        <f t="shared" si="219"/>
        <v>179</v>
      </c>
      <c r="P671" s="36" t="str">
        <f t="shared" si="219"/>
        <v>MEX</v>
      </c>
      <c r="R671">
        <v>657</v>
      </c>
      <c r="S671" s="36" t="str">
        <f t="shared" si="203"/>
        <v>MEXICO AEREO</v>
      </c>
      <c r="T671" s="36">
        <f t="shared" si="203"/>
        <v>228</v>
      </c>
      <c r="U671" s="73">
        <v>0.6743055555555556</v>
      </c>
      <c r="V671" s="74">
        <v>0.68055555555555547</v>
      </c>
      <c r="W671" s="75">
        <v>6.2499999999998668E-3</v>
      </c>
      <c r="X671" s="74">
        <v>0.68819444444444444</v>
      </c>
      <c r="Y671" s="75">
        <v>7.6388888888889728E-3</v>
      </c>
      <c r="Z671" s="76">
        <v>41743</v>
      </c>
      <c r="AA671" s="36" t="str">
        <f t="shared" si="220"/>
        <v>Nacional</v>
      </c>
      <c r="AB671" s="36">
        <f t="shared" si="220"/>
        <v>5.7484567901234674E-3</v>
      </c>
      <c r="AC671" s="36">
        <f t="shared" si="220"/>
        <v>7.7932098765431824E-3</v>
      </c>
      <c r="AD671" s="36">
        <f t="shared" si="220"/>
        <v>1.354166666666665E-2</v>
      </c>
      <c r="AE671" s="36" t="str">
        <f t="shared" si="220"/>
        <v>B737-700</v>
      </c>
      <c r="AF671" s="36">
        <f t="shared" si="220"/>
        <v>126</v>
      </c>
      <c r="AG671" s="36" t="str">
        <f t="shared" si="220"/>
        <v>MEX</v>
      </c>
      <c r="AI671">
        <v>657</v>
      </c>
      <c r="AJ671" s="77" t="str">
        <f t="shared" si="210"/>
        <v>MEXICO AEREO</v>
      </c>
      <c r="AK671" s="77">
        <f t="shared" si="210"/>
        <v>156</v>
      </c>
      <c r="AL671" s="78">
        <v>0.55555555555555558</v>
      </c>
      <c r="AM671" s="79">
        <v>0.55833333333333335</v>
      </c>
      <c r="AN671" s="80">
        <v>2.7777777777777679E-3</v>
      </c>
      <c r="AO671" s="79">
        <v>0.5625</v>
      </c>
      <c r="AP671" s="80">
        <v>4.1666666666666519E-3</v>
      </c>
      <c r="AQ671" s="81">
        <v>41793</v>
      </c>
      <c r="AR671" s="77" t="str">
        <f t="shared" ref="AR671:AX682" si="221">AR670</f>
        <v>Nacional</v>
      </c>
      <c r="AS671" s="77">
        <f t="shared" si="221"/>
        <v>6.9444444444444623E-3</v>
      </c>
      <c r="AT671" s="77">
        <f t="shared" si="221"/>
        <v>7.371794871794863E-3</v>
      </c>
      <c r="AU671" s="77">
        <f t="shared" si="221"/>
        <v>1.4316239316239324E-2</v>
      </c>
      <c r="AV671" s="77" t="str">
        <f t="shared" si="221"/>
        <v>E90</v>
      </c>
      <c r="AW671" s="77">
        <f t="shared" si="221"/>
        <v>99</v>
      </c>
      <c r="AX671" s="77" t="str">
        <f t="shared" si="221"/>
        <v>MEX</v>
      </c>
    </row>
    <row r="672" spans="1:50" x14ac:dyDescent="0.25">
      <c r="A672">
        <v>658</v>
      </c>
      <c r="B672" s="36" t="str">
        <f t="shared" si="215"/>
        <v>INTERAVIÓN</v>
      </c>
      <c r="C672" s="88">
        <v>2208</v>
      </c>
      <c r="D672" s="57">
        <v>0.38055555555555554</v>
      </c>
      <c r="E672" s="57">
        <v>0.39097222222222222</v>
      </c>
      <c r="F672" s="58">
        <v>1.0416666666666685E-2</v>
      </c>
      <c r="G672" s="57">
        <v>0.39930555555555558</v>
      </c>
      <c r="H672" s="58">
        <v>8.3333333333333592E-3</v>
      </c>
      <c r="I672" s="59">
        <v>41715</v>
      </c>
      <c r="J672" s="108" t="s">
        <v>19</v>
      </c>
      <c r="K672" s="61">
        <v>6.8055555555555421E-3</v>
      </c>
      <c r="L672" s="61">
        <v>5.2777777777777866E-3</v>
      </c>
      <c r="M672" s="142">
        <v>1.2083333333333328E-2</v>
      </c>
      <c r="N672" s="90">
        <v>320</v>
      </c>
      <c r="O672" s="91">
        <v>179</v>
      </c>
      <c r="P672" s="92" t="s">
        <v>21</v>
      </c>
      <c r="R672">
        <v>658</v>
      </c>
      <c r="S672" s="36" t="str">
        <f t="shared" si="203"/>
        <v>MEXICO AEREO</v>
      </c>
      <c r="T672" s="36">
        <f t="shared" si="203"/>
        <v>228</v>
      </c>
      <c r="U672" s="73">
        <v>0.67291666666666661</v>
      </c>
      <c r="V672" s="74">
        <v>0.67708333333333337</v>
      </c>
      <c r="W672" s="75">
        <v>4.1666666666667629E-3</v>
      </c>
      <c r="X672" s="74">
        <v>0.68055555555555547</v>
      </c>
      <c r="Y672" s="75">
        <v>3.4722222222220989E-3</v>
      </c>
      <c r="Z672" s="76">
        <v>41744</v>
      </c>
      <c r="AA672" s="36" t="str">
        <f t="shared" si="220"/>
        <v>Nacional</v>
      </c>
      <c r="AB672" s="36">
        <f t="shared" si="220"/>
        <v>5.7484567901234674E-3</v>
      </c>
      <c r="AC672" s="36">
        <f t="shared" si="220"/>
        <v>7.7932098765431824E-3</v>
      </c>
      <c r="AD672" s="36">
        <f t="shared" si="220"/>
        <v>1.354166666666665E-2</v>
      </c>
      <c r="AE672" s="36" t="str">
        <f t="shared" si="220"/>
        <v>B737-700</v>
      </c>
      <c r="AF672" s="36">
        <f t="shared" si="220"/>
        <v>126</v>
      </c>
      <c r="AG672" s="36" t="str">
        <f t="shared" si="220"/>
        <v>MEX</v>
      </c>
      <c r="AI672">
        <v>658</v>
      </c>
      <c r="AJ672" s="77" t="str">
        <f t="shared" si="210"/>
        <v>MEXICO AEREO</v>
      </c>
      <c r="AK672" s="77">
        <f t="shared" si="210"/>
        <v>156</v>
      </c>
      <c r="AL672" s="78">
        <v>0.58263888888888882</v>
      </c>
      <c r="AM672" s="79">
        <v>0.59097222222222223</v>
      </c>
      <c r="AN672" s="80">
        <v>8.3333333333334147E-3</v>
      </c>
      <c r="AO672" s="79">
        <v>0.59513888888888888</v>
      </c>
      <c r="AP672" s="80">
        <v>4.1666666666666519E-3</v>
      </c>
      <c r="AQ672" s="81">
        <v>41794</v>
      </c>
      <c r="AR672" s="77" t="str">
        <f t="shared" si="221"/>
        <v>Nacional</v>
      </c>
      <c r="AS672" s="77">
        <f t="shared" si="221"/>
        <v>6.9444444444444623E-3</v>
      </c>
      <c r="AT672" s="77">
        <f t="shared" si="221"/>
        <v>7.371794871794863E-3</v>
      </c>
      <c r="AU672" s="77">
        <f t="shared" si="221"/>
        <v>1.4316239316239324E-2</v>
      </c>
      <c r="AV672" s="77" t="str">
        <f t="shared" si="221"/>
        <v>E90</v>
      </c>
      <c r="AW672" s="77">
        <f t="shared" si="221"/>
        <v>99</v>
      </c>
      <c r="AX672" s="77" t="str">
        <f t="shared" si="221"/>
        <v>MEX</v>
      </c>
    </row>
    <row r="673" spans="1:50" x14ac:dyDescent="0.25">
      <c r="A673">
        <v>659</v>
      </c>
      <c r="B673" s="36" t="str">
        <f t="shared" si="215"/>
        <v>INTERAVIÓN</v>
      </c>
      <c r="C673" s="36">
        <f t="shared" si="215"/>
        <v>2208</v>
      </c>
      <c r="D673" s="74">
        <v>0.39097222222222222</v>
      </c>
      <c r="E673" s="74">
        <v>0.39583333333333331</v>
      </c>
      <c r="F673" s="75">
        <v>4.8611111111110938E-3</v>
      </c>
      <c r="G673" s="74">
        <v>0.39999999999999997</v>
      </c>
      <c r="H673" s="75">
        <v>4.1666666666666519E-3</v>
      </c>
      <c r="I673" s="76">
        <v>41716</v>
      </c>
      <c r="J673" s="36" t="str">
        <f t="shared" ref="J673:P681" si="222">J672</f>
        <v>Nacional</v>
      </c>
      <c r="K673" s="36">
        <f t="shared" si="222"/>
        <v>6.8055555555555421E-3</v>
      </c>
      <c r="L673" s="36">
        <f t="shared" si="222"/>
        <v>5.2777777777777866E-3</v>
      </c>
      <c r="M673" s="36">
        <f t="shared" si="222"/>
        <v>1.2083333333333328E-2</v>
      </c>
      <c r="N673" s="36">
        <f t="shared" si="222"/>
        <v>320</v>
      </c>
      <c r="O673" s="36">
        <f t="shared" si="222"/>
        <v>179</v>
      </c>
      <c r="P673" s="36" t="str">
        <f t="shared" si="222"/>
        <v>MEX</v>
      </c>
      <c r="R673">
        <v>659</v>
      </c>
      <c r="S673" s="36" t="str">
        <f t="shared" si="203"/>
        <v>MEXICO AEREO</v>
      </c>
      <c r="T673" s="36">
        <f t="shared" si="203"/>
        <v>228</v>
      </c>
      <c r="U673" s="73">
        <v>0.67222222222222217</v>
      </c>
      <c r="V673" s="74">
        <v>0.67847222222222225</v>
      </c>
      <c r="W673" s="75">
        <v>6.2500000000000888E-3</v>
      </c>
      <c r="X673" s="74">
        <v>0.68541666666666667</v>
      </c>
      <c r="Y673" s="75">
        <v>6.9444444444444198E-3</v>
      </c>
      <c r="Z673" s="76">
        <v>41747</v>
      </c>
      <c r="AA673" s="36" t="str">
        <f t="shared" si="220"/>
        <v>Nacional</v>
      </c>
      <c r="AB673" s="36">
        <f t="shared" si="220"/>
        <v>5.7484567901234674E-3</v>
      </c>
      <c r="AC673" s="36">
        <f t="shared" si="220"/>
        <v>7.7932098765431824E-3</v>
      </c>
      <c r="AD673" s="36">
        <f t="shared" si="220"/>
        <v>1.354166666666665E-2</v>
      </c>
      <c r="AE673" s="36" t="str">
        <f t="shared" si="220"/>
        <v>B737-700</v>
      </c>
      <c r="AF673" s="36">
        <f t="shared" si="220"/>
        <v>126</v>
      </c>
      <c r="AG673" s="36" t="str">
        <f t="shared" si="220"/>
        <v>MEX</v>
      </c>
      <c r="AI673">
        <v>659</v>
      </c>
      <c r="AJ673" s="77" t="str">
        <f t="shared" si="210"/>
        <v>MEXICO AEREO</v>
      </c>
      <c r="AK673" s="77">
        <f t="shared" si="210"/>
        <v>156</v>
      </c>
      <c r="AL673" s="78">
        <v>0.55763888888888891</v>
      </c>
      <c r="AM673" s="79">
        <v>0.5625</v>
      </c>
      <c r="AN673" s="80">
        <v>4.8611111111110938E-3</v>
      </c>
      <c r="AO673" s="79">
        <v>0.56944444444444442</v>
      </c>
      <c r="AP673" s="80">
        <v>6.9444444444444198E-3</v>
      </c>
      <c r="AQ673" s="81">
        <v>41795</v>
      </c>
      <c r="AR673" s="77" t="str">
        <f t="shared" si="221"/>
        <v>Nacional</v>
      </c>
      <c r="AS673" s="77">
        <f t="shared" si="221"/>
        <v>6.9444444444444623E-3</v>
      </c>
      <c r="AT673" s="77">
        <f t="shared" si="221"/>
        <v>7.371794871794863E-3</v>
      </c>
      <c r="AU673" s="77">
        <f t="shared" si="221"/>
        <v>1.4316239316239324E-2</v>
      </c>
      <c r="AV673" s="77" t="str">
        <f t="shared" si="221"/>
        <v>E90</v>
      </c>
      <c r="AW673" s="77">
        <f t="shared" si="221"/>
        <v>99</v>
      </c>
      <c r="AX673" s="77" t="str">
        <f t="shared" si="221"/>
        <v>MEX</v>
      </c>
    </row>
    <row r="674" spans="1:50" x14ac:dyDescent="0.25">
      <c r="A674">
        <v>660</v>
      </c>
      <c r="B674" s="36" t="str">
        <f t="shared" si="215"/>
        <v>INTERAVIÓN</v>
      </c>
      <c r="C674" s="36">
        <f t="shared" si="215"/>
        <v>2208</v>
      </c>
      <c r="D674" s="74">
        <v>0.38541666666666669</v>
      </c>
      <c r="E674" s="74">
        <v>0.3923611111111111</v>
      </c>
      <c r="F674" s="75">
        <v>6.9444444444444198E-3</v>
      </c>
      <c r="G674" s="74">
        <v>0.39583333333333331</v>
      </c>
      <c r="H674" s="75">
        <v>3.4722222222222099E-3</v>
      </c>
      <c r="I674" s="76">
        <v>41717</v>
      </c>
      <c r="J674" s="36" t="str">
        <f t="shared" si="222"/>
        <v>Nacional</v>
      </c>
      <c r="K674" s="36">
        <f t="shared" si="222"/>
        <v>6.8055555555555421E-3</v>
      </c>
      <c r="L674" s="36">
        <f t="shared" si="222"/>
        <v>5.2777777777777866E-3</v>
      </c>
      <c r="M674" s="36">
        <f t="shared" si="222"/>
        <v>1.2083333333333328E-2</v>
      </c>
      <c r="N674" s="36">
        <f t="shared" si="222"/>
        <v>320</v>
      </c>
      <c r="O674" s="36">
        <f t="shared" si="222"/>
        <v>179</v>
      </c>
      <c r="P674" s="36" t="str">
        <f t="shared" si="222"/>
        <v>MEX</v>
      </c>
      <c r="R674">
        <v>660</v>
      </c>
      <c r="S674" s="36" t="str">
        <f t="shared" si="203"/>
        <v>MEXICO AEREO</v>
      </c>
      <c r="T674" s="36">
        <f t="shared" si="203"/>
        <v>228</v>
      </c>
      <c r="U674" s="73">
        <v>0.67708333333333337</v>
      </c>
      <c r="V674" s="74">
        <v>0.68402777777777779</v>
      </c>
      <c r="W674" s="75">
        <v>6.9444444444444198E-3</v>
      </c>
      <c r="X674" s="74">
        <v>0.69097222222222221</v>
      </c>
      <c r="Y674" s="75">
        <v>6.9444444444444198E-3</v>
      </c>
      <c r="Z674" s="76">
        <v>41748</v>
      </c>
      <c r="AA674" s="36" t="str">
        <f t="shared" si="220"/>
        <v>Nacional</v>
      </c>
      <c r="AB674" s="36">
        <f t="shared" si="220"/>
        <v>5.7484567901234674E-3</v>
      </c>
      <c r="AC674" s="36">
        <f t="shared" si="220"/>
        <v>7.7932098765431824E-3</v>
      </c>
      <c r="AD674" s="36">
        <f t="shared" si="220"/>
        <v>1.354166666666665E-2</v>
      </c>
      <c r="AE674" s="36" t="str">
        <f t="shared" si="220"/>
        <v>B737-700</v>
      </c>
      <c r="AF674" s="36">
        <f t="shared" si="220"/>
        <v>126</v>
      </c>
      <c r="AG674" s="36" t="str">
        <f t="shared" si="220"/>
        <v>MEX</v>
      </c>
      <c r="AI674">
        <v>660</v>
      </c>
      <c r="AJ674" s="77" t="str">
        <f t="shared" si="210"/>
        <v>MEXICO AEREO</v>
      </c>
      <c r="AK674" s="77">
        <f t="shared" si="210"/>
        <v>156</v>
      </c>
      <c r="AL674" s="78">
        <v>0.54513888888888895</v>
      </c>
      <c r="AM674" s="79">
        <v>0.55069444444444449</v>
      </c>
      <c r="AN674" s="80">
        <v>5.5555555555555358E-3</v>
      </c>
      <c r="AO674" s="79">
        <v>0.55694444444444446</v>
      </c>
      <c r="AP674" s="80">
        <v>6.2499999999999778E-3</v>
      </c>
      <c r="AQ674" s="81">
        <v>41796</v>
      </c>
      <c r="AR674" s="77" t="str">
        <f t="shared" si="221"/>
        <v>Nacional</v>
      </c>
      <c r="AS674" s="77">
        <f t="shared" si="221"/>
        <v>6.9444444444444623E-3</v>
      </c>
      <c r="AT674" s="77">
        <f t="shared" si="221"/>
        <v>7.371794871794863E-3</v>
      </c>
      <c r="AU674" s="77">
        <f t="shared" si="221"/>
        <v>1.4316239316239324E-2</v>
      </c>
      <c r="AV674" s="77" t="str">
        <f t="shared" si="221"/>
        <v>E90</v>
      </c>
      <c r="AW674" s="77">
        <f t="shared" si="221"/>
        <v>99</v>
      </c>
      <c r="AX674" s="77" t="str">
        <f t="shared" si="221"/>
        <v>MEX</v>
      </c>
    </row>
    <row r="675" spans="1:50" x14ac:dyDescent="0.25">
      <c r="A675">
        <v>661</v>
      </c>
      <c r="B675" s="36" t="str">
        <f t="shared" si="215"/>
        <v>INTERAVIÓN</v>
      </c>
      <c r="C675" s="36">
        <f t="shared" si="215"/>
        <v>2208</v>
      </c>
      <c r="D675" s="74">
        <v>0.38680555555555557</v>
      </c>
      <c r="E675" s="74">
        <v>0.39861111111111108</v>
      </c>
      <c r="F675" s="75">
        <v>1.1805555555555514E-2</v>
      </c>
      <c r="G675" s="74">
        <v>0.40416666666666662</v>
      </c>
      <c r="H675" s="75">
        <v>5.5555555555555358E-3</v>
      </c>
      <c r="I675" s="76">
        <v>41718</v>
      </c>
      <c r="J675" s="36" t="str">
        <f t="shared" si="222"/>
        <v>Nacional</v>
      </c>
      <c r="K675" s="36">
        <f t="shared" si="222"/>
        <v>6.8055555555555421E-3</v>
      </c>
      <c r="L675" s="36">
        <f t="shared" si="222"/>
        <v>5.2777777777777866E-3</v>
      </c>
      <c r="M675" s="36">
        <f t="shared" si="222"/>
        <v>1.2083333333333328E-2</v>
      </c>
      <c r="N675" s="36">
        <f t="shared" si="222"/>
        <v>320</v>
      </c>
      <c r="O675" s="36">
        <f t="shared" si="222"/>
        <v>179</v>
      </c>
      <c r="P675" s="36" t="str">
        <f t="shared" si="222"/>
        <v>MEX</v>
      </c>
      <c r="R675">
        <v>661</v>
      </c>
      <c r="S675" s="36" t="str">
        <f t="shared" si="203"/>
        <v>MEXICO AEREO</v>
      </c>
      <c r="T675" s="36">
        <f t="shared" si="203"/>
        <v>228</v>
      </c>
      <c r="U675" s="73">
        <v>0.67291666666666661</v>
      </c>
      <c r="V675" s="74">
        <v>0.68402777777777779</v>
      </c>
      <c r="W675" s="75">
        <v>1.1111111111111183E-2</v>
      </c>
      <c r="X675" s="74">
        <v>0.69097222222222221</v>
      </c>
      <c r="Y675" s="75">
        <v>6.9444444444444198E-3</v>
      </c>
      <c r="Z675" s="76">
        <v>41753</v>
      </c>
      <c r="AA675" s="36" t="str">
        <f t="shared" si="220"/>
        <v>Nacional</v>
      </c>
      <c r="AB675" s="36">
        <f t="shared" si="220"/>
        <v>5.7484567901234674E-3</v>
      </c>
      <c r="AC675" s="36">
        <f t="shared" si="220"/>
        <v>7.7932098765431824E-3</v>
      </c>
      <c r="AD675" s="36">
        <f t="shared" si="220"/>
        <v>1.354166666666665E-2</v>
      </c>
      <c r="AE675" s="36" t="str">
        <f t="shared" si="220"/>
        <v>B737-700</v>
      </c>
      <c r="AF675" s="36">
        <f t="shared" si="220"/>
        <v>126</v>
      </c>
      <c r="AG675" s="36" t="str">
        <f t="shared" si="220"/>
        <v>MEX</v>
      </c>
      <c r="AI675">
        <v>661</v>
      </c>
      <c r="AJ675" s="77" t="str">
        <f t="shared" si="210"/>
        <v>MEXICO AEREO</v>
      </c>
      <c r="AK675" s="77">
        <f t="shared" si="210"/>
        <v>156</v>
      </c>
      <c r="AL675" s="78">
        <v>0.91388888888888886</v>
      </c>
      <c r="AM675" s="79">
        <v>0.92291666666666661</v>
      </c>
      <c r="AN675" s="80">
        <v>9.0277777777777457E-3</v>
      </c>
      <c r="AO675" s="79">
        <v>0.93125000000000002</v>
      </c>
      <c r="AP675" s="80">
        <v>8.3333333333334147E-3</v>
      </c>
      <c r="AQ675" s="81">
        <v>41801</v>
      </c>
      <c r="AR675" s="77" t="str">
        <f t="shared" si="221"/>
        <v>Nacional</v>
      </c>
      <c r="AS675" s="77">
        <f t="shared" si="221"/>
        <v>6.9444444444444623E-3</v>
      </c>
      <c r="AT675" s="77">
        <f t="shared" si="221"/>
        <v>7.371794871794863E-3</v>
      </c>
      <c r="AU675" s="77">
        <f t="shared" si="221"/>
        <v>1.4316239316239324E-2</v>
      </c>
      <c r="AV675" s="77" t="str">
        <f t="shared" si="221"/>
        <v>E90</v>
      </c>
      <c r="AW675" s="77">
        <f t="shared" si="221"/>
        <v>99</v>
      </c>
      <c r="AX675" s="77" t="str">
        <f t="shared" si="221"/>
        <v>MEX</v>
      </c>
    </row>
    <row r="676" spans="1:50" x14ac:dyDescent="0.25">
      <c r="A676">
        <v>662</v>
      </c>
      <c r="B676" s="36" t="str">
        <f t="shared" si="215"/>
        <v>INTERAVIÓN</v>
      </c>
      <c r="C676" s="36">
        <f t="shared" si="215"/>
        <v>2208</v>
      </c>
      <c r="D676" s="74">
        <v>0.38680555555555557</v>
      </c>
      <c r="E676" s="74">
        <v>0.39166666666666666</v>
      </c>
      <c r="F676" s="75">
        <v>4.8611111111110938E-3</v>
      </c>
      <c r="G676" s="74">
        <v>0.39444444444444443</v>
      </c>
      <c r="H676" s="75">
        <v>2.7777777777777679E-3</v>
      </c>
      <c r="I676" s="76">
        <v>41722</v>
      </c>
      <c r="J676" s="36" t="str">
        <f t="shared" si="222"/>
        <v>Nacional</v>
      </c>
      <c r="K676" s="36">
        <f t="shared" si="222"/>
        <v>6.8055555555555421E-3</v>
      </c>
      <c r="L676" s="36">
        <f t="shared" si="222"/>
        <v>5.2777777777777866E-3</v>
      </c>
      <c r="M676" s="36">
        <f t="shared" si="222"/>
        <v>1.2083333333333328E-2</v>
      </c>
      <c r="N676" s="36">
        <f t="shared" si="222"/>
        <v>320</v>
      </c>
      <c r="O676" s="36">
        <f t="shared" si="222"/>
        <v>179</v>
      </c>
      <c r="P676" s="36" t="str">
        <f t="shared" si="222"/>
        <v>MEX</v>
      </c>
      <c r="R676">
        <v>662</v>
      </c>
      <c r="S676" s="36" t="str">
        <f t="shared" si="203"/>
        <v>MEXICO AEREO</v>
      </c>
      <c r="T676" s="36">
        <f t="shared" si="203"/>
        <v>228</v>
      </c>
      <c r="U676" s="73">
        <v>0.66875000000000007</v>
      </c>
      <c r="V676" s="74">
        <v>0.67083333333333339</v>
      </c>
      <c r="W676" s="75">
        <v>2.0833333333333259E-3</v>
      </c>
      <c r="X676" s="74">
        <v>0.68333333333333324</v>
      </c>
      <c r="Y676" s="75">
        <v>1.2499999999999845E-2</v>
      </c>
      <c r="Z676" s="76">
        <v>41754</v>
      </c>
      <c r="AA676" s="36" t="str">
        <f t="shared" si="220"/>
        <v>Nacional</v>
      </c>
      <c r="AB676" s="36">
        <f t="shared" si="220"/>
        <v>5.7484567901234674E-3</v>
      </c>
      <c r="AC676" s="36">
        <f t="shared" si="220"/>
        <v>7.7932098765431824E-3</v>
      </c>
      <c r="AD676" s="36">
        <f t="shared" si="220"/>
        <v>1.354166666666665E-2</v>
      </c>
      <c r="AE676" s="36" t="str">
        <f t="shared" si="220"/>
        <v>B737-700</v>
      </c>
      <c r="AF676" s="36">
        <f t="shared" si="220"/>
        <v>126</v>
      </c>
      <c r="AG676" s="36" t="str">
        <f t="shared" si="220"/>
        <v>MEX</v>
      </c>
      <c r="AI676">
        <v>662</v>
      </c>
      <c r="AJ676" s="77" t="str">
        <f t="shared" si="210"/>
        <v>MEXICO AEREO</v>
      </c>
      <c r="AK676" s="77">
        <f t="shared" si="210"/>
        <v>156</v>
      </c>
      <c r="AL676" s="143">
        <v>0.93611111111111101</v>
      </c>
      <c r="AM676" s="144">
        <v>0.94444444444444453</v>
      </c>
      <c r="AN676" s="80">
        <v>8.3333333333335258E-3</v>
      </c>
      <c r="AO676" s="144">
        <v>0.94652777777777775</v>
      </c>
      <c r="AP676" s="80">
        <v>2.0833333333332149E-3</v>
      </c>
      <c r="AQ676" s="81">
        <v>41801</v>
      </c>
      <c r="AR676" s="77" t="str">
        <f t="shared" si="221"/>
        <v>Nacional</v>
      </c>
      <c r="AS676" s="77">
        <f t="shared" si="221"/>
        <v>6.9444444444444623E-3</v>
      </c>
      <c r="AT676" s="77">
        <f t="shared" si="221"/>
        <v>7.371794871794863E-3</v>
      </c>
      <c r="AU676" s="77">
        <f t="shared" si="221"/>
        <v>1.4316239316239324E-2</v>
      </c>
      <c r="AV676" s="77" t="str">
        <f t="shared" si="221"/>
        <v>E90</v>
      </c>
      <c r="AW676" s="77">
        <f t="shared" si="221"/>
        <v>99</v>
      </c>
      <c r="AX676" s="77" t="str">
        <f t="shared" si="221"/>
        <v>MEX</v>
      </c>
    </row>
    <row r="677" spans="1:50" x14ac:dyDescent="0.25">
      <c r="A677">
        <v>663</v>
      </c>
      <c r="B677" s="36" t="str">
        <f t="shared" si="215"/>
        <v>INTERAVIÓN</v>
      </c>
      <c r="C677" s="36">
        <f t="shared" si="215"/>
        <v>2208</v>
      </c>
      <c r="D677" s="74">
        <v>0.38541666666666669</v>
      </c>
      <c r="E677" s="74">
        <v>0.39305555555555555</v>
      </c>
      <c r="F677" s="75">
        <v>7.6388888888888618E-3</v>
      </c>
      <c r="G677" s="74">
        <v>0.3972222222222222</v>
      </c>
      <c r="H677" s="75">
        <v>4.1666666666666519E-3</v>
      </c>
      <c r="I677" s="76">
        <v>41725</v>
      </c>
      <c r="J677" s="36" t="str">
        <f t="shared" si="222"/>
        <v>Nacional</v>
      </c>
      <c r="K677" s="36">
        <f t="shared" si="222"/>
        <v>6.8055555555555421E-3</v>
      </c>
      <c r="L677" s="36">
        <f t="shared" si="222"/>
        <v>5.2777777777777866E-3</v>
      </c>
      <c r="M677" s="36">
        <f t="shared" si="222"/>
        <v>1.2083333333333328E-2</v>
      </c>
      <c r="N677" s="36">
        <f t="shared" si="222"/>
        <v>320</v>
      </c>
      <c r="O677" s="36">
        <f t="shared" si="222"/>
        <v>179</v>
      </c>
      <c r="P677" s="36" t="str">
        <f t="shared" si="222"/>
        <v>MEX</v>
      </c>
      <c r="R677">
        <v>663</v>
      </c>
      <c r="S677" s="36" t="str">
        <f t="shared" si="203"/>
        <v>MEXICO AEREO</v>
      </c>
      <c r="T677" s="36">
        <f t="shared" si="203"/>
        <v>228</v>
      </c>
      <c r="U677" s="73">
        <v>0.68263888888888891</v>
      </c>
      <c r="V677" s="74">
        <v>0.68819444444444444</v>
      </c>
      <c r="W677" s="75">
        <v>5.5555555555555358E-3</v>
      </c>
      <c r="X677" s="74">
        <v>0.70000000000000007</v>
      </c>
      <c r="Y677" s="75">
        <v>1.1805555555555625E-2</v>
      </c>
      <c r="Z677" s="76">
        <v>41756</v>
      </c>
      <c r="AA677" s="36" t="str">
        <f t="shared" si="220"/>
        <v>Nacional</v>
      </c>
      <c r="AB677" s="36">
        <f t="shared" si="220"/>
        <v>5.7484567901234674E-3</v>
      </c>
      <c r="AC677" s="36">
        <f t="shared" si="220"/>
        <v>7.7932098765431824E-3</v>
      </c>
      <c r="AD677" s="36">
        <f t="shared" si="220"/>
        <v>1.354166666666665E-2</v>
      </c>
      <c r="AE677" s="36" t="str">
        <f t="shared" si="220"/>
        <v>B737-700</v>
      </c>
      <c r="AF677" s="36">
        <f t="shared" si="220"/>
        <v>126</v>
      </c>
      <c r="AG677" s="36" t="str">
        <f t="shared" si="220"/>
        <v>MEX</v>
      </c>
      <c r="AI677">
        <v>663</v>
      </c>
      <c r="AJ677" s="77" t="str">
        <f t="shared" si="210"/>
        <v>MEXICO AEREO</v>
      </c>
      <c r="AK677" s="77">
        <f t="shared" si="210"/>
        <v>156</v>
      </c>
      <c r="AL677" s="78">
        <v>0.89097222222222217</v>
      </c>
      <c r="AM677" s="79">
        <v>0.90347222222222223</v>
      </c>
      <c r="AN677" s="80">
        <v>1.2500000000000067E-2</v>
      </c>
      <c r="AO677" s="79">
        <v>0.91736111111111107</v>
      </c>
      <c r="AP677" s="80">
        <v>1.388888888888884E-2</v>
      </c>
      <c r="AQ677" s="81">
        <v>41802</v>
      </c>
      <c r="AR677" s="77" t="str">
        <f t="shared" si="221"/>
        <v>Nacional</v>
      </c>
      <c r="AS677" s="77">
        <f t="shared" si="221"/>
        <v>6.9444444444444623E-3</v>
      </c>
      <c r="AT677" s="77">
        <f t="shared" si="221"/>
        <v>7.371794871794863E-3</v>
      </c>
      <c r="AU677" s="77">
        <f t="shared" si="221"/>
        <v>1.4316239316239324E-2</v>
      </c>
      <c r="AV677" s="77" t="str">
        <f t="shared" si="221"/>
        <v>E90</v>
      </c>
      <c r="AW677" s="77">
        <f t="shared" si="221"/>
        <v>99</v>
      </c>
      <c r="AX677" s="77" t="str">
        <f t="shared" si="221"/>
        <v>MEX</v>
      </c>
    </row>
    <row r="678" spans="1:50" x14ac:dyDescent="0.25">
      <c r="A678">
        <v>664</v>
      </c>
      <c r="B678" s="36" t="str">
        <f t="shared" si="215"/>
        <v>INTERAVIÓN</v>
      </c>
      <c r="C678" s="36">
        <f t="shared" si="215"/>
        <v>2208</v>
      </c>
      <c r="D678" s="74">
        <v>0.39444444444444443</v>
      </c>
      <c r="E678" s="74">
        <v>0.40069444444444446</v>
      </c>
      <c r="F678" s="75">
        <v>6.2500000000000333E-3</v>
      </c>
      <c r="G678" s="74">
        <v>0.4069444444444445</v>
      </c>
      <c r="H678" s="75">
        <v>6.2500000000000333E-3</v>
      </c>
      <c r="I678" s="76">
        <v>41725</v>
      </c>
      <c r="J678" s="36" t="str">
        <f t="shared" si="222"/>
        <v>Nacional</v>
      </c>
      <c r="K678" s="36">
        <f t="shared" si="222"/>
        <v>6.8055555555555421E-3</v>
      </c>
      <c r="L678" s="36">
        <f t="shared" si="222"/>
        <v>5.2777777777777866E-3</v>
      </c>
      <c r="M678" s="36">
        <f t="shared" si="222"/>
        <v>1.2083333333333328E-2</v>
      </c>
      <c r="N678" s="36">
        <f t="shared" si="222"/>
        <v>320</v>
      </c>
      <c r="O678" s="36">
        <f t="shared" si="222"/>
        <v>179</v>
      </c>
      <c r="P678" s="36" t="str">
        <f t="shared" si="222"/>
        <v>MEX</v>
      </c>
      <c r="R678">
        <v>664</v>
      </c>
      <c r="S678" s="36" t="str">
        <f t="shared" si="203"/>
        <v>MEXICO AEREO</v>
      </c>
      <c r="T678" s="36">
        <f t="shared" si="203"/>
        <v>228</v>
      </c>
      <c r="U678" s="73">
        <v>0.68611111111111101</v>
      </c>
      <c r="V678" s="74">
        <v>0.69166666666666676</v>
      </c>
      <c r="W678" s="75">
        <v>5.5555555555557579E-3</v>
      </c>
      <c r="X678" s="74">
        <v>0.70694444444444438</v>
      </c>
      <c r="Y678" s="75">
        <v>1.5277777777777612E-2</v>
      </c>
      <c r="Z678" s="76">
        <v>41757</v>
      </c>
      <c r="AA678" s="36" t="str">
        <f t="shared" si="220"/>
        <v>Nacional</v>
      </c>
      <c r="AB678" s="36">
        <f t="shared" si="220"/>
        <v>5.7484567901234674E-3</v>
      </c>
      <c r="AC678" s="36">
        <f t="shared" si="220"/>
        <v>7.7932098765431824E-3</v>
      </c>
      <c r="AD678" s="36">
        <f t="shared" si="220"/>
        <v>1.354166666666665E-2</v>
      </c>
      <c r="AE678" s="36" t="str">
        <f t="shared" si="220"/>
        <v>B737-700</v>
      </c>
      <c r="AF678" s="36">
        <f t="shared" si="220"/>
        <v>126</v>
      </c>
      <c r="AG678" s="36" t="str">
        <f t="shared" si="220"/>
        <v>MEX</v>
      </c>
      <c r="AI678">
        <v>664</v>
      </c>
      <c r="AJ678" s="77" t="str">
        <f t="shared" si="210"/>
        <v>MEXICO AEREO</v>
      </c>
      <c r="AK678" s="77">
        <f t="shared" si="210"/>
        <v>156</v>
      </c>
      <c r="AL678" s="78">
        <v>0.65138888888888891</v>
      </c>
      <c r="AM678" s="79">
        <v>0.65763888888888888</v>
      </c>
      <c r="AN678" s="80">
        <v>6.2499999999999778E-3</v>
      </c>
      <c r="AO678" s="79">
        <v>0.66041666666666665</v>
      </c>
      <c r="AP678" s="80">
        <v>2.7777777777777679E-3</v>
      </c>
      <c r="AQ678" s="81">
        <v>41803</v>
      </c>
      <c r="AR678" s="77" t="str">
        <f t="shared" si="221"/>
        <v>Nacional</v>
      </c>
      <c r="AS678" s="77">
        <f t="shared" si="221"/>
        <v>6.9444444444444623E-3</v>
      </c>
      <c r="AT678" s="77">
        <f t="shared" si="221"/>
        <v>7.371794871794863E-3</v>
      </c>
      <c r="AU678" s="77">
        <f t="shared" si="221"/>
        <v>1.4316239316239324E-2</v>
      </c>
      <c r="AV678" s="77" t="str">
        <f t="shared" si="221"/>
        <v>E90</v>
      </c>
      <c r="AW678" s="77">
        <f t="shared" si="221"/>
        <v>99</v>
      </c>
      <c r="AX678" s="77" t="str">
        <f t="shared" si="221"/>
        <v>MEX</v>
      </c>
    </row>
    <row r="679" spans="1:50" x14ac:dyDescent="0.25">
      <c r="A679">
        <v>665</v>
      </c>
      <c r="B679" s="36" t="str">
        <f t="shared" si="215"/>
        <v>INTERAVIÓN</v>
      </c>
      <c r="C679" s="36">
        <f t="shared" si="215"/>
        <v>2208</v>
      </c>
      <c r="D679" s="74">
        <v>0.39374999999999999</v>
      </c>
      <c r="E679" s="74">
        <v>0.39861111111111108</v>
      </c>
      <c r="F679" s="75">
        <v>4.8611111111110938E-3</v>
      </c>
      <c r="G679" s="74">
        <v>0.40972222222222227</v>
      </c>
      <c r="H679" s="75">
        <v>1.1111111111111183E-2</v>
      </c>
      <c r="I679" s="76">
        <v>41726</v>
      </c>
      <c r="J679" s="36" t="str">
        <f t="shared" si="222"/>
        <v>Nacional</v>
      </c>
      <c r="K679" s="36">
        <f t="shared" si="222"/>
        <v>6.8055555555555421E-3</v>
      </c>
      <c r="L679" s="36">
        <f t="shared" si="222"/>
        <v>5.2777777777777866E-3</v>
      </c>
      <c r="M679" s="36">
        <f t="shared" si="222"/>
        <v>1.2083333333333328E-2</v>
      </c>
      <c r="N679" s="36">
        <f t="shared" si="222"/>
        <v>320</v>
      </c>
      <c r="O679" s="36">
        <f t="shared" si="222"/>
        <v>179</v>
      </c>
      <c r="P679" s="36" t="str">
        <f t="shared" si="222"/>
        <v>MEX</v>
      </c>
      <c r="R679">
        <v>665</v>
      </c>
      <c r="S679" s="36" t="str">
        <f t="shared" si="203"/>
        <v>MEXICO AEREO</v>
      </c>
      <c r="T679" s="36">
        <f t="shared" si="203"/>
        <v>228</v>
      </c>
      <c r="U679" s="73">
        <v>0.68958333333333333</v>
      </c>
      <c r="V679" s="74">
        <v>0.69444444444444453</v>
      </c>
      <c r="W679" s="75">
        <v>4.8611111111112049E-3</v>
      </c>
      <c r="X679" s="74">
        <v>0.70138888888888884</v>
      </c>
      <c r="Y679" s="75">
        <v>6.9444444444443088E-3</v>
      </c>
      <c r="Z679" s="76">
        <v>41758</v>
      </c>
      <c r="AA679" s="36" t="str">
        <f t="shared" si="220"/>
        <v>Nacional</v>
      </c>
      <c r="AB679" s="36">
        <f t="shared" si="220"/>
        <v>5.7484567901234674E-3</v>
      </c>
      <c r="AC679" s="36">
        <f t="shared" si="220"/>
        <v>7.7932098765431824E-3</v>
      </c>
      <c r="AD679" s="36">
        <f t="shared" si="220"/>
        <v>1.354166666666665E-2</v>
      </c>
      <c r="AE679" s="36" t="str">
        <f t="shared" si="220"/>
        <v>B737-700</v>
      </c>
      <c r="AF679" s="36">
        <f t="shared" si="220"/>
        <v>126</v>
      </c>
      <c r="AG679" s="36" t="str">
        <f t="shared" si="220"/>
        <v>MEX</v>
      </c>
      <c r="AI679">
        <v>665</v>
      </c>
      <c r="AJ679" s="77" t="str">
        <f t="shared" si="210"/>
        <v>MEXICO AEREO</v>
      </c>
      <c r="AK679" s="77">
        <f t="shared" si="210"/>
        <v>156</v>
      </c>
      <c r="AL679" s="78">
        <v>0.82986111111111116</v>
      </c>
      <c r="AM679" s="79">
        <v>0.84305555555555556</v>
      </c>
      <c r="AN679" s="80">
        <v>1.3194444444444398E-2</v>
      </c>
      <c r="AO679" s="79">
        <v>0.86041666666666661</v>
      </c>
      <c r="AP679" s="80">
        <v>1.7361111111111049E-2</v>
      </c>
      <c r="AQ679" s="81">
        <v>41806</v>
      </c>
      <c r="AR679" s="77" t="str">
        <f t="shared" si="221"/>
        <v>Nacional</v>
      </c>
      <c r="AS679" s="77">
        <f t="shared" si="221"/>
        <v>6.9444444444444623E-3</v>
      </c>
      <c r="AT679" s="77">
        <f t="shared" si="221"/>
        <v>7.371794871794863E-3</v>
      </c>
      <c r="AU679" s="77">
        <f t="shared" si="221"/>
        <v>1.4316239316239324E-2</v>
      </c>
      <c r="AV679" s="77" t="str">
        <f t="shared" si="221"/>
        <v>E90</v>
      </c>
      <c r="AW679" s="77">
        <f t="shared" si="221"/>
        <v>99</v>
      </c>
      <c r="AX679" s="77" t="str">
        <f t="shared" si="221"/>
        <v>MEX</v>
      </c>
    </row>
    <row r="680" spans="1:50" ht="15.75" thickBot="1" x14ac:dyDescent="0.3">
      <c r="A680">
        <v>666</v>
      </c>
      <c r="B680" s="36" t="str">
        <f t="shared" si="215"/>
        <v>INTERAVIÓN</v>
      </c>
      <c r="C680" s="36">
        <f t="shared" si="215"/>
        <v>2208</v>
      </c>
      <c r="D680" s="74">
        <v>0.38055555555555554</v>
      </c>
      <c r="E680" s="74">
        <v>0.38611111111111113</v>
      </c>
      <c r="F680" s="75">
        <v>5.5555555555555913E-3</v>
      </c>
      <c r="G680" s="74">
        <v>0.38958333333333334</v>
      </c>
      <c r="H680" s="75">
        <v>3.4722222222222099E-3</v>
      </c>
      <c r="I680" s="76">
        <v>41727</v>
      </c>
      <c r="J680" s="36" t="str">
        <f t="shared" si="222"/>
        <v>Nacional</v>
      </c>
      <c r="K680" s="36">
        <f t="shared" si="222"/>
        <v>6.8055555555555421E-3</v>
      </c>
      <c r="L680" s="36">
        <f t="shared" si="222"/>
        <v>5.2777777777777866E-3</v>
      </c>
      <c r="M680" s="36">
        <f t="shared" si="222"/>
        <v>1.2083333333333328E-2</v>
      </c>
      <c r="N680" s="36">
        <f t="shared" si="222"/>
        <v>320</v>
      </c>
      <c r="O680" s="36">
        <f t="shared" si="222"/>
        <v>179</v>
      </c>
      <c r="P680" s="36" t="str">
        <f t="shared" si="222"/>
        <v>MEX</v>
      </c>
      <c r="R680">
        <v>666</v>
      </c>
      <c r="S680" s="36" t="str">
        <f t="shared" si="203"/>
        <v>MEXICO AEREO</v>
      </c>
      <c r="T680" s="36">
        <f t="shared" si="203"/>
        <v>228</v>
      </c>
      <c r="U680" s="83">
        <v>0.68194444444444446</v>
      </c>
      <c r="V680" s="84">
        <v>0.69097222222222221</v>
      </c>
      <c r="W680" s="85">
        <v>9.0277777777777457E-3</v>
      </c>
      <c r="X680" s="84">
        <v>0.69861111111111107</v>
      </c>
      <c r="Y680" s="85">
        <v>7.6388888888888618E-3</v>
      </c>
      <c r="Z680" s="86">
        <v>41759</v>
      </c>
      <c r="AA680" s="36" t="str">
        <f t="shared" si="220"/>
        <v>Nacional</v>
      </c>
      <c r="AB680" s="36">
        <f t="shared" si="220"/>
        <v>5.7484567901234674E-3</v>
      </c>
      <c r="AC680" s="36">
        <f t="shared" si="220"/>
        <v>7.7932098765431824E-3</v>
      </c>
      <c r="AD680" s="36">
        <f t="shared" si="220"/>
        <v>1.354166666666665E-2</v>
      </c>
      <c r="AE680" s="36" t="str">
        <f t="shared" si="220"/>
        <v>B737-700</v>
      </c>
      <c r="AF680" s="36">
        <f t="shared" si="220"/>
        <v>126</v>
      </c>
      <c r="AG680" s="36" t="str">
        <f t="shared" si="220"/>
        <v>MEX</v>
      </c>
      <c r="AI680">
        <v>666</v>
      </c>
      <c r="AJ680" s="77" t="str">
        <f t="shared" si="210"/>
        <v>MEXICO AEREO</v>
      </c>
      <c r="AK680" s="77">
        <f t="shared" si="210"/>
        <v>156</v>
      </c>
      <c r="AL680" s="78">
        <v>0.55972222222222223</v>
      </c>
      <c r="AM680" s="79">
        <v>0.56944444444444442</v>
      </c>
      <c r="AN680" s="80">
        <v>9.7222222222221877E-3</v>
      </c>
      <c r="AO680" s="79">
        <v>0.57638888888888895</v>
      </c>
      <c r="AP680" s="80">
        <v>6.9444444444445308E-3</v>
      </c>
      <c r="AQ680" s="81">
        <v>41808</v>
      </c>
      <c r="AR680" s="77" t="str">
        <f t="shared" si="221"/>
        <v>Nacional</v>
      </c>
      <c r="AS680" s="77">
        <f t="shared" si="221"/>
        <v>6.9444444444444623E-3</v>
      </c>
      <c r="AT680" s="77">
        <f t="shared" si="221"/>
        <v>7.371794871794863E-3</v>
      </c>
      <c r="AU680" s="77">
        <f t="shared" si="221"/>
        <v>1.4316239316239324E-2</v>
      </c>
      <c r="AV680" s="77" t="str">
        <f t="shared" si="221"/>
        <v>E90</v>
      </c>
      <c r="AW680" s="77">
        <f t="shared" si="221"/>
        <v>99</v>
      </c>
      <c r="AX680" s="77" t="str">
        <f t="shared" si="221"/>
        <v>MEX</v>
      </c>
    </row>
    <row r="681" spans="1:50" ht="15.75" thickBot="1" x14ac:dyDescent="0.3">
      <c r="A681">
        <v>667</v>
      </c>
      <c r="B681" s="36" t="str">
        <f t="shared" si="215"/>
        <v>INTERAVIÓN</v>
      </c>
      <c r="C681" s="36">
        <f t="shared" si="215"/>
        <v>2208</v>
      </c>
      <c r="D681" s="84">
        <v>0.37847222222222227</v>
      </c>
      <c r="E681" s="84">
        <v>0.3833333333333333</v>
      </c>
      <c r="F681" s="85">
        <v>4.8611111111110383E-3</v>
      </c>
      <c r="G681" s="84">
        <v>0.38680555555555557</v>
      </c>
      <c r="H681" s="85">
        <v>3.4722222222222654E-3</v>
      </c>
      <c r="I681" s="86">
        <v>41729</v>
      </c>
      <c r="J681" s="36" t="str">
        <f t="shared" si="222"/>
        <v>Nacional</v>
      </c>
      <c r="K681" s="36">
        <f t="shared" si="222"/>
        <v>6.8055555555555421E-3</v>
      </c>
      <c r="L681" s="36">
        <f t="shared" si="222"/>
        <v>5.2777777777777866E-3</v>
      </c>
      <c r="M681" s="36">
        <f t="shared" si="222"/>
        <v>1.2083333333333328E-2</v>
      </c>
      <c r="N681" s="36">
        <f t="shared" si="222"/>
        <v>320</v>
      </c>
      <c r="O681" s="36">
        <f t="shared" si="222"/>
        <v>179</v>
      </c>
      <c r="P681" s="36" t="str">
        <f t="shared" si="222"/>
        <v>MEX</v>
      </c>
      <c r="R681">
        <v>667</v>
      </c>
      <c r="S681" s="45" t="s">
        <v>18</v>
      </c>
      <c r="T681" s="55">
        <v>224</v>
      </c>
      <c r="U681" s="56">
        <v>0.75624999999999998</v>
      </c>
      <c r="V681" s="57">
        <v>0.76180555555555562</v>
      </c>
      <c r="W681" s="58">
        <v>5.5555555555556468E-3</v>
      </c>
      <c r="X681" s="57">
        <v>0.76666666666666661</v>
      </c>
      <c r="Y681" s="58">
        <v>4.8611111111109828E-3</v>
      </c>
      <c r="Z681" s="59">
        <v>41730</v>
      </c>
      <c r="AA681" s="60" t="s">
        <v>19</v>
      </c>
      <c r="AB681" s="61">
        <v>5.886243386243402E-3</v>
      </c>
      <c r="AC681" s="61">
        <v>7.5396825396825285E-3</v>
      </c>
      <c r="AD681" s="62">
        <v>1.3425925925925931E-2</v>
      </c>
      <c r="AE681" s="167" t="s">
        <v>45</v>
      </c>
      <c r="AF681" s="167">
        <v>126</v>
      </c>
      <c r="AG681" s="168" t="s">
        <v>21</v>
      </c>
      <c r="AI681">
        <v>667</v>
      </c>
      <c r="AJ681" s="77" t="str">
        <f t="shared" si="210"/>
        <v>MEXICO AEREO</v>
      </c>
      <c r="AK681" s="77">
        <f t="shared" si="210"/>
        <v>156</v>
      </c>
      <c r="AL681" s="78">
        <v>0.55763888888888891</v>
      </c>
      <c r="AM681" s="79">
        <v>0.56388888888888888</v>
      </c>
      <c r="AN681" s="80">
        <v>6.2499999999999778E-3</v>
      </c>
      <c r="AO681" s="79">
        <v>0.57361111111111118</v>
      </c>
      <c r="AP681" s="80">
        <v>9.7222222222222987E-3</v>
      </c>
      <c r="AQ681" s="81">
        <v>41809</v>
      </c>
      <c r="AR681" s="77" t="str">
        <f t="shared" si="221"/>
        <v>Nacional</v>
      </c>
      <c r="AS681" s="77">
        <f t="shared" si="221"/>
        <v>6.9444444444444623E-3</v>
      </c>
      <c r="AT681" s="77">
        <f t="shared" si="221"/>
        <v>7.371794871794863E-3</v>
      </c>
      <c r="AU681" s="77">
        <f t="shared" si="221"/>
        <v>1.4316239316239324E-2</v>
      </c>
      <c r="AV681" s="77" t="str">
        <f t="shared" si="221"/>
        <v>E90</v>
      </c>
      <c r="AW681" s="77">
        <f t="shared" si="221"/>
        <v>99</v>
      </c>
      <c r="AX681" s="77" t="str">
        <f t="shared" si="221"/>
        <v>MEX</v>
      </c>
    </row>
    <row r="682" spans="1:50" ht="15.75" thickBot="1" x14ac:dyDescent="0.3">
      <c r="A682">
        <v>668</v>
      </c>
      <c r="B682" s="36" t="str">
        <f t="shared" si="215"/>
        <v>INTERAVIÓN</v>
      </c>
      <c r="C682" s="88">
        <v>2206</v>
      </c>
      <c r="D682" s="57">
        <v>0.47083333333333338</v>
      </c>
      <c r="E682" s="57">
        <v>0.47847222222222219</v>
      </c>
      <c r="F682" s="58">
        <v>7.6388888888888062E-3</v>
      </c>
      <c r="G682" s="57">
        <v>0.48333333333333334</v>
      </c>
      <c r="H682" s="58">
        <v>4.8611111111111494E-3</v>
      </c>
      <c r="I682" s="59">
        <v>41715</v>
      </c>
      <c r="J682" s="108" t="s">
        <v>19</v>
      </c>
      <c r="K682" s="61">
        <v>6.4236111111111022E-3</v>
      </c>
      <c r="L682" s="61">
        <v>4.3402777777777693E-3</v>
      </c>
      <c r="M682" s="142">
        <v>1.0763888888888871E-2</v>
      </c>
      <c r="N682" s="90">
        <v>320</v>
      </c>
      <c r="O682" s="91">
        <v>179</v>
      </c>
      <c r="P682" s="92" t="s">
        <v>21</v>
      </c>
      <c r="R682">
        <v>668</v>
      </c>
      <c r="S682" s="36" t="str">
        <f t="shared" ref="S682:T745" si="223">S681</f>
        <v>MEXICO AEREO</v>
      </c>
      <c r="T682" s="36">
        <f t="shared" si="223"/>
        <v>224</v>
      </c>
      <c r="U682" s="73">
        <v>0.7680555555555556</v>
      </c>
      <c r="V682" s="74">
        <v>0.77430555555555547</v>
      </c>
      <c r="W682" s="75">
        <v>6.2499999999998668E-3</v>
      </c>
      <c r="X682" s="74">
        <v>0.78263888888888899</v>
      </c>
      <c r="Y682" s="75">
        <v>8.3333333333335258E-3</v>
      </c>
      <c r="Z682" s="76">
        <v>41731</v>
      </c>
      <c r="AA682" s="36" t="str">
        <f t="shared" ref="AA682:AG701" si="224">AA681</f>
        <v>Nacional</v>
      </c>
      <c r="AB682" s="36">
        <f t="shared" si="224"/>
        <v>5.886243386243402E-3</v>
      </c>
      <c r="AC682" s="36">
        <f t="shared" si="224"/>
        <v>7.5396825396825285E-3</v>
      </c>
      <c r="AD682" s="36">
        <f t="shared" si="224"/>
        <v>1.3425925925925931E-2</v>
      </c>
      <c r="AE682" s="36" t="str">
        <f t="shared" si="224"/>
        <v>B737-700</v>
      </c>
      <c r="AF682" s="36">
        <f t="shared" si="224"/>
        <v>126</v>
      </c>
      <c r="AG682" s="36" t="str">
        <f t="shared" si="224"/>
        <v>MEX</v>
      </c>
      <c r="AI682">
        <v>668</v>
      </c>
      <c r="AJ682" s="77" t="str">
        <f t="shared" si="210"/>
        <v>MEXICO AEREO</v>
      </c>
      <c r="AK682" s="77">
        <f t="shared" si="210"/>
        <v>156</v>
      </c>
      <c r="AL682" s="94">
        <v>0.5541666666666667</v>
      </c>
      <c r="AM682" s="95">
        <v>0.55555555555555558</v>
      </c>
      <c r="AN682" s="96">
        <v>1.388888888888884E-3</v>
      </c>
      <c r="AO682" s="95">
        <v>0.56388888888888888</v>
      </c>
      <c r="AP682" s="96">
        <v>8.3333333333333037E-3</v>
      </c>
      <c r="AQ682" s="97">
        <v>41810</v>
      </c>
      <c r="AR682" s="77" t="str">
        <f t="shared" si="221"/>
        <v>Nacional</v>
      </c>
      <c r="AS682" s="77">
        <f t="shared" si="221"/>
        <v>6.9444444444444623E-3</v>
      </c>
      <c r="AT682" s="77">
        <f t="shared" si="221"/>
        <v>7.371794871794863E-3</v>
      </c>
      <c r="AU682" s="77">
        <f t="shared" si="221"/>
        <v>1.4316239316239324E-2</v>
      </c>
      <c r="AV682" s="77" t="str">
        <f t="shared" si="221"/>
        <v>E90</v>
      </c>
      <c r="AW682" s="77">
        <f t="shared" si="221"/>
        <v>99</v>
      </c>
      <c r="AX682" s="77" t="str">
        <f t="shared" si="221"/>
        <v>MEX</v>
      </c>
    </row>
    <row r="683" spans="1:50" x14ac:dyDescent="0.25">
      <c r="A683">
        <v>669</v>
      </c>
      <c r="B683" s="36" t="str">
        <f t="shared" si="215"/>
        <v>INTERAVIÓN</v>
      </c>
      <c r="C683" s="36">
        <f t="shared" si="215"/>
        <v>2206</v>
      </c>
      <c r="D683" s="74">
        <v>0.48402777777777778</v>
      </c>
      <c r="E683" s="74">
        <v>0.49027777777777781</v>
      </c>
      <c r="F683" s="75">
        <v>6.2500000000000333E-3</v>
      </c>
      <c r="G683" s="74">
        <v>0.49236111111111108</v>
      </c>
      <c r="H683" s="75">
        <v>2.0833333333332704E-3</v>
      </c>
      <c r="I683" s="76">
        <v>41716</v>
      </c>
      <c r="J683" s="36" t="str">
        <f t="shared" ref="J683:P689" si="225">J682</f>
        <v>Nacional</v>
      </c>
      <c r="K683" s="36">
        <f t="shared" si="225"/>
        <v>6.4236111111111022E-3</v>
      </c>
      <c r="L683" s="36">
        <f t="shared" si="225"/>
        <v>4.3402777777777693E-3</v>
      </c>
      <c r="M683" s="36">
        <f t="shared" si="225"/>
        <v>1.0763888888888871E-2</v>
      </c>
      <c r="N683" s="36">
        <f t="shared" si="225"/>
        <v>320</v>
      </c>
      <c r="O683" s="36">
        <f t="shared" si="225"/>
        <v>179</v>
      </c>
      <c r="P683" s="36" t="str">
        <f t="shared" si="225"/>
        <v>MEX</v>
      </c>
      <c r="R683">
        <v>669</v>
      </c>
      <c r="S683" s="36" t="str">
        <f t="shared" si="223"/>
        <v>MEXICO AEREO</v>
      </c>
      <c r="T683" s="36">
        <f t="shared" si="223"/>
        <v>224</v>
      </c>
      <c r="U683" s="73">
        <v>0.76388888888888884</v>
      </c>
      <c r="V683" s="74">
        <v>0.76736111111111116</v>
      </c>
      <c r="W683" s="75">
        <v>3.4722222222223209E-3</v>
      </c>
      <c r="X683" s="74">
        <v>0.77083333333333337</v>
      </c>
      <c r="Y683" s="75">
        <v>3.4722222222222099E-3</v>
      </c>
      <c r="Z683" s="76">
        <v>41735</v>
      </c>
      <c r="AA683" s="36" t="str">
        <f t="shared" si="224"/>
        <v>Nacional</v>
      </c>
      <c r="AB683" s="36">
        <f t="shared" si="224"/>
        <v>5.886243386243402E-3</v>
      </c>
      <c r="AC683" s="36">
        <f t="shared" si="224"/>
        <v>7.5396825396825285E-3</v>
      </c>
      <c r="AD683" s="36">
        <f t="shared" si="224"/>
        <v>1.3425925925925931E-2</v>
      </c>
      <c r="AE683" s="36" t="str">
        <f t="shared" si="224"/>
        <v>B737-700</v>
      </c>
      <c r="AF683" s="36">
        <f t="shared" si="224"/>
        <v>126</v>
      </c>
      <c r="AG683" s="36" t="str">
        <f t="shared" si="224"/>
        <v>MEX</v>
      </c>
      <c r="AI683">
        <v>669</v>
      </c>
      <c r="AJ683" s="77" t="str">
        <f t="shared" si="210"/>
        <v>MEXICO AEREO</v>
      </c>
      <c r="AK683" s="63">
        <v>128</v>
      </c>
      <c r="AL683" s="64">
        <v>0.84236111111111101</v>
      </c>
      <c r="AM683" s="65">
        <v>0.84791666666666676</v>
      </c>
      <c r="AN683" s="66">
        <v>5.5555555555557579E-3</v>
      </c>
      <c r="AO683" s="65">
        <v>0.86041666666666661</v>
      </c>
      <c r="AP683" s="66">
        <v>1.2499999999999845E-2</v>
      </c>
      <c r="AQ683" s="67">
        <v>41791</v>
      </c>
      <c r="AR683" s="68" t="s">
        <v>19</v>
      </c>
      <c r="AS683" s="69">
        <v>6.5200617283950801E-3</v>
      </c>
      <c r="AT683" s="70">
        <v>8.6419753086419259E-3</v>
      </c>
      <c r="AU683" s="70">
        <v>1.5162037037037005E-2</v>
      </c>
      <c r="AV683" s="71">
        <v>738</v>
      </c>
      <c r="AW683" s="71">
        <v>189</v>
      </c>
      <c r="AX683" s="72" t="s">
        <v>21</v>
      </c>
    </row>
    <row r="684" spans="1:50" x14ac:dyDescent="0.25">
      <c r="A684">
        <v>670</v>
      </c>
      <c r="B684" s="36" t="str">
        <f t="shared" si="215"/>
        <v>INTERAVIÓN</v>
      </c>
      <c r="C684" s="36">
        <f t="shared" si="215"/>
        <v>2206</v>
      </c>
      <c r="D684" s="74">
        <v>0.47083333333333338</v>
      </c>
      <c r="E684" s="74">
        <v>0.47638888888888892</v>
      </c>
      <c r="F684" s="75">
        <v>5.5555555555555358E-3</v>
      </c>
      <c r="G684" s="74">
        <v>0.48194444444444445</v>
      </c>
      <c r="H684" s="75">
        <v>5.5555555555555358E-3</v>
      </c>
      <c r="I684" s="76">
        <v>41717</v>
      </c>
      <c r="J684" s="36" t="str">
        <f t="shared" si="225"/>
        <v>Nacional</v>
      </c>
      <c r="K684" s="36">
        <f t="shared" si="225"/>
        <v>6.4236111111111022E-3</v>
      </c>
      <c r="L684" s="36">
        <f t="shared" si="225"/>
        <v>4.3402777777777693E-3</v>
      </c>
      <c r="M684" s="36">
        <f t="shared" si="225"/>
        <v>1.0763888888888871E-2</v>
      </c>
      <c r="N684" s="36">
        <f t="shared" si="225"/>
        <v>320</v>
      </c>
      <c r="O684" s="36">
        <f t="shared" si="225"/>
        <v>179</v>
      </c>
      <c r="P684" s="36" t="str">
        <f t="shared" si="225"/>
        <v>MEX</v>
      </c>
      <c r="R684">
        <v>670</v>
      </c>
      <c r="S684" s="36" t="str">
        <f t="shared" si="223"/>
        <v>MEXICO AEREO</v>
      </c>
      <c r="T684" s="36">
        <f t="shared" si="223"/>
        <v>224</v>
      </c>
      <c r="U684" s="73">
        <v>0.75555555555555554</v>
      </c>
      <c r="V684" s="74">
        <v>0.75763888888888886</v>
      </c>
      <c r="W684" s="75">
        <v>2.0833333333333259E-3</v>
      </c>
      <c r="X684" s="74">
        <v>0.7680555555555556</v>
      </c>
      <c r="Y684" s="75">
        <v>1.0416666666666741E-2</v>
      </c>
      <c r="Z684" s="76">
        <v>41736</v>
      </c>
      <c r="AA684" s="36" t="str">
        <f t="shared" si="224"/>
        <v>Nacional</v>
      </c>
      <c r="AB684" s="36">
        <f t="shared" si="224"/>
        <v>5.886243386243402E-3</v>
      </c>
      <c r="AC684" s="36">
        <f t="shared" si="224"/>
        <v>7.5396825396825285E-3</v>
      </c>
      <c r="AD684" s="36">
        <f t="shared" si="224"/>
        <v>1.3425925925925931E-2</v>
      </c>
      <c r="AE684" s="36" t="str">
        <f t="shared" si="224"/>
        <v>B737-700</v>
      </c>
      <c r="AF684" s="36">
        <f t="shared" si="224"/>
        <v>126</v>
      </c>
      <c r="AG684" s="36" t="str">
        <f t="shared" si="224"/>
        <v>MEX</v>
      </c>
      <c r="AI684">
        <v>670</v>
      </c>
      <c r="AJ684" s="77" t="str">
        <f t="shared" si="210"/>
        <v>MEXICO AEREO</v>
      </c>
      <c r="AK684" s="77">
        <f t="shared" si="210"/>
        <v>128</v>
      </c>
      <c r="AL684" s="78">
        <v>0.84513888888888899</v>
      </c>
      <c r="AM684" s="79">
        <v>0.85</v>
      </c>
      <c r="AN684" s="80">
        <v>4.8611111111109828E-3</v>
      </c>
      <c r="AO684" s="79">
        <v>0.8569444444444444</v>
      </c>
      <c r="AP684" s="80">
        <v>6.9444444444444198E-3</v>
      </c>
      <c r="AQ684" s="81">
        <v>41792</v>
      </c>
      <c r="AR684" s="77" t="str">
        <f t="shared" ref="AR684:AX700" si="226">AR683</f>
        <v>Nacional</v>
      </c>
      <c r="AS684" s="77">
        <f t="shared" si="226"/>
        <v>6.5200617283950801E-3</v>
      </c>
      <c r="AT684" s="77">
        <f t="shared" si="226"/>
        <v>8.6419753086419259E-3</v>
      </c>
      <c r="AU684" s="77">
        <f t="shared" si="226"/>
        <v>1.5162037037037005E-2</v>
      </c>
      <c r="AV684" s="77">
        <f t="shared" si="226"/>
        <v>738</v>
      </c>
      <c r="AW684" s="77">
        <f t="shared" si="226"/>
        <v>189</v>
      </c>
      <c r="AX684" s="77" t="str">
        <f t="shared" si="226"/>
        <v>MEX</v>
      </c>
    </row>
    <row r="685" spans="1:50" ht="15.75" thickBot="1" x14ac:dyDescent="0.3">
      <c r="A685">
        <v>671</v>
      </c>
      <c r="B685" s="36" t="str">
        <f t="shared" si="215"/>
        <v>INTERAVIÓN</v>
      </c>
      <c r="C685" s="36">
        <f t="shared" si="215"/>
        <v>2206</v>
      </c>
      <c r="D685" s="74">
        <v>0.47638888888888892</v>
      </c>
      <c r="E685" s="74">
        <v>0.48125000000000001</v>
      </c>
      <c r="F685" s="75">
        <v>4.8611111111110938E-3</v>
      </c>
      <c r="G685" s="74">
        <v>0.48541666666666666</v>
      </c>
      <c r="H685" s="75">
        <v>4.1666666666666519E-3</v>
      </c>
      <c r="I685" s="76">
        <v>41718</v>
      </c>
      <c r="J685" s="36" t="str">
        <f t="shared" si="225"/>
        <v>Nacional</v>
      </c>
      <c r="K685" s="36">
        <f t="shared" si="225"/>
        <v>6.4236111111111022E-3</v>
      </c>
      <c r="L685" s="36">
        <f t="shared" si="225"/>
        <v>4.3402777777777693E-3</v>
      </c>
      <c r="M685" s="36">
        <f t="shared" si="225"/>
        <v>1.0763888888888871E-2</v>
      </c>
      <c r="N685" s="36">
        <f t="shared" si="225"/>
        <v>320</v>
      </c>
      <c r="O685" s="36">
        <f t="shared" si="225"/>
        <v>179</v>
      </c>
      <c r="P685" s="36" t="str">
        <f t="shared" si="225"/>
        <v>MEX</v>
      </c>
      <c r="R685">
        <v>671</v>
      </c>
      <c r="S685" s="36" t="str">
        <f t="shared" si="223"/>
        <v>MEXICO AEREO</v>
      </c>
      <c r="T685" s="36">
        <f t="shared" si="223"/>
        <v>224</v>
      </c>
      <c r="U685" s="73">
        <v>0.76527777777777783</v>
      </c>
      <c r="V685" s="74">
        <v>0.76736111111111116</v>
      </c>
      <c r="W685" s="75">
        <v>2.0833333333333259E-3</v>
      </c>
      <c r="X685" s="74">
        <v>0.77013888888888893</v>
      </c>
      <c r="Y685" s="75">
        <v>2.7777777777777679E-3</v>
      </c>
      <c r="Z685" s="76">
        <v>41738</v>
      </c>
      <c r="AA685" s="36" t="str">
        <f t="shared" si="224"/>
        <v>Nacional</v>
      </c>
      <c r="AB685" s="36">
        <f t="shared" si="224"/>
        <v>5.886243386243402E-3</v>
      </c>
      <c r="AC685" s="36">
        <f t="shared" si="224"/>
        <v>7.5396825396825285E-3</v>
      </c>
      <c r="AD685" s="36">
        <f t="shared" si="224"/>
        <v>1.3425925925925931E-2</v>
      </c>
      <c r="AE685" s="36" t="str">
        <f t="shared" si="224"/>
        <v>B737-700</v>
      </c>
      <c r="AF685" s="36">
        <f t="shared" si="224"/>
        <v>126</v>
      </c>
      <c r="AG685" s="36" t="str">
        <f t="shared" si="224"/>
        <v>MEX</v>
      </c>
      <c r="AI685">
        <v>671</v>
      </c>
      <c r="AJ685" s="77" t="str">
        <f t="shared" si="210"/>
        <v>MEXICO AEREO</v>
      </c>
      <c r="AK685" s="77">
        <f t="shared" si="210"/>
        <v>128</v>
      </c>
      <c r="AL685" s="78">
        <v>0.85416666666666663</v>
      </c>
      <c r="AM685" s="79">
        <v>0.86111111111111116</v>
      </c>
      <c r="AN685" s="80">
        <v>6.9444444444445308E-3</v>
      </c>
      <c r="AO685" s="79">
        <v>0.86944444444444446</v>
      </c>
      <c r="AP685" s="80">
        <v>8.3333333333333037E-3</v>
      </c>
      <c r="AQ685" s="81">
        <v>41793</v>
      </c>
      <c r="AR685" s="77" t="str">
        <f t="shared" si="226"/>
        <v>Nacional</v>
      </c>
      <c r="AS685" s="77">
        <f t="shared" si="226"/>
        <v>6.5200617283950801E-3</v>
      </c>
      <c r="AT685" s="77">
        <f t="shared" si="226"/>
        <v>8.6419753086419259E-3</v>
      </c>
      <c r="AU685" s="77">
        <f t="shared" si="226"/>
        <v>1.5162037037037005E-2</v>
      </c>
      <c r="AV685" s="77">
        <f t="shared" si="226"/>
        <v>738</v>
      </c>
      <c r="AW685" s="77">
        <f t="shared" si="226"/>
        <v>189</v>
      </c>
      <c r="AX685" s="77" t="str">
        <f t="shared" si="226"/>
        <v>MEX</v>
      </c>
    </row>
    <row r="686" spans="1:50" x14ac:dyDescent="0.25">
      <c r="A686">
        <v>672</v>
      </c>
      <c r="B686" s="36" t="str">
        <f t="shared" si="215"/>
        <v>INTERAVIÓN</v>
      </c>
      <c r="C686" s="36">
        <f t="shared" si="215"/>
        <v>2206</v>
      </c>
      <c r="D686" s="74">
        <v>0.47152777777777777</v>
      </c>
      <c r="E686" s="74">
        <v>0.47847222222222219</v>
      </c>
      <c r="F686" s="75">
        <v>6.9444444444444198E-3</v>
      </c>
      <c r="G686" s="74">
        <v>0.48125000000000001</v>
      </c>
      <c r="H686" s="75">
        <v>2.7777777777778234E-3</v>
      </c>
      <c r="I686" s="76">
        <v>41722</v>
      </c>
      <c r="J686" s="36" t="str">
        <f t="shared" si="225"/>
        <v>Nacional</v>
      </c>
      <c r="K686" s="36">
        <f t="shared" si="225"/>
        <v>6.4236111111111022E-3</v>
      </c>
      <c r="L686" s="36">
        <f t="shared" si="225"/>
        <v>4.3402777777777693E-3</v>
      </c>
      <c r="M686" s="36">
        <f t="shared" si="225"/>
        <v>1.0763888888888871E-2</v>
      </c>
      <c r="N686" s="36">
        <f t="shared" si="225"/>
        <v>320</v>
      </c>
      <c r="O686" s="36">
        <f t="shared" si="225"/>
        <v>179</v>
      </c>
      <c r="P686" s="36" t="str">
        <f t="shared" si="225"/>
        <v>MEX</v>
      </c>
      <c r="R686">
        <v>672</v>
      </c>
      <c r="S686" s="36" t="str">
        <f t="shared" si="223"/>
        <v>MEXICO AEREO</v>
      </c>
      <c r="T686" s="36">
        <f t="shared" si="223"/>
        <v>224</v>
      </c>
      <c r="U686" s="73">
        <v>0.75555555555555554</v>
      </c>
      <c r="V686" s="74">
        <v>0.7583333333333333</v>
      </c>
      <c r="W686" s="75">
        <v>2.7777777777777679E-3</v>
      </c>
      <c r="X686" s="74">
        <v>0.76736111111111116</v>
      </c>
      <c r="Y686" s="75">
        <v>9.0277777777778567E-3</v>
      </c>
      <c r="Z686" s="76">
        <v>41739</v>
      </c>
      <c r="AA686" s="36" t="str">
        <f t="shared" si="224"/>
        <v>Nacional</v>
      </c>
      <c r="AB686" s="36">
        <f t="shared" si="224"/>
        <v>5.886243386243402E-3</v>
      </c>
      <c r="AC686" s="36">
        <f t="shared" si="224"/>
        <v>7.5396825396825285E-3</v>
      </c>
      <c r="AD686" s="36">
        <f t="shared" si="224"/>
        <v>1.3425925925925931E-2</v>
      </c>
      <c r="AE686" s="36" t="str">
        <f t="shared" si="224"/>
        <v>B737-700</v>
      </c>
      <c r="AF686" s="36">
        <f t="shared" si="224"/>
        <v>126</v>
      </c>
      <c r="AG686" s="36" t="str">
        <f t="shared" si="224"/>
        <v>MEX</v>
      </c>
      <c r="AI686">
        <v>672</v>
      </c>
      <c r="AJ686" s="63" t="s">
        <v>18</v>
      </c>
      <c r="AK686" s="77">
        <f t="shared" ref="AK686:AK702" si="227">AK685</f>
        <v>128</v>
      </c>
      <c r="AL686" s="78">
        <v>0.875</v>
      </c>
      <c r="AM686" s="79">
        <v>0.88055555555555554</v>
      </c>
      <c r="AN686" s="80">
        <v>5.5555555555555358E-3</v>
      </c>
      <c r="AO686" s="79">
        <v>0.88888888888888884</v>
      </c>
      <c r="AP686" s="80">
        <v>8.3333333333333037E-3</v>
      </c>
      <c r="AQ686" s="81">
        <v>41794</v>
      </c>
      <c r="AR686" s="77" t="str">
        <f t="shared" si="226"/>
        <v>Nacional</v>
      </c>
      <c r="AS686" s="77">
        <f t="shared" si="226"/>
        <v>6.5200617283950801E-3</v>
      </c>
      <c r="AT686" s="77">
        <f t="shared" si="226"/>
        <v>8.6419753086419259E-3</v>
      </c>
      <c r="AU686" s="77">
        <f t="shared" si="226"/>
        <v>1.5162037037037005E-2</v>
      </c>
      <c r="AV686" s="77">
        <f t="shared" si="226"/>
        <v>738</v>
      </c>
      <c r="AW686" s="77">
        <f t="shared" si="226"/>
        <v>189</v>
      </c>
      <c r="AX686" s="77" t="str">
        <f t="shared" si="226"/>
        <v>MEX</v>
      </c>
    </row>
    <row r="687" spans="1:50" x14ac:dyDescent="0.25">
      <c r="A687">
        <v>673</v>
      </c>
      <c r="B687" s="36" t="str">
        <f t="shared" si="215"/>
        <v>INTERAVIÓN</v>
      </c>
      <c r="C687" s="36">
        <f t="shared" si="215"/>
        <v>2206</v>
      </c>
      <c r="D687" s="74">
        <v>0.50347222222222221</v>
      </c>
      <c r="E687" s="74">
        <v>0.51527777777777783</v>
      </c>
      <c r="F687" s="75">
        <v>1.1805555555555625E-2</v>
      </c>
      <c r="G687" s="74">
        <v>0.52361111111111114</v>
      </c>
      <c r="H687" s="75">
        <v>8.3333333333333037E-3</v>
      </c>
      <c r="I687" s="76">
        <v>41725</v>
      </c>
      <c r="J687" s="36" t="str">
        <f t="shared" si="225"/>
        <v>Nacional</v>
      </c>
      <c r="K687" s="36">
        <f t="shared" si="225"/>
        <v>6.4236111111111022E-3</v>
      </c>
      <c r="L687" s="36">
        <f t="shared" si="225"/>
        <v>4.3402777777777693E-3</v>
      </c>
      <c r="M687" s="36">
        <f t="shared" si="225"/>
        <v>1.0763888888888871E-2</v>
      </c>
      <c r="N687" s="36">
        <f t="shared" si="225"/>
        <v>320</v>
      </c>
      <c r="O687" s="36">
        <f t="shared" si="225"/>
        <v>179</v>
      </c>
      <c r="P687" s="36" t="str">
        <f t="shared" si="225"/>
        <v>MEX</v>
      </c>
      <c r="R687">
        <v>673</v>
      </c>
      <c r="S687" s="36" t="str">
        <f t="shared" si="223"/>
        <v>MEXICO AEREO</v>
      </c>
      <c r="T687" s="36">
        <f t="shared" si="223"/>
        <v>224</v>
      </c>
      <c r="U687" s="73">
        <v>0.7597222222222223</v>
      </c>
      <c r="V687" s="74">
        <v>0.76597222222222217</v>
      </c>
      <c r="W687" s="75">
        <v>6.2499999999998668E-3</v>
      </c>
      <c r="X687" s="74">
        <v>0.77083333333333337</v>
      </c>
      <c r="Y687" s="75">
        <v>4.8611111111112049E-3</v>
      </c>
      <c r="Z687" s="76">
        <v>41741</v>
      </c>
      <c r="AA687" s="36" t="str">
        <f t="shared" si="224"/>
        <v>Nacional</v>
      </c>
      <c r="AB687" s="36">
        <f t="shared" si="224"/>
        <v>5.886243386243402E-3</v>
      </c>
      <c r="AC687" s="36">
        <f t="shared" si="224"/>
        <v>7.5396825396825285E-3</v>
      </c>
      <c r="AD687" s="36">
        <f t="shared" si="224"/>
        <v>1.3425925925925931E-2</v>
      </c>
      <c r="AE687" s="36" t="str">
        <f t="shared" si="224"/>
        <v>B737-700</v>
      </c>
      <c r="AF687" s="36">
        <f t="shared" si="224"/>
        <v>126</v>
      </c>
      <c r="AG687" s="36" t="str">
        <f t="shared" si="224"/>
        <v>MEX</v>
      </c>
      <c r="AI687">
        <v>673</v>
      </c>
      <c r="AJ687" s="77" t="str">
        <f t="shared" ref="AJ687:AK733" si="228">AJ686</f>
        <v>MEXICO AEREO</v>
      </c>
      <c r="AK687" s="77">
        <f t="shared" si="227"/>
        <v>128</v>
      </c>
      <c r="AL687" s="78">
        <v>0.84375</v>
      </c>
      <c r="AM687" s="79">
        <v>0.84861111111111109</v>
      </c>
      <c r="AN687" s="80">
        <v>4.8611111111110938E-3</v>
      </c>
      <c r="AO687" s="79">
        <v>0.85902777777777783</v>
      </c>
      <c r="AP687" s="80">
        <v>1.0416666666666741E-2</v>
      </c>
      <c r="AQ687" s="81">
        <v>41796</v>
      </c>
      <c r="AR687" s="77" t="str">
        <f t="shared" si="226"/>
        <v>Nacional</v>
      </c>
      <c r="AS687" s="77">
        <f t="shared" si="226"/>
        <v>6.5200617283950801E-3</v>
      </c>
      <c r="AT687" s="77">
        <f t="shared" si="226"/>
        <v>8.6419753086419259E-3</v>
      </c>
      <c r="AU687" s="77">
        <f t="shared" si="226"/>
        <v>1.5162037037037005E-2</v>
      </c>
      <c r="AV687" s="77">
        <f t="shared" si="226"/>
        <v>738</v>
      </c>
      <c r="AW687" s="77">
        <f t="shared" si="226"/>
        <v>189</v>
      </c>
      <c r="AX687" s="77" t="str">
        <f t="shared" si="226"/>
        <v>MEX</v>
      </c>
    </row>
    <row r="688" spans="1:50" x14ac:dyDescent="0.25">
      <c r="A688">
        <v>674</v>
      </c>
      <c r="B688" s="36" t="str">
        <f t="shared" si="215"/>
        <v>INTERAVIÓN</v>
      </c>
      <c r="C688" s="36">
        <f t="shared" si="215"/>
        <v>2206</v>
      </c>
      <c r="D688" s="74">
        <v>0.47361111111111115</v>
      </c>
      <c r="E688" s="74">
        <v>0.4777777777777778</v>
      </c>
      <c r="F688" s="75">
        <v>4.1666666666666519E-3</v>
      </c>
      <c r="G688" s="74">
        <v>0.48125000000000001</v>
      </c>
      <c r="H688" s="75">
        <v>3.4722222222222099E-3</v>
      </c>
      <c r="I688" s="76">
        <v>41726</v>
      </c>
      <c r="J688" s="36" t="str">
        <f t="shared" si="225"/>
        <v>Nacional</v>
      </c>
      <c r="K688" s="36">
        <f t="shared" si="225"/>
        <v>6.4236111111111022E-3</v>
      </c>
      <c r="L688" s="36">
        <f t="shared" si="225"/>
        <v>4.3402777777777693E-3</v>
      </c>
      <c r="M688" s="36">
        <f t="shared" si="225"/>
        <v>1.0763888888888871E-2</v>
      </c>
      <c r="N688" s="36">
        <f t="shared" si="225"/>
        <v>320</v>
      </c>
      <c r="O688" s="36">
        <f t="shared" si="225"/>
        <v>179</v>
      </c>
      <c r="P688" s="36" t="str">
        <f t="shared" si="225"/>
        <v>MEX</v>
      </c>
      <c r="R688">
        <v>674</v>
      </c>
      <c r="S688" s="36" t="str">
        <f t="shared" si="223"/>
        <v>MEXICO AEREO</v>
      </c>
      <c r="T688" s="36">
        <f t="shared" si="223"/>
        <v>224</v>
      </c>
      <c r="U688" s="73">
        <v>0.75624999999999998</v>
      </c>
      <c r="V688" s="74">
        <v>0.76180555555555562</v>
      </c>
      <c r="W688" s="75">
        <v>5.5555555555556468E-3</v>
      </c>
      <c r="X688" s="74">
        <v>0.76666666666666661</v>
      </c>
      <c r="Y688" s="75">
        <v>4.8611111111109828E-3</v>
      </c>
      <c r="Z688" s="76">
        <v>41742</v>
      </c>
      <c r="AA688" s="36" t="str">
        <f t="shared" si="224"/>
        <v>Nacional</v>
      </c>
      <c r="AB688" s="36">
        <f t="shared" si="224"/>
        <v>5.886243386243402E-3</v>
      </c>
      <c r="AC688" s="36">
        <f t="shared" si="224"/>
        <v>7.5396825396825285E-3</v>
      </c>
      <c r="AD688" s="36">
        <f t="shared" si="224"/>
        <v>1.3425925925925931E-2</v>
      </c>
      <c r="AE688" s="36" t="str">
        <f t="shared" si="224"/>
        <v>B737-700</v>
      </c>
      <c r="AF688" s="36">
        <f t="shared" si="224"/>
        <v>126</v>
      </c>
      <c r="AG688" s="36" t="str">
        <f t="shared" si="224"/>
        <v>MEX</v>
      </c>
      <c r="AI688">
        <v>674</v>
      </c>
      <c r="AJ688" s="77" t="str">
        <f t="shared" si="228"/>
        <v>MEXICO AEREO</v>
      </c>
      <c r="AK688" s="77">
        <f t="shared" si="227"/>
        <v>128</v>
      </c>
      <c r="AL688" s="78">
        <v>0.84305555555555556</v>
      </c>
      <c r="AM688" s="79">
        <v>0.84930555555555554</v>
      </c>
      <c r="AN688" s="80">
        <v>6.2499999999999778E-3</v>
      </c>
      <c r="AO688" s="79">
        <v>0.8520833333333333</v>
      </c>
      <c r="AP688" s="80">
        <v>2.7777777777777679E-3</v>
      </c>
      <c r="AQ688" s="81">
        <v>41797</v>
      </c>
      <c r="AR688" s="77" t="str">
        <f t="shared" si="226"/>
        <v>Nacional</v>
      </c>
      <c r="AS688" s="77">
        <f t="shared" si="226"/>
        <v>6.5200617283950801E-3</v>
      </c>
      <c r="AT688" s="77">
        <f t="shared" si="226"/>
        <v>8.6419753086419259E-3</v>
      </c>
      <c r="AU688" s="77">
        <f t="shared" si="226"/>
        <v>1.5162037037037005E-2</v>
      </c>
      <c r="AV688" s="77">
        <f t="shared" si="226"/>
        <v>738</v>
      </c>
      <c r="AW688" s="77">
        <f t="shared" si="226"/>
        <v>189</v>
      </c>
      <c r="AX688" s="77" t="str">
        <f t="shared" si="226"/>
        <v>MEX</v>
      </c>
    </row>
    <row r="689" spans="1:50" ht="15.75" thickBot="1" x14ac:dyDescent="0.3">
      <c r="A689">
        <v>675</v>
      </c>
      <c r="B689" s="36" t="str">
        <f t="shared" si="215"/>
        <v>INTERAVIÓN</v>
      </c>
      <c r="C689" s="36">
        <f t="shared" si="215"/>
        <v>2206</v>
      </c>
      <c r="D689" s="84">
        <v>0.47916666666666669</v>
      </c>
      <c r="E689" s="84">
        <v>0.48333333333333334</v>
      </c>
      <c r="F689" s="85">
        <v>4.1666666666666519E-3</v>
      </c>
      <c r="G689" s="84">
        <v>0.48680555555555555</v>
      </c>
      <c r="H689" s="85">
        <v>3.4722222222222099E-3</v>
      </c>
      <c r="I689" s="86">
        <v>41729</v>
      </c>
      <c r="J689" s="36" t="str">
        <f t="shared" si="225"/>
        <v>Nacional</v>
      </c>
      <c r="K689" s="36">
        <f t="shared" si="225"/>
        <v>6.4236111111111022E-3</v>
      </c>
      <c r="L689" s="36">
        <f t="shared" si="225"/>
        <v>4.3402777777777693E-3</v>
      </c>
      <c r="M689" s="36">
        <f t="shared" si="225"/>
        <v>1.0763888888888871E-2</v>
      </c>
      <c r="N689" s="36">
        <f t="shared" si="225"/>
        <v>320</v>
      </c>
      <c r="O689" s="36">
        <f t="shared" si="225"/>
        <v>179</v>
      </c>
      <c r="P689" s="36" t="str">
        <f t="shared" si="225"/>
        <v>MEX</v>
      </c>
      <c r="R689">
        <v>675</v>
      </c>
      <c r="S689" s="36" t="str">
        <f t="shared" si="223"/>
        <v>MEXICO AEREO</v>
      </c>
      <c r="T689" s="36">
        <f t="shared" si="223"/>
        <v>224</v>
      </c>
      <c r="U689" s="73">
        <v>0.75555555555555554</v>
      </c>
      <c r="V689" s="74">
        <v>0.76041666666666663</v>
      </c>
      <c r="W689" s="75">
        <v>4.8611111111110938E-3</v>
      </c>
      <c r="X689" s="74">
        <v>0.76666666666666661</v>
      </c>
      <c r="Y689" s="75">
        <v>6.2499999999999778E-3</v>
      </c>
      <c r="Z689" s="76">
        <v>41743</v>
      </c>
      <c r="AA689" s="36" t="str">
        <f t="shared" si="224"/>
        <v>Nacional</v>
      </c>
      <c r="AB689" s="36">
        <f t="shared" si="224"/>
        <v>5.886243386243402E-3</v>
      </c>
      <c r="AC689" s="36">
        <f t="shared" si="224"/>
        <v>7.5396825396825285E-3</v>
      </c>
      <c r="AD689" s="36">
        <f t="shared" si="224"/>
        <v>1.3425925925925931E-2</v>
      </c>
      <c r="AE689" s="36" t="str">
        <f t="shared" si="224"/>
        <v>B737-700</v>
      </c>
      <c r="AF689" s="36">
        <f t="shared" si="224"/>
        <v>126</v>
      </c>
      <c r="AG689" s="36" t="str">
        <f t="shared" si="224"/>
        <v>MEX</v>
      </c>
      <c r="AI689">
        <v>675</v>
      </c>
      <c r="AJ689" s="77" t="str">
        <f t="shared" si="228"/>
        <v>MEXICO AEREO</v>
      </c>
      <c r="AK689" s="77">
        <f t="shared" si="227"/>
        <v>128</v>
      </c>
      <c r="AL689" s="78">
        <v>0.86111111111111116</v>
      </c>
      <c r="AM689" s="79">
        <v>0.8666666666666667</v>
      </c>
      <c r="AN689" s="80">
        <v>5.5555555555555358E-3</v>
      </c>
      <c r="AO689" s="79">
        <v>0.88055555555555554</v>
      </c>
      <c r="AP689" s="80">
        <v>1.388888888888884E-2</v>
      </c>
      <c r="AQ689" s="81">
        <v>41798</v>
      </c>
      <c r="AR689" s="77" t="str">
        <f t="shared" si="226"/>
        <v>Nacional</v>
      </c>
      <c r="AS689" s="77">
        <f t="shared" si="226"/>
        <v>6.5200617283950801E-3</v>
      </c>
      <c r="AT689" s="77">
        <f t="shared" si="226"/>
        <v>8.6419753086419259E-3</v>
      </c>
      <c r="AU689" s="77">
        <f t="shared" si="226"/>
        <v>1.5162037037037005E-2</v>
      </c>
      <c r="AV689" s="77">
        <f t="shared" si="226"/>
        <v>738</v>
      </c>
      <c r="AW689" s="77">
        <f t="shared" si="226"/>
        <v>189</v>
      </c>
      <c r="AX689" s="77" t="str">
        <f t="shared" si="226"/>
        <v>MEX</v>
      </c>
    </row>
    <row r="690" spans="1:50" x14ac:dyDescent="0.25">
      <c r="A690">
        <v>676</v>
      </c>
      <c r="B690" s="36" t="str">
        <f t="shared" si="215"/>
        <v>INTERAVIÓN</v>
      </c>
      <c r="C690" s="88">
        <v>2204</v>
      </c>
      <c r="D690" s="57">
        <v>0.34027777777777773</v>
      </c>
      <c r="E690" s="57">
        <v>0.35416666666666669</v>
      </c>
      <c r="F690" s="58">
        <v>1.3888888888888951E-2</v>
      </c>
      <c r="G690" s="57">
        <v>0.35694444444444445</v>
      </c>
      <c r="H690" s="58">
        <v>2.7777777777777679E-3</v>
      </c>
      <c r="I690" s="59">
        <v>41715</v>
      </c>
      <c r="J690" s="108" t="s">
        <v>19</v>
      </c>
      <c r="K690" s="61">
        <v>6.8672839506172777E-3</v>
      </c>
      <c r="L690" s="61">
        <v>3.7808641975308633E-3</v>
      </c>
      <c r="M690" s="142">
        <v>1.0648148148148141E-2</v>
      </c>
      <c r="N690" s="90">
        <v>320</v>
      </c>
      <c r="O690" s="91">
        <v>179</v>
      </c>
      <c r="P690" s="92" t="s">
        <v>21</v>
      </c>
      <c r="R690">
        <v>676</v>
      </c>
      <c r="S690" s="36" t="str">
        <f t="shared" si="223"/>
        <v>MEXICO AEREO</v>
      </c>
      <c r="T690" s="36">
        <f t="shared" si="223"/>
        <v>224</v>
      </c>
      <c r="U690" s="73">
        <v>0.76527777777777783</v>
      </c>
      <c r="V690" s="74">
        <v>0.7729166666666667</v>
      </c>
      <c r="W690" s="75">
        <v>7.6388888888888618E-3</v>
      </c>
      <c r="X690" s="74">
        <v>0.77986111111111101</v>
      </c>
      <c r="Y690" s="75">
        <v>6.9444444444443088E-3</v>
      </c>
      <c r="Z690" s="76">
        <v>41745</v>
      </c>
      <c r="AA690" s="36" t="str">
        <f t="shared" si="224"/>
        <v>Nacional</v>
      </c>
      <c r="AB690" s="36">
        <f t="shared" si="224"/>
        <v>5.886243386243402E-3</v>
      </c>
      <c r="AC690" s="36">
        <f t="shared" si="224"/>
        <v>7.5396825396825285E-3</v>
      </c>
      <c r="AD690" s="36">
        <f t="shared" si="224"/>
        <v>1.3425925925925931E-2</v>
      </c>
      <c r="AE690" s="36" t="str">
        <f t="shared" si="224"/>
        <v>B737-700</v>
      </c>
      <c r="AF690" s="36">
        <f t="shared" si="224"/>
        <v>126</v>
      </c>
      <c r="AG690" s="36" t="str">
        <f t="shared" si="224"/>
        <v>MEX</v>
      </c>
      <c r="AI690">
        <v>676</v>
      </c>
      <c r="AJ690" s="77" t="str">
        <f t="shared" si="228"/>
        <v>MEXICO AEREO</v>
      </c>
      <c r="AK690" s="77">
        <f t="shared" si="227"/>
        <v>128</v>
      </c>
      <c r="AL690" s="78">
        <v>0.48125000000000001</v>
      </c>
      <c r="AM690" s="79">
        <v>0.48888888888888887</v>
      </c>
      <c r="AN690" s="80">
        <v>7.6388888888888618E-3</v>
      </c>
      <c r="AO690" s="79">
        <v>0.49861111111111112</v>
      </c>
      <c r="AP690" s="80">
        <v>9.7222222222222432E-3</v>
      </c>
      <c r="AQ690" s="81">
        <v>41800</v>
      </c>
      <c r="AR690" s="77" t="str">
        <f t="shared" si="226"/>
        <v>Nacional</v>
      </c>
      <c r="AS690" s="77">
        <f t="shared" si="226"/>
        <v>6.5200617283950801E-3</v>
      </c>
      <c r="AT690" s="77">
        <f t="shared" si="226"/>
        <v>8.6419753086419259E-3</v>
      </c>
      <c r="AU690" s="77">
        <f t="shared" si="226"/>
        <v>1.5162037037037005E-2</v>
      </c>
      <c r="AV690" s="77">
        <f t="shared" si="226"/>
        <v>738</v>
      </c>
      <c r="AW690" s="77">
        <f t="shared" si="226"/>
        <v>189</v>
      </c>
      <c r="AX690" s="77" t="str">
        <f t="shared" si="226"/>
        <v>MEX</v>
      </c>
    </row>
    <row r="691" spans="1:50" x14ac:dyDescent="0.25">
      <c r="A691">
        <v>677</v>
      </c>
      <c r="B691" s="36" t="str">
        <f t="shared" si="215"/>
        <v>INTERAVIÓN</v>
      </c>
      <c r="C691" s="36">
        <f t="shared" si="215"/>
        <v>2204</v>
      </c>
      <c r="D691" s="74">
        <v>0.35625000000000001</v>
      </c>
      <c r="E691" s="74">
        <v>0.36041666666666666</v>
      </c>
      <c r="F691" s="75">
        <v>4.1666666666666519E-3</v>
      </c>
      <c r="G691" s="74">
        <v>0.36458333333333331</v>
      </c>
      <c r="H691" s="75">
        <v>4.1666666666666519E-3</v>
      </c>
      <c r="I691" s="76">
        <v>41716</v>
      </c>
      <c r="J691" s="36" t="str">
        <f t="shared" ref="J691:P698" si="229">J690</f>
        <v>Nacional</v>
      </c>
      <c r="K691" s="36">
        <f t="shared" si="229"/>
        <v>6.8672839506172777E-3</v>
      </c>
      <c r="L691" s="36">
        <f t="shared" si="229"/>
        <v>3.7808641975308633E-3</v>
      </c>
      <c r="M691" s="36">
        <f t="shared" si="229"/>
        <v>1.0648148148148141E-2</v>
      </c>
      <c r="N691" s="36">
        <f t="shared" si="229"/>
        <v>320</v>
      </c>
      <c r="O691" s="36">
        <f t="shared" si="229"/>
        <v>179</v>
      </c>
      <c r="P691" s="36" t="str">
        <f t="shared" si="229"/>
        <v>MEX</v>
      </c>
      <c r="R691">
        <v>677</v>
      </c>
      <c r="S691" s="36" t="str">
        <f t="shared" si="223"/>
        <v>MEXICO AEREO</v>
      </c>
      <c r="T691" s="36">
        <f t="shared" si="223"/>
        <v>224</v>
      </c>
      <c r="U691" s="73">
        <v>0.76388888888888884</v>
      </c>
      <c r="V691" s="74">
        <v>0.77222222222222225</v>
      </c>
      <c r="W691" s="75">
        <v>8.3333333333334147E-3</v>
      </c>
      <c r="X691" s="74">
        <v>0.78055555555555556</v>
      </c>
      <c r="Y691" s="75">
        <v>8.3333333333333037E-3</v>
      </c>
      <c r="Z691" s="76">
        <v>41746</v>
      </c>
      <c r="AA691" s="36" t="str">
        <f t="shared" si="224"/>
        <v>Nacional</v>
      </c>
      <c r="AB691" s="36">
        <f t="shared" si="224"/>
        <v>5.886243386243402E-3</v>
      </c>
      <c r="AC691" s="36">
        <f t="shared" si="224"/>
        <v>7.5396825396825285E-3</v>
      </c>
      <c r="AD691" s="36">
        <f t="shared" si="224"/>
        <v>1.3425925925925931E-2</v>
      </c>
      <c r="AE691" s="36" t="str">
        <f t="shared" si="224"/>
        <v>B737-700</v>
      </c>
      <c r="AF691" s="36">
        <f t="shared" si="224"/>
        <v>126</v>
      </c>
      <c r="AG691" s="36" t="str">
        <f t="shared" si="224"/>
        <v>MEX</v>
      </c>
      <c r="AI691">
        <v>677</v>
      </c>
      <c r="AJ691" s="77" t="str">
        <f t="shared" si="228"/>
        <v>MEXICO AEREO</v>
      </c>
      <c r="AK691" s="77">
        <f t="shared" si="227"/>
        <v>128</v>
      </c>
      <c r="AL691" s="78">
        <v>7.2916666666666671E-2</v>
      </c>
      <c r="AM691" s="79">
        <v>8.1944444444444445E-2</v>
      </c>
      <c r="AN691" s="80">
        <v>9.0277777777777735E-3</v>
      </c>
      <c r="AO691" s="79">
        <v>9.3055555555555558E-2</v>
      </c>
      <c r="AP691" s="80">
        <v>1.1111111111111113E-2</v>
      </c>
      <c r="AQ691" s="81">
        <v>41802</v>
      </c>
      <c r="AR691" s="77" t="str">
        <f t="shared" si="226"/>
        <v>Nacional</v>
      </c>
      <c r="AS691" s="77">
        <f t="shared" si="226"/>
        <v>6.5200617283950801E-3</v>
      </c>
      <c r="AT691" s="77">
        <f t="shared" si="226"/>
        <v>8.6419753086419259E-3</v>
      </c>
      <c r="AU691" s="77">
        <f t="shared" si="226"/>
        <v>1.5162037037037005E-2</v>
      </c>
      <c r="AV691" s="77">
        <f t="shared" si="226"/>
        <v>738</v>
      </c>
      <c r="AW691" s="77">
        <f t="shared" si="226"/>
        <v>189</v>
      </c>
      <c r="AX691" s="77" t="str">
        <f t="shared" si="226"/>
        <v>MEX</v>
      </c>
    </row>
    <row r="692" spans="1:50" x14ac:dyDescent="0.25">
      <c r="A692">
        <v>678</v>
      </c>
      <c r="B692" s="36" t="str">
        <f t="shared" si="215"/>
        <v>INTERAVIÓN</v>
      </c>
      <c r="C692" s="36">
        <f t="shared" si="215"/>
        <v>2204</v>
      </c>
      <c r="D692" s="74">
        <v>0.36805555555555558</v>
      </c>
      <c r="E692" s="74">
        <v>0.37291666666666662</v>
      </c>
      <c r="F692" s="75">
        <v>4.8611111111110383E-3</v>
      </c>
      <c r="G692" s="74">
        <v>0.37638888888888888</v>
      </c>
      <c r="H692" s="75">
        <v>3.4722222222222654E-3</v>
      </c>
      <c r="I692" s="76">
        <v>41717</v>
      </c>
      <c r="J692" s="36" t="str">
        <f t="shared" si="229"/>
        <v>Nacional</v>
      </c>
      <c r="K692" s="36">
        <f t="shared" si="229"/>
        <v>6.8672839506172777E-3</v>
      </c>
      <c r="L692" s="36">
        <f t="shared" si="229"/>
        <v>3.7808641975308633E-3</v>
      </c>
      <c r="M692" s="36">
        <f t="shared" si="229"/>
        <v>1.0648148148148141E-2</v>
      </c>
      <c r="N692" s="36">
        <f t="shared" si="229"/>
        <v>320</v>
      </c>
      <c r="O692" s="36">
        <f t="shared" si="229"/>
        <v>179</v>
      </c>
      <c r="P692" s="36" t="str">
        <f t="shared" si="229"/>
        <v>MEX</v>
      </c>
      <c r="R692">
        <v>678</v>
      </c>
      <c r="S692" s="36" t="str">
        <f t="shared" si="223"/>
        <v>MEXICO AEREO</v>
      </c>
      <c r="T692" s="36">
        <f t="shared" si="223"/>
        <v>224</v>
      </c>
      <c r="U692" s="73">
        <v>0.77013888888888893</v>
      </c>
      <c r="V692" s="74">
        <v>0.77569444444444446</v>
      </c>
      <c r="W692" s="75">
        <v>5.5555555555555358E-3</v>
      </c>
      <c r="X692" s="74">
        <v>0.78402777777777777</v>
      </c>
      <c r="Y692" s="75">
        <v>8.3333333333333037E-3</v>
      </c>
      <c r="Z692" s="76">
        <v>41748</v>
      </c>
      <c r="AA692" s="36" t="str">
        <f t="shared" si="224"/>
        <v>Nacional</v>
      </c>
      <c r="AB692" s="36">
        <f t="shared" si="224"/>
        <v>5.886243386243402E-3</v>
      </c>
      <c r="AC692" s="36">
        <f t="shared" si="224"/>
        <v>7.5396825396825285E-3</v>
      </c>
      <c r="AD692" s="36">
        <f t="shared" si="224"/>
        <v>1.3425925925925931E-2</v>
      </c>
      <c r="AE692" s="36" t="str">
        <f t="shared" si="224"/>
        <v>B737-700</v>
      </c>
      <c r="AF692" s="36">
        <f t="shared" si="224"/>
        <v>126</v>
      </c>
      <c r="AG692" s="36" t="str">
        <f t="shared" si="224"/>
        <v>MEX</v>
      </c>
      <c r="AI692">
        <v>678</v>
      </c>
      <c r="AJ692" s="77" t="str">
        <f t="shared" si="228"/>
        <v>MEXICO AEREO</v>
      </c>
      <c r="AK692" s="77">
        <f t="shared" si="227"/>
        <v>128</v>
      </c>
      <c r="AL692" s="78">
        <v>0.44305555555555554</v>
      </c>
      <c r="AM692" s="79">
        <v>0.4465277777777778</v>
      </c>
      <c r="AN692" s="80">
        <v>3.4722222222222654E-3</v>
      </c>
      <c r="AO692" s="79">
        <v>0.4513888888888889</v>
      </c>
      <c r="AP692" s="80">
        <v>4.8611111111110938E-3</v>
      </c>
      <c r="AQ692" s="81">
        <v>41803</v>
      </c>
      <c r="AR692" s="77" t="str">
        <f t="shared" si="226"/>
        <v>Nacional</v>
      </c>
      <c r="AS692" s="77">
        <f t="shared" si="226"/>
        <v>6.5200617283950801E-3</v>
      </c>
      <c r="AT692" s="77">
        <f t="shared" si="226"/>
        <v>8.6419753086419259E-3</v>
      </c>
      <c r="AU692" s="77">
        <f t="shared" si="226"/>
        <v>1.5162037037037005E-2</v>
      </c>
      <c r="AV692" s="77">
        <f t="shared" si="226"/>
        <v>738</v>
      </c>
      <c r="AW692" s="77">
        <f t="shared" si="226"/>
        <v>189</v>
      </c>
      <c r="AX692" s="77" t="str">
        <f t="shared" si="226"/>
        <v>MEX</v>
      </c>
    </row>
    <row r="693" spans="1:50" x14ac:dyDescent="0.25">
      <c r="A693">
        <v>679</v>
      </c>
      <c r="B693" s="36" t="str">
        <f t="shared" si="215"/>
        <v>INTERAVIÓN</v>
      </c>
      <c r="C693" s="36">
        <f t="shared" si="215"/>
        <v>2204</v>
      </c>
      <c r="D693" s="74">
        <v>0.3520833333333333</v>
      </c>
      <c r="E693" s="74">
        <v>0.35833333333333334</v>
      </c>
      <c r="F693" s="75">
        <v>6.2500000000000333E-3</v>
      </c>
      <c r="G693" s="74">
        <v>0.36388888888888887</v>
      </c>
      <c r="H693" s="75">
        <v>5.5555555555555358E-3</v>
      </c>
      <c r="I693" s="76">
        <v>41718</v>
      </c>
      <c r="J693" s="36" t="str">
        <f t="shared" si="229"/>
        <v>Nacional</v>
      </c>
      <c r="K693" s="36">
        <f t="shared" si="229"/>
        <v>6.8672839506172777E-3</v>
      </c>
      <c r="L693" s="36">
        <f t="shared" si="229"/>
        <v>3.7808641975308633E-3</v>
      </c>
      <c r="M693" s="36">
        <f t="shared" si="229"/>
        <v>1.0648148148148141E-2</v>
      </c>
      <c r="N693" s="36">
        <f t="shared" si="229"/>
        <v>320</v>
      </c>
      <c r="O693" s="36">
        <f t="shared" si="229"/>
        <v>179</v>
      </c>
      <c r="P693" s="36" t="str">
        <f t="shared" si="229"/>
        <v>MEX</v>
      </c>
      <c r="R693">
        <v>679</v>
      </c>
      <c r="S693" s="36" t="str">
        <f t="shared" si="223"/>
        <v>MEXICO AEREO</v>
      </c>
      <c r="T693" s="36">
        <f t="shared" si="223"/>
        <v>224</v>
      </c>
      <c r="U693" s="73">
        <v>0.76041666666666663</v>
      </c>
      <c r="V693" s="74">
        <v>0.77083333333333337</v>
      </c>
      <c r="W693" s="75">
        <v>1.0416666666666741E-2</v>
      </c>
      <c r="X693" s="74">
        <v>0.78125</v>
      </c>
      <c r="Y693" s="75">
        <v>1.041666666666663E-2</v>
      </c>
      <c r="Z693" s="76">
        <v>41750</v>
      </c>
      <c r="AA693" s="36" t="str">
        <f t="shared" si="224"/>
        <v>Nacional</v>
      </c>
      <c r="AB693" s="36">
        <f t="shared" si="224"/>
        <v>5.886243386243402E-3</v>
      </c>
      <c r="AC693" s="36">
        <f t="shared" si="224"/>
        <v>7.5396825396825285E-3</v>
      </c>
      <c r="AD693" s="36">
        <f t="shared" si="224"/>
        <v>1.3425925925925931E-2</v>
      </c>
      <c r="AE693" s="36" t="str">
        <f t="shared" si="224"/>
        <v>B737-700</v>
      </c>
      <c r="AF693" s="36">
        <f t="shared" si="224"/>
        <v>126</v>
      </c>
      <c r="AG693" s="36" t="str">
        <f t="shared" si="224"/>
        <v>MEX</v>
      </c>
      <c r="AI693">
        <v>679</v>
      </c>
      <c r="AJ693" s="77" t="str">
        <f t="shared" si="228"/>
        <v>MEXICO AEREO</v>
      </c>
      <c r="AK693" s="77">
        <f t="shared" si="227"/>
        <v>128</v>
      </c>
      <c r="AL693" s="78">
        <v>0.72222222222222221</v>
      </c>
      <c r="AM693" s="79">
        <v>0.73055555555555562</v>
      </c>
      <c r="AN693" s="80">
        <v>8.3333333333334147E-3</v>
      </c>
      <c r="AO693" s="79">
        <v>0.74583333333333324</v>
      </c>
      <c r="AP693" s="80">
        <v>1.5277777777777612E-2</v>
      </c>
      <c r="AQ693" s="81">
        <v>41805</v>
      </c>
      <c r="AR693" s="77" t="str">
        <f t="shared" si="226"/>
        <v>Nacional</v>
      </c>
      <c r="AS693" s="77">
        <f t="shared" si="226"/>
        <v>6.5200617283950801E-3</v>
      </c>
      <c r="AT693" s="77">
        <f t="shared" si="226"/>
        <v>8.6419753086419259E-3</v>
      </c>
      <c r="AU693" s="77">
        <f t="shared" si="226"/>
        <v>1.5162037037037005E-2</v>
      </c>
      <c r="AV693" s="77">
        <f t="shared" si="226"/>
        <v>738</v>
      </c>
      <c r="AW693" s="77">
        <f t="shared" si="226"/>
        <v>189</v>
      </c>
      <c r="AX693" s="77" t="str">
        <f t="shared" si="226"/>
        <v>MEX</v>
      </c>
    </row>
    <row r="694" spans="1:50" x14ac:dyDescent="0.25">
      <c r="A694">
        <v>680</v>
      </c>
      <c r="B694" s="36" t="str">
        <f t="shared" si="215"/>
        <v>INTERAVIÓN</v>
      </c>
      <c r="C694" s="36">
        <f t="shared" si="215"/>
        <v>2204</v>
      </c>
      <c r="D694" s="74">
        <v>0.3666666666666667</v>
      </c>
      <c r="E694" s="74">
        <v>0.37013888888888885</v>
      </c>
      <c r="F694" s="75">
        <v>3.4722222222221544E-3</v>
      </c>
      <c r="G694" s="74">
        <v>0.3743055555555555</v>
      </c>
      <c r="H694" s="75">
        <v>4.1666666666666519E-3</v>
      </c>
      <c r="I694" s="76">
        <v>41722</v>
      </c>
      <c r="J694" s="36" t="str">
        <f t="shared" si="229"/>
        <v>Nacional</v>
      </c>
      <c r="K694" s="36">
        <f t="shared" si="229"/>
        <v>6.8672839506172777E-3</v>
      </c>
      <c r="L694" s="36">
        <f t="shared" si="229"/>
        <v>3.7808641975308633E-3</v>
      </c>
      <c r="M694" s="36">
        <f t="shared" si="229"/>
        <v>1.0648148148148141E-2</v>
      </c>
      <c r="N694" s="36">
        <f t="shared" si="229"/>
        <v>320</v>
      </c>
      <c r="O694" s="36">
        <f t="shared" si="229"/>
        <v>179</v>
      </c>
      <c r="P694" s="36" t="str">
        <f t="shared" si="229"/>
        <v>MEX</v>
      </c>
      <c r="R694">
        <v>680</v>
      </c>
      <c r="S694" s="36" t="str">
        <f t="shared" si="223"/>
        <v>MEXICO AEREO</v>
      </c>
      <c r="T694" s="36">
        <f t="shared" si="223"/>
        <v>224</v>
      </c>
      <c r="U694" s="73">
        <v>0.76736111111111116</v>
      </c>
      <c r="V694" s="74">
        <v>0.77222222222222225</v>
      </c>
      <c r="W694" s="75">
        <v>4.8611111111110938E-3</v>
      </c>
      <c r="X694" s="74">
        <v>0.77777777777777779</v>
      </c>
      <c r="Y694" s="75">
        <v>5.5555555555555358E-3</v>
      </c>
      <c r="Z694" s="76">
        <v>41751</v>
      </c>
      <c r="AA694" s="36" t="str">
        <f t="shared" si="224"/>
        <v>Nacional</v>
      </c>
      <c r="AB694" s="36">
        <f t="shared" si="224"/>
        <v>5.886243386243402E-3</v>
      </c>
      <c r="AC694" s="36">
        <f t="shared" si="224"/>
        <v>7.5396825396825285E-3</v>
      </c>
      <c r="AD694" s="36">
        <f t="shared" si="224"/>
        <v>1.3425925925925931E-2</v>
      </c>
      <c r="AE694" s="36" t="str">
        <f t="shared" si="224"/>
        <v>B737-700</v>
      </c>
      <c r="AF694" s="36">
        <f t="shared" si="224"/>
        <v>126</v>
      </c>
      <c r="AG694" s="36" t="str">
        <f t="shared" si="224"/>
        <v>MEX</v>
      </c>
      <c r="AI694">
        <v>680</v>
      </c>
      <c r="AJ694" s="77" t="str">
        <f t="shared" si="228"/>
        <v>MEXICO AEREO</v>
      </c>
      <c r="AK694" s="77">
        <f t="shared" si="227"/>
        <v>128</v>
      </c>
      <c r="AL694" s="78">
        <v>0.9</v>
      </c>
      <c r="AM694" s="79">
        <v>0.91805555555555562</v>
      </c>
      <c r="AN694" s="80">
        <v>1.8055555555555602E-2</v>
      </c>
      <c r="AO694" s="79">
        <v>0.93055555555555547</v>
      </c>
      <c r="AP694" s="80">
        <v>1.2499999999999845E-2</v>
      </c>
      <c r="AQ694" s="81">
        <v>41806</v>
      </c>
      <c r="AR694" s="77" t="str">
        <f t="shared" si="226"/>
        <v>Nacional</v>
      </c>
      <c r="AS694" s="77">
        <f t="shared" si="226"/>
        <v>6.5200617283950801E-3</v>
      </c>
      <c r="AT694" s="77">
        <f t="shared" si="226"/>
        <v>8.6419753086419259E-3</v>
      </c>
      <c r="AU694" s="77">
        <f t="shared" si="226"/>
        <v>1.5162037037037005E-2</v>
      </c>
      <c r="AV694" s="77">
        <f t="shared" si="226"/>
        <v>738</v>
      </c>
      <c r="AW694" s="77">
        <f t="shared" si="226"/>
        <v>189</v>
      </c>
      <c r="AX694" s="77" t="str">
        <f t="shared" si="226"/>
        <v>MEX</v>
      </c>
    </row>
    <row r="695" spans="1:50" x14ac:dyDescent="0.25">
      <c r="A695">
        <v>681</v>
      </c>
      <c r="B695" s="36" t="str">
        <f t="shared" si="215"/>
        <v>INTERAVIÓN</v>
      </c>
      <c r="C695" s="36">
        <f t="shared" si="215"/>
        <v>2204</v>
      </c>
      <c r="D695" s="74">
        <v>0.35833333333333334</v>
      </c>
      <c r="E695" s="74">
        <v>0.3666666666666667</v>
      </c>
      <c r="F695" s="75">
        <v>8.3333333333333592E-3</v>
      </c>
      <c r="G695" s="74">
        <v>0.37083333333333335</v>
      </c>
      <c r="H695" s="75">
        <v>4.1666666666666519E-3</v>
      </c>
      <c r="I695" s="76">
        <v>41725</v>
      </c>
      <c r="J695" s="36" t="str">
        <f t="shared" si="229"/>
        <v>Nacional</v>
      </c>
      <c r="K695" s="36">
        <f t="shared" si="229"/>
        <v>6.8672839506172777E-3</v>
      </c>
      <c r="L695" s="36">
        <f t="shared" si="229"/>
        <v>3.7808641975308633E-3</v>
      </c>
      <c r="M695" s="36">
        <f t="shared" si="229"/>
        <v>1.0648148148148141E-2</v>
      </c>
      <c r="N695" s="36">
        <f t="shared" si="229"/>
        <v>320</v>
      </c>
      <c r="O695" s="36">
        <f t="shared" si="229"/>
        <v>179</v>
      </c>
      <c r="P695" s="36" t="str">
        <f t="shared" si="229"/>
        <v>MEX</v>
      </c>
      <c r="R695">
        <v>681</v>
      </c>
      <c r="S695" s="36" t="str">
        <f t="shared" si="223"/>
        <v>MEXICO AEREO</v>
      </c>
      <c r="T695" s="36">
        <f t="shared" si="223"/>
        <v>224</v>
      </c>
      <c r="U695" s="73">
        <v>0.78055555555555556</v>
      </c>
      <c r="V695" s="74">
        <v>0.78472222222222221</v>
      </c>
      <c r="W695" s="75">
        <v>4.1666666666666519E-3</v>
      </c>
      <c r="X695" s="74">
        <v>0.79375000000000007</v>
      </c>
      <c r="Y695" s="75">
        <v>9.0277777777778567E-3</v>
      </c>
      <c r="Z695" s="76">
        <v>41753</v>
      </c>
      <c r="AA695" s="36" t="str">
        <f t="shared" si="224"/>
        <v>Nacional</v>
      </c>
      <c r="AB695" s="36">
        <f t="shared" si="224"/>
        <v>5.886243386243402E-3</v>
      </c>
      <c r="AC695" s="36">
        <f t="shared" si="224"/>
        <v>7.5396825396825285E-3</v>
      </c>
      <c r="AD695" s="36">
        <f t="shared" si="224"/>
        <v>1.3425925925925931E-2</v>
      </c>
      <c r="AE695" s="36" t="str">
        <f t="shared" si="224"/>
        <v>B737-700</v>
      </c>
      <c r="AF695" s="36">
        <f t="shared" si="224"/>
        <v>126</v>
      </c>
      <c r="AG695" s="36" t="str">
        <f t="shared" si="224"/>
        <v>MEX</v>
      </c>
      <c r="AI695">
        <v>681</v>
      </c>
      <c r="AJ695" s="77" t="str">
        <f t="shared" si="228"/>
        <v>MEXICO AEREO</v>
      </c>
      <c r="AK695" s="77">
        <f t="shared" si="227"/>
        <v>128</v>
      </c>
      <c r="AL695" s="78">
        <v>0.88888888888888884</v>
      </c>
      <c r="AM695" s="79">
        <v>0.89513888888888893</v>
      </c>
      <c r="AN695" s="80">
        <v>6.2500000000000888E-3</v>
      </c>
      <c r="AO695" s="79">
        <v>0.90347222222222223</v>
      </c>
      <c r="AP695" s="80">
        <v>8.3333333333333037E-3</v>
      </c>
      <c r="AQ695" s="81">
        <v>41807</v>
      </c>
      <c r="AR695" s="77" t="str">
        <f t="shared" si="226"/>
        <v>Nacional</v>
      </c>
      <c r="AS695" s="77">
        <f t="shared" si="226"/>
        <v>6.5200617283950801E-3</v>
      </c>
      <c r="AT695" s="77">
        <f t="shared" si="226"/>
        <v>8.6419753086419259E-3</v>
      </c>
      <c r="AU695" s="77">
        <f t="shared" si="226"/>
        <v>1.5162037037037005E-2</v>
      </c>
      <c r="AV695" s="77">
        <f t="shared" si="226"/>
        <v>738</v>
      </c>
      <c r="AW695" s="77">
        <f t="shared" si="226"/>
        <v>189</v>
      </c>
      <c r="AX695" s="77" t="str">
        <f t="shared" si="226"/>
        <v>MEX</v>
      </c>
    </row>
    <row r="696" spans="1:50" x14ac:dyDescent="0.25">
      <c r="A696">
        <v>682</v>
      </c>
      <c r="B696" s="36" t="str">
        <f t="shared" si="215"/>
        <v>INTERAVIÓN</v>
      </c>
      <c r="C696" s="36">
        <f t="shared" si="215"/>
        <v>2204</v>
      </c>
      <c r="D696" s="74">
        <v>0.35555555555555557</v>
      </c>
      <c r="E696" s="74">
        <v>0.36180555555555555</v>
      </c>
      <c r="F696" s="75">
        <v>6.2499999999999778E-3</v>
      </c>
      <c r="G696" s="74">
        <v>0.36458333333333331</v>
      </c>
      <c r="H696" s="75">
        <v>2.7777777777777679E-3</v>
      </c>
      <c r="I696" s="76">
        <v>41725</v>
      </c>
      <c r="J696" s="36" t="str">
        <f t="shared" si="229"/>
        <v>Nacional</v>
      </c>
      <c r="K696" s="36">
        <f t="shared" si="229"/>
        <v>6.8672839506172777E-3</v>
      </c>
      <c r="L696" s="36">
        <f t="shared" si="229"/>
        <v>3.7808641975308633E-3</v>
      </c>
      <c r="M696" s="36">
        <f t="shared" si="229"/>
        <v>1.0648148148148141E-2</v>
      </c>
      <c r="N696" s="36">
        <f t="shared" si="229"/>
        <v>320</v>
      </c>
      <c r="O696" s="36">
        <f t="shared" si="229"/>
        <v>179</v>
      </c>
      <c r="P696" s="36" t="str">
        <f t="shared" si="229"/>
        <v>MEX</v>
      </c>
      <c r="R696">
        <v>682</v>
      </c>
      <c r="S696" s="36" t="str">
        <f t="shared" si="223"/>
        <v>MEXICO AEREO</v>
      </c>
      <c r="T696" s="36">
        <f t="shared" si="223"/>
        <v>224</v>
      </c>
      <c r="U696" s="73">
        <v>0.75694444444444453</v>
      </c>
      <c r="V696" s="74">
        <v>0.76180555555555562</v>
      </c>
      <c r="W696" s="75">
        <v>4.8611111111110938E-3</v>
      </c>
      <c r="X696" s="74">
        <v>0.77083333333333337</v>
      </c>
      <c r="Y696" s="75">
        <v>9.0277777777777457E-3</v>
      </c>
      <c r="Z696" s="76">
        <v>41754</v>
      </c>
      <c r="AA696" s="36" t="str">
        <f t="shared" si="224"/>
        <v>Nacional</v>
      </c>
      <c r="AB696" s="36">
        <f t="shared" si="224"/>
        <v>5.886243386243402E-3</v>
      </c>
      <c r="AC696" s="36">
        <f t="shared" si="224"/>
        <v>7.5396825396825285E-3</v>
      </c>
      <c r="AD696" s="36">
        <f t="shared" si="224"/>
        <v>1.3425925925925931E-2</v>
      </c>
      <c r="AE696" s="36" t="str">
        <f t="shared" si="224"/>
        <v>B737-700</v>
      </c>
      <c r="AF696" s="36">
        <f t="shared" si="224"/>
        <v>126</v>
      </c>
      <c r="AG696" s="36" t="str">
        <f t="shared" si="224"/>
        <v>MEX</v>
      </c>
      <c r="AI696">
        <v>682</v>
      </c>
      <c r="AJ696" s="77" t="str">
        <f t="shared" si="228"/>
        <v>MEXICO AEREO</v>
      </c>
      <c r="AK696" s="77">
        <f t="shared" si="227"/>
        <v>128</v>
      </c>
      <c r="AL696" s="78">
        <v>0.84375</v>
      </c>
      <c r="AM696" s="79">
        <v>0.84791666666666676</v>
      </c>
      <c r="AN696" s="80">
        <v>4.1666666666667629E-3</v>
      </c>
      <c r="AO696" s="79">
        <v>0.85416666666666663</v>
      </c>
      <c r="AP696" s="80">
        <v>6.2499999999998668E-3</v>
      </c>
      <c r="AQ696" s="81">
        <v>41808</v>
      </c>
      <c r="AR696" s="77" t="str">
        <f t="shared" si="226"/>
        <v>Nacional</v>
      </c>
      <c r="AS696" s="77">
        <f t="shared" si="226"/>
        <v>6.5200617283950801E-3</v>
      </c>
      <c r="AT696" s="77">
        <f t="shared" si="226"/>
        <v>8.6419753086419259E-3</v>
      </c>
      <c r="AU696" s="77">
        <f t="shared" si="226"/>
        <v>1.5162037037037005E-2</v>
      </c>
      <c r="AV696" s="77">
        <f t="shared" si="226"/>
        <v>738</v>
      </c>
      <c r="AW696" s="77">
        <f t="shared" si="226"/>
        <v>189</v>
      </c>
      <c r="AX696" s="77" t="str">
        <f t="shared" si="226"/>
        <v>MEX</v>
      </c>
    </row>
    <row r="697" spans="1:50" x14ac:dyDescent="0.25">
      <c r="A697">
        <v>683</v>
      </c>
      <c r="B697" s="36" t="str">
        <f t="shared" si="215"/>
        <v>INTERAVIÓN</v>
      </c>
      <c r="C697" s="36">
        <f t="shared" si="215"/>
        <v>2204</v>
      </c>
      <c r="D697" s="74">
        <v>0.36319444444444443</v>
      </c>
      <c r="E697" s="74">
        <v>0.37222222222222223</v>
      </c>
      <c r="F697" s="75">
        <v>9.0277777777778012E-3</v>
      </c>
      <c r="G697" s="74">
        <v>0.3756944444444445</v>
      </c>
      <c r="H697" s="75">
        <v>3.4722222222222654E-3</v>
      </c>
      <c r="I697" s="76">
        <v>41726</v>
      </c>
      <c r="J697" s="36" t="str">
        <f t="shared" si="229"/>
        <v>Nacional</v>
      </c>
      <c r="K697" s="36">
        <f t="shared" si="229"/>
        <v>6.8672839506172777E-3</v>
      </c>
      <c r="L697" s="36">
        <f t="shared" si="229"/>
        <v>3.7808641975308633E-3</v>
      </c>
      <c r="M697" s="36">
        <f t="shared" si="229"/>
        <v>1.0648148148148141E-2</v>
      </c>
      <c r="N697" s="36">
        <f t="shared" si="229"/>
        <v>320</v>
      </c>
      <c r="O697" s="36">
        <f t="shared" si="229"/>
        <v>179</v>
      </c>
      <c r="P697" s="36" t="str">
        <f t="shared" si="229"/>
        <v>MEX</v>
      </c>
      <c r="R697">
        <v>683</v>
      </c>
      <c r="S697" s="36" t="str">
        <f t="shared" si="223"/>
        <v>MEXICO AEREO</v>
      </c>
      <c r="T697" s="36">
        <f t="shared" si="223"/>
        <v>224</v>
      </c>
      <c r="U697" s="73">
        <v>0.7597222222222223</v>
      </c>
      <c r="V697" s="74">
        <v>0.76458333333333339</v>
      </c>
      <c r="W697" s="75">
        <v>4.8611111111110938E-3</v>
      </c>
      <c r="X697" s="74">
        <v>0.78055555555555556</v>
      </c>
      <c r="Y697" s="75">
        <v>1.5972222222222165E-2</v>
      </c>
      <c r="Z697" s="76">
        <v>41756</v>
      </c>
      <c r="AA697" s="36" t="str">
        <f t="shared" si="224"/>
        <v>Nacional</v>
      </c>
      <c r="AB697" s="36">
        <f t="shared" si="224"/>
        <v>5.886243386243402E-3</v>
      </c>
      <c r="AC697" s="36">
        <f t="shared" si="224"/>
        <v>7.5396825396825285E-3</v>
      </c>
      <c r="AD697" s="36">
        <f t="shared" si="224"/>
        <v>1.3425925925925931E-2</v>
      </c>
      <c r="AE697" s="36" t="str">
        <f t="shared" si="224"/>
        <v>B737-700</v>
      </c>
      <c r="AF697" s="36">
        <f t="shared" si="224"/>
        <v>126</v>
      </c>
      <c r="AG697" s="36" t="str">
        <f t="shared" si="224"/>
        <v>MEX</v>
      </c>
      <c r="AI697">
        <v>683</v>
      </c>
      <c r="AJ697" s="77" t="str">
        <f t="shared" si="228"/>
        <v>MEXICO AEREO</v>
      </c>
      <c r="AK697" s="77">
        <f t="shared" si="227"/>
        <v>128</v>
      </c>
      <c r="AL697" s="78">
        <v>0.89027777777777783</v>
      </c>
      <c r="AM697" s="79">
        <v>0.8979166666666667</v>
      </c>
      <c r="AN697" s="80">
        <v>7.6388888888888618E-3</v>
      </c>
      <c r="AO697" s="79">
        <v>0.90208333333333324</v>
      </c>
      <c r="AP697" s="80">
        <v>4.1666666666665408E-3</v>
      </c>
      <c r="AQ697" s="81">
        <v>41809</v>
      </c>
      <c r="AR697" s="77" t="str">
        <f t="shared" si="226"/>
        <v>Nacional</v>
      </c>
      <c r="AS697" s="77">
        <f t="shared" si="226"/>
        <v>6.5200617283950801E-3</v>
      </c>
      <c r="AT697" s="77">
        <f t="shared" si="226"/>
        <v>8.6419753086419259E-3</v>
      </c>
      <c r="AU697" s="77">
        <f t="shared" si="226"/>
        <v>1.5162037037037005E-2</v>
      </c>
      <c r="AV697" s="77">
        <f t="shared" si="226"/>
        <v>738</v>
      </c>
      <c r="AW697" s="77">
        <f t="shared" si="226"/>
        <v>189</v>
      </c>
      <c r="AX697" s="77" t="str">
        <f t="shared" si="226"/>
        <v>MEX</v>
      </c>
    </row>
    <row r="698" spans="1:50" ht="15.75" thickBot="1" x14ac:dyDescent="0.3">
      <c r="A698">
        <v>684</v>
      </c>
      <c r="B698" s="36" t="str">
        <f t="shared" si="215"/>
        <v>INTERAVIÓN</v>
      </c>
      <c r="C698" s="36">
        <f t="shared" si="215"/>
        <v>2204</v>
      </c>
      <c r="D698" s="84">
        <v>0.35000000000000003</v>
      </c>
      <c r="E698" s="84">
        <v>0.35555555555555557</v>
      </c>
      <c r="F698" s="85">
        <v>5.5555555555555358E-3</v>
      </c>
      <c r="G698" s="84">
        <v>0.35902777777777778</v>
      </c>
      <c r="H698" s="85">
        <v>3.4722222222222099E-3</v>
      </c>
      <c r="I698" s="86">
        <v>41729</v>
      </c>
      <c r="J698" s="36" t="str">
        <f t="shared" si="229"/>
        <v>Nacional</v>
      </c>
      <c r="K698" s="36">
        <f t="shared" si="229"/>
        <v>6.8672839506172777E-3</v>
      </c>
      <c r="L698" s="36">
        <f t="shared" si="229"/>
        <v>3.7808641975308633E-3</v>
      </c>
      <c r="M698" s="36">
        <f t="shared" si="229"/>
        <v>1.0648148148148141E-2</v>
      </c>
      <c r="N698" s="36">
        <f t="shared" si="229"/>
        <v>320</v>
      </c>
      <c r="O698" s="36">
        <f t="shared" si="229"/>
        <v>179</v>
      </c>
      <c r="P698" s="36" t="str">
        <f t="shared" si="229"/>
        <v>MEX</v>
      </c>
      <c r="R698">
        <v>684</v>
      </c>
      <c r="S698" s="36" t="str">
        <f t="shared" si="223"/>
        <v>MEXICO AEREO</v>
      </c>
      <c r="T698" s="36">
        <f t="shared" si="223"/>
        <v>224</v>
      </c>
      <c r="U698" s="73">
        <v>0.7715277777777777</v>
      </c>
      <c r="V698" s="74">
        <v>0.77847222222222223</v>
      </c>
      <c r="W698" s="75">
        <v>6.9444444444445308E-3</v>
      </c>
      <c r="X698" s="74">
        <v>0.78680555555555554</v>
      </c>
      <c r="Y698" s="75">
        <v>8.3333333333333037E-3</v>
      </c>
      <c r="Z698" s="76">
        <v>41757</v>
      </c>
      <c r="AA698" s="36" t="str">
        <f t="shared" si="224"/>
        <v>Nacional</v>
      </c>
      <c r="AB698" s="36">
        <f t="shared" si="224"/>
        <v>5.886243386243402E-3</v>
      </c>
      <c r="AC698" s="36">
        <f t="shared" si="224"/>
        <v>7.5396825396825285E-3</v>
      </c>
      <c r="AD698" s="36">
        <f t="shared" si="224"/>
        <v>1.3425925925925931E-2</v>
      </c>
      <c r="AE698" s="36" t="str">
        <f t="shared" si="224"/>
        <v>B737-700</v>
      </c>
      <c r="AF698" s="36">
        <f t="shared" si="224"/>
        <v>126</v>
      </c>
      <c r="AG698" s="36" t="str">
        <f t="shared" si="224"/>
        <v>MEX</v>
      </c>
      <c r="AI698">
        <v>684</v>
      </c>
      <c r="AJ698" s="77" t="str">
        <f t="shared" si="228"/>
        <v>MEXICO AEREO</v>
      </c>
      <c r="AK698" s="77">
        <f t="shared" si="227"/>
        <v>128</v>
      </c>
      <c r="AL698" s="78">
        <v>0.93680555555555556</v>
      </c>
      <c r="AM698" s="79">
        <v>0.94097222222222221</v>
      </c>
      <c r="AN698" s="80">
        <v>4.1666666666666519E-3</v>
      </c>
      <c r="AO698" s="79">
        <v>0.94374999999999998</v>
      </c>
      <c r="AP698" s="80">
        <v>2.7777777777777679E-3</v>
      </c>
      <c r="AQ698" s="81">
        <v>41811</v>
      </c>
      <c r="AR698" s="77" t="str">
        <f t="shared" si="226"/>
        <v>Nacional</v>
      </c>
      <c r="AS698" s="77">
        <f t="shared" si="226"/>
        <v>6.5200617283950801E-3</v>
      </c>
      <c r="AT698" s="77">
        <f t="shared" si="226"/>
        <v>8.6419753086419259E-3</v>
      </c>
      <c r="AU698" s="77">
        <f t="shared" si="226"/>
        <v>1.5162037037037005E-2</v>
      </c>
      <c r="AV698" s="77">
        <f t="shared" si="226"/>
        <v>738</v>
      </c>
      <c r="AW698" s="77">
        <f t="shared" si="226"/>
        <v>189</v>
      </c>
      <c r="AX698" s="77" t="str">
        <f t="shared" si="226"/>
        <v>MEX</v>
      </c>
    </row>
    <row r="699" spans="1:50" x14ac:dyDescent="0.25">
      <c r="A699">
        <v>685</v>
      </c>
      <c r="B699" s="36" t="str">
        <f t="shared" si="215"/>
        <v>INTERAVIÓN</v>
      </c>
      <c r="C699" s="88">
        <v>2202</v>
      </c>
      <c r="D699" s="57">
        <v>0.55347222222222225</v>
      </c>
      <c r="E699" s="57">
        <v>0.55555555555555558</v>
      </c>
      <c r="F699" s="58">
        <v>2.0833333333333259E-3</v>
      </c>
      <c r="G699" s="57">
        <v>0.55763888888888891</v>
      </c>
      <c r="H699" s="58">
        <v>2.0833333333333259E-3</v>
      </c>
      <c r="I699" s="59">
        <v>41714</v>
      </c>
      <c r="J699" s="108" t="s">
        <v>19</v>
      </c>
      <c r="K699" s="61">
        <v>7.0216049382715922E-3</v>
      </c>
      <c r="L699" s="61">
        <v>7.7932098765431945E-3</v>
      </c>
      <c r="M699" s="142">
        <v>1.4814814814814788E-2</v>
      </c>
      <c r="N699" s="90">
        <v>320</v>
      </c>
      <c r="O699" s="91">
        <v>179</v>
      </c>
      <c r="P699" s="92" t="s">
        <v>21</v>
      </c>
      <c r="R699">
        <v>685</v>
      </c>
      <c r="S699" s="36" t="str">
        <f t="shared" si="223"/>
        <v>MEXICO AEREO</v>
      </c>
      <c r="T699" s="36">
        <f t="shared" si="223"/>
        <v>224</v>
      </c>
      <c r="U699" s="73">
        <v>0.76597222222222217</v>
      </c>
      <c r="V699" s="74">
        <v>0.77083333333333337</v>
      </c>
      <c r="W699" s="75">
        <v>4.8611111111112049E-3</v>
      </c>
      <c r="X699" s="74">
        <v>0.77847222222222223</v>
      </c>
      <c r="Y699" s="75">
        <v>7.6388888888888618E-3</v>
      </c>
      <c r="Z699" s="76">
        <v>41758</v>
      </c>
      <c r="AA699" s="36" t="str">
        <f t="shared" si="224"/>
        <v>Nacional</v>
      </c>
      <c r="AB699" s="36">
        <f t="shared" si="224"/>
        <v>5.886243386243402E-3</v>
      </c>
      <c r="AC699" s="36">
        <f t="shared" si="224"/>
        <v>7.5396825396825285E-3</v>
      </c>
      <c r="AD699" s="36">
        <f t="shared" si="224"/>
        <v>1.3425925925925931E-2</v>
      </c>
      <c r="AE699" s="36" t="str">
        <f t="shared" si="224"/>
        <v>B737-700</v>
      </c>
      <c r="AF699" s="36">
        <f t="shared" si="224"/>
        <v>126</v>
      </c>
      <c r="AG699" s="36" t="str">
        <f t="shared" si="224"/>
        <v>MEX</v>
      </c>
      <c r="AI699">
        <v>685</v>
      </c>
      <c r="AJ699" s="77" t="str">
        <f t="shared" si="228"/>
        <v>MEXICO AEREO</v>
      </c>
      <c r="AK699" s="77">
        <f t="shared" si="227"/>
        <v>128</v>
      </c>
      <c r="AL699" s="78">
        <v>0.85902777777777783</v>
      </c>
      <c r="AM699" s="79">
        <v>0.86458333333333337</v>
      </c>
      <c r="AN699" s="80">
        <v>5.5555555555555358E-3</v>
      </c>
      <c r="AO699" s="79">
        <v>0.87152777777777779</v>
      </c>
      <c r="AP699" s="80">
        <v>6.9444444444444198E-3</v>
      </c>
      <c r="AQ699" s="81">
        <v>41812</v>
      </c>
      <c r="AR699" s="77" t="str">
        <f t="shared" si="226"/>
        <v>Nacional</v>
      </c>
      <c r="AS699" s="77">
        <f t="shared" si="226"/>
        <v>6.5200617283950801E-3</v>
      </c>
      <c r="AT699" s="77">
        <f t="shared" si="226"/>
        <v>8.6419753086419259E-3</v>
      </c>
      <c r="AU699" s="77">
        <f t="shared" si="226"/>
        <v>1.5162037037037005E-2</v>
      </c>
      <c r="AV699" s="77">
        <f t="shared" si="226"/>
        <v>738</v>
      </c>
      <c r="AW699" s="77">
        <f t="shared" si="226"/>
        <v>189</v>
      </c>
      <c r="AX699" s="77" t="str">
        <f t="shared" si="226"/>
        <v>MEX</v>
      </c>
    </row>
    <row r="700" spans="1:50" ht="15.75" thickBot="1" x14ac:dyDescent="0.3">
      <c r="A700">
        <v>686</v>
      </c>
      <c r="B700" s="36" t="str">
        <f t="shared" si="215"/>
        <v>INTERAVIÓN</v>
      </c>
      <c r="C700" s="36">
        <f t="shared" si="215"/>
        <v>2202</v>
      </c>
      <c r="D700" s="74">
        <v>0.55555555555555558</v>
      </c>
      <c r="E700" s="74">
        <v>0.56319444444444444</v>
      </c>
      <c r="F700" s="75">
        <v>7.6388888888888618E-3</v>
      </c>
      <c r="G700" s="74">
        <v>0.5708333333333333</v>
      </c>
      <c r="H700" s="75">
        <v>7.6388888888888618E-3</v>
      </c>
      <c r="I700" s="76">
        <v>41715</v>
      </c>
      <c r="J700" s="36" t="str">
        <f t="shared" ref="J700:P707" si="230">J699</f>
        <v>Nacional</v>
      </c>
      <c r="K700" s="36">
        <f t="shared" si="230"/>
        <v>7.0216049382715922E-3</v>
      </c>
      <c r="L700" s="36">
        <f t="shared" si="230"/>
        <v>7.7932098765431945E-3</v>
      </c>
      <c r="M700" s="36">
        <f t="shared" si="230"/>
        <v>1.4814814814814788E-2</v>
      </c>
      <c r="N700" s="36">
        <f t="shared" si="230"/>
        <v>320</v>
      </c>
      <c r="O700" s="36">
        <f t="shared" si="230"/>
        <v>179</v>
      </c>
      <c r="P700" s="36" t="str">
        <f t="shared" si="230"/>
        <v>MEX</v>
      </c>
      <c r="R700">
        <v>686</v>
      </c>
      <c r="S700" s="36" t="str">
        <f t="shared" si="223"/>
        <v>MEXICO AEREO</v>
      </c>
      <c r="T700" s="36">
        <f t="shared" si="223"/>
        <v>224</v>
      </c>
      <c r="U700" s="73">
        <v>0.76041666666666663</v>
      </c>
      <c r="V700" s="74">
        <v>0.77500000000000002</v>
      </c>
      <c r="W700" s="75">
        <v>1.4583333333333393E-2</v>
      </c>
      <c r="X700" s="74">
        <v>0.77777777777777779</v>
      </c>
      <c r="Y700" s="75">
        <v>2.7777777777777679E-3</v>
      </c>
      <c r="Z700" s="76">
        <v>41759</v>
      </c>
      <c r="AA700" s="36" t="str">
        <f t="shared" si="224"/>
        <v>Nacional</v>
      </c>
      <c r="AB700" s="36">
        <f t="shared" si="224"/>
        <v>5.886243386243402E-3</v>
      </c>
      <c r="AC700" s="36">
        <f t="shared" si="224"/>
        <v>7.5396825396825285E-3</v>
      </c>
      <c r="AD700" s="36">
        <f t="shared" si="224"/>
        <v>1.3425925925925931E-2</v>
      </c>
      <c r="AE700" s="36" t="str">
        <f t="shared" si="224"/>
        <v>B737-700</v>
      </c>
      <c r="AF700" s="36">
        <f t="shared" si="224"/>
        <v>126</v>
      </c>
      <c r="AG700" s="36" t="str">
        <f t="shared" si="224"/>
        <v>MEX</v>
      </c>
      <c r="AI700">
        <v>686</v>
      </c>
      <c r="AJ700" s="77" t="str">
        <f t="shared" si="228"/>
        <v>MEXICO AEREO</v>
      </c>
      <c r="AK700" s="77">
        <f t="shared" si="227"/>
        <v>128</v>
      </c>
      <c r="AL700" s="94">
        <v>0.87152777777777779</v>
      </c>
      <c r="AM700" s="95">
        <v>0.875</v>
      </c>
      <c r="AN700" s="96">
        <v>3.4722222222222099E-3</v>
      </c>
      <c r="AO700" s="95">
        <v>0.88541666666666663</v>
      </c>
      <c r="AP700" s="96">
        <v>1.041666666666663E-2</v>
      </c>
      <c r="AQ700" s="97">
        <v>41813</v>
      </c>
      <c r="AR700" s="77" t="str">
        <f t="shared" si="226"/>
        <v>Nacional</v>
      </c>
      <c r="AS700" s="77">
        <f t="shared" si="226"/>
        <v>6.5200617283950801E-3</v>
      </c>
      <c r="AT700" s="77">
        <f t="shared" si="226"/>
        <v>8.6419753086419259E-3</v>
      </c>
      <c r="AU700" s="77">
        <f t="shared" si="226"/>
        <v>1.5162037037037005E-2</v>
      </c>
      <c r="AV700" s="77">
        <f t="shared" si="226"/>
        <v>738</v>
      </c>
      <c r="AW700" s="77">
        <f t="shared" si="226"/>
        <v>189</v>
      </c>
      <c r="AX700" s="77" t="str">
        <f t="shared" si="226"/>
        <v>MEX</v>
      </c>
    </row>
    <row r="701" spans="1:50" ht="15.75" thickBot="1" x14ac:dyDescent="0.3">
      <c r="A701">
        <v>687</v>
      </c>
      <c r="B701" s="36" t="str">
        <f t="shared" si="215"/>
        <v>INTERAVIÓN</v>
      </c>
      <c r="C701" s="36">
        <f t="shared" si="215"/>
        <v>2202</v>
      </c>
      <c r="D701" s="74">
        <v>0.55069444444444449</v>
      </c>
      <c r="E701" s="74">
        <v>0.55763888888888891</v>
      </c>
      <c r="F701" s="75">
        <v>6.9444444444444198E-3</v>
      </c>
      <c r="G701" s="74">
        <v>0.56111111111111112</v>
      </c>
      <c r="H701" s="75">
        <v>3.4722222222222099E-3</v>
      </c>
      <c r="I701" s="76">
        <v>41717</v>
      </c>
      <c r="J701" s="36" t="str">
        <f t="shared" si="230"/>
        <v>Nacional</v>
      </c>
      <c r="K701" s="36">
        <f t="shared" si="230"/>
        <v>7.0216049382715922E-3</v>
      </c>
      <c r="L701" s="36">
        <f t="shared" si="230"/>
        <v>7.7932098765431945E-3</v>
      </c>
      <c r="M701" s="36">
        <f t="shared" si="230"/>
        <v>1.4814814814814788E-2</v>
      </c>
      <c r="N701" s="36">
        <f t="shared" si="230"/>
        <v>320</v>
      </c>
      <c r="O701" s="36">
        <f t="shared" si="230"/>
        <v>179</v>
      </c>
      <c r="P701" s="36" t="str">
        <f t="shared" si="230"/>
        <v>MEX</v>
      </c>
      <c r="R701">
        <v>687</v>
      </c>
      <c r="S701" s="36" t="str">
        <f t="shared" si="223"/>
        <v>MEXICO AEREO</v>
      </c>
      <c r="T701" s="36">
        <f t="shared" si="223"/>
        <v>224</v>
      </c>
      <c r="U701" s="83">
        <v>0.9</v>
      </c>
      <c r="V701" s="84">
        <v>0.90763888888888899</v>
      </c>
      <c r="W701" s="85">
        <v>7.6388888888889728E-3</v>
      </c>
      <c r="X701" s="84">
        <v>0.91875000000000007</v>
      </c>
      <c r="Y701" s="85">
        <v>1.1111111111111072E-2</v>
      </c>
      <c r="Z701" s="86">
        <v>41749</v>
      </c>
      <c r="AA701" s="36" t="str">
        <f t="shared" si="224"/>
        <v>Nacional</v>
      </c>
      <c r="AB701" s="36">
        <f t="shared" si="224"/>
        <v>5.886243386243402E-3</v>
      </c>
      <c r="AC701" s="36">
        <f t="shared" si="224"/>
        <v>7.5396825396825285E-3</v>
      </c>
      <c r="AD701" s="36">
        <f t="shared" si="224"/>
        <v>1.3425925925925931E-2</v>
      </c>
      <c r="AE701" s="36" t="str">
        <f t="shared" si="224"/>
        <v>B737-700</v>
      </c>
      <c r="AF701" s="36">
        <f t="shared" si="224"/>
        <v>126</v>
      </c>
      <c r="AG701" s="36" t="str">
        <f t="shared" si="224"/>
        <v>MEX</v>
      </c>
      <c r="AI701">
        <v>687</v>
      </c>
      <c r="AJ701" s="77" t="str">
        <f t="shared" si="228"/>
        <v>MEXICO AEREO</v>
      </c>
      <c r="AK701" s="63">
        <v>126</v>
      </c>
      <c r="AL701" s="64">
        <v>0.80625000000000002</v>
      </c>
      <c r="AM701" s="65">
        <v>0.80763888888888891</v>
      </c>
      <c r="AN701" s="66">
        <v>1.388888888888884E-3</v>
      </c>
      <c r="AO701" s="65">
        <v>0.81458333333333333</v>
      </c>
      <c r="AP701" s="66">
        <v>6.9444444444444198E-3</v>
      </c>
      <c r="AQ701" s="67">
        <v>41799</v>
      </c>
      <c r="AR701" s="68" t="s">
        <v>19</v>
      </c>
      <c r="AS701" s="69">
        <v>6.0185185185185524E-3</v>
      </c>
      <c r="AT701" s="70">
        <v>9.0277777777777648E-3</v>
      </c>
      <c r="AU701" s="70">
        <v>1.5046296296296318E-2</v>
      </c>
      <c r="AV701" s="71">
        <v>738</v>
      </c>
      <c r="AW701" s="71">
        <v>189</v>
      </c>
      <c r="AX701" s="72" t="s">
        <v>21</v>
      </c>
    </row>
    <row r="702" spans="1:50" x14ac:dyDescent="0.25">
      <c r="A702">
        <v>688</v>
      </c>
      <c r="B702" s="36" t="str">
        <f t="shared" si="215"/>
        <v>INTERAVIÓN</v>
      </c>
      <c r="C702" s="36">
        <f t="shared" si="215"/>
        <v>2202</v>
      </c>
      <c r="D702" s="74">
        <v>0.55694444444444446</v>
      </c>
      <c r="E702" s="74">
        <v>0.56527777777777777</v>
      </c>
      <c r="F702" s="75">
        <v>8.3333333333333037E-3</v>
      </c>
      <c r="G702" s="74">
        <v>0.5756944444444444</v>
      </c>
      <c r="H702" s="75">
        <v>1.041666666666663E-2</v>
      </c>
      <c r="I702" s="76">
        <v>41718</v>
      </c>
      <c r="J702" s="36" t="str">
        <f t="shared" si="230"/>
        <v>Nacional</v>
      </c>
      <c r="K702" s="36">
        <f t="shared" si="230"/>
        <v>7.0216049382715922E-3</v>
      </c>
      <c r="L702" s="36">
        <f t="shared" si="230"/>
        <v>7.7932098765431945E-3</v>
      </c>
      <c r="M702" s="36">
        <f t="shared" si="230"/>
        <v>1.4814814814814788E-2</v>
      </c>
      <c r="N702" s="36">
        <f t="shared" si="230"/>
        <v>320</v>
      </c>
      <c r="O702" s="36">
        <f t="shared" si="230"/>
        <v>179</v>
      </c>
      <c r="P702" s="36" t="str">
        <f t="shared" si="230"/>
        <v>MEX</v>
      </c>
      <c r="R702">
        <v>688</v>
      </c>
      <c r="S702" s="36" t="str">
        <f t="shared" si="223"/>
        <v>MEXICO AEREO</v>
      </c>
      <c r="T702" s="55">
        <v>214</v>
      </c>
      <c r="U702" s="56">
        <v>0.66319444444444442</v>
      </c>
      <c r="V702" s="57">
        <v>0.66527777777777775</v>
      </c>
      <c r="W702" s="58">
        <v>2.0833333333333259E-3</v>
      </c>
      <c r="X702" s="57">
        <v>0.6694444444444444</v>
      </c>
      <c r="Y702" s="58">
        <v>4.1666666666666519E-3</v>
      </c>
      <c r="Z702" s="59">
        <v>41730</v>
      </c>
      <c r="AA702" s="60" t="s">
        <v>19</v>
      </c>
      <c r="AB702" s="61">
        <v>5.3140096618357708E-3</v>
      </c>
      <c r="AC702" s="61">
        <v>2.7777777777777766E-2</v>
      </c>
      <c r="AD702" s="62">
        <v>3.3091787439613538E-2</v>
      </c>
      <c r="AE702" s="167" t="s">
        <v>20</v>
      </c>
      <c r="AF702" s="167">
        <v>50</v>
      </c>
      <c r="AG702" s="168" t="s">
        <v>21</v>
      </c>
      <c r="AI702">
        <v>688</v>
      </c>
      <c r="AJ702" s="77" t="str">
        <f t="shared" si="228"/>
        <v>MEXICO AEREO</v>
      </c>
      <c r="AK702" s="77">
        <f t="shared" si="228"/>
        <v>126</v>
      </c>
      <c r="AL702" s="78">
        <v>0.27013888888888887</v>
      </c>
      <c r="AM702" s="79">
        <v>0.27986111111111112</v>
      </c>
      <c r="AN702" s="80">
        <v>9.7222222222222432E-3</v>
      </c>
      <c r="AO702" s="79">
        <v>0.29166666666666669</v>
      </c>
      <c r="AP702" s="80">
        <v>1.1805555555555569E-2</v>
      </c>
      <c r="AQ702" s="81">
        <v>41805</v>
      </c>
      <c r="AR702" s="77" t="str">
        <f t="shared" ref="AR702:AX703" si="231">AR701</f>
        <v>Nacional</v>
      </c>
      <c r="AS702" s="77">
        <f t="shared" si="231"/>
        <v>6.0185185185185524E-3</v>
      </c>
      <c r="AT702" s="77">
        <f t="shared" si="231"/>
        <v>9.0277777777777648E-3</v>
      </c>
      <c r="AU702" s="77">
        <f t="shared" si="231"/>
        <v>1.5046296296296318E-2</v>
      </c>
      <c r="AV702" s="77">
        <f t="shared" si="231"/>
        <v>738</v>
      </c>
      <c r="AW702" s="77">
        <f t="shared" si="231"/>
        <v>189</v>
      </c>
      <c r="AX702" s="77" t="str">
        <f t="shared" si="231"/>
        <v>MEX</v>
      </c>
    </row>
    <row r="703" spans="1:50" ht="15.75" thickBot="1" x14ac:dyDescent="0.3">
      <c r="A703">
        <v>689</v>
      </c>
      <c r="B703" s="36" t="str">
        <f t="shared" si="215"/>
        <v>INTERAVIÓN</v>
      </c>
      <c r="C703" s="36">
        <f t="shared" si="215"/>
        <v>2202</v>
      </c>
      <c r="D703" s="74">
        <v>0.55069444444444449</v>
      </c>
      <c r="E703" s="74">
        <v>0.56111111111111112</v>
      </c>
      <c r="F703" s="75">
        <v>1.041666666666663E-2</v>
      </c>
      <c r="G703" s="74">
        <v>0.56319444444444444</v>
      </c>
      <c r="H703" s="75">
        <v>2.0833333333333259E-3</v>
      </c>
      <c r="I703" s="76">
        <v>41721</v>
      </c>
      <c r="J703" s="36" t="str">
        <f t="shared" si="230"/>
        <v>Nacional</v>
      </c>
      <c r="K703" s="36">
        <f t="shared" si="230"/>
        <v>7.0216049382715922E-3</v>
      </c>
      <c r="L703" s="36">
        <f t="shared" si="230"/>
        <v>7.7932098765431945E-3</v>
      </c>
      <c r="M703" s="36">
        <f t="shared" si="230"/>
        <v>1.4814814814814788E-2</v>
      </c>
      <c r="N703" s="36">
        <f t="shared" si="230"/>
        <v>320</v>
      </c>
      <c r="O703" s="36">
        <f t="shared" si="230"/>
        <v>179</v>
      </c>
      <c r="P703" s="36" t="str">
        <f t="shared" si="230"/>
        <v>MEX</v>
      </c>
      <c r="R703">
        <v>689</v>
      </c>
      <c r="S703" s="36" t="str">
        <f t="shared" si="223"/>
        <v>MEXICO AEREO</v>
      </c>
      <c r="T703" s="36">
        <f t="shared" si="223"/>
        <v>214</v>
      </c>
      <c r="U703" s="73">
        <v>0.68055555555555547</v>
      </c>
      <c r="V703" s="74">
        <v>0.68611111111111101</v>
      </c>
      <c r="W703" s="75">
        <v>5.5555555555555358E-3</v>
      </c>
      <c r="X703" s="74">
        <v>0.69027777777777777</v>
      </c>
      <c r="Y703" s="75">
        <v>4.1666666666667629E-3</v>
      </c>
      <c r="Z703" s="76">
        <v>41731</v>
      </c>
      <c r="AA703" s="36" t="str">
        <f t="shared" ref="AA703:AG724" si="232">AA702</f>
        <v>Nacional</v>
      </c>
      <c r="AB703" s="36">
        <f t="shared" si="232"/>
        <v>5.3140096618357708E-3</v>
      </c>
      <c r="AC703" s="36">
        <f t="shared" si="232"/>
        <v>2.7777777777777766E-2</v>
      </c>
      <c r="AD703" s="36">
        <f t="shared" si="232"/>
        <v>3.3091787439613538E-2</v>
      </c>
      <c r="AE703" s="36" t="str">
        <f t="shared" si="232"/>
        <v>ER4</v>
      </c>
      <c r="AF703" s="36">
        <f t="shared" si="232"/>
        <v>50</v>
      </c>
      <c r="AG703" s="36" t="str">
        <f t="shared" si="232"/>
        <v>MEX</v>
      </c>
      <c r="AI703">
        <v>689</v>
      </c>
      <c r="AJ703" s="77" t="str">
        <f t="shared" si="228"/>
        <v>MEXICO AEREO</v>
      </c>
      <c r="AK703" s="77">
        <f t="shared" si="228"/>
        <v>126</v>
      </c>
      <c r="AL703" s="94">
        <v>0.79166666666666663</v>
      </c>
      <c r="AM703" s="95">
        <v>0.79861111111111116</v>
      </c>
      <c r="AN703" s="96">
        <v>6.9444444444445308E-3</v>
      </c>
      <c r="AO703" s="95">
        <v>0.80694444444444446</v>
      </c>
      <c r="AP703" s="96">
        <v>8.3333333333333037E-3</v>
      </c>
      <c r="AQ703" s="97">
        <v>41811</v>
      </c>
      <c r="AR703" s="77" t="str">
        <f t="shared" si="231"/>
        <v>Nacional</v>
      </c>
      <c r="AS703" s="77">
        <f t="shared" si="231"/>
        <v>6.0185185185185524E-3</v>
      </c>
      <c r="AT703" s="77">
        <f t="shared" si="231"/>
        <v>9.0277777777777648E-3</v>
      </c>
      <c r="AU703" s="77">
        <f t="shared" si="231"/>
        <v>1.5046296296296318E-2</v>
      </c>
      <c r="AV703" s="77">
        <f t="shared" si="231"/>
        <v>738</v>
      </c>
      <c r="AW703" s="77">
        <f t="shared" si="231"/>
        <v>189</v>
      </c>
      <c r="AX703" s="77" t="str">
        <f t="shared" si="231"/>
        <v>MEX</v>
      </c>
    </row>
    <row r="704" spans="1:50" x14ac:dyDescent="0.25">
      <c r="A704">
        <v>690</v>
      </c>
      <c r="B704" s="36" t="str">
        <f t="shared" si="215"/>
        <v>INTERAVIÓN</v>
      </c>
      <c r="C704" s="36">
        <f t="shared" si="215"/>
        <v>2202</v>
      </c>
      <c r="D704" s="74">
        <v>0.5541666666666667</v>
      </c>
      <c r="E704" s="74">
        <v>0.56527777777777777</v>
      </c>
      <c r="F704" s="75">
        <v>1.1111111111111072E-2</v>
      </c>
      <c r="G704" s="74">
        <v>0.57361111111111118</v>
      </c>
      <c r="H704" s="75">
        <v>8.3333333333334147E-3</v>
      </c>
      <c r="I704" s="76">
        <v>41725</v>
      </c>
      <c r="J704" s="36" t="str">
        <f t="shared" si="230"/>
        <v>Nacional</v>
      </c>
      <c r="K704" s="36">
        <f t="shared" si="230"/>
        <v>7.0216049382715922E-3</v>
      </c>
      <c r="L704" s="36">
        <f t="shared" si="230"/>
        <v>7.7932098765431945E-3</v>
      </c>
      <c r="M704" s="36">
        <f t="shared" si="230"/>
        <v>1.4814814814814788E-2</v>
      </c>
      <c r="N704" s="36">
        <f t="shared" si="230"/>
        <v>320</v>
      </c>
      <c r="O704" s="36">
        <f t="shared" si="230"/>
        <v>179</v>
      </c>
      <c r="P704" s="36" t="str">
        <f t="shared" si="230"/>
        <v>MEX</v>
      </c>
      <c r="R704">
        <v>690</v>
      </c>
      <c r="S704" s="36" t="str">
        <f t="shared" si="223"/>
        <v>MEXICO AEREO</v>
      </c>
      <c r="T704" s="36">
        <f t="shared" si="223"/>
        <v>214</v>
      </c>
      <c r="U704" s="73">
        <v>0.1673611111111111</v>
      </c>
      <c r="V704" s="74">
        <v>0.17361111111111113</v>
      </c>
      <c r="W704" s="75">
        <v>6.2500000000000333E-3</v>
      </c>
      <c r="X704" s="74">
        <v>0.6791666666666667</v>
      </c>
      <c r="Y704" s="75">
        <v>0.50555555555555554</v>
      </c>
      <c r="Z704" s="76">
        <v>41732</v>
      </c>
      <c r="AA704" s="36" t="str">
        <f t="shared" si="232"/>
        <v>Nacional</v>
      </c>
      <c r="AB704" s="36">
        <f t="shared" si="232"/>
        <v>5.3140096618357708E-3</v>
      </c>
      <c r="AC704" s="36">
        <f t="shared" si="232"/>
        <v>2.7777777777777766E-2</v>
      </c>
      <c r="AD704" s="36">
        <f t="shared" si="232"/>
        <v>3.3091787439613538E-2</v>
      </c>
      <c r="AE704" s="36" t="str">
        <f t="shared" si="232"/>
        <v>ER4</v>
      </c>
      <c r="AF704" s="36">
        <f t="shared" si="232"/>
        <v>50</v>
      </c>
      <c r="AG704" s="36" t="str">
        <f t="shared" si="232"/>
        <v>MEX</v>
      </c>
      <c r="AI704">
        <v>690</v>
      </c>
      <c r="AJ704" s="77" t="str">
        <f t="shared" si="228"/>
        <v>MEXICO AEREO</v>
      </c>
      <c r="AK704" s="63">
        <v>120</v>
      </c>
      <c r="AL704" s="155">
        <v>0.41180555555555554</v>
      </c>
      <c r="AM704" s="156">
        <v>0.42222222222222222</v>
      </c>
      <c r="AN704" s="157">
        <v>1.0416666666666685E-2</v>
      </c>
      <c r="AO704" s="156">
        <v>0.43124999999999997</v>
      </c>
      <c r="AP704" s="157">
        <v>9.0277777777777457E-3</v>
      </c>
      <c r="AQ704" s="158">
        <v>41791</v>
      </c>
      <c r="AR704" s="68" t="s">
        <v>19</v>
      </c>
      <c r="AS704" s="69">
        <v>8.7436868686868608E-3</v>
      </c>
      <c r="AT704" s="159">
        <v>9.8800505050505062E-3</v>
      </c>
      <c r="AU704" s="159">
        <v>1.8623737373737369E-2</v>
      </c>
      <c r="AV704" s="160" t="s">
        <v>50</v>
      </c>
      <c r="AW704" s="160">
        <v>99</v>
      </c>
      <c r="AX704" s="160" t="s">
        <v>21</v>
      </c>
    </row>
    <row r="705" spans="1:50" x14ac:dyDescent="0.25">
      <c r="A705">
        <v>691</v>
      </c>
      <c r="B705" s="36" t="str">
        <f t="shared" si="215"/>
        <v>INTERAVIÓN</v>
      </c>
      <c r="C705" s="36">
        <f t="shared" si="215"/>
        <v>2202</v>
      </c>
      <c r="D705" s="74">
        <v>0.56111111111111112</v>
      </c>
      <c r="E705" s="74">
        <v>0.56805555555555554</v>
      </c>
      <c r="F705" s="75">
        <v>6.9444444444444198E-3</v>
      </c>
      <c r="G705" s="74">
        <v>0.57291666666666663</v>
      </c>
      <c r="H705" s="75">
        <v>4.8611111111110938E-3</v>
      </c>
      <c r="I705" s="76">
        <v>41725</v>
      </c>
      <c r="J705" s="36" t="str">
        <f t="shared" si="230"/>
        <v>Nacional</v>
      </c>
      <c r="K705" s="36">
        <f t="shared" si="230"/>
        <v>7.0216049382715922E-3</v>
      </c>
      <c r="L705" s="36">
        <f t="shared" si="230"/>
        <v>7.7932098765431945E-3</v>
      </c>
      <c r="M705" s="36">
        <f t="shared" si="230"/>
        <v>1.4814814814814788E-2</v>
      </c>
      <c r="N705" s="36">
        <f t="shared" si="230"/>
        <v>320</v>
      </c>
      <c r="O705" s="36">
        <f t="shared" si="230"/>
        <v>179</v>
      </c>
      <c r="P705" s="36" t="str">
        <f t="shared" si="230"/>
        <v>MEX</v>
      </c>
      <c r="R705">
        <v>691</v>
      </c>
      <c r="S705" s="36" t="str">
        <f t="shared" si="223"/>
        <v>MEXICO AEREO</v>
      </c>
      <c r="T705" s="36">
        <f t="shared" si="223"/>
        <v>214</v>
      </c>
      <c r="U705" s="73">
        <v>0.66666666666666663</v>
      </c>
      <c r="V705" s="74">
        <v>0.6743055555555556</v>
      </c>
      <c r="W705" s="75">
        <v>7.6388888888889728E-3</v>
      </c>
      <c r="X705" s="74">
        <v>0.68125000000000002</v>
      </c>
      <c r="Y705" s="75">
        <v>6.9444444444444198E-3</v>
      </c>
      <c r="Z705" s="76">
        <v>41733</v>
      </c>
      <c r="AA705" s="36" t="str">
        <f t="shared" si="232"/>
        <v>Nacional</v>
      </c>
      <c r="AB705" s="36">
        <f t="shared" si="232"/>
        <v>5.3140096618357708E-3</v>
      </c>
      <c r="AC705" s="36">
        <f t="shared" si="232"/>
        <v>2.7777777777777766E-2</v>
      </c>
      <c r="AD705" s="36">
        <f t="shared" si="232"/>
        <v>3.3091787439613538E-2</v>
      </c>
      <c r="AE705" s="36" t="str">
        <f t="shared" si="232"/>
        <v>ER4</v>
      </c>
      <c r="AF705" s="36">
        <f t="shared" si="232"/>
        <v>50</v>
      </c>
      <c r="AG705" s="36" t="str">
        <f t="shared" si="232"/>
        <v>MEX</v>
      </c>
      <c r="AI705">
        <v>691</v>
      </c>
      <c r="AJ705" s="77" t="str">
        <f t="shared" si="228"/>
        <v>MEXICO AEREO</v>
      </c>
      <c r="AK705" s="77">
        <f t="shared" si="228"/>
        <v>120</v>
      </c>
      <c r="AL705" s="78">
        <v>0.42152777777777778</v>
      </c>
      <c r="AM705" s="79">
        <v>0.42638888888888887</v>
      </c>
      <c r="AN705" s="80">
        <v>4.8611111111110938E-3</v>
      </c>
      <c r="AO705" s="79">
        <v>0.43541666666666662</v>
      </c>
      <c r="AP705" s="80">
        <v>9.0277777777777457E-3</v>
      </c>
      <c r="AQ705" s="81">
        <v>41793</v>
      </c>
      <c r="AR705" s="77" t="str">
        <f t="shared" ref="AR705:AX725" si="233">AR704</f>
        <v>Nacional</v>
      </c>
      <c r="AS705" s="77">
        <f t="shared" si="233"/>
        <v>8.7436868686868608E-3</v>
      </c>
      <c r="AT705" s="77">
        <f t="shared" si="233"/>
        <v>9.8800505050505062E-3</v>
      </c>
      <c r="AU705" s="77">
        <f t="shared" si="233"/>
        <v>1.8623737373737369E-2</v>
      </c>
      <c r="AV705" s="77" t="str">
        <f t="shared" si="233"/>
        <v>E90</v>
      </c>
      <c r="AW705" s="77">
        <f t="shared" si="233"/>
        <v>99</v>
      </c>
      <c r="AX705" s="77" t="str">
        <f t="shared" si="233"/>
        <v>MEX</v>
      </c>
    </row>
    <row r="706" spans="1:50" x14ac:dyDescent="0.25">
      <c r="A706">
        <v>692</v>
      </c>
      <c r="B706" s="36" t="str">
        <f t="shared" si="215"/>
        <v>INTERAVIÓN</v>
      </c>
      <c r="C706" s="36">
        <f t="shared" si="215"/>
        <v>2202</v>
      </c>
      <c r="D706" s="74">
        <v>0.5444444444444444</v>
      </c>
      <c r="E706" s="74">
        <v>0.5493055555555556</v>
      </c>
      <c r="F706" s="75">
        <v>4.8611111111112049E-3</v>
      </c>
      <c r="G706" s="74">
        <v>0.55625000000000002</v>
      </c>
      <c r="H706" s="75">
        <v>6.9444444444444198E-3</v>
      </c>
      <c r="I706" s="76">
        <v>41726</v>
      </c>
      <c r="J706" s="36" t="str">
        <f t="shared" si="230"/>
        <v>Nacional</v>
      </c>
      <c r="K706" s="36">
        <f t="shared" si="230"/>
        <v>7.0216049382715922E-3</v>
      </c>
      <c r="L706" s="36">
        <f t="shared" si="230"/>
        <v>7.7932098765431945E-3</v>
      </c>
      <c r="M706" s="36">
        <f t="shared" si="230"/>
        <v>1.4814814814814788E-2</v>
      </c>
      <c r="N706" s="36">
        <f t="shared" si="230"/>
        <v>320</v>
      </c>
      <c r="O706" s="36">
        <f t="shared" si="230"/>
        <v>179</v>
      </c>
      <c r="P706" s="36" t="str">
        <f t="shared" si="230"/>
        <v>MEX</v>
      </c>
      <c r="R706">
        <v>692</v>
      </c>
      <c r="S706" s="36" t="str">
        <f t="shared" si="223"/>
        <v>MEXICO AEREO</v>
      </c>
      <c r="T706" s="36">
        <f t="shared" si="223"/>
        <v>214</v>
      </c>
      <c r="U706" s="73">
        <v>0.66527777777777775</v>
      </c>
      <c r="V706" s="74">
        <v>0.67361111111111116</v>
      </c>
      <c r="W706" s="75">
        <v>8.3333333333334147E-3</v>
      </c>
      <c r="X706" s="74">
        <v>0.6791666666666667</v>
      </c>
      <c r="Y706" s="75">
        <v>5.5555555555555358E-3</v>
      </c>
      <c r="Z706" s="76">
        <v>41735</v>
      </c>
      <c r="AA706" s="36" t="str">
        <f t="shared" si="232"/>
        <v>Nacional</v>
      </c>
      <c r="AB706" s="36">
        <f t="shared" si="232"/>
        <v>5.3140096618357708E-3</v>
      </c>
      <c r="AC706" s="36">
        <f t="shared" si="232"/>
        <v>2.7777777777777766E-2</v>
      </c>
      <c r="AD706" s="36">
        <f t="shared" si="232"/>
        <v>3.3091787439613538E-2</v>
      </c>
      <c r="AE706" s="36" t="str">
        <f t="shared" si="232"/>
        <v>ER4</v>
      </c>
      <c r="AF706" s="36">
        <f t="shared" si="232"/>
        <v>50</v>
      </c>
      <c r="AG706" s="36" t="str">
        <f t="shared" si="232"/>
        <v>MEX</v>
      </c>
      <c r="AI706">
        <v>692</v>
      </c>
      <c r="AJ706" s="77" t="str">
        <f t="shared" si="228"/>
        <v>MEXICO AEREO</v>
      </c>
      <c r="AK706" s="77">
        <f t="shared" si="228"/>
        <v>120</v>
      </c>
      <c r="AL706" s="78">
        <v>0.41875000000000001</v>
      </c>
      <c r="AM706" s="79">
        <v>0.42430555555555555</v>
      </c>
      <c r="AN706" s="80">
        <v>5.5555555555555358E-3</v>
      </c>
      <c r="AO706" s="79">
        <v>0.43055555555555558</v>
      </c>
      <c r="AP706" s="80">
        <v>6.2500000000000333E-3</v>
      </c>
      <c r="AQ706" s="81">
        <v>41794</v>
      </c>
      <c r="AR706" s="77" t="str">
        <f t="shared" si="233"/>
        <v>Nacional</v>
      </c>
      <c r="AS706" s="77">
        <f t="shared" si="233"/>
        <v>8.7436868686868608E-3</v>
      </c>
      <c r="AT706" s="77">
        <f t="shared" si="233"/>
        <v>9.8800505050505062E-3</v>
      </c>
      <c r="AU706" s="77">
        <f t="shared" si="233"/>
        <v>1.8623737373737369E-2</v>
      </c>
      <c r="AV706" s="77" t="str">
        <f t="shared" si="233"/>
        <v>E90</v>
      </c>
      <c r="AW706" s="77">
        <f t="shared" si="233"/>
        <v>99</v>
      </c>
      <c r="AX706" s="77" t="str">
        <f t="shared" si="233"/>
        <v>MEX</v>
      </c>
    </row>
    <row r="707" spans="1:50" ht="15.75" thickBot="1" x14ac:dyDescent="0.3">
      <c r="A707">
        <v>693</v>
      </c>
      <c r="B707" s="36" t="str">
        <f t="shared" si="215"/>
        <v>INTERAVIÓN</v>
      </c>
      <c r="C707" s="36">
        <f t="shared" si="215"/>
        <v>2202</v>
      </c>
      <c r="D707" s="84">
        <v>0.55208333333333337</v>
      </c>
      <c r="E707" s="84">
        <v>0.55694444444444446</v>
      </c>
      <c r="F707" s="85">
        <v>4.8611111111110938E-3</v>
      </c>
      <c r="G707" s="84">
        <v>0.58124999999999993</v>
      </c>
      <c r="H707" s="85">
        <v>2.4305555555555469E-2</v>
      </c>
      <c r="I707" s="86">
        <v>41729</v>
      </c>
      <c r="J707" s="36" t="str">
        <f t="shared" si="230"/>
        <v>Nacional</v>
      </c>
      <c r="K707" s="36">
        <f t="shared" si="230"/>
        <v>7.0216049382715922E-3</v>
      </c>
      <c r="L707" s="36">
        <f t="shared" si="230"/>
        <v>7.7932098765431945E-3</v>
      </c>
      <c r="M707" s="36">
        <f t="shared" si="230"/>
        <v>1.4814814814814788E-2</v>
      </c>
      <c r="N707" s="36">
        <f t="shared" si="230"/>
        <v>320</v>
      </c>
      <c r="O707" s="36">
        <f t="shared" si="230"/>
        <v>179</v>
      </c>
      <c r="P707" s="36" t="str">
        <f t="shared" si="230"/>
        <v>MEX</v>
      </c>
      <c r="R707">
        <v>693</v>
      </c>
      <c r="S707" s="36" t="str">
        <f t="shared" si="223"/>
        <v>MEXICO AEREO</v>
      </c>
      <c r="T707" s="36">
        <f t="shared" si="223"/>
        <v>214</v>
      </c>
      <c r="U707" s="73">
        <v>0.6430555555555556</v>
      </c>
      <c r="V707" s="74">
        <v>0.65208333333333335</v>
      </c>
      <c r="W707" s="75">
        <v>9.0277777777777457E-3</v>
      </c>
      <c r="X707" s="74">
        <v>0.65486111111111112</v>
      </c>
      <c r="Y707" s="75">
        <v>2.7777777777777679E-3</v>
      </c>
      <c r="Z707" s="76">
        <v>41736</v>
      </c>
      <c r="AA707" s="36" t="str">
        <f t="shared" si="232"/>
        <v>Nacional</v>
      </c>
      <c r="AB707" s="36">
        <f t="shared" si="232"/>
        <v>5.3140096618357708E-3</v>
      </c>
      <c r="AC707" s="36">
        <f t="shared" si="232"/>
        <v>2.7777777777777766E-2</v>
      </c>
      <c r="AD707" s="36">
        <f t="shared" si="232"/>
        <v>3.3091787439613538E-2</v>
      </c>
      <c r="AE707" s="36" t="str">
        <f t="shared" si="232"/>
        <v>ER4</v>
      </c>
      <c r="AF707" s="36">
        <f t="shared" si="232"/>
        <v>50</v>
      </c>
      <c r="AG707" s="36" t="str">
        <f t="shared" si="232"/>
        <v>MEX</v>
      </c>
      <c r="AI707">
        <v>693</v>
      </c>
      <c r="AJ707" s="77" t="str">
        <f t="shared" si="228"/>
        <v>MEXICO AEREO</v>
      </c>
      <c r="AK707" s="77">
        <f t="shared" si="228"/>
        <v>120</v>
      </c>
      <c r="AL707" s="78">
        <v>0.43472222222222223</v>
      </c>
      <c r="AM707" s="79">
        <v>0.43888888888888888</v>
      </c>
      <c r="AN707" s="80">
        <v>4.1666666666666519E-3</v>
      </c>
      <c r="AO707" s="79">
        <v>0.45</v>
      </c>
      <c r="AP707" s="80">
        <v>1.1111111111111127E-2</v>
      </c>
      <c r="AQ707" s="81">
        <v>41795</v>
      </c>
      <c r="AR707" s="77" t="str">
        <f t="shared" si="233"/>
        <v>Nacional</v>
      </c>
      <c r="AS707" s="77">
        <f t="shared" si="233"/>
        <v>8.7436868686868608E-3</v>
      </c>
      <c r="AT707" s="77">
        <f t="shared" si="233"/>
        <v>9.8800505050505062E-3</v>
      </c>
      <c r="AU707" s="77">
        <f t="shared" si="233"/>
        <v>1.8623737373737369E-2</v>
      </c>
      <c r="AV707" s="77" t="str">
        <f t="shared" si="233"/>
        <v>E90</v>
      </c>
      <c r="AW707" s="77">
        <f t="shared" si="233"/>
        <v>99</v>
      </c>
      <c r="AX707" s="77" t="str">
        <f t="shared" si="233"/>
        <v>MEX</v>
      </c>
    </row>
    <row r="708" spans="1:50" ht="15.75" thickBot="1" x14ac:dyDescent="0.3">
      <c r="A708">
        <v>694</v>
      </c>
      <c r="B708" s="36" t="str">
        <f t="shared" si="215"/>
        <v>INTERAVIÓN</v>
      </c>
      <c r="C708" s="88">
        <v>2200</v>
      </c>
      <c r="D708" s="57">
        <v>0.75555555555555554</v>
      </c>
      <c r="E708" s="57">
        <v>0.76180555555555562</v>
      </c>
      <c r="F708" s="58">
        <v>6.2500000000000888E-3</v>
      </c>
      <c r="G708" s="57">
        <v>0.76736111111111116</v>
      </c>
      <c r="H708" s="58">
        <v>5.5555555555555358E-3</v>
      </c>
      <c r="I708" s="59">
        <v>41718</v>
      </c>
      <c r="J708" s="108" t="s">
        <v>19</v>
      </c>
      <c r="K708" s="61">
        <v>6.0185185185185341E-3</v>
      </c>
      <c r="L708" s="61">
        <v>6.0185185185185341E-3</v>
      </c>
      <c r="M708" s="142">
        <v>1.2037037037037068E-2</v>
      </c>
      <c r="N708" s="90">
        <v>320</v>
      </c>
      <c r="O708" s="91">
        <v>179</v>
      </c>
      <c r="P708" s="92" t="s">
        <v>21</v>
      </c>
      <c r="R708">
        <v>694</v>
      </c>
      <c r="S708" s="36" t="str">
        <f t="shared" si="223"/>
        <v>MEXICO AEREO</v>
      </c>
      <c r="T708" s="36">
        <f t="shared" si="223"/>
        <v>214</v>
      </c>
      <c r="U708" s="73">
        <v>0.62847222222222221</v>
      </c>
      <c r="V708" s="74">
        <v>0.63888888888888895</v>
      </c>
      <c r="W708" s="75">
        <v>1.0416666666666741E-2</v>
      </c>
      <c r="X708" s="74">
        <v>0.64236111111111105</v>
      </c>
      <c r="Y708" s="75">
        <v>3.4722222222220989E-3</v>
      </c>
      <c r="Z708" s="76">
        <v>41737</v>
      </c>
      <c r="AA708" s="36" t="str">
        <f t="shared" si="232"/>
        <v>Nacional</v>
      </c>
      <c r="AB708" s="36">
        <f t="shared" si="232"/>
        <v>5.3140096618357708E-3</v>
      </c>
      <c r="AC708" s="36">
        <f t="shared" si="232"/>
        <v>2.7777777777777766E-2</v>
      </c>
      <c r="AD708" s="36">
        <f t="shared" si="232"/>
        <v>3.3091787439613538E-2</v>
      </c>
      <c r="AE708" s="36" t="str">
        <f t="shared" si="232"/>
        <v>ER4</v>
      </c>
      <c r="AF708" s="36">
        <f t="shared" si="232"/>
        <v>50</v>
      </c>
      <c r="AG708" s="36" t="str">
        <f t="shared" si="232"/>
        <v>MEX</v>
      </c>
      <c r="AI708">
        <v>694</v>
      </c>
      <c r="AJ708" s="77" t="str">
        <f t="shared" si="228"/>
        <v>MEXICO AEREO</v>
      </c>
      <c r="AK708" s="77">
        <f t="shared" si="228"/>
        <v>120</v>
      </c>
      <c r="AL708" s="78">
        <v>0.41944444444444445</v>
      </c>
      <c r="AM708" s="79">
        <v>0.42430555555555555</v>
      </c>
      <c r="AN708" s="80">
        <v>4.8611111111110938E-3</v>
      </c>
      <c r="AO708" s="79">
        <v>0.43472222222222223</v>
      </c>
      <c r="AP708" s="80">
        <v>1.0416666666666685E-2</v>
      </c>
      <c r="AQ708" s="81">
        <v>41796</v>
      </c>
      <c r="AR708" s="77" t="str">
        <f t="shared" si="233"/>
        <v>Nacional</v>
      </c>
      <c r="AS708" s="77">
        <f t="shared" si="233"/>
        <v>8.7436868686868608E-3</v>
      </c>
      <c r="AT708" s="77">
        <f t="shared" si="233"/>
        <v>9.8800505050505062E-3</v>
      </c>
      <c r="AU708" s="77">
        <f t="shared" si="233"/>
        <v>1.8623737373737369E-2</v>
      </c>
      <c r="AV708" s="77" t="str">
        <f t="shared" si="233"/>
        <v>E90</v>
      </c>
      <c r="AW708" s="77">
        <f t="shared" si="233"/>
        <v>99</v>
      </c>
      <c r="AX708" s="77" t="str">
        <f t="shared" si="233"/>
        <v>MEX</v>
      </c>
    </row>
    <row r="709" spans="1:50" x14ac:dyDescent="0.25">
      <c r="A709">
        <v>695</v>
      </c>
      <c r="B709" s="45" t="s">
        <v>65</v>
      </c>
      <c r="C709" s="36">
        <f t="shared" ref="C709:C710" si="234">C708</f>
        <v>2200</v>
      </c>
      <c r="D709" s="74">
        <v>0.76250000000000007</v>
      </c>
      <c r="E709" s="74">
        <v>0.76736111111111116</v>
      </c>
      <c r="F709" s="75">
        <v>4.8611111111110938E-3</v>
      </c>
      <c r="G709" s="74">
        <v>0.77222222222222225</v>
      </c>
      <c r="H709" s="75">
        <v>4.8611111111110938E-3</v>
      </c>
      <c r="I709" s="76">
        <v>41725</v>
      </c>
      <c r="J709" s="36" t="str">
        <f t="shared" ref="J709:P710" si="235">J708</f>
        <v>Nacional</v>
      </c>
      <c r="K709" s="36">
        <f t="shared" si="235"/>
        <v>6.0185185185185341E-3</v>
      </c>
      <c r="L709" s="36">
        <f t="shared" si="235"/>
        <v>6.0185185185185341E-3</v>
      </c>
      <c r="M709" s="36">
        <f t="shared" si="235"/>
        <v>1.2037037037037068E-2</v>
      </c>
      <c r="N709" s="36">
        <f t="shared" si="235"/>
        <v>320</v>
      </c>
      <c r="O709" s="36">
        <f t="shared" si="235"/>
        <v>179</v>
      </c>
      <c r="P709" s="36" t="str">
        <f t="shared" si="235"/>
        <v>MEX</v>
      </c>
      <c r="R709">
        <v>695</v>
      </c>
      <c r="S709" s="36" t="str">
        <f t="shared" si="223"/>
        <v>MEXICO AEREO</v>
      </c>
      <c r="T709" s="36">
        <f t="shared" si="223"/>
        <v>214</v>
      </c>
      <c r="U709" s="73">
        <v>0.63402777777777775</v>
      </c>
      <c r="V709" s="74">
        <v>0.63958333333333328</v>
      </c>
      <c r="W709" s="75">
        <v>5.5555555555555358E-3</v>
      </c>
      <c r="X709" s="74">
        <v>0.64444444444444449</v>
      </c>
      <c r="Y709" s="75">
        <v>4.8611111111112049E-3</v>
      </c>
      <c r="Z709" s="76">
        <v>41738</v>
      </c>
      <c r="AA709" s="36" t="str">
        <f t="shared" si="232"/>
        <v>Nacional</v>
      </c>
      <c r="AB709" s="36">
        <f t="shared" si="232"/>
        <v>5.3140096618357708E-3</v>
      </c>
      <c r="AC709" s="36">
        <f t="shared" si="232"/>
        <v>2.7777777777777766E-2</v>
      </c>
      <c r="AD709" s="36">
        <f t="shared" si="232"/>
        <v>3.3091787439613538E-2</v>
      </c>
      <c r="AE709" s="36" t="str">
        <f t="shared" si="232"/>
        <v>ER4</v>
      </c>
      <c r="AF709" s="36">
        <f t="shared" si="232"/>
        <v>50</v>
      </c>
      <c r="AG709" s="36" t="str">
        <f t="shared" si="232"/>
        <v>MEX</v>
      </c>
      <c r="AI709">
        <v>695</v>
      </c>
      <c r="AJ709" s="77" t="str">
        <f t="shared" si="228"/>
        <v>MEXICO AEREO</v>
      </c>
      <c r="AK709" s="77">
        <f t="shared" si="228"/>
        <v>120</v>
      </c>
      <c r="AL709" s="78">
        <v>0.41736111111111113</v>
      </c>
      <c r="AM709" s="79">
        <v>0.42222222222222222</v>
      </c>
      <c r="AN709" s="80">
        <v>4.8611111111110938E-3</v>
      </c>
      <c r="AO709" s="79">
        <v>0.43055555555555558</v>
      </c>
      <c r="AP709" s="80">
        <v>8.3333333333333592E-3</v>
      </c>
      <c r="AQ709" s="81">
        <v>41797</v>
      </c>
      <c r="AR709" s="77" t="str">
        <f t="shared" si="233"/>
        <v>Nacional</v>
      </c>
      <c r="AS709" s="77">
        <f t="shared" si="233"/>
        <v>8.7436868686868608E-3</v>
      </c>
      <c r="AT709" s="77">
        <f t="shared" si="233"/>
        <v>9.8800505050505062E-3</v>
      </c>
      <c r="AU709" s="77">
        <f t="shared" si="233"/>
        <v>1.8623737373737369E-2</v>
      </c>
      <c r="AV709" s="77" t="str">
        <f t="shared" si="233"/>
        <v>E90</v>
      </c>
      <c r="AW709" s="77">
        <f t="shared" si="233"/>
        <v>99</v>
      </c>
      <c r="AX709" s="77" t="str">
        <f t="shared" si="233"/>
        <v>MEX</v>
      </c>
    </row>
    <row r="710" spans="1:50" ht="15.75" thickBot="1" x14ac:dyDescent="0.3">
      <c r="A710">
        <v>696</v>
      </c>
      <c r="B710" s="36" t="str">
        <f t="shared" ref="B710:C765" si="236">B709</f>
        <v>INTERAVIÓN</v>
      </c>
      <c r="C710" s="36">
        <f t="shared" si="234"/>
        <v>2200</v>
      </c>
      <c r="D710" s="84">
        <v>0.77916666666666667</v>
      </c>
      <c r="E710" s="84">
        <v>0.78611111111111109</v>
      </c>
      <c r="F710" s="85">
        <v>6.9444444444444198E-3</v>
      </c>
      <c r="G710" s="84">
        <v>0.79375000000000007</v>
      </c>
      <c r="H710" s="85">
        <v>7.6388888888889728E-3</v>
      </c>
      <c r="I710" s="86">
        <v>41726</v>
      </c>
      <c r="J710" s="36" t="str">
        <f t="shared" si="235"/>
        <v>Nacional</v>
      </c>
      <c r="K710" s="36">
        <f t="shared" si="235"/>
        <v>6.0185185185185341E-3</v>
      </c>
      <c r="L710" s="36">
        <f t="shared" si="235"/>
        <v>6.0185185185185341E-3</v>
      </c>
      <c r="M710" s="36">
        <f t="shared" si="235"/>
        <v>1.2037037037037068E-2</v>
      </c>
      <c r="N710" s="36">
        <f t="shared" si="235"/>
        <v>320</v>
      </c>
      <c r="O710" s="36">
        <f t="shared" si="235"/>
        <v>179</v>
      </c>
      <c r="P710" s="36" t="str">
        <f t="shared" si="235"/>
        <v>MEX</v>
      </c>
      <c r="R710">
        <v>696</v>
      </c>
      <c r="S710" s="36" t="str">
        <f t="shared" si="223"/>
        <v>MEXICO AEREO</v>
      </c>
      <c r="T710" s="36">
        <f t="shared" si="223"/>
        <v>214</v>
      </c>
      <c r="U710" s="73">
        <v>0.63611111111111118</v>
      </c>
      <c r="V710" s="74">
        <v>0.63750000000000007</v>
      </c>
      <c r="W710" s="75">
        <v>1.388888888888884E-3</v>
      </c>
      <c r="X710" s="74">
        <v>0.64027777777777783</v>
      </c>
      <c r="Y710" s="75">
        <v>2.7777777777777679E-3</v>
      </c>
      <c r="Z710" s="76">
        <v>41739</v>
      </c>
      <c r="AA710" s="36" t="str">
        <f t="shared" si="232"/>
        <v>Nacional</v>
      </c>
      <c r="AB710" s="36">
        <f t="shared" si="232"/>
        <v>5.3140096618357708E-3</v>
      </c>
      <c r="AC710" s="36">
        <f t="shared" si="232"/>
        <v>2.7777777777777766E-2</v>
      </c>
      <c r="AD710" s="36">
        <f t="shared" si="232"/>
        <v>3.3091787439613538E-2</v>
      </c>
      <c r="AE710" s="36" t="str">
        <f t="shared" si="232"/>
        <v>ER4</v>
      </c>
      <c r="AF710" s="36">
        <f t="shared" si="232"/>
        <v>50</v>
      </c>
      <c r="AG710" s="36" t="str">
        <f t="shared" si="232"/>
        <v>MEX</v>
      </c>
      <c r="AI710">
        <v>696</v>
      </c>
      <c r="AJ710" s="77" t="str">
        <f t="shared" si="228"/>
        <v>MEXICO AEREO</v>
      </c>
      <c r="AK710" s="77">
        <f t="shared" si="228"/>
        <v>120</v>
      </c>
      <c r="AL710" s="78">
        <v>0.42430555555555555</v>
      </c>
      <c r="AM710" s="79">
        <v>0.42777777777777781</v>
      </c>
      <c r="AN710" s="80">
        <v>3.4722222222222654E-3</v>
      </c>
      <c r="AO710" s="79">
        <v>0.43888888888888888</v>
      </c>
      <c r="AP710" s="80">
        <v>1.1111111111111072E-2</v>
      </c>
      <c r="AQ710" s="81">
        <v>41798</v>
      </c>
      <c r="AR710" s="77" t="str">
        <f t="shared" si="233"/>
        <v>Nacional</v>
      </c>
      <c r="AS710" s="77">
        <f t="shared" si="233"/>
        <v>8.7436868686868608E-3</v>
      </c>
      <c r="AT710" s="77">
        <f t="shared" si="233"/>
        <v>9.8800505050505062E-3</v>
      </c>
      <c r="AU710" s="77">
        <f t="shared" si="233"/>
        <v>1.8623737373737369E-2</v>
      </c>
      <c r="AV710" s="77" t="str">
        <f t="shared" si="233"/>
        <v>E90</v>
      </c>
      <c r="AW710" s="77">
        <f t="shared" si="233"/>
        <v>99</v>
      </c>
      <c r="AX710" s="77" t="str">
        <f t="shared" si="233"/>
        <v>MEX</v>
      </c>
    </row>
    <row r="711" spans="1:50" x14ac:dyDescent="0.25">
      <c r="A711">
        <v>697</v>
      </c>
      <c r="B711" s="36" t="str">
        <f t="shared" si="236"/>
        <v>INTERAVIÓN</v>
      </c>
      <c r="C711" s="88">
        <v>957</v>
      </c>
      <c r="D711" s="57">
        <v>0.63402777777777775</v>
      </c>
      <c r="E711" s="57">
        <v>0.64444444444444449</v>
      </c>
      <c r="F711" s="58">
        <v>1.0416666666666741E-2</v>
      </c>
      <c r="G711" s="57">
        <v>0.65277777777777779</v>
      </c>
      <c r="H711" s="58">
        <v>8.3333333333333037E-3</v>
      </c>
      <c r="I711" s="59">
        <v>41714</v>
      </c>
      <c r="J711" s="108" t="s">
        <v>22</v>
      </c>
      <c r="K711" s="61">
        <v>9.8958333333333259E-3</v>
      </c>
      <c r="L711" s="61">
        <v>8.333333333333387E-3</v>
      </c>
      <c r="M711" s="89">
        <v>1.8229166666666713E-2</v>
      </c>
      <c r="N711" s="90">
        <v>320</v>
      </c>
      <c r="O711" s="91">
        <v>179</v>
      </c>
      <c r="P711" s="92" t="s">
        <v>32</v>
      </c>
      <c r="R711">
        <v>697</v>
      </c>
      <c r="S711" s="36" t="str">
        <f t="shared" si="223"/>
        <v>MEXICO AEREO</v>
      </c>
      <c r="T711" s="36">
        <f t="shared" si="223"/>
        <v>214</v>
      </c>
      <c r="U711" s="73">
        <v>0.63055555555555554</v>
      </c>
      <c r="V711" s="74">
        <v>0.63611111111111118</v>
      </c>
      <c r="W711" s="75">
        <v>5.5555555555556468E-3</v>
      </c>
      <c r="X711" s="74">
        <v>0.64027777777777783</v>
      </c>
      <c r="Y711" s="75">
        <v>4.1666666666666519E-3</v>
      </c>
      <c r="Z711" s="76">
        <v>41739</v>
      </c>
      <c r="AA711" s="36" t="str">
        <f t="shared" si="232"/>
        <v>Nacional</v>
      </c>
      <c r="AB711" s="36">
        <f t="shared" si="232"/>
        <v>5.3140096618357708E-3</v>
      </c>
      <c r="AC711" s="36">
        <f t="shared" si="232"/>
        <v>2.7777777777777766E-2</v>
      </c>
      <c r="AD711" s="36">
        <f t="shared" si="232"/>
        <v>3.3091787439613538E-2</v>
      </c>
      <c r="AE711" s="36" t="str">
        <f t="shared" si="232"/>
        <v>ER4</v>
      </c>
      <c r="AF711" s="36">
        <f t="shared" si="232"/>
        <v>50</v>
      </c>
      <c r="AG711" s="36" t="str">
        <f t="shared" si="232"/>
        <v>MEX</v>
      </c>
      <c r="AI711">
        <v>697</v>
      </c>
      <c r="AJ711" s="77" t="str">
        <f t="shared" si="228"/>
        <v>MEXICO AEREO</v>
      </c>
      <c r="AK711" s="77">
        <f t="shared" si="228"/>
        <v>120</v>
      </c>
      <c r="AL711" s="78">
        <v>0.44791666666666669</v>
      </c>
      <c r="AM711" s="79">
        <v>0.46180555555555558</v>
      </c>
      <c r="AN711" s="80">
        <v>1.3888888888888895E-2</v>
      </c>
      <c r="AO711" s="79">
        <v>0.47083333333333338</v>
      </c>
      <c r="AP711" s="80">
        <v>9.0277777777778012E-3</v>
      </c>
      <c r="AQ711" s="81">
        <v>41799</v>
      </c>
      <c r="AR711" s="77" t="str">
        <f t="shared" si="233"/>
        <v>Nacional</v>
      </c>
      <c r="AS711" s="77">
        <f t="shared" si="233"/>
        <v>8.7436868686868608E-3</v>
      </c>
      <c r="AT711" s="77">
        <f t="shared" si="233"/>
        <v>9.8800505050505062E-3</v>
      </c>
      <c r="AU711" s="77">
        <f t="shared" si="233"/>
        <v>1.8623737373737369E-2</v>
      </c>
      <c r="AV711" s="77" t="str">
        <f t="shared" si="233"/>
        <v>E90</v>
      </c>
      <c r="AW711" s="77">
        <f t="shared" si="233"/>
        <v>99</v>
      </c>
      <c r="AX711" s="77" t="str">
        <f t="shared" si="233"/>
        <v>MEX</v>
      </c>
    </row>
    <row r="712" spans="1:50" x14ac:dyDescent="0.25">
      <c r="A712">
        <v>698</v>
      </c>
      <c r="B712" s="36" t="str">
        <f t="shared" si="236"/>
        <v>INTERAVIÓN</v>
      </c>
      <c r="C712" s="36">
        <f t="shared" si="236"/>
        <v>957</v>
      </c>
      <c r="D712" s="74">
        <v>0.6694444444444444</v>
      </c>
      <c r="E712" s="74">
        <v>0.6777777777777777</v>
      </c>
      <c r="F712" s="75">
        <v>8.3333333333333037E-3</v>
      </c>
      <c r="G712" s="74">
        <v>0.68888888888888899</v>
      </c>
      <c r="H712" s="75">
        <v>1.1111111111111294E-2</v>
      </c>
      <c r="I712" s="76">
        <v>41718</v>
      </c>
      <c r="J712" s="36" t="str">
        <f t="shared" ref="J712:P714" si="237">J711</f>
        <v>Internacional</v>
      </c>
      <c r="K712" s="36">
        <f t="shared" si="237"/>
        <v>9.8958333333333259E-3</v>
      </c>
      <c r="L712" s="36">
        <f t="shared" si="237"/>
        <v>8.333333333333387E-3</v>
      </c>
      <c r="M712" s="36">
        <f t="shared" si="237"/>
        <v>1.8229166666666713E-2</v>
      </c>
      <c r="N712" s="36">
        <f t="shared" si="237"/>
        <v>320</v>
      </c>
      <c r="O712" s="36">
        <f t="shared" si="237"/>
        <v>179</v>
      </c>
      <c r="P712" s="36" t="str">
        <f t="shared" si="237"/>
        <v>SAT</v>
      </c>
      <c r="R712">
        <v>698</v>
      </c>
      <c r="S712" s="36" t="str">
        <f t="shared" si="223"/>
        <v>MEXICO AEREO</v>
      </c>
      <c r="T712" s="36">
        <f t="shared" si="223"/>
        <v>214</v>
      </c>
      <c r="U712" s="73">
        <v>0.66319444444444442</v>
      </c>
      <c r="V712" s="74">
        <v>0.66527777777777775</v>
      </c>
      <c r="W712" s="75">
        <v>2.0833333333333259E-3</v>
      </c>
      <c r="X712" s="74">
        <v>0.6694444444444444</v>
      </c>
      <c r="Y712" s="75">
        <v>4.1666666666666519E-3</v>
      </c>
      <c r="Z712" s="76">
        <v>41742</v>
      </c>
      <c r="AA712" s="36" t="str">
        <f t="shared" si="232"/>
        <v>Nacional</v>
      </c>
      <c r="AB712" s="36">
        <f t="shared" si="232"/>
        <v>5.3140096618357708E-3</v>
      </c>
      <c r="AC712" s="36">
        <f t="shared" si="232"/>
        <v>2.7777777777777766E-2</v>
      </c>
      <c r="AD712" s="36">
        <f t="shared" si="232"/>
        <v>3.3091787439613538E-2</v>
      </c>
      <c r="AE712" s="36" t="str">
        <f t="shared" si="232"/>
        <v>ER4</v>
      </c>
      <c r="AF712" s="36">
        <f t="shared" si="232"/>
        <v>50</v>
      </c>
      <c r="AG712" s="36" t="str">
        <f t="shared" si="232"/>
        <v>MEX</v>
      </c>
      <c r="AI712">
        <v>698</v>
      </c>
      <c r="AJ712" s="77" t="str">
        <f t="shared" si="228"/>
        <v>MEXICO AEREO</v>
      </c>
      <c r="AK712" s="77">
        <f t="shared" si="228"/>
        <v>120</v>
      </c>
      <c r="AL712" s="78">
        <v>0.46527777777777773</v>
      </c>
      <c r="AM712" s="79">
        <v>0.47291666666666665</v>
      </c>
      <c r="AN712" s="80">
        <v>7.6388888888889173E-3</v>
      </c>
      <c r="AO712" s="79">
        <v>0.49652777777777773</v>
      </c>
      <c r="AP712" s="80">
        <v>2.3611111111111083E-2</v>
      </c>
      <c r="AQ712" s="81">
        <v>41801</v>
      </c>
      <c r="AR712" s="77" t="str">
        <f t="shared" si="233"/>
        <v>Nacional</v>
      </c>
      <c r="AS712" s="77">
        <f t="shared" si="233"/>
        <v>8.7436868686868608E-3</v>
      </c>
      <c r="AT712" s="77">
        <f t="shared" si="233"/>
        <v>9.8800505050505062E-3</v>
      </c>
      <c r="AU712" s="77">
        <f t="shared" si="233"/>
        <v>1.8623737373737369E-2</v>
      </c>
      <c r="AV712" s="77" t="str">
        <f t="shared" si="233"/>
        <v>E90</v>
      </c>
      <c r="AW712" s="77">
        <f t="shared" si="233"/>
        <v>99</v>
      </c>
      <c r="AX712" s="77" t="str">
        <f t="shared" si="233"/>
        <v>MEX</v>
      </c>
    </row>
    <row r="713" spans="1:50" x14ac:dyDescent="0.25">
      <c r="A713">
        <v>699</v>
      </c>
      <c r="B713" s="36" t="str">
        <f t="shared" si="236"/>
        <v>INTERAVIÓN</v>
      </c>
      <c r="C713" s="36">
        <f t="shared" si="236"/>
        <v>957</v>
      </c>
      <c r="D713" s="74">
        <v>0.63055555555555554</v>
      </c>
      <c r="E713" s="74">
        <v>0.64236111111111105</v>
      </c>
      <c r="F713" s="75">
        <v>1.1805555555555514E-2</v>
      </c>
      <c r="G713" s="74">
        <v>0.65277777777777779</v>
      </c>
      <c r="H713" s="75">
        <v>1.0416666666666741E-2</v>
      </c>
      <c r="I713" s="76">
        <v>41721</v>
      </c>
      <c r="J713" s="36" t="str">
        <f t="shared" si="237"/>
        <v>Internacional</v>
      </c>
      <c r="K713" s="36">
        <f t="shared" si="237"/>
        <v>9.8958333333333259E-3</v>
      </c>
      <c r="L713" s="36">
        <f t="shared" si="237"/>
        <v>8.333333333333387E-3</v>
      </c>
      <c r="M713" s="36">
        <f t="shared" si="237"/>
        <v>1.8229166666666713E-2</v>
      </c>
      <c r="N713" s="36">
        <f t="shared" si="237"/>
        <v>320</v>
      </c>
      <c r="O713" s="36">
        <f t="shared" si="237"/>
        <v>179</v>
      </c>
      <c r="P713" s="36" t="str">
        <f t="shared" si="237"/>
        <v>SAT</v>
      </c>
      <c r="R713">
        <v>699</v>
      </c>
      <c r="S713" s="36" t="str">
        <f t="shared" si="223"/>
        <v>MEXICO AEREO</v>
      </c>
      <c r="T713" s="36">
        <f t="shared" si="223"/>
        <v>214</v>
      </c>
      <c r="U713" s="73">
        <v>0.63888888888888895</v>
      </c>
      <c r="V713" s="74">
        <v>0.6430555555555556</v>
      </c>
      <c r="W713" s="75">
        <v>4.1666666666666519E-3</v>
      </c>
      <c r="X713" s="74">
        <v>0.64583333333333337</v>
      </c>
      <c r="Y713" s="75">
        <v>2.7777777777777679E-3</v>
      </c>
      <c r="Z713" s="76">
        <v>41743</v>
      </c>
      <c r="AA713" s="36" t="str">
        <f t="shared" si="232"/>
        <v>Nacional</v>
      </c>
      <c r="AB713" s="36">
        <f t="shared" si="232"/>
        <v>5.3140096618357708E-3</v>
      </c>
      <c r="AC713" s="36">
        <f t="shared" si="232"/>
        <v>2.7777777777777766E-2</v>
      </c>
      <c r="AD713" s="36">
        <f t="shared" si="232"/>
        <v>3.3091787439613538E-2</v>
      </c>
      <c r="AE713" s="36" t="str">
        <f t="shared" si="232"/>
        <v>ER4</v>
      </c>
      <c r="AF713" s="36">
        <f t="shared" si="232"/>
        <v>50</v>
      </c>
      <c r="AG713" s="36" t="str">
        <f t="shared" si="232"/>
        <v>MEX</v>
      </c>
      <c r="AI713">
        <v>699</v>
      </c>
      <c r="AJ713" s="77" t="str">
        <f t="shared" si="228"/>
        <v>MEXICO AEREO</v>
      </c>
      <c r="AK713" s="77">
        <f t="shared" si="228"/>
        <v>120</v>
      </c>
      <c r="AL713" s="78">
        <v>0.54861111111111105</v>
      </c>
      <c r="AM713" s="79">
        <v>0.55902777777777779</v>
      </c>
      <c r="AN713" s="80">
        <v>1.0416666666666741E-2</v>
      </c>
      <c r="AO713" s="79">
        <v>0.56111111111111112</v>
      </c>
      <c r="AP713" s="80">
        <v>2.0833333333333259E-3</v>
      </c>
      <c r="AQ713" s="81">
        <v>41801</v>
      </c>
      <c r="AR713" s="77" t="str">
        <f t="shared" si="233"/>
        <v>Nacional</v>
      </c>
      <c r="AS713" s="77">
        <f t="shared" si="233"/>
        <v>8.7436868686868608E-3</v>
      </c>
      <c r="AT713" s="77">
        <f t="shared" si="233"/>
        <v>9.8800505050505062E-3</v>
      </c>
      <c r="AU713" s="77">
        <f t="shared" si="233"/>
        <v>1.8623737373737369E-2</v>
      </c>
      <c r="AV713" s="77" t="str">
        <f t="shared" si="233"/>
        <v>E90</v>
      </c>
      <c r="AW713" s="77">
        <f t="shared" si="233"/>
        <v>99</v>
      </c>
      <c r="AX713" s="77" t="str">
        <f t="shared" si="233"/>
        <v>MEX</v>
      </c>
    </row>
    <row r="714" spans="1:50" ht="15.75" thickBot="1" x14ac:dyDescent="0.3">
      <c r="A714">
        <v>700</v>
      </c>
      <c r="B714" s="36" t="str">
        <f t="shared" si="236"/>
        <v>INTERAVIÓN</v>
      </c>
      <c r="C714" s="36">
        <f t="shared" si="236"/>
        <v>957</v>
      </c>
      <c r="D714" s="84">
        <v>0.62430555555555556</v>
      </c>
      <c r="E714" s="84">
        <v>0.6333333333333333</v>
      </c>
      <c r="F714" s="85">
        <v>9.0277777777777457E-3</v>
      </c>
      <c r="G714" s="84">
        <v>0.63680555555555551</v>
      </c>
      <c r="H714" s="85">
        <v>3.4722222222222099E-3</v>
      </c>
      <c r="I714" s="86">
        <v>41728</v>
      </c>
      <c r="J714" s="36" t="str">
        <f t="shared" si="237"/>
        <v>Internacional</v>
      </c>
      <c r="K714" s="36">
        <f t="shared" si="237"/>
        <v>9.8958333333333259E-3</v>
      </c>
      <c r="L714" s="36">
        <f t="shared" si="237"/>
        <v>8.333333333333387E-3</v>
      </c>
      <c r="M714" s="36">
        <f t="shared" si="237"/>
        <v>1.8229166666666713E-2</v>
      </c>
      <c r="N714" s="36">
        <f t="shared" si="237"/>
        <v>320</v>
      </c>
      <c r="O714" s="36">
        <f t="shared" si="237"/>
        <v>179</v>
      </c>
      <c r="P714" s="36" t="str">
        <f t="shared" si="237"/>
        <v>SAT</v>
      </c>
      <c r="R714">
        <v>700</v>
      </c>
      <c r="S714" s="36" t="str">
        <f t="shared" si="223"/>
        <v>MEXICO AEREO</v>
      </c>
      <c r="T714" s="36">
        <f t="shared" si="223"/>
        <v>214</v>
      </c>
      <c r="U714" s="73">
        <v>0.63402777777777775</v>
      </c>
      <c r="V714" s="74">
        <v>0.63888888888888895</v>
      </c>
      <c r="W714" s="75">
        <v>4.8611111111112049E-3</v>
      </c>
      <c r="X714" s="74">
        <v>0.64583333333333337</v>
      </c>
      <c r="Y714" s="75">
        <v>6.9444444444444198E-3</v>
      </c>
      <c r="Z714" s="76">
        <v>41744</v>
      </c>
      <c r="AA714" s="36" t="str">
        <f t="shared" si="232"/>
        <v>Nacional</v>
      </c>
      <c r="AB714" s="36">
        <f t="shared" si="232"/>
        <v>5.3140096618357708E-3</v>
      </c>
      <c r="AC714" s="36">
        <f t="shared" si="232"/>
        <v>2.7777777777777766E-2</v>
      </c>
      <c r="AD714" s="36">
        <f t="shared" si="232"/>
        <v>3.3091787439613538E-2</v>
      </c>
      <c r="AE714" s="36" t="str">
        <f t="shared" si="232"/>
        <v>ER4</v>
      </c>
      <c r="AF714" s="36">
        <f t="shared" si="232"/>
        <v>50</v>
      </c>
      <c r="AG714" s="36" t="str">
        <f t="shared" si="232"/>
        <v>MEX</v>
      </c>
      <c r="AI714">
        <v>700</v>
      </c>
      <c r="AJ714" s="77" t="str">
        <f t="shared" si="228"/>
        <v>MEXICO AEREO</v>
      </c>
      <c r="AK714" s="77">
        <f t="shared" si="228"/>
        <v>120</v>
      </c>
      <c r="AL714" s="78">
        <v>0.20902777777777778</v>
      </c>
      <c r="AM714" s="79">
        <v>0.2388888888888889</v>
      </c>
      <c r="AN714" s="80">
        <v>2.9861111111111116E-2</v>
      </c>
      <c r="AO714" s="79">
        <v>0.2673611111111111</v>
      </c>
      <c r="AP714" s="80">
        <v>2.8472222222222204E-2</v>
      </c>
      <c r="AQ714" s="81">
        <v>41802</v>
      </c>
      <c r="AR714" s="77" t="str">
        <f t="shared" si="233"/>
        <v>Nacional</v>
      </c>
      <c r="AS714" s="77">
        <f t="shared" si="233"/>
        <v>8.7436868686868608E-3</v>
      </c>
      <c r="AT714" s="77">
        <f t="shared" si="233"/>
        <v>9.8800505050505062E-3</v>
      </c>
      <c r="AU714" s="77">
        <f t="shared" si="233"/>
        <v>1.8623737373737369E-2</v>
      </c>
      <c r="AV714" s="77" t="str">
        <f t="shared" si="233"/>
        <v>E90</v>
      </c>
      <c r="AW714" s="77">
        <f t="shared" si="233"/>
        <v>99</v>
      </c>
      <c r="AX714" s="77" t="str">
        <f t="shared" si="233"/>
        <v>MEX</v>
      </c>
    </row>
    <row r="715" spans="1:50" x14ac:dyDescent="0.25">
      <c r="A715">
        <v>701</v>
      </c>
      <c r="B715" s="36" t="str">
        <f t="shared" si="236"/>
        <v>INTERAVIÓN</v>
      </c>
      <c r="C715" s="88">
        <v>810</v>
      </c>
      <c r="D715" s="57">
        <v>0.61597222222222225</v>
      </c>
      <c r="E715" s="57">
        <v>0.62152777777777779</v>
      </c>
      <c r="F715" s="58">
        <v>5.5555555555555358E-3</v>
      </c>
      <c r="G715" s="57">
        <v>0.62986111111111109</v>
      </c>
      <c r="H715" s="58">
        <v>8.3333333333333037E-3</v>
      </c>
      <c r="I715" s="59">
        <v>41715</v>
      </c>
      <c r="J715" s="108" t="s">
        <v>19</v>
      </c>
      <c r="K715" s="61">
        <v>4.629629629629632E-3</v>
      </c>
      <c r="L715" s="61">
        <v>6.8287037037036979E-3</v>
      </c>
      <c r="M715" s="89">
        <v>1.1458333333333331E-2</v>
      </c>
      <c r="N715" s="90">
        <v>320</v>
      </c>
      <c r="O715" s="91">
        <v>179</v>
      </c>
      <c r="P715" s="92" t="s">
        <v>66</v>
      </c>
      <c r="R715">
        <v>701</v>
      </c>
      <c r="S715" s="36" t="str">
        <f t="shared" si="223"/>
        <v>MEXICO AEREO</v>
      </c>
      <c r="T715" s="36">
        <f t="shared" si="223"/>
        <v>214</v>
      </c>
      <c r="U715" s="73">
        <v>0.63124999999999998</v>
      </c>
      <c r="V715" s="74">
        <v>0.63611111111111118</v>
      </c>
      <c r="W715" s="75">
        <v>4.8611111111112049E-3</v>
      </c>
      <c r="X715" s="74">
        <v>0.64097222222222217</v>
      </c>
      <c r="Y715" s="75">
        <v>4.8611111111109828E-3</v>
      </c>
      <c r="Z715" s="76">
        <v>41746</v>
      </c>
      <c r="AA715" s="36" t="str">
        <f t="shared" si="232"/>
        <v>Nacional</v>
      </c>
      <c r="AB715" s="36">
        <f t="shared" si="232"/>
        <v>5.3140096618357708E-3</v>
      </c>
      <c r="AC715" s="36">
        <f t="shared" si="232"/>
        <v>2.7777777777777766E-2</v>
      </c>
      <c r="AD715" s="36">
        <f t="shared" si="232"/>
        <v>3.3091787439613538E-2</v>
      </c>
      <c r="AE715" s="36" t="str">
        <f t="shared" si="232"/>
        <v>ER4</v>
      </c>
      <c r="AF715" s="36">
        <f t="shared" si="232"/>
        <v>50</v>
      </c>
      <c r="AG715" s="36" t="str">
        <f t="shared" si="232"/>
        <v>MEX</v>
      </c>
      <c r="AI715">
        <v>701</v>
      </c>
      <c r="AJ715" s="77" t="str">
        <f t="shared" si="228"/>
        <v>MEXICO AEREO</v>
      </c>
      <c r="AK715" s="77">
        <f t="shared" si="228"/>
        <v>120</v>
      </c>
      <c r="AL715" s="78">
        <v>0.94305555555555554</v>
      </c>
      <c r="AM715" s="79">
        <v>0.95416666666666661</v>
      </c>
      <c r="AN715" s="80">
        <v>1.1111111111111072E-2</v>
      </c>
      <c r="AO715" s="79">
        <v>0.95624999999999993</v>
      </c>
      <c r="AP715" s="80">
        <v>2.0833333333333259E-3</v>
      </c>
      <c r="AQ715" s="81">
        <v>41803</v>
      </c>
      <c r="AR715" s="77" t="str">
        <f t="shared" si="233"/>
        <v>Nacional</v>
      </c>
      <c r="AS715" s="77">
        <f t="shared" si="233"/>
        <v>8.7436868686868608E-3</v>
      </c>
      <c r="AT715" s="77">
        <f t="shared" si="233"/>
        <v>9.8800505050505062E-3</v>
      </c>
      <c r="AU715" s="77">
        <f t="shared" si="233"/>
        <v>1.8623737373737369E-2</v>
      </c>
      <c r="AV715" s="77" t="str">
        <f t="shared" si="233"/>
        <v>E90</v>
      </c>
      <c r="AW715" s="77">
        <f t="shared" si="233"/>
        <v>99</v>
      </c>
      <c r="AX715" s="77" t="str">
        <f t="shared" si="233"/>
        <v>MEX</v>
      </c>
    </row>
    <row r="716" spans="1:50" x14ac:dyDescent="0.25">
      <c r="A716">
        <v>702</v>
      </c>
      <c r="B716" s="36" t="str">
        <f t="shared" si="236"/>
        <v>INTERAVIÓN</v>
      </c>
      <c r="C716" s="36">
        <f t="shared" si="236"/>
        <v>810</v>
      </c>
      <c r="D716" s="74">
        <v>0.60833333333333328</v>
      </c>
      <c r="E716" s="74">
        <v>0.61319444444444449</v>
      </c>
      <c r="F716" s="75">
        <v>4.8611111111112049E-3</v>
      </c>
      <c r="G716" s="74">
        <v>0.62430555555555556</v>
      </c>
      <c r="H716" s="75">
        <v>1.1111111111111072E-2</v>
      </c>
      <c r="I716" s="76">
        <v>41718</v>
      </c>
      <c r="J716" s="36" t="str">
        <f t="shared" ref="J716:P720" si="238">J715</f>
        <v>Nacional</v>
      </c>
      <c r="K716" s="36">
        <f t="shared" si="238"/>
        <v>4.629629629629632E-3</v>
      </c>
      <c r="L716" s="36">
        <f t="shared" si="238"/>
        <v>6.8287037037036979E-3</v>
      </c>
      <c r="M716" s="36">
        <f t="shared" si="238"/>
        <v>1.1458333333333331E-2</v>
      </c>
      <c r="N716" s="36">
        <f t="shared" si="238"/>
        <v>320</v>
      </c>
      <c r="O716" s="36">
        <f t="shared" si="238"/>
        <v>179</v>
      </c>
      <c r="P716" s="36" t="str">
        <f t="shared" si="238"/>
        <v>SJD</v>
      </c>
      <c r="R716">
        <v>702</v>
      </c>
      <c r="S716" s="36" t="str">
        <f t="shared" si="223"/>
        <v>MEXICO AEREO</v>
      </c>
      <c r="T716" s="36">
        <f t="shared" si="223"/>
        <v>214</v>
      </c>
      <c r="U716" s="73">
        <v>0.63472222222222219</v>
      </c>
      <c r="V716" s="74">
        <v>0.63888888888888895</v>
      </c>
      <c r="W716" s="75">
        <v>4.1666666666667629E-3</v>
      </c>
      <c r="X716" s="74">
        <v>0.64722222222222225</v>
      </c>
      <c r="Y716" s="75">
        <v>8.3333333333333037E-3</v>
      </c>
      <c r="Z716" s="76">
        <v>41749</v>
      </c>
      <c r="AA716" s="36" t="str">
        <f t="shared" si="232"/>
        <v>Nacional</v>
      </c>
      <c r="AB716" s="36">
        <f t="shared" si="232"/>
        <v>5.3140096618357708E-3</v>
      </c>
      <c r="AC716" s="36">
        <f t="shared" si="232"/>
        <v>2.7777777777777766E-2</v>
      </c>
      <c r="AD716" s="36">
        <f t="shared" si="232"/>
        <v>3.3091787439613538E-2</v>
      </c>
      <c r="AE716" s="36" t="str">
        <f t="shared" si="232"/>
        <v>ER4</v>
      </c>
      <c r="AF716" s="36">
        <f t="shared" si="232"/>
        <v>50</v>
      </c>
      <c r="AG716" s="36" t="str">
        <f t="shared" si="232"/>
        <v>MEX</v>
      </c>
      <c r="AI716">
        <v>702</v>
      </c>
      <c r="AJ716" s="77" t="str">
        <f t="shared" si="228"/>
        <v>MEXICO AEREO</v>
      </c>
      <c r="AK716" s="77">
        <f t="shared" si="228"/>
        <v>120</v>
      </c>
      <c r="AL716" s="78">
        <v>0.8930555555555556</v>
      </c>
      <c r="AM716" s="79">
        <v>0.90486111111111101</v>
      </c>
      <c r="AN716" s="80">
        <v>1.1805555555555403E-2</v>
      </c>
      <c r="AO716" s="79">
        <v>0.90972222222222221</v>
      </c>
      <c r="AP716" s="80">
        <v>4.8611111111112049E-3</v>
      </c>
      <c r="AQ716" s="81">
        <v>41804</v>
      </c>
      <c r="AR716" s="77" t="str">
        <f t="shared" si="233"/>
        <v>Nacional</v>
      </c>
      <c r="AS716" s="77">
        <f t="shared" si="233"/>
        <v>8.7436868686868608E-3</v>
      </c>
      <c r="AT716" s="77">
        <f t="shared" si="233"/>
        <v>9.8800505050505062E-3</v>
      </c>
      <c r="AU716" s="77">
        <f t="shared" si="233"/>
        <v>1.8623737373737369E-2</v>
      </c>
      <c r="AV716" s="77" t="str">
        <f t="shared" si="233"/>
        <v>E90</v>
      </c>
      <c r="AW716" s="77">
        <f t="shared" si="233"/>
        <v>99</v>
      </c>
      <c r="AX716" s="77" t="str">
        <f t="shared" si="233"/>
        <v>MEX</v>
      </c>
    </row>
    <row r="717" spans="1:50" x14ac:dyDescent="0.25">
      <c r="A717">
        <v>703</v>
      </c>
      <c r="B717" s="36" t="str">
        <f t="shared" si="236"/>
        <v>INTERAVIÓN</v>
      </c>
      <c r="C717" s="36">
        <f t="shared" si="236"/>
        <v>810</v>
      </c>
      <c r="D717" s="74">
        <v>0.60486111111111118</v>
      </c>
      <c r="E717" s="74">
        <v>0.61041666666666672</v>
      </c>
      <c r="F717" s="75">
        <v>5.5555555555555358E-3</v>
      </c>
      <c r="G717" s="74">
        <v>0.61319444444444449</v>
      </c>
      <c r="H717" s="75">
        <v>2.7777777777777679E-3</v>
      </c>
      <c r="I717" s="76">
        <v>41722</v>
      </c>
      <c r="J717" s="36" t="str">
        <f t="shared" si="238"/>
        <v>Nacional</v>
      </c>
      <c r="K717" s="36">
        <f t="shared" si="238"/>
        <v>4.629629629629632E-3</v>
      </c>
      <c r="L717" s="36">
        <f t="shared" si="238"/>
        <v>6.8287037037036979E-3</v>
      </c>
      <c r="M717" s="36">
        <f t="shared" si="238"/>
        <v>1.1458333333333331E-2</v>
      </c>
      <c r="N717" s="36">
        <f t="shared" si="238"/>
        <v>320</v>
      </c>
      <c r="O717" s="36">
        <f t="shared" si="238"/>
        <v>179</v>
      </c>
      <c r="P717" s="36" t="str">
        <f t="shared" si="238"/>
        <v>SJD</v>
      </c>
      <c r="R717">
        <v>703</v>
      </c>
      <c r="S717" s="36" t="str">
        <f t="shared" si="223"/>
        <v>MEXICO AEREO</v>
      </c>
      <c r="T717" s="36">
        <f t="shared" si="223"/>
        <v>214</v>
      </c>
      <c r="U717" s="73">
        <v>0.63958333333333328</v>
      </c>
      <c r="V717" s="74">
        <v>0.64166666666666672</v>
      </c>
      <c r="W717" s="75">
        <v>2.083333333333437E-3</v>
      </c>
      <c r="X717" s="74">
        <v>0.64861111111111114</v>
      </c>
      <c r="Y717" s="75">
        <v>6.9444444444444198E-3</v>
      </c>
      <c r="Z717" s="76">
        <v>41751</v>
      </c>
      <c r="AA717" s="36" t="str">
        <f t="shared" si="232"/>
        <v>Nacional</v>
      </c>
      <c r="AB717" s="36">
        <f t="shared" si="232"/>
        <v>5.3140096618357708E-3</v>
      </c>
      <c r="AC717" s="36">
        <f t="shared" si="232"/>
        <v>2.7777777777777766E-2</v>
      </c>
      <c r="AD717" s="36">
        <f t="shared" si="232"/>
        <v>3.3091787439613538E-2</v>
      </c>
      <c r="AE717" s="36" t="str">
        <f t="shared" si="232"/>
        <v>ER4</v>
      </c>
      <c r="AF717" s="36">
        <f t="shared" si="232"/>
        <v>50</v>
      </c>
      <c r="AG717" s="36" t="str">
        <f t="shared" si="232"/>
        <v>MEX</v>
      </c>
      <c r="AI717">
        <v>703</v>
      </c>
      <c r="AJ717" s="77" t="str">
        <f t="shared" si="228"/>
        <v>MEXICO AEREO</v>
      </c>
      <c r="AK717" s="77">
        <f t="shared" si="228"/>
        <v>120</v>
      </c>
      <c r="AL717" s="78">
        <v>0.4381944444444445</v>
      </c>
      <c r="AM717" s="79">
        <v>0.4458333333333333</v>
      </c>
      <c r="AN717" s="80">
        <v>7.6388888888888062E-3</v>
      </c>
      <c r="AO717" s="79">
        <v>0.45347222222222222</v>
      </c>
      <c r="AP717" s="80">
        <v>7.6388888888889173E-3</v>
      </c>
      <c r="AQ717" s="81">
        <v>41805</v>
      </c>
      <c r="AR717" s="77" t="str">
        <f t="shared" si="233"/>
        <v>Nacional</v>
      </c>
      <c r="AS717" s="77">
        <f t="shared" si="233"/>
        <v>8.7436868686868608E-3</v>
      </c>
      <c r="AT717" s="77">
        <f t="shared" si="233"/>
        <v>9.8800505050505062E-3</v>
      </c>
      <c r="AU717" s="77">
        <f t="shared" si="233"/>
        <v>1.8623737373737369E-2</v>
      </c>
      <c r="AV717" s="77" t="str">
        <f t="shared" si="233"/>
        <v>E90</v>
      </c>
      <c r="AW717" s="77">
        <f t="shared" si="233"/>
        <v>99</v>
      </c>
      <c r="AX717" s="77" t="str">
        <f t="shared" si="233"/>
        <v>MEX</v>
      </c>
    </row>
    <row r="718" spans="1:50" x14ac:dyDescent="0.25">
      <c r="A718">
        <v>704</v>
      </c>
      <c r="B718" s="36" t="str">
        <f t="shared" si="236"/>
        <v>INTERAVIÓN</v>
      </c>
      <c r="C718" s="36">
        <f t="shared" si="236"/>
        <v>810</v>
      </c>
      <c r="D718" s="74">
        <v>0.6118055555555556</v>
      </c>
      <c r="E718" s="74">
        <v>0.61805555555555558</v>
      </c>
      <c r="F718" s="75">
        <v>6.2499999999999778E-3</v>
      </c>
      <c r="G718" s="74">
        <v>0.62361111111111112</v>
      </c>
      <c r="H718" s="75">
        <v>5.5555555555555358E-3</v>
      </c>
      <c r="I718" s="76">
        <v>41725</v>
      </c>
      <c r="J718" s="36" t="str">
        <f t="shared" si="238"/>
        <v>Nacional</v>
      </c>
      <c r="K718" s="36">
        <f t="shared" si="238"/>
        <v>4.629629629629632E-3</v>
      </c>
      <c r="L718" s="36">
        <f t="shared" si="238"/>
        <v>6.8287037037036979E-3</v>
      </c>
      <c r="M718" s="36">
        <f t="shared" si="238"/>
        <v>1.1458333333333331E-2</v>
      </c>
      <c r="N718" s="36">
        <f t="shared" si="238"/>
        <v>320</v>
      </c>
      <c r="O718" s="36">
        <f t="shared" si="238"/>
        <v>179</v>
      </c>
      <c r="P718" s="36" t="str">
        <f t="shared" si="238"/>
        <v>SJD</v>
      </c>
      <c r="R718">
        <v>704</v>
      </c>
      <c r="S718" s="36" t="str">
        <f t="shared" si="223"/>
        <v>MEXICO AEREO</v>
      </c>
      <c r="T718" s="36">
        <f t="shared" si="223"/>
        <v>214</v>
      </c>
      <c r="U718" s="73">
        <v>0.62430555555555556</v>
      </c>
      <c r="V718" s="74">
        <v>0.63402777777777775</v>
      </c>
      <c r="W718" s="75">
        <v>9.7222222222221877E-3</v>
      </c>
      <c r="X718" s="74">
        <v>0.64097222222222217</v>
      </c>
      <c r="Y718" s="75">
        <v>6.9444444444444198E-3</v>
      </c>
      <c r="Z718" s="76">
        <v>41753</v>
      </c>
      <c r="AA718" s="36" t="str">
        <f t="shared" si="232"/>
        <v>Nacional</v>
      </c>
      <c r="AB718" s="36">
        <f t="shared" si="232"/>
        <v>5.3140096618357708E-3</v>
      </c>
      <c r="AC718" s="36">
        <f t="shared" si="232"/>
        <v>2.7777777777777766E-2</v>
      </c>
      <c r="AD718" s="36">
        <f t="shared" si="232"/>
        <v>3.3091787439613538E-2</v>
      </c>
      <c r="AE718" s="36" t="str">
        <f t="shared" si="232"/>
        <v>ER4</v>
      </c>
      <c r="AF718" s="36">
        <f t="shared" si="232"/>
        <v>50</v>
      </c>
      <c r="AG718" s="36" t="str">
        <f t="shared" si="232"/>
        <v>MEX</v>
      </c>
      <c r="AI718">
        <v>704</v>
      </c>
      <c r="AJ718" s="77" t="str">
        <f t="shared" si="228"/>
        <v>MEXICO AEREO</v>
      </c>
      <c r="AK718" s="77">
        <f t="shared" si="228"/>
        <v>120</v>
      </c>
      <c r="AL718" s="78">
        <v>0.82500000000000007</v>
      </c>
      <c r="AM718" s="79">
        <v>0.83888888888888891</v>
      </c>
      <c r="AN718" s="80">
        <v>1.388888888888884E-2</v>
      </c>
      <c r="AO718" s="79">
        <v>0.85416666666666663</v>
      </c>
      <c r="AP718" s="80">
        <v>1.5277777777777724E-2</v>
      </c>
      <c r="AQ718" s="81">
        <v>41806</v>
      </c>
      <c r="AR718" s="77" t="str">
        <f t="shared" si="233"/>
        <v>Nacional</v>
      </c>
      <c r="AS718" s="77">
        <f t="shared" si="233"/>
        <v>8.7436868686868608E-3</v>
      </c>
      <c r="AT718" s="77">
        <f t="shared" si="233"/>
        <v>9.8800505050505062E-3</v>
      </c>
      <c r="AU718" s="77">
        <f t="shared" si="233"/>
        <v>1.8623737373737369E-2</v>
      </c>
      <c r="AV718" s="77" t="str">
        <f t="shared" si="233"/>
        <v>E90</v>
      </c>
      <c r="AW718" s="77">
        <f t="shared" si="233"/>
        <v>99</v>
      </c>
      <c r="AX718" s="77" t="str">
        <f t="shared" si="233"/>
        <v>MEX</v>
      </c>
    </row>
    <row r="719" spans="1:50" x14ac:dyDescent="0.25">
      <c r="A719">
        <v>705</v>
      </c>
      <c r="B719" s="36" t="str">
        <f t="shared" si="236"/>
        <v>INTERAVIÓN</v>
      </c>
      <c r="C719" s="36">
        <f t="shared" si="236"/>
        <v>810</v>
      </c>
      <c r="D719" s="74">
        <v>0.60972222222222217</v>
      </c>
      <c r="E719" s="74">
        <v>0.61249999999999993</v>
      </c>
      <c r="F719" s="75">
        <v>2.7777777777777679E-3</v>
      </c>
      <c r="G719" s="74">
        <v>0.61875000000000002</v>
      </c>
      <c r="H719" s="75">
        <v>6.2500000000000888E-3</v>
      </c>
      <c r="I719" s="76">
        <v>41726</v>
      </c>
      <c r="J719" s="36" t="str">
        <f t="shared" si="238"/>
        <v>Nacional</v>
      </c>
      <c r="K719" s="36">
        <f t="shared" si="238"/>
        <v>4.629629629629632E-3</v>
      </c>
      <c r="L719" s="36">
        <f t="shared" si="238"/>
        <v>6.8287037037036979E-3</v>
      </c>
      <c r="M719" s="36">
        <f t="shared" si="238"/>
        <v>1.1458333333333331E-2</v>
      </c>
      <c r="N719" s="36">
        <f t="shared" si="238"/>
        <v>320</v>
      </c>
      <c r="O719" s="36">
        <f t="shared" si="238"/>
        <v>179</v>
      </c>
      <c r="P719" s="36" t="str">
        <f t="shared" si="238"/>
        <v>SJD</v>
      </c>
      <c r="R719">
        <v>705</v>
      </c>
      <c r="S719" s="36" t="str">
        <f t="shared" si="223"/>
        <v>MEXICO AEREO</v>
      </c>
      <c r="T719" s="36">
        <f t="shared" si="223"/>
        <v>214</v>
      </c>
      <c r="U719" s="73">
        <v>0.7055555555555556</v>
      </c>
      <c r="V719" s="74">
        <v>0.70972222222222225</v>
      </c>
      <c r="W719" s="75">
        <v>4.1666666666666519E-3</v>
      </c>
      <c r="X719" s="74">
        <v>0.71666666666666667</v>
      </c>
      <c r="Y719" s="75">
        <v>6.9444444444444198E-3</v>
      </c>
      <c r="Z719" s="76">
        <v>41754</v>
      </c>
      <c r="AA719" s="36" t="str">
        <f t="shared" si="232"/>
        <v>Nacional</v>
      </c>
      <c r="AB719" s="36">
        <f t="shared" si="232"/>
        <v>5.3140096618357708E-3</v>
      </c>
      <c r="AC719" s="36">
        <f t="shared" si="232"/>
        <v>2.7777777777777766E-2</v>
      </c>
      <c r="AD719" s="36">
        <f t="shared" si="232"/>
        <v>3.3091787439613538E-2</v>
      </c>
      <c r="AE719" s="36" t="str">
        <f t="shared" si="232"/>
        <v>ER4</v>
      </c>
      <c r="AF719" s="36">
        <f t="shared" si="232"/>
        <v>50</v>
      </c>
      <c r="AG719" s="36" t="str">
        <f t="shared" si="232"/>
        <v>MEX</v>
      </c>
      <c r="AI719">
        <v>705</v>
      </c>
      <c r="AJ719" s="77" t="str">
        <f t="shared" si="228"/>
        <v>MEXICO AEREO</v>
      </c>
      <c r="AK719" s="77">
        <f t="shared" si="228"/>
        <v>120</v>
      </c>
      <c r="AL719" s="78">
        <v>0.2638888888888889</v>
      </c>
      <c r="AM719" s="79">
        <v>0.27916666666666667</v>
      </c>
      <c r="AN719" s="80">
        <v>1.5277777777777779E-2</v>
      </c>
      <c r="AO719" s="79">
        <v>0.2951388888888889</v>
      </c>
      <c r="AP719" s="80">
        <v>1.5972222222222221E-2</v>
      </c>
      <c r="AQ719" s="81">
        <v>41807</v>
      </c>
      <c r="AR719" s="77" t="str">
        <f t="shared" si="233"/>
        <v>Nacional</v>
      </c>
      <c r="AS719" s="77">
        <f t="shared" si="233"/>
        <v>8.7436868686868608E-3</v>
      </c>
      <c r="AT719" s="77">
        <f t="shared" si="233"/>
        <v>9.8800505050505062E-3</v>
      </c>
      <c r="AU719" s="77">
        <f t="shared" si="233"/>
        <v>1.8623737373737369E-2</v>
      </c>
      <c r="AV719" s="77" t="str">
        <f t="shared" si="233"/>
        <v>E90</v>
      </c>
      <c r="AW719" s="77">
        <f t="shared" si="233"/>
        <v>99</v>
      </c>
      <c r="AX719" s="77" t="str">
        <f t="shared" si="233"/>
        <v>MEX</v>
      </c>
    </row>
    <row r="720" spans="1:50" ht="15.75" thickBot="1" x14ac:dyDescent="0.3">
      <c r="A720">
        <v>706</v>
      </c>
      <c r="B720" s="36" t="str">
        <f t="shared" si="236"/>
        <v>INTERAVIÓN</v>
      </c>
      <c r="C720" s="36">
        <f t="shared" si="236"/>
        <v>810</v>
      </c>
      <c r="D720" s="84">
        <v>0.61805555555555558</v>
      </c>
      <c r="E720" s="84">
        <v>0.62083333333333335</v>
      </c>
      <c r="F720" s="85">
        <v>2.7777777777777679E-3</v>
      </c>
      <c r="G720" s="84">
        <v>0.62777777777777777</v>
      </c>
      <c r="H720" s="85">
        <v>6.9444444444444198E-3</v>
      </c>
      <c r="I720" s="86">
        <v>41729</v>
      </c>
      <c r="J720" s="36" t="str">
        <f t="shared" si="238"/>
        <v>Nacional</v>
      </c>
      <c r="K720" s="36">
        <f t="shared" si="238"/>
        <v>4.629629629629632E-3</v>
      </c>
      <c r="L720" s="36">
        <f t="shared" si="238"/>
        <v>6.8287037037036979E-3</v>
      </c>
      <c r="M720" s="36">
        <f t="shared" si="238"/>
        <v>1.1458333333333331E-2</v>
      </c>
      <c r="N720" s="36">
        <f t="shared" si="238"/>
        <v>320</v>
      </c>
      <c r="O720" s="36">
        <f t="shared" si="238"/>
        <v>179</v>
      </c>
      <c r="P720" s="36" t="str">
        <f t="shared" si="238"/>
        <v>SJD</v>
      </c>
      <c r="R720">
        <v>706</v>
      </c>
      <c r="S720" s="36" t="str">
        <f t="shared" si="223"/>
        <v>MEXICO AEREO</v>
      </c>
      <c r="T720" s="36">
        <f t="shared" si="223"/>
        <v>214</v>
      </c>
      <c r="U720" s="73">
        <v>0.64374999999999993</v>
      </c>
      <c r="V720" s="74">
        <v>0.64930555555555558</v>
      </c>
      <c r="W720" s="75">
        <v>5.5555555555556468E-3</v>
      </c>
      <c r="X720" s="74">
        <v>0.65486111111111112</v>
      </c>
      <c r="Y720" s="75">
        <v>5.5555555555555358E-3</v>
      </c>
      <c r="Z720" s="76">
        <v>41756</v>
      </c>
      <c r="AA720" s="36" t="str">
        <f t="shared" si="232"/>
        <v>Nacional</v>
      </c>
      <c r="AB720" s="36">
        <f t="shared" si="232"/>
        <v>5.3140096618357708E-3</v>
      </c>
      <c r="AC720" s="36">
        <f t="shared" si="232"/>
        <v>2.7777777777777766E-2</v>
      </c>
      <c r="AD720" s="36">
        <f t="shared" si="232"/>
        <v>3.3091787439613538E-2</v>
      </c>
      <c r="AE720" s="36" t="str">
        <f t="shared" si="232"/>
        <v>ER4</v>
      </c>
      <c r="AF720" s="36">
        <f t="shared" si="232"/>
        <v>50</v>
      </c>
      <c r="AG720" s="36" t="str">
        <f t="shared" si="232"/>
        <v>MEX</v>
      </c>
      <c r="AI720">
        <v>706</v>
      </c>
      <c r="AJ720" s="77" t="str">
        <f t="shared" si="228"/>
        <v>MEXICO AEREO</v>
      </c>
      <c r="AK720" s="77">
        <f t="shared" si="228"/>
        <v>120</v>
      </c>
      <c r="AL720" s="78">
        <v>0.4284722222222222</v>
      </c>
      <c r="AM720" s="79">
        <v>0.4381944444444445</v>
      </c>
      <c r="AN720" s="80">
        <v>9.7222222222222987E-3</v>
      </c>
      <c r="AO720" s="79">
        <v>0.44444444444444442</v>
      </c>
      <c r="AP720" s="80">
        <v>6.2499999999999223E-3</v>
      </c>
      <c r="AQ720" s="81">
        <v>41808</v>
      </c>
      <c r="AR720" s="77" t="str">
        <f t="shared" si="233"/>
        <v>Nacional</v>
      </c>
      <c r="AS720" s="77">
        <f t="shared" si="233"/>
        <v>8.7436868686868608E-3</v>
      </c>
      <c r="AT720" s="77">
        <f t="shared" si="233"/>
        <v>9.8800505050505062E-3</v>
      </c>
      <c r="AU720" s="77">
        <f t="shared" si="233"/>
        <v>1.8623737373737369E-2</v>
      </c>
      <c r="AV720" s="77" t="str">
        <f t="shared" si="233"/>
        <v>E90</v>
      </c>
      <c r="AW720" s="77">
        <f t="shared" si="233"/>
        <v>99</v>
      </c>
      <c r="AX720" s="77" t="str">
        <f t="shared" si="233"/>
        <v>MEX</v>
      </c>
    </row>
    <row r="721" spans="1:50" x14ac:dyDescent="0.25">
      <c r="A721">
        <v>707</v>
      </c>
      <c r="B721" s="36" t="str">
        <f t="shared" si="236"/>
        <v>INTERAVIÓN</v>
      </c>
      <c r="C721" s="88">
        <v>808</v>
      </c>
      <c r="D721" s="57">
        <v>0.7006944444444444</v>
      </c>
      <c r="E721" s="57">
        <v>0.70694444444444438</v>
      </c>
      <c r="F721" s="58">
        <v>6.2499999999999778E-3</v>
      </c>
      <c r="G721" s="57">
        <v>0.71805555555555556</v>
      </c>
      <c r="H721" s="58">
        <v>1.1111111111111183E-2</v>
      </c>
      <c r="I721" s="59">
        <v>41715</v>
      </c>
      <c r="J721" s="108" t="s">
        <v>19</v>
      </c>
      <c r="K721" s="61">
        <v>5.9413580246913365E-3</v>
      </c>
      <c r="L721" s="61">
        <v>7.2530864197530975E-3</v>
      </c>
      <c r="M721" s="89">
        <v>1.3194444444444434E-2</v>
      </c>
      <c r="N721" s="90">
        <v>320</v>
      </c>
      <c r="O721" s="91">
        <v>179</v>
      </c>
      <c r="P721" s="92" t="s">
        <v>66</v>
      </c>
      <c r="R721">
        <v>707</v>
      </c>
      <c r="S721" s="36" t="str">
        <f t="shared" si="223"/>
        <v>MEXICO AEREO</v>
      </c>
      <c r="T721" s="36">
        <f t="shared" si="223"/>
        <v>214</v>
      </c>
      <c r="U721" s="73">
        <v>0.63750000000000007</v>
      </c>
      <c r="V721" s="74">
        <v>0.64027777777777783</v>
      </c>
      <c r="W721" s="75">
        <v>2.7777777777777679E-3</v>
      </c>
      <c r="X721" s="74">
        <v>0.65138888888888891</v>
      </c>
      <c r="Y721" s="75">
        <v>1.1111111111111072E-2</v>
      </c>
      <c r="Z721" s="76">
        <v>41757</v>
      </c>
      <c r="AA721" s="36" t="str">
        <f t="shared" si="232"/>
        <v>Nacional</v>
      </c>
      <c r="AB721" s="36">
        <f t="shared" si="232"/>
        <v>5.3140096618357708E-3</v>
      </c>
      <c r="AC721" s="36">
        <f t="shared" si="232"/>
        <v>2.7777777777777766E-2</v>
      </c>
      <c r="AD721" s="36">
        <f t="shared" si="232"/>
        <v>3.3091787439613538E-2</v>
      </c>
      <c r="AE721" s="36" t="str">
        <f t="shared" si="232"/>
        <v>ER4</v>
      </c>
      <c r="AF721" s="36">
        <f t="shared" si="232"/>
        <v>50</v>
      </c>
      <c r="AG721" s="36" t="str">
        <f t="shared" si="232"/>
        <v>MEX</v>
      </c>
      <c r="AI721">
        <v>707</v>
      </c>
      <c r="AJ721" s="77" t="str">
        <f t="shared" si="228"/>
        <v>MEXICO AEREO</v>
      </c>
      <c r="AK721" s="77">
        <f t="shared" si="228"/>
        <v>120</v>
      </c>
      <c r="AL721" s="78">
        <v>0.43055555555555558</v>
      </c>
      <c r="AM721" s="79">
        <v>0.43194444444444446</v>
      </c>
      <c r="AN721" s="80">
        <v>1.388888888888884E-3</v>
      </c>
      <c r="AO721" s="79">
        <v>0.43611111111111112</v>
      </c>
      <c r="AP721" s="80">
        <v>4.1666666666666519E-3</v>
      </c>
      <c r="AQ721" s="81">
        <v>41809</v>
      </c>
      <c r="AR721" s="77" t="str">
        <f t="shared" si="233"/>
        <v>Nacional</v>
      </c>
      <c r="AS721" s="77">
        <f t="shared" si="233"/>
        <v>8.7436868686868608E-3</v>
      </c>
      <c r="AT721" s="77">
        <f t="shared" si="233"/>
        <v>9.8800505050505062E-3</v>
      </c>
      <c r="AU721" s="77">
        <f t="shared" si="233"/>
        <v>1.8623737373737369E-2</v>
      </c>
      <c r="AV721" s="77" t="str">
        <f t="shared" si="233"/>
        <v>E90</v>
      </c>
      <c r="AW721" s="77">
        <f t="shared" si="233"/>
        <v>99</v>
      </c>
      <c r="AX721" s="77" t="str">
        <f t="shared" si="233"/>
        <v>MEX</v>
      </c>
    </row>
    <row r="722" spans="1:50" x14ac:dyDescent="0.25">
      <c r="A722">
        <v>708</v>
      </c>
      <c r="B722" s="36" t="str">
        <f t="shared" si="236"/>
        <v>INTERAVIÓN</v>
      </c>
      <c r="C722" s="36">
        <f t="shared" si="236"/>
        <v>808</v>
      </c>
      <c r="D722" s="74">
        <v>0.70763888888888893</v>
      </c>
      <c r="E722" s="74">
        <v>0.71388888888888891</v>
      </c>
      <c r="F722" s="75">
        <v>6.2499999999999778E-3</v>
      </c>
      <c r="G722" s="74">
        <v>0.72083333333333333</v>
      </c>
      <c r="H722" s="75">
        <v>6.9444444444444198E-3</v>
      </c>
      <c r="I722" s="76">
        <v>41716</v>
      </c>
      <c r="J722" s="36" t="str">
        <f t="shared" ref="J722:P729" si="239">J721</f>
        <v>Nacional</v>
      </c>
      <c r="K722" s="36">
        <f t="shared" si="239"/>
        <v>5.9413580246913365E-3</v>
      </c>
      <c r="L722" s="36">
        <f t="shared" si="239"/>
        <v>7.2530864197530975E-3</v>
      </c>
      <c r="M722" s="36">
        <f t="shared" si="239"/>
        <v>1.3194444444444434E-2</v>
      </c>
      <c r="N722" s="36">
        <f t="shared" si="239"/>
        <v>320</v>
      </c>
      <c r="O722" s="36">
        <f t="shared" si="239"/>
        <v>179</v>
      </c>
      <c r="P722" s="36" t="str">
        <f t="shared" si="239"/>
        <v>SJD</v>
      </c>
      <c r="R722">
        <v>708</v>
      </c>
      <c r="S722" s="36" t="str">
        <f t="shared" si="223"/>
        <v>MEXICO AEREO</v>
      </c>
      <c r="T722" s="36">
        <f t="shared" si="223"/>
        <v>214</v>
      </c>
      <c r="U722" s="73">
        <v>0.63611111111111118</v>
      </c>
      <c r="V722" s="74">
        <v>0.64097222222222217</v>
      </c>
      <c r="W722" s="75">
        <v>4.8611111111109828E-3</v>
      </c>
      <c r="X722" s="74">
        <v>0.64861111111111114</v>
      </c>
      <c r="Y722" s="75">
        <v>7.6388888888889728E-3</v>
      </c>
      <c r="Z722" s="76">
        <v>41758</v>
      </c>
      <c r="AA722" s="36" t="str">
        <f t="shared" si="232"/>
        <v>Nacional</v>
      </c>
      <c r="AB722" s="36">
        <f t="shared" si="232"/>
        <v>5.3140096618357708E-3</v>
      </c>
      <c r="AC722" s="36">
        <f t="shared" si="232"/>
        <v>2.7777777777777766E-2</v>
      </c>
      <c r="AD722" s="36">
        <f t="shared" si="232"/>
        <v>3.3091787439613538E-2</v>
      </c>
      <c r="AE722" s="36" t="str">
        <f t="shared" si="232"/>
        <v>ER4</v>
      </c>
      <c r="AF722" s="36">
        <f t="shared" si="232"/>
        <v>50</v>
      </c>
      <c r="AG722" s="36" t="str">
        <f t="shared" si="232"/>
        <v>MEX</v>
      </c>
      <c r="AI722">
        <v>708</v>
      </c>
      <c r="AJ722" s="77" t="str">
        <f t="shared" si="228"/>
        <v>MEXICO AEREO</v>
      </c>
      <c r="AK722" s="77">
        <f t="shared" si="228"/>
        <v>120</v>
      </c>
      <c r="AL722" s="78">
        <v>0.42083333333333334</v>
      </c>
      <c r="AM722" s="79">
        <v>0.42499999999999999</v>
      </c>
      <c r="AN722" s="80">
        <v>4.1666666666666519E-3</v>
      </c>
      <c r="AO722" s="79">
        <v>0.43194444444444446</v>
      </c>
      <c r="AP722" s="80">
        <v>6.9444444444444753E-3</v>
      </c>
      <c r="AQ722" s="81">
        <v>41810</v>
      </c>
      <c r="AR722" s="77" t="str">
        <f t="shared" si="233"/>
        <v>Nacional</v>
      </c>
      <c r="AS722" s="77">
        <f t="shared" si="233"/>
        <v>8.7436868686868608E-3</v>
      </c>
      <c r="AT722" s="77">
        <f t="shared" si="233"/>
        <v>9.8800505050505062E-3</v>
      </c>
      <c r="AU722" s="77">
        <f t="shared" si="233"/>
        <v>1.8623737373737369E-2</v>
      </c>
      <c r="AV722" s="77" t="str">
        <f t="shared" si="233"/>
        <v>E90</v>
      </c>
      <c r="AW722" s="77">
        <f t="shared" si="233"/>
        <v>99</v>
      </c>
      <c r="AX722" s="77" t="str">
        <f t="shared" si="233"/>
        <v>MEX</v>
      </c>
    </row>
    <row r="723" spans="1:50" x14ac:dyDescent="0.25">
      <c r="A723">
        <v>709</v>
      </c>
      <c r="B723" s="36" t="str">
        <f t="shared" si="236"/>
        <v>INTERAVIÓN</v>
      </c>
      <c r="C723" s="36">
        <f t="shared" si="236"/>
        <v>808</v>
      </c>
      <c r="D723" s="74">
        <v>0.70763888888888893</v>
      </c>
      <c r="E723" s="74">
        <v>0.71180555555555547</v>
      </c>
      <c r="F723" s="75">
        <v>4.1666666666665408E-3</v>
      </c>
      <c r="G723" s="74">
        <v>0.71875</v>
      </c>
      <c r="H723" s="75">
        <v>6.9444444444445308E-3</v>
      </c>
      <c r="I723" s="76">
        <v>41717</v>
      </c>
      <c r="J723" s="36" t="str">
        <f t="shared" si="239"/>
        <v>Nacional</v>
      </c>
      <c r="K723" s="36">
        <f t="shared" si="239"/>
        <v>5.9413580246913365E-3</v>
      </c>
      <c r="L723" s="36">
        <f t="shared" si="239"/>
        <v>7.2530864197530975E-3</v>
      </c>
      <c r="M723" s="36">
        <f t="shared" si="239"/>
        <v>1.3194444444444434E-2</v>
      </c>
      <c r="N723" s="36">
        <f t="shared" si="239"/>
        <v>320</v>
      </c>
      <c r="O723" s="36">
        <f t="shared" si="239"/>
        <v>179</v>
      </c>
      <c r="P723" s="36" t="str">
        <f t="shared" si="239"/>
        <v>SJD</v>
      </c>
      <c r="R723">
        <v>709</v>
      </c>
      <c r="S723" s="36" t="str">
        <f t="shared" si="223"/>
        <v>MEXICO AEREO</v>
      </c>
      <c r="T723" s="36">
        <f t="shared" si="223"/>
        <v>214</v>
      </c>
      <c r="U723" s="73">
        <v>0.63541666666666663</v>
      </c>
      <c r="V723" s="74">
        <v>0.64583333333333337</v>
      </c>
      <c r="W723" s="75">
        <v>1.0416666666666741E-2</v>
      </c>
      <c r="X723" s="74">
        <v>0.65208333333333335</v>
      </c>
      <c r="Y723" s="75">
        <v>6.2499999999999778E-3</v>
      </c>
      <c r="Z723" s="76">
        <v>41759</v>
      </c>
      <c r="AA723" s="36" t="str">
        <f t="shared" si="232"/>
        <v>Nacional</v>
      </c>
      <c r="AB723" s="36">
        <f t="shared" si="232"/>
        <v>5.3140096618357708E-3</v>
      </c>
      <c r="AC723" s="36">
        <f t="shared" si="232"/>
        <v>2.7777777777777766E-2</v>
      </c>
      <c r="AD723" s="36">
        <f t="shared" si="232"/>
        <v>3.3091787439613538E-2</v>
      </c>
      <c r="AE723" s="36" t="str">
        <f t="shared" si="232"/>
        <v>ER4</v>
      </c>
      <c r="AF723" s="36">
        <f t="shared" si="232"/>
        <v>50</v>
      </c>
      <c r="AG723" s="36" t="str">
        <f t="shared" si="232"/>
        <v>MEX</v>
      </c>
      <c r="AI723">
        <v>709</v>
      </c>
      <c r="AJ723" s="77" t="str">
        <f t="shared" si="228"/>
        <v>MEXICO AEREO</v>
      </c>
      <c r="AK723" s="77">
        <f t="shared" si="228"/>
        <v>120</v>
      </c>
      <c r="AL723" s="78">
        <v>0.42569444444444443</v>
      </c>
      <c r="AM723" s="79">
        <v>0.43402777777777773</v>
      </c>
      <c r="AN723" s="80">
        <v>8.3333333333333037E-3</v>
      </c>
      <c r="AO723" s="79">
        <v>0.43888888888888888</v>
      </c>
      <c r="AP723" s="80">
        <v>4.8611111111111494E-3</v>
      </c>
      <c r="AQ723" s="81">
        <v>41811</v>
      </c>
      <c r="AR723" s="77" t="str">
        <f t="shared" si="233"/>
        <v>Nacional</v>
      </c>
      <c r="AS723" s="77">
        <f t="shared" si="233"/>
        <v>8.7436868686868608E-3</v>
      </c>
      <c r="AT723" s="77">
        <f t="shared" si="233"/>
        <v>9.8800505050505062E-3</v>
      </c>
      <c r="AU723" s="77">
        <f t="shared" si="233"/>
        <v>1.8623737373737369E-2</v>
      </c>
      <c r="AV723" s="77" t="str">
        <f t="shared" si="233"/>
        <v>E90</v>
      </c>
      <c r="AW723" s="77">
        <f t="shared" si="233"/>
        <v>99</v>
      </c>
      <c r="AX723" s="77" t="str">
        <f t="shared" si="233"/>
        <v>MEX</v>
      </c>
    </row>
    <row r="724" spans="1:50" ht="15.75" thickBot="1" x14ac:dyDescent="0.3">
      <c r="A724">
        <v>710</v>
      </c>
      <c r="B724" s="36" t="str">
        <f t="shared" si="236"/>
        <v>INTERAVIÓN</v>
      </c>
      <c r="C724" s="36">
        <f t="shared" si="236"/>
        <v>808</v>
      </c>
      <c r="D724" s="74">
        <v>0.72986111111111107</v>
      </c>
      <c r="E724" s="74">
        <v>0.73472222222222217</v>
      </c>
      <c r="F724" s="75">
        <v>4.8611111111110938E-3</v>
      </c>
      <c r="G724" s="74">
        <v>0.74236111111111114</v>
      </c>
      <c r="H724" s="75">
        <v>7.6388888888889728E-3</v>
      </c>
      <c r="I724" s="76">
        <v>41718</v>
      </c>
      <c r="J724" s="36" t="str">
        <f t="shared" si="239"/>
        <v>Nacional</v>
      </c>
      <c r="K724" s="36">
        <f t="shared" si="239"/>
        <v>5.9413580246913365E-3</v>
      </c>
      <c r="L724" s="36">
        <f t="shared" si="239"/>
        <v>7.2530864197530975E-3</v>
      </c>
      <c r="M724" s="36">
        <f t="shared" si="239"/>
        <v>1.3194444444444434E-2</v>
      </c>
      <c r="N724" s="36">
        <f t="shared" si="239"/>
        <v>320</v>
      </c>
      <c r="O724" s="36">
        <f t="shared" si="239"/>
        <v>179</v>
      </c>
      <c r="P724" s="36" t="str">
        <f t="shared" si="239"/>
        <v>SJD</v>
      </c>
      <c r="R724">
        <v>710</v>
      </c>
      <c r="S724" s="36" t="str">
        <f t="shared" si="223"/>
        <v>MEXICO AEREO</v>
      </c>
      <c r="T724" s="36">
        <f t="shared" si="223"/>
        <v>214</v>
      </c>
      <c r="U724" s="83">
        <v>0.84791666666666676</v>
      </c>
      <c r="V724" s="84">
        <v>0.84861111111111109</v>
      </c>
      <c r="W724" s="85">
        <v>6.9444444444433095E-4</v>
      </c>
      <c r="X724" s="84">
        <v>0.86458333333333337</v>
      </c>
      <c r="Y724" s="85">
        <v>1.5972222222222276E-2</v>
      </c>
      <c r="Z724" s="86">
        <v>41734</v>
      </c>
      <c r="AA724" s="36" t="str">
        <f t="shared" si="232"/>
        <v>Nacional</v>
      </c>
      <c r="AB724" s="36">
        <f t="shared" si="232"/>
        <v>5.3140096618357708E-3</v>
      </c>
      <c r="AC724" s="36">
        <f t="shared" si="232"/>
        <v>2.7777777777777766E-2</v>
      </c>
      <c r="AD724" s="36">
        <f t="shared" si="232"/>
        <v>3.3091787439613538E-2</v>
      </c>
      <c r="AE724" s="36" t="str">
        <f t="shared" si="232"/>
        <v>ER4</v>
      </c>
      <c r="AF724" s="36">
        <f t="shared" si="232"/>
        <v>50</v>
      </c>
      <c r="AG724" s="36" t="str">
        <f t="shared" si="232"/>
        <v>MEX</v>
      </c>
      <c r="AI724">
        <v>710</v>
      </c>
      <c r="AJ724" s="77" t="str">
        <f t="shared" si="228"/>
        <v>MEXICO AEREO</v>
      </c>
      <c r="AK724" s="77">
        <f t="shared" si="228"/>
        <v>120</v>
      </c>
      <c r="AL724" s="78">
        <v>0.43402777777777773</v>
      </c>
      <c r="AM724" s="79">
        <v>0.4375</v>
      </c>
      <c r="AN724" s="80">
        <v>3.4722222222222654E-3</v>
      </c>
      <c r="AO724" s="79">
        <v>0.44930555555555557</v>
      </c>
      <c r="AP724" s="80">
        <v>1.1805555555555569E-2</v>
      </c>
      <c r="AQ724" s="81">
        <v>41813</v>
      </c>
      <c r="AR724" s="77" t="str">
        <f t="shared" si="233"/>
        <v>Nacional</v>
      </c>
      <c r="AS724" s="77">
        <f t="shared" si="233"/>
        <v>8.7436868686868608E-3</v>
      </c>
      <c r="AT724" s="77">
        <f t="shared" si="233"/>
        <v>9.8800505050505062E-3</v>
      </c>
      <c r="AU724" s="77">
        <f t="shared" si="233"/>
        <v>1.8623737373737369E-2</v>
      </c>
      <c r="AV724" s="77" t="str">
        <f t="shared" si="233"/>
        <v>E90</v>
      </c>
      <c r="AW724" s="77">
        <f t="shared" si="233"/>
        <v>99</v>
      </c>
      <c r="AX724" s="77" t="str">
        <f t="shared" si="233"/>
        <v>MEX</v>
      </c>
    </row>
    <row r="725" spans="1:50" ht="15.75" thickBot="1" x14ac:dyDescent="0.3">
      <c r="A725">
        <v>711</v>
      </c>
      <c r="B725" s="36" t="str">
        <f t="shared" si="236"/>
        <v>INTERAVIÓN</v>
      </c>
      <c r="C725" s="36">
        <f t="shared" si="236"/>
        <v>808</v>
      </c>
      <c r="D725" s="74">
        <v>0.70763888888888893</v>
      </c>
      <c r="E725" s="74">
        <v>0.71388888888888891</v>
      </c>
      <c r="F725" s="75">
        <v>6.2499999999999778E-3</v>
      </c>
      <c r="G725" s="74">
        <v>0.72013888888888899</v>
      </c>
      <c r="H725" s="75">
        <v>6.2500000000000888E-3</v>
      </c>
      <c r="I725" s="76">
        <v>41721</v>
      </c>
      <c r="J725" s="36" t="str">
        <f t="shared" si="239"/>
        <v>Nacional</v>
      </c>
      <c r="K725" s="36">
        <f t="shared" si="239"/>
        <v>5.9413580246913365E-3</v>
      </c>
      <c r="L725" s="36">
        <f t="shared" si="239"/>
        <v>7.2530864197530975E-3</v>
      </c>
      <c r="M725" s="36">
        <f t="shared" si="239"/>
        <v>1.3194444444444434E-2</v>
      </c>
      <c r="N725" s="36">
        <f t="shared" si="239"/>
        <v>320</v>
      </c>
      <c r="O725" s="36">
        <f t="shared" si="239"/>
        <v>179</v>
      </c>
      <c r="P725" s="36" t="str">
        <f t="shared" si="239"/>
        <v>SJD</v>
      </c>
      <c r="R725">
        <v>711</v>
      </c>
      <c r="S725" s="36" t="str">
        <f t="shared" si="223"/>
        <v>MEXICO AEREO</v>
      </c>
      <c r="T725" s="55">
        <v>186</v>
      </c>
      <c r="U725" s="56">
        <v>0.97222222222222221</v>
      </c>
      <c r="V725" s="57">
        <v>0.97499999999999998</v>
      </c>
      <c r="W725" s="58">
        <v>2.7777777777777679E-3</v>
      </c>
      <c r="X725" s="57">
        <v>0.9784722222222223</v>
      </c>
      <c r="Y725" s="58">
        <v>3.4722222222223209E-3</v>
      </c>
      <c r="Z725" s="59">
        <v>41730</v>
      </c>
      <c r="AA725" s="60" t="s">
        <v>19</v>
      </c>
      <c r="AB725" s="61">
        <v>5.9523809523809434E-3</v>
      </c>
      <c r="AC725" s="61">
        <v>7.4404761904761901E-3</v>
      </c>
      <c r="AD725" s="62">
        <v>1.3392857142857133E-2</v>
      </c>
      <c r="AE725" s="167" t="s">
        <v>45</v>
      </c>
      <c r="AF725" s="167">
        <v>126</v>
      </c>
      <c r="AG725" s="168" t="s">
        <v>21</v>
      </c>
      <c r="AI725">
        <v>711</v>
      </c>
      <c r="AJ725" s="77" t="str">
        <f t="shared" si="228"/>
        <v>MEXICO AEREO</v>
      </c>
      <c r="AK725" s="77">
        <f t="shared" si="228"/>
        <v>120</v>
      </c>
      <c r="AL725" s="161">
        <v>0.43194444444444446</v>
      </c>
      <c r="AM725" s="162">
        <v>0.4375</v>
      </c>
      <c r="AN725" s="163">
        <v>5.5555555555555358E-3</v>
      </c>
      <c r="AO725" s="162">
        <v>0.4465277777777778</v>
      </c>
      <c r="AP725" s="163">
        <v>9.0277777777778012E-3</v>
      </c>
      <c r="AQ725" s="164">
        <v>41812</v>
      </c>
      <c r="AR725" s="77" t="str">
        <f t="shared" si="233"/>
        <v>Nacional</v>
      </c>
      <c r="AS725" s="77">
        <f t="shared" si="233"/>
        <v>8.7436868686868608E-3</v>
      </c>
      <c r="AT725" s="77">
        <f t="shared" si="233"/>
        <v>9.8800505050505062E-3</v>
      </c>
      <c r="AU725" s="77">
        <f t="shared" si="233"/>
        <v>1.8623737373737369E-2</v>
      </c>
      <c r="AV725" s="77" t="str">
        <f t="shared" si="233"/>
        <v>E90</v>
      </c>
      <c r="AW725" s="77">
        <f t="shared" si="233"/>
        <v>99</v>
      </c>
      <c r="AX725" s="77" t="str">
        <f t="shared" si="233"/>
        <v>MEX</v>
      </c>
    </row>
    <row r="726" spans="1:50" x14ac:dyDescent="0.25">
      <c r="A726">
        <v>712</v>
      </c>
      <c r="B726" s="36" t="str">
        <f t="shared" si="236"/>
        <v>INTERAVIÓN</v>
      </c>
      <c r="C726" s="36">
        <f t="shared" si="236"/>
        <v>808</v>
      </c>
      <c r="D726" s="74">
        <v>0.69513888888888886</v>
      </c>
      <c r="E726" s="74">
        <v>0.70486111111111116</v>
      </c>
      <c r="F726" s="75">
        <v>9.7222222222222987E-3</v>
      </c>
      <c r="G726" s="74">
        <v>0.7090277777777777</v>
      </c>
      <c r="H726" s="75">
        <v>4.1666666666665408E-3</v>
      </c>
      <c r="I726" s="76">
        <v>41725</v>
      </c>
      <c r="J726" s="36" t="str">
        <f t="shared" si="239"/>
        <v>Nacional</v>
      </c>
      <c r="K726" s="36">
        <f t="shared" si="239"/>
        <v>5.9413580246913365E-3</v>
      </c>
      <c r="L726" s="36">
        <f t="shared" si="239"/>
        <v>7.2530864197530975E-3</v>
      </c>
      <c r="M726" s="36">
        <f t="shared" si="239"/>
        <v>1.3194444444444434E-2</v>
      </c>
      <c r="N726" s="36">
        <f t="shared" si="239"/>
        <v>320</v>
      </c>
      <c r="O726" s="36">
        <f t="shared" si="239"/>
        <v>179</v>
      </c>
      <c r="P726" s="36" t="str">
        <f t="shared" si="239"/>
        <v>SJD</v>
      </c>
      <c r="R726">
        <v>712</v>
      </c>
      <c r="S726" s="36" t="str">
        <f t="shared" si="223"/>
        <v>MEXICO AEREO</v>
      </c>
      <c r="T726" s="36">
        <f t="shared" si="223"/>
        <v>186</v>
      </c>
      <c r="U726" s="73">
        <v>0.95416666666666661</v>
      </c>
      <c r="V726" s="74">
        <v>0.9604166666666667</v>
      </c>
      <c r="W726" s="75">
        <v>6.2500000000000888E-3</v>
      </c>
      <c r="X726" s="74">
        <v>0.96388888888888891</v>
      </c>
      <c r="Y726" s="75">
        <v>3.4722222222222099E-3</v>
      </c>
      <c r="Z726" s="76">
        <v>41731</v>
      </c>
      <c r="AA726" s="36" t="str">
        <f t="shared" ref="AA726:AG745" si="240">AA725</f>
        <v>Nacional</v>
      </c>
      <c r="AB726" s="36">
        <f t="shared" si="240"/>
        <v>5.9523809523809434E-3</v>
      </c>
      <c r="AC726" s="36">
        <f t="shared" si="240"/>
        <v>7.4404761904761901E-3</v>
      </c>
      <c r="AD726" s="36">
        <f t="shared" si="240"/>
        <v>1.3392857142857133E-2</v>
      </c>
      <c r="AE726" s="36" t="str">
        <f t="shared" si="240"/>
        <v>B737-700</v>
      </c>
      <c r="AF726" s="36">
        <f t="shared" si="240"/>
        <v>126</v>
      </c>
      <c r="AG726" s="36" t="str">
        <f t="shared" si="240"/>
        <v>MEX</v>
      </c>
      <c r="AI726">
        <v>712</v>
      </c>
      <c r="AJ726" s="77" t="str">
        <f t="shared" si="228"/>
        <v>MEXICO AEREO</v>
      </c>
      <c r="AK726" s="63">
        <v>108</v>
      </c>
      <c r="AL726" s="64">
        <v>0.51666666666666672</v>
      </c>
      <c r="AM726" s="65">
        <v>0.52013888888888882</v>
      </c>
      <c r="AN726" s="66">
        <v>3.4722222222220989E-3</v>
      </c>
      <c r="AO726" s="65">
        <v>0.52777777777777779</v>
      </c>
      <c r="AP726" s="66">
        <v>7.6388888888889728E-3</v>
      </c>
      <c r="AQ726" s="67">
        <v>41791</v>
      </c>
      <c r="AR726" s="68" t="s">
        <v>19</v>
      </c>
      <c r="AS726" s="69">
        <v>7.9365079365079222E-3</v>
      </c>
      <c r="AT726" s="70">
        <v>9.5899470899471016E-3</v>
      </c>
      <c r="AU726" s="70">
        <v>1.7526455026455022E-2</v>
      </c>
      <c r="AV726" s="71" t="s">
        <v>50</v>
      </c>
      <c r="AW726" s="71">
        <v>99</v>
      </c>
      <c r="AX726" s="72" t="s">
        <v>21</v>
      </c>
    </row>
    <row r="727" spans="1:50" x14ac:dyDescent="0.25">
      <c r="A727">
        <v>713</v>
      </c>
      <c r="B727" s="36" t="str">
        <f t="shared" si="236"/>
        <v>INTERAVIÓN</v>
      </c>
      <c r="C727" s="36">
        <f t="shared" si="236"/>
        <v>808</v>
      </c>
      <c r="D727" s="74">
        <v>0.70624999999999993</v>
      </c>
      <c r="E727" s="74">
        <v>0.71250000000000002</v>
      </c>
      <c r="F727" s="75">
        <v>6.2500000000000888E-3</v>
      </c>
      <c r="G727" s="74">
        <v>0.71875</v>
      </c>
      <c r="H727" s="75">
        <v>6.2499999999999778E-3</v>
      </c>
      <c r="I727" s="76">
        <v>41726</v>
      </c>
      <c r="J727" s="36" t="str">
        <f t="shared" si="239"/>
        <v>Nacional</v>
      </c>
      <c r="K727" s="36">
        <f t="shared" si="239"/>
        <v>5.9413580246913365E-3</v>
      </c>
      <c r="L727" s="36">
        <f t="shared" si="239"/>
        <v>7.2530864197530975E-3</v>
      </c>
      <c r="M727" s="36">
        <f t="shared" si="239"/>
        <v>1.3194444444444434E-2</v>
      </c>
      <c r="N727" s="36">
        <f t="shared" si="239"/>
        <v>320</v>
      </c>
      <c r="O727" s="36">
        <f t="shared" si="239"/>
        <v>179</v>
      </c>
      <c r="P727" s="36" t="str">
        <f t="shared" si="239"/>
        <v>SJD</v>
      </c>
      <c r="R727">
        <v>713</v>
      </c>
      <c r="S727" s="36" t="str">
        <f t="shared" si="223"/>
        <v>MEXICO AEREO</v>
      </c>
      <c r="T727" s="36">
        <f t="shared" si="223"/>
        <v>186</v>
      </c>
      <c r="U727" s="73">
        <v>4.1666666666666666E-3</v>
      </c>
      <c r="V727" s="74">
        <v>1.1805555555555555E-2</v>
      </c>
      <c r="W727" s="75">
        <v>7.6388888888888886E-3</v>
      </c>
      <c r="X727" s="74">
        <v>1.5972222222222224E-2</v>
      </c>
      <c r="Y727" s="75">
        <v>4.1666666666666692E-3</v>
      </c>
      <c r="Z727" s="76">
        <v>41732</v>
      </c>
      <c r="AA727" s="36" t="str">
        <f t="shared" si="240"/>
        <v>Nacional</v>
      </c>
      <c r="AB727" s="36">
        <f t="shared" si="240"/>
        <v>5.9523809523809434E-3</v>
      </c>
      <c r="AC727" s="36">
        <f t="shared" si="240"/>
        <v>7.4404761904761901E-3</v>
      </c>
      <c r="AD727" s="36">
        <f t="shared" si="240"/>
        <v>1.3392857142857133E-2</v>
      </c>
      <c r="AE727" s="36" t="str">
        <f t="shared" si="240"/>
        <v>B737-700</v>
      </c>
      <c r="AF727" s="36">
        <f t="shared" si="240"/>
        <v>126</v>
      </c>
      <c r="AG727" s="36" t="str">
        <f t="shared" si="240"/>
        <v>MEX</v>
      </c>
      <c r="AI727">
        <v>713</v>
      </c>
      <c r="AJ727" s="77" t="str">
        <f t="shared" si="228"/>
        <v>MEXICO AEREO</v>
      </c>
      <c r="AK727" s="77">
        <f t="shared" si="228"/>
        <v>108</v>
      </c>
      <c r="AL727" s="78">
        <v>0.50972222222222219</v>
      </c>
      <c r="AM727" s="79">
        <v>0.51180555555555551</v>
      </c>
      <c r="AN727" s="80">
        <v>2.0833333333333259E-3</v>
      </c>
      <c r="AO727" s="79">
        <v>0.51597222222222217</v>
      </c>
      <c r="AP727" s="80">
        <v>4.1666666666666519E-3</v>
      </c>
      <c r="AQ727" s="81">
        <v>41792</v>
      </c>
      <c r="AR727" s="77" t="str">
        <f t="shared" ref="AR727:AX746" si="241">AR726</f>
        <v>Nacional</v>
      </c>
      <c r="AS727" s="77">
        <f t="shared" si="241"/>
        <v>7.9365079365079222E-3</v>
      </c>
      <c r="AT727" s="77">
        <f t="shared" si="241"/>
        <v>9.5899470899471016E-3</v>
      </c>
      <c r="AU727" s="77">
        <f t="shared" si="241"/>
        <v>1.7526455026455022E-2</v>
      </c>
      <c r="AV727" s="77" t="str">
        <f t="shared" si="241"/>
        <v>E90</v>
      </c>
      <c r="AW727" s="77">
        <f t="shared" si="241"/>
        <v>99</v>
      </c>
      <c r="AX727" s="77" t="str">
        <f t="shared" si="241"/>
        <v>MEX</v>
      </c>
    </row>
    <row r="728" spans="1:50" x14ac:dyDescent="0.25">
      <c r="A728">
        <v>714</v>
      </c>
      <c r="B728" s="36" t="str">
        <f t="shared" si="236"/>
        <v>INTERAVIÓN</v>
      </c>
      <c r="C728" s="36">
        <f t="shared" si="236"/>
        <v>808</v>
      </c>
      <c r="D728" s="74">
        <v>0.70208333333333339</v>
      </c>
      <c r="E728" s="74">
        <v>0.70833333333333337</v>
      </c>
      <c r="F728" s="75">
        <v>6.2499999999999778E-3</v>
      </c>
      <c r="G728" s="74">
        <v>0.71736111111111101</v>
      </c>
      <c r="H728" s="75">
        <v>9.0277777777776347E-3</v>
      </c>
      <c r="I728" s="76">
        <v>41727</v>
      </c>
      <c r="J728" s="36" t="str">
        <f t="shared" si="239"/>
        <v>Nacional</v>
      </c>
      <c r="K728" s="36">
        <f t="shared" si="239"/>
        <v>5.9413580246913365E-3</v>
      </c>
      <c r="L728" s="36">
        <f t="shared" si="239"/>
        <v>7.2530864197530975E-3</v>
      </c>
      <c r="M728" s="36">
        <f t="shared" si="239"/>
        <v>1.3194444444444434E-2</v>
      </c>
      <c r="N728" s="36">
        <f t="shared" si="239"/>
        <v>320</v>
      </c>
      <c r="O728" s="36">
        <f t="shared" si="239"/>
        <v>179</v>
      </c>
      <c r="P728" s="36" t="str">
        <f t="shared" si="239"/>
        <v>SJD</v>
      </c>
      <c r="R728">
        <v>714</v>
      </c>
      <c r="S728" s="36" t="str">
        <f t="shared" si="223"/>
        <v>MEXICO AEREO</v>
      </c>
      <c r="T728" s="36">
        <f t="shared" si="223"/>
        <v>186</v>
      </c>
      <c r="U728" s="73">
        <v>0.9916666666666667</v>
      </c>
      <c r="V728" s="74">
        <v>0.99930555555555556</v>
      </c>
      <c r="W728" s="75">
        <v>7.6388888888888618E-3</v>
      </c>
      <c r="X728" s="74">
        <v>1.0111111111111111</v>
      </c>
      <c r="Y728" s="75">
        <v>1.1805555555555514E-2</v>
      </c>
      <c r="Z728" s="76">
        <v>41734</v>
      </c>
      <c r="AA728" s="36" t="str">
        <f t="shared" si="240"/>
        <v>Nacional</v>
      </c>
      <c r="AB728" s="36">
        <f t="shared" si="240"/>
        <v>5.9523809523809434E-3</v>
      </c>
      <c r="AC728" s="36">
        <f t="shared" si="240"/>
        <v>7.4404761904761901E-3</v>
      </c>
      <c r="AD728" s="36">
        <f t="shared" si="240"/>
        <v>1.3392857142857133E-2</v>
      </c>
      <c r="AE728" s="36" t="str">
        <f t="shared" si="240"/>
        <v>B737-700</v>
      </c>
      <c r="AF728" s="36">
        <f t="shared" si="240"/>
        <v>126</v>
      </c>
      <c r="AG728" s="36" t="str">
        <f t="shared" si="240"/>
        <v>MEX</v>
      </c>
      <c r="AI728">
        <v>714</v>
      </c>
      <c r="AJ728" s="77" t="str">
        <f t="shared" si="228"/>
        <v>MEXICO AEREO</v>
      </c>
      <c r="AK728" s="77">
        <f t="shared" si="228"/>
        <v>108</v>
      </c>
      <c r="AL728" s="78">
        <v>0.50555555555555554</v>
      </c>
      <c r="AM728" s="79">
        <v>0.51041666666666663</v>
      </c>
      <c r="AN728" s="80">
        <v>4.8611111111110938E-3</v>
      </c>
      <c r="AO728" s="79">
        <v>0.52152777777777781</v>
      </c>
      <c r="AP728" s="80">
        <v>1.1111111111111183E-2</v>
      </c>
      <c r="AQ728" s="81">
        <v>41793</v>
      </c>
      <c r="AR728" s="77" t="str">
        <f t="shared" si="241"/>
        <v>Nacional</v>
      </c>
      <c r="AS728" s="77">
        <f t="shared" si="241"/>
        <v>7.9365079365079222E-3</v>
      </c>
      <c r="AT728" s="77">
        <f t="shared" si="241"/>
        <v>9.5899470899471016E-3</v>
      </c>
      <c r="AU728" s="77">
        <f t="shared" si="241"/>
        <v>1.7526455026455022E-2</v>
      </c>
      <c r="AV728" s="77" t="str">
        <f t="shared" si="241"/>
        <v>E90</v>
      </c>
      <c r="AW728" s="77">
        <f t="shared" si="241"/>
        <v>99</v>
      </c>
      <c r="AX728" s="77" t="str">
        <f t="shared" si="241"/>
        <v>MEX</v>
      </c>
    </row>
    <row r="729" spans="1:50" ht="15.75" thickBot="1" x14ac:dyDescent="0.3">
      <c r="A729">
        <v>715</v>
      </c>
      <c r="B729" s="36" t="str">
        <f t="shared" si="236"/>
        <v>INTERAVIÓN</v>
      </c>
      <c r="C729" s="36">
        <f t="shared" si="236"/>
        <v>808</v>
      </c>
      <c r="D729" s="84">
        <v>0.70833333333333337</v>
      </c>
      <c r="E729" s="84">
        <v>0.71180555555555547</v>
      </c>
      <c r="F729" s="85">
        <v>3.4722222222220989E-3</v>
      </c>
      <c r="G729" s="84">
        <v>0.71875</v>
      </c>
      <c r="H729" s="85">
        <v>6.9444444444445308E-3</v>
      </c>
      <c r="I729" s="86">
        <v>41729</v>
      </c>
      <c r="J729" s="36" t="str">
        <f t="shared" si="239"/>
        <v>Nacional</v>
      </c>
      <c r="K729" s="36">
        <f t="shared" si="239"/>
        <v>5.9413580246913365E-3</v>
      </c>
      <c r="L729" s="36">
        <f t="shared" si="239"/>
        <v>7.2530864197530975E-3</v>
      </c>
      <c r="M729" s="36">
        <f t="shared" si="239"/>
        <v>1.3194444444444434E-2</v>
      </c>
      <c r="N729" s="36">
        <f t="shared" si="239"/>
        <v>320</v>
      </c>
      <c r="O729" s="36">
        <f t="shared" si="239"/>
        <v>179</v>
      </c>
      <c r="P729" s="36" t="str">
        <f t="shared" si="239"/>
        <v>SJD</v>
      </c>
      <c r="R729">
        <v>715</v>
      </c>
      <c r="S729" s="36" t="str">
        <f t="shared" si="223"/>
        <v>MEXICO AEREO</v>
      </c>
      <c r="T729" s="36">
        <f t="shared" si="223"/>
        <v>186</v>
      </c>
      <c r="U729" s="73">
        <v>1.0104166666666667</v>
      </c>
      <c r="V729" s="74">
        <v>1.0138888888888888</v>
      </c>
      <c r="W729" s="75">
        <v>3.4722222222220989E-3</v>
      </c>
      <c r="X729" s="74">
        <v>1.0159722222222223</v>
      </c>
      <c r="Y729" s="75">
        <v>2.083333333333437E-3</v>
      </c>
      <c r="Z729" s="76">
        <v>41734</v>
      </c>
      <c r="AA729" s="36" t="str">
        <f t="shared" si="240"/>
        <v>Nacional</v>
      </c>
      <c r="AB729" s="36">
        <f t="shared" si="240"/>
        <v>5.9523809523809434E-3</v>
      </c>
      <c r="AC729" s="36">
        <f t="shared" si="240"/>
        <v>7.4404761904761901E-3</v>
      </c>
      <c r="AD729" s="36">
        <f t="shared" si="240"/>
        <v>1.3392857142857133E-2</v>
      </c>
      <c r="AE729" s="36" t="str">
        <f t="shared" si="240"/>
        <v>B737-700</v>
      </c>
      <c r="AF729" s="36">
        <f t="shared" si="240"/>
        <v>126</v>
      </c>
      <c r="AG729" s="36" t="str">
        <f t="shared" si="240"/>
        <v>MEX</v>
      </c>
      <c r="AI729">
        <v>715</v>
      </c>
      <c r="AJ729" s="77" t="str">
        <f t="shared" si="228"/>
        <v>MEXICO AEREO</v>
      </c>
      <c r="AK729" s="77">
        <f t="shared" si="228"/>
        <v>108</v>
      </c>
      <c r="AL729" s="78">
        <v>0.50208333333333333</v>
      </c>
      <c r="AM729" s="79">
        <v>0.50902777777777775</v>
      </c>
      <c r="AN729" s="80">
        <v>6.9444444444444198E-3</v>
      </c>
      <c r="AO729" s="79">
        <v>0.51388888888888895</v>
      </c>
      <c r="AP729" s="80">
        <v>4.8611111111112049E-3</v>
      </c>
      <c r="AQ729" s="81">
        <v>41794</v>
      </c>
      <c r="AR729" s="77" t="str">
        <f t="shared" si="241"/>
        <v>Nacional</v>
      </c>
      <c r="AS729" s="77">
        <f t="shared" si="241"/>
        <v>7.9365079365079222E-3</v>
      </c>
      <c r="AT729" s="77">
        <f t="shared" si="241"/>
        <v>9.5899470899471016E-3</v>
      </c>
      <c r="AU729" s="77">
        <f t="shared" si="241"/>
        <v>1.7526455026455022E-2</v>
      </c>
      <c r="AV729" s="77" t="str">
        <f t="shared" si="241"/>
        <v>E90</v>
      </c>
      <c r="AW729" s="77">
        <f t="shared" si="241"/>
        <v>99</v>
      </c>
      <c r="AX729" s="77" t="str">
        <f t="shared" si="241"/>
        <v>MEX</v>
      </c>
    </row>
    <row r="730" spans="1:50" ht="15.75" thickBot="1" x14ac:dyDescent="0.3">
      <c r="A730">
        <v>716</v>
      </c>
      <c r="B730" s="36" t="str">
        <f t="shared" si="236"/>
        <v>INTERAVIÓN</v>
      </c>
      <c r="C730" s="46">
        <v>623</v>
      </c>
      <c r="D730" s="47">
        <v>0.55555555555555558</v>
      </c>
      <c r="E730" s="47">
        <v>0.56319444444444444</v>
      </c>
      <c r="F730" s="48">
        <v>7.6388888888888618E-3</v>
      </c>
      <c r="G730" s="47">
        <v>0.56597222222222221</v>
      </c>
      <c r="H730" s="48">
        <v>2.7777777777777679E-3</v>
      </c>
      <c r="I730" s="49">
        <v>41716</v>
      </c>
      <c r="J730" s="49" t="s">
        <v>19</v>
      </c>
      <c r="K730" s="139">
        <v>7.6388888888888618E-3</v>
      </c>
      <c r="L730" s="139">
        <v>2.7777777777777679E-3</v>
      </c>
      <c r="M730" s="145">
        <v>1.041666666666663E-2</v>
      </c>
      <c r="N730" s="52">
        <v>320</v>
      </c>
      <c r="O730" s="53">
        <v>179</v>
      </c>
      <c r="P730" s="54" t="s">
        <v>67</v>
      </c>
      <c r="R730">
        <v>716</v>
      </c>
      <c r="S730" s="36" t="str">
        <f t="shared" si="223"/>
        <v>MEXICO AEREO</v>
      </c>
      <c r="T730" s="36">
        <f t="shared" si="223"/>
        <v>186</v>
      </c>
      <c r="U730" s="73">
        <v>0.97361111111111109</v>
      </c>
      <c r="V730" s="74">
        <v>0.97569444444444453</v>
      </c>
      <c r="W730" s="75">
        <v>2.083333333333437E-3</v>
      </c>
      <c r="X730" s="74">
        <v>0.98263888888888884</v>
      </c>
      <c r="Y730" s="75">
        <v>6.9444444444443088E-3</v>
      </c>
      <c r="Z730" s="76">
        <v>41736</v>
      </c>
      <c r="AA730" s="36" t="str">
        <f t="shared" si="240"/>
        <v>Nacional</v>
      </c>
      <c r="AB730" s="36">
        <f t="shared" si="240"/>
        <v>5.9523809523809434E-3</v>
      </c>
      <c r="AC730" s="36">
        <f t="shared" si="240"/>
        <v>7.4404761904761901E-3</v>
      </c>
      <c r="AD730" s="36">
        <f t="shared" si="240"/>
        <v>1.3392857142857133E-2</v>
      </c>
      <c r="AE730" s="36" t="str">
        <f t="shared" si="240"/>
        <v>B737-700</v>
      </c>
      <c r="AF730" s="36">
        <f t="shared" si="240"/>
        <v>126</v>
      </c>
      <c r="AG730" s="36" t="str">
        <f t="shared" si="240"/>
        <v>MEX</v>
      </c>
      <c r="AI730">
        <v>716</v>
      </c>
      <c r="AJ730" s="77" t="str">
        <f t="shared" si="228"/>
        <v>MEXICO AEREO</v>
      </c>
      <c r="AK730" s="77">
        <f t="shared" si="228"/>
        <v>108</v>
      </c>
      <c r="AL730" s="78">
        <v>0.51388888888888895</v>
      </c>
      <c r="AM730" s="79">
        <v>0.52083333333333337</v>
      </c>
      <c r="AN730" s="80">
        <v>6.9444444444444198E-3</v>
      </c>
      <c r="AO730" s="79">
        <v>0.52638888888888891</v>
      </c>
      <c r="AP730" s="80">
        <v>5.5555555555555358E-3</v>
      </c>
      <c r="AQ730" s="81">
        <v>41795</v>
      </c>
      <c r="AR730" s="77" t="str">
        <f t="shared" si="241"/>
        <v>Nacional</v>
      </c>
      <c r="AS730" s="77">
        <f t="shared" si="241"/>
        <v>7.9365079365079222E-3</v>
      </c>
      <c r="AT730" s="77">
        <f t="shared" si="241"/>
        <v>9.5899470899471016E-3</v>
      </c>
      <c r="AU730" s="77">
        <f t="shared" si="241"/>
        <v>1.7526455026455022E-2</v>
      </c>
      <c r="AV730" s="77" t="str">
        <f t="shared" si="241"/>
        <v>E90</v>
      </c>
      <c r="AW730" s="77">
        <f t="shared" si="241"/>
        <v>99</v>
      </c>
      <c r="AX730" s="77" t="str">
        <f t="shared" si="241"/>
        <v>MEX</v>
      </c>
    </row>
    <row r="731" spans="1:50" x14ac:dyDescent="0.25">
      <c r="A731">
        <v>717</v>
      </c>
      <c r="B731" s="36" t="str">
        <f t="shared" si="236"/>
        <v>INTERAVIÓN</v>
      </c>
      <c r="C731" s="88">
        <v>417</v>
      </c>
      <c r="D731" s="57">
        <v>0.14097222222222222</v>
      </c>
      <c r="E731" s="57">
        <v>0.14652777777777778</v>
      </c>
      <c r="F731" s="58">
        <v>5.5555555555555636E-3</v>
      </c>
      <c r="G731" s="57">
        <v>0.15208333333333332</v>
      </c>
      <c r="H731" s="58">
        <v>5.5555555555555358E-3</v>
      </c>
      <c r="I731" s="59">
        <v>41713</v>
      </c>
      <c r="J731" s="108" t="s">
        <v>19</v>
      </c>
      <c r="K731" s="61">
        <v>8.1944444444444538E-3</v>
      </c>
      <c r="L731" s="61">
        <v>7.7777777777777611E-3</v>
      </c>
      <c r="M731" s="89">
        <v>1.5972222222222214E-2</v>
      </c>
      <c r="N731" s="90">
        <v>320</v>
      </c>
      <c r="O731" s="91">
        <v>179</v>
      </c>
      <c r="P731" s="92" t="s">
        <v>34</v>
      </c>
      <c r="R731">
        <v>717</v>
      </c>
      <c r="S731" s="36" t="str">
        <f t="shared" si="223"/>
        <v>MEXICO AEREO</v>
      </c>
      <c r="T731" s="36">
        <f t="shared" si="223"/>
        <v>186</v>
      </c>
      <c r="U731" s="73">
        <v>0.98333333333333339</v>
      </c>
      <c r="V731" s="74">
        <v>0.98819444444444438</v>
      </c>
      <c r="W731" s="75">
        <v>4.8611111111109828E-3</v>
      </c>
      <c r="X731" s="74">
        <v>0.99652777777777779</v>
      </c>
      <c r="Y731" s="75">
        <v>8.3333333333334147E-3</v>
      </c>
      <c r="Z731" s="76">
        <v>41738</v>
      </c>
      <c r="AA731" s="36" t="str">
        <f t="shared" si="240"/>
        <v>Nacional</v>
      </c>
      <c r="AB731" s="36">
        <f t="shared" si="240"/>
        <v>5.9523809523809434E-3</v>
      </c>
      <c r="AC731" s="36">
        <f t="shared" si="240"/>
        <v>7.4404761904761901E-3</v>
      </c>
      <c r="AD731" s="36">
        <f t="shared" si="240"/>
        <v>1.3392857142857133E-2</v>
      </c>
      <c r="AE731" s="36" t="str">
        <f t="shared" si="240"/>
        <v>B737-700</v>
      </c>
      <c r="AF731" s="36">
        <f t="shared" si="240"/>
        <v>126</v>
      </c>
      <c r="AG731" s="36" t="str">
        <f t="shared" si="240"/>
        <v>MEX</v>
      </c>
      <c r="AI731">
        <v>717</v>
      </c>
      <c r="AJ731" s="77" t="str">
        <f t="shared" si="228"/>
        <v>MEXICO AEREO</v>
      </c>
      <c r="AK731" s="77">
        <f t="shared" si="228"/>
        <v>108</v>
      </c>
      <c r="AL731" s="78">
        <v>0.51250000000000007</v>
      </c>
      <c r="AM731" s="79">
        <v>0.5131944444444444</v>
      </c>
      <c r="AN731" s="80">
        <v>6.9444444444433095E-4</v>
      </c>
      <c r="AO731" s="79">
        <v>0.51944444444444449</v>
      </c>
      <c r="AP731" s="80">
        <v>6.2500000000000888E-3</v>
      </c>
      <c r="AQ731" s="81">
        <v>41796</v>
      </c>
      <c r="AR731" s="77" t="str">
        <f t="shared" si="241"/>
        <v>Nacional</v>
      </c>
      <c r="AS731" s="77">
        <f t="shared" si="241"/>
        <v>7.9365079365079222E-3</v>
      </c>
      <c r="AT731" s="77">
        <f t="shared" si="241"/>
        <v>9.5899470899471016E-3</v>
      </c>
      <c r="AU731" s="77">
        <f t="shared" si="241"/>
        <v>1.7526455026455022E-2</v>
      </c>
      <c r="AV731" s="77" t="str">
        <f t="shared" si="241"/>
        <v>E90</v>
      </c>
      <c r="AW731" s="77">
        <f t="shared" si="241"/>
        <v>99</v>
      </c>
      <c r="AX731" s="77" t="str">
        <f t="shared" si="241"/>
        <v>MEX</v>
      </c>
    </row>
    <row r="732" spans="1:50" x14ac:dyDescent="0.25">
      <c r="A732">
        <v>718</v>
      </c>
      <c r="B732" s="36" t="str">
        <f t="shared" si="236"/>
        <v>INTERAVIÓN</v>
      </c>
      <c r="C732" s="36">
        <f t="shared" si="236"/>
        <v>417</v>
      </c>
      <c r="D732" s="74">
        <v>0.22916666666666666</v>
      </c>
      <c r="E732" s="74">
        <v>0.23611111111111113</v>
      </c>
      <c r="F732" s="75">
        <v>6.9444444444444753E-3</v>
      </c>
      <c r="G732" s="74">
        <v>0.25</v>
      </c>
      <c r="H732" s="75">
        <v>1.3888888888888867E-2</v>
      </c>
      <c r="I732" s="76">
        <v>41719</v>
      </c>
      <c r="J732" s="36" t="str">
        <f t="shared" ref="J732:P735" si="242">J731</f>
        <v>Nacional</v>
      </c>
      <c r="K732" s="36">
        <f t="shared" si="242"/>
        <v>8.1944444444444538E-3</v>
      </c>
      <c r="L732" s="36">
        <f t="shared" si="242"/>
        <v>7.7777777777777611E-3</v>
      </c>
      <c r="M732" s="36">
        <f t="shared" si="242"/>
        <v>1.5972222222222214E-2</v>
      </c>
      <c r="N732" s="36">
        <f t="shared" si="242"/>
        <v>320</v>
      </c>
      <c r="O732" s="36">
        <f t="shared" si="242"/>
        <v>179</v>
      </c>
      <c r="P732" s="36" t="str">
        <f t="shared" si="242"/>
        <v>TIJ</v>
      </c>
      <c r="R732">
        <v>718</v>
      </c>
      <c r="S732" s="36" t="str">
        <f t="shared" si="223"/>
        <v>MEXICO AEREO</v>
      </c>
      <c r="T732" s="36">
        <f t="shared" si="223"/>
        <v>186</v>
      </c>
      <c r="U732" s="73">
        <v>0.96805555555555556</v>
      </c>
      <c r="V732" s="74">
        <v>0.97013888888888899</v>
      </c>
      <c r="W732" s="75">
        <v>2.083333333333437E-3</v>
      </c>
      <c r="X732" s="74">
        <v>0.98333333333333339</v>
      </c>
      <c r="Y732" s="75">
        <v>1.3194444444444398E-2</v>
      </c>
      <c r="Z732" s="76">
        <v>41739</v>
      </c>
      <c r="AA732" s="36" t="str">
        <f t="shared" si="240"/>
        <v>Nacional</v>
      </c>
      <c r="AB732" s="36">
        <f t="shared" si="240"/>
        <v>5.9523809523809434E-3</v>
      </c>
      <c r="AC732" s="36">
        <f t="shared" si="240"/>
        <v>7.4404761904761901E-3</v>
      </c>
      <c r="AD732" s="36">
        <f t="shared" si="240"/>
        <v>1.3392857142857133E-2</v>
      </c>
      <c r="AE732" s="36" t="str">
        <f t="shared" si="240"/>
        <v>B737-700</v>
      </c>
      <c r="AF732" s="36">
        <f t="shared" si="240"/>
        <v>126</v>
      </c>
      <c r="AG732" s="36" t="str">
        <f t="shared" si="240"/>
        <v>MEX</v>
      </c>
      <c r="AI732">
        <v>718</v>
      </c>
      <c r="AJ732" s="77" t="str">
        <f t="shared" si="228"/>
        <v>MEXICO AEREO</v>
      </c>
      <c r="AK732" s="77">
        <f t="shared" si="228"/>
        <v>108</v>
      </c>
      <c r="AL732" s="78">
        <v>0.52638888888888891</v>
      </c>
      <c r="AM732" s="79">
        <v>0.53541666666666665</v>
      </c>
      <c r="AN732" s="80">
        <v>9.0277777777777457E-3</v>
      </c>
      <c r="AO732" s="79">
        <v>0.54097222222222219</v>
      </c>
      <c r="AP732" s="80">
        <v>5.5555555555555358E-3</v>
      </c>
      <c r="AQ732" s="81">
        <v>41797</v>
      </c>
      <c r="AR732" s="77" t="str">
        <f t="shared" si="241"/>
        <v>Nacional</v>
      </c>
      <c r="AS732" s="77">
        <f t="shared" si="241"/>
        <v>7.9365079365079222E-3</v>
      </c>
      <c r="AT732" s="77">
        <f t="shared" si="241"/>
        <v>9.5899470899471016E-3</v>
      </c>
      <c r="AU732" s="77">
        <f t="shared" si="241"/>
        <v>1.7526455026455022E-2</v>
      </c>
      <c r="AV732" s="77" t="str">
        <f t="shared" si="241"/>
        <v>E90</v>
      </c>
      <c r="AW732" s="77">
        <f t="shared" si="241"/>
        <v>99</v>
      </c>
      <c r="AX732" s="77" t="str">
        <f t="shared" si="241"/>
        <v>MEX</v>
      </c>
    </row>
    <row r="733" spans="1:50" ht="15.75" thickBot="1" x14ac:dyDescent="0.3">
      <c r="A733">
        <v>719</v>
      </c>
      <c r="B733" s="36" t="str">
        <f t="shared" si="236"/>
        <v>INTERAVIÓN</v>
      </c>
      <c r="C733" s="36">
        <f t="shared" si="236"/>
        <v>417</v>
      </c>
      <c r="D733" s="74">
        <v>0.22222222222222221</v>
      </c>
      <c r="E733" s="74">
        <v>0.2298611111111111</v>
      </c>
      <c r="F733" s="75">
        <v>7.6388888888888895E-3</v>
      </c>
      <c r="G733" s="74">
        <v>0.23333333333333331</v>
      </c>
      <c r="H733" s="75">
        <v>3.4722222222222099E-3</v>
      </c>
      <c r="I733" s="76">
        <v>41724</v>
      </c>
      <c r="J733" s="36" t="str">
        <f t="shared" si="242"/>
        <v>Nacional</v>
      </c>
      <c r="K733" s="36">
        <f t="shared" si="242"/>
        <v>8.1944444444444538E-3</v>
      </c>
      <c r="L733" s="36">
        <f t="shared" si="242"/>
        <v>7.7777777777777611E-3</v>
      </c>
      <c r="M733" s="36">
        <f t="shared" si="242"/>
        <v>1.5972222222222214E-2</v>
      </c>
      <c r="N733" s="36">
        <f t="shared" si="242"/>
        <v>320</v>
      </c>
      <c r="O733" s="36">
        <f t="shared" si="242"/>
        <v>179</v>
      </c>
      <c r="P733" s="36" t="str">
        <f t="shared" si="242"/>
        <v>TIJ</v>
      </c>
      <c r="R733">
        <v>719</v>
      </c>
      <c r="S733" s="36" t="str">
        <f t="shared" si="223"/>
        <v>MEXICO AEREO</v>
      </c>
      <c r="T733" s="36">
        <f t="shared" si="223"/>
        <v>186</v>
      </c>
      <c r="U733" s="73">
        <v>0.99652777777777779</v>
      </c>
      <c r="V733" s="74">
        <v>1.0020833333333334</v>
      </c>
      <c r="W733" s="75">
        <v>5.5555555555556468E-3</v>
      </c>
      <c r="X733" s="74">
        <v>1.0118055555555556</v>
      </c>
      <c r="Y733" s="75">
        <v>9.7222222222221877E-3</v>
      </c>
      <c r="Z733" s="76">
        <v>41740</v>
      </c>
      <c r="AA733" s="36" t="str">
        <f t="shared" si="240"/>
        <v>Nacional</v>
      </c>
      <c r="AB733" s="36">
        <f t="shared" si="240"/>
        <v>5.9523809523809434E-3</v>
      </c>
      <c r="AC733" s="36">
        <f t="shared" si="240"/>
        <v>7.4404761904761901E-3</v>
      </c>
      <c r="AD733" s="36">
        <f t="shared" si="240"/>
        <v>1.3392857142857133E-2</v>
      </c>
      <c r="AE733" s="36" t="str">
        <f t="shared" si="240"/>
        <v>B737-700</v>
      </c>
      <c r="AF733" s="36">
        <f t="shared" si="240"/>
        <v>126</v>
      </c>
      <c r="AG733" s="36" t="str">
        <f t="shared" si="240"/>
        <v>MEX</v>
      </c>
      <c r="AI733">
        <v>719</v>
      </c>
      <c r="AJ733" s="77" t="str">
        <f t="shared" si="228"/>
        <v>MEXICO AEREO</v>
      </c>
      <c r="AK733" s="77">
        <f t="shared" si="228"/>
        <v>108</v>
      </c>
      <c r="AL733" s="78">
        <v>0.5</v>
      </c>
      <c r="AM733" s="79">
        <v>0.50347222222222221</v>
      </c>
      <c r="AN733" s="80">
        <v>3.4722222222222099E-3</v>
      </c>
      <c r="AO733" s="79">
        <v>0.50694444444444442</v>
      </c>
      <c r="AP733" s="80">
        <v>3.4722222222222099E-3</v>
      </c>
      <c r="AQ733" s="81">
        <v>41798</v>
      </c>
      <c r="AR733" s="77" t="str">
        <f t="shared" si="241"/>
        <v>Nacional</v>
      </c>
      <c r="AS733" s="77">
        <f t="shared" si="241"/>
        <v>7.9365079365079222E-3</v>
      </c>
      <c r="AT733" s="77">
        <f t="shared" si="241"/>
        <v>9.5899470899471016E-3</v>
      </c>
      <c r="AU733" s="77">
        <f t="shared" si="241"/>
        <v>1.7526455026455022E-2</v>
      </c>
      <c r="AV733" s="77" t="str">
        <f t="shared" si="241"/>
        <v>E90</v>
      </c>
      <c r="AW733" s="77">
        <f t="shared" si="241"/>
        <v>99</v>
      </c>
      <c r="AX733" s="77" t="str">
        <f t="shared" si="241"/>
        <v>MEX</v>
      </c>
    </row>
    <row r="734" spans="1:50" x14ac:dyDescent="0.25">
      <c r="A734">
        <v>720</v>
      </c>
      <c r="B734" s="36" t="str">
        <f t="shared" si="236"/>
        <v>INTERAVIÓN</v>
      </c>
      <c r="C734" s="36">
        <f t="shared" si="236"/>
        <v>417</v>
      </c>
      <c r="D734" s="74">
        <v>0.21527777777777779</v>
      </c>
      <c r="E734" s="74">
        <v>0.22013888888888888</v>
      </c>
      <c r="F734" s="75">
        <v>4.8611111111110938E-3</v>
      </c>
      <c r="G734" s="74">
        <v>0.23124999999999998</v>
      </c>
      <c r="H734" s="75">
        <v>1.1111111111111099E-2</v>
      </c>
      <c r="I734" s="76">
        <v>41725</v>
      </c>
      <c r="J734" s="36" t="str">
        <f t="shared" si="242"/>
        <v>Nacional</v>
      </c>
      <c r="K734" s="36">
        <f t="shared" si="242"/>
        <v>8.1944444444444538E-3</v>
      </c>
      <c r="L734" s="36">
        <f t="shared" si="242"/>
        <v>7.7777777777777611E-3</v>
      </c>
      <c r="M734" s="36">
        <f t="shared" si="242"/>
        <v>1.5972222222222214E-2</v>
      </c>
      <c r="N734" s="36">
        <f t="shared" si="242"/>
        <v>320</v>
      </c>
      <c r="O734" s="36">
        <f t="shared" si="242"/>
        <v>179</v>
      </c>
      <c r="P734" s="36" t="str">
        <f t="shared" si="242"/>
        <v>TIJ</v>
      </c>
      <c r="R734">
        <v>720</v>
      </c>
      <c r="S734" s="36" t="str">
        <f t="shared" si="223"/>
        <v>MEXICO AEREO</v>
      </c>
      <c r="T734" s="36">
        <f t="shared" si="223"/>
        <v>186</v>
      </c>
      <c r="U734" s="73">
        <v>0.97222222222222221</v>
      </c>
      <c r="V734" s="74">
        <v>0.97499999999999998</v>
      </c>
      <c r="W734" s="75">
        <v>2.7777777777777679E-3</v>
      </c>
      <c r="X734" s="74">
        <v>0.9784722222222223</v>
      </c>
      <c r="Y734" s="75">
        <v>3.4722222222223209E-3</v>
      </c>
      <c r="Z734" s="76">
        <v>41742</v>
      </c>
      <c r="AA734" s="36" t="str">
        <f t="shared" si="240"/>
        <v>Nacional</v>
      </c>
      <c r="AB734" s="36">
        <f t="shared" si="240"/>
        <v>5.9523809523809434E-3</v>
      </c>
      <c r="AC734" s="36">
        <f t="shared" si="240"/>
        <v>7.4404761904761901E-3</v>
      </c>
      <c r="AD734" s="36">
        <f t="shared" si="240"/>
        <v>1.3392857142857133E-2</v>
      </c>
      <c r="AE734" s="36" t="str">
        <f t="shared" si="240"/>
        <v>B737-700</v>
      </c>
      <c r="AF734" s="36">
        <f t="shared" si="240"/>
        <v>126</v>
      </c>
      <c r="AG734" s="36" t="str">
        <f t="shared" si="240"/>
        <v>MEX</v>
      </c>
      <c r="AI734">
        <v>720</v>
      </c>
      <c r="AJ734" s="63" t="s">
        <v>18</v>
      </c>
      <c r="AK734" s="77">
        <f t="shared" ref="AK734:AK753" si="243">AK733</f>
        <v>108</v>
      </c>
      <c r="AL734" s="78">
        <v>0.50486111111111109</v>
      </c>
      <c r="AM734" s="79">
        <v>0.50763888888888886</v>
      </c>
      <c r="AN734" s="80">
        <v>2.7777777777777679E-3</v>
      </c>
      <c r="AO734" s="79">
        <v>0.52152777777777781</v>
      </c>
      <c r="AP734" s="80">
        <v>1.3888888888888951E-2</v>
      </c>
      <c r="AQ734" s="81">
        <v>41799</v>
      </c>
      <c r="AR734" s="77" t="str">
        <f t="shared" si="241"/>
        <v>Nacional</v>
      </c>
      <c r="AS734" s="77">
        <f t="shared" si="241"/>
        <v>7.9365079365079222E-3</v>
      </c>
      <c r="AT734" s="77">
        <f t="shared" si="241"/>
        <v>9.5899470899471016E-3</v>
      </c>
      <c r="AU734" s="77">
        <f t="shared" si="241"/>
        <v>1.7526455026455022E-2</v>
      </c>
      <c r="AV734" s="77" t="str">
        <f t="shared" si="241"/>
        <v>E90</v>
      </c>
      <c r="AW734" s="77">
        <f t="shared" si="241"/>
        <v>99</v>
      </c>
      <c r="AX734" s="77" t="str">
        <f t="shared" si="241"/>
        <v>MEX</v>
      </c>
    </row>
    <row r="735" spans="1:50" ht="15.75" thickBot="1" x14ac:dyDescent="0.3">
      <c r="A735">
        <v>721</v>
      </c>
      <c r="B735" s="36" t="str">
        <f t="shared" si="236"/>
        <v>INTERAVIÓN</v>
      </c>
      <c r="C735" s="36">
        <f t="shared" si="236"/>
        <v>417</v>
      </c>
      <c r="D735" s="84">
        <v>0.15625</v>
      </c>
      <c r="E735" s="84">
        <v>0.17222222222222225</v>
      </c>
      <c r="F735" s="85">
        <v>1.5972222222222249E-2</v>
      </c>
      <c r="G735" s="84">
        <v>0.17708333333333334</v>
      </c>
      <c r="H735" s="85">
        <v>4.8611111111110938E-3</v>
      </c>
      <c r="I735" s="86">
        <v>41727</v>
      </c>
      <c r="J735" s="36" t="str">
        <f t="shared" si="242"/>
        <v>Nacional</v>
      </c>
      <c r="K735" s="36">
        <f t="shared" si="242"/>
        <v>8.1944444444444538E-3</v>
      </c>
      <c r="L735" s="36">
        <f t="shared" si="242"/>
        <v>7.7777777777777611E-3</v>
      </c>
      <c r="M735" s="36">
        <f t="shared" si="242"/>
        <v>1.5972222222222214E-2</v>
      </c>
      <c r="N735" s="36">
        <f t="shared" si="242"/>
        <v>320</v>
      </c>
      <c r="O735" s="36">
        <f t="shared" si="242"/>
        <v>179</v>
      </c>
      <c r="P735" s="36" t="str">
        <f t="shared" si="242"/>
        <v>TIJ</v>
      </c>
      <c r="R735">
        <v>721</v>
      </c>
      <c r="S735" s="36" t="str">
        <f t="shared" si="223"/>
        <v>MEXICO AEREO</v>
      </c>
      <c r="T735" s="36">
        <f t="shared" si="223"/>
        <v>186</v>
      </c>
      <c r="U735" s="73">
        <v>0.97013888888888899</v>
      </c>
      <c r="V735" s="74">
        <v>0.9770833333333333</v>
      </c>
      <c r="W735" s="75">
        <v>6.9444444444443088E-3</v>
      </c>
      <c r="X735" s="74">
        <v>0.98402777777777783</v>
      </c>
      <c r="Y735" s="75">
        <v>6.9444444444445308E-3</v>
      </c>
      <c r="Z735" s="76">
        <v>41743</v>
      </c>
      <c r="AA735" s="36" t="str">
        <f t="shared" si="240"/>
        <v>Nacional</v>
      </c>
      <c r="AB735" s="36">
        <f t="shared" si="240"/>
        <v>5.9523809523809434E-3</v>
      </c>
      <c r="AC735" s="36">
        <f t="shared" si="240"/>
        <v>7.4404761904761901E-3</v>
      </c>
      <c r="AD735" s="36">
        <f t="shared" si="240"/>
        <v>1.3392857142857133E-2</v>
      </c>
      <c r="AE735" s="36" t="str">
        <f t="shared" si="240"/>
        <v>B737-700</v>
      </c>
      <c r="AF735" s="36">
        <f t="shared" si="240"/>
        <v>126</v>
      </c>
      <c r="AG735" s="36" t="str">
        <f t="shared" si="240"/>
        <v>MEX</v>
      </c>
      <c r="AI735">
        <v>721</v>
      </c>
      <c r="AJ735" s="77" t="str">
        <f t="shared" ref="AJ735:AK781" si="244">AJ734</f>
        <v>MEXICO AEREO</v>
      </c>
      <c r="AK735" s="77">
        <f t="shared" si="243"/>
        <v>108</v>
      </c>
      <c r="AL735" s="78">
        <v>0.45763888888888887</v>
      </c>
      <c r="AM735" s="79">
        <v>0.46527777777777773</v>
      </c>
      <c r="AN735" s="80">
        <v>7.6388888888888618E-3</v>
      </c>
      <c r="AO735" s="79">
        <v>0.47500000000000003</v>
      </c>
      <c r="AP735" s="80">
        <v>9.7222222222222987E-3</v>
      </c>
      <c r="AQ735" s="81">
        <v>41801</v>
      </c>
      <c r="AR735" s="77" t="str">
        <f t="shared" si="241"/>
        <v>Nacional</v>
      </c>
      <c r="AS735" s="77">
        <f t="shared" si="241"/>
        <v>7.9365079365079222E-3</v>
      </c>
      <c r="AT735" s="77">
        <f t="shared" si="241"/>
        <v>9.5899470899471016E-3</v>
      </c>
      <c r="AU735" s="77">
        <f t="shared" si="241"/>
        <v>1.7526455026455022E-2</v>
      </c>
      <c r="AV735" s="77" t="str">
        <f t="shared" si="241"/>
        <v>E90</v>
      </c>
      <c r="AW735" s="77">
        <f t="shared" si="241"/>
        <v>99</v>
      </c>
      <c r="AX735" s="77" t="str">
        <f t="shared" si="241"/>
        <v>MEX</v>
      </c>
    </row>
    <row r="736" spans="1:50" x14ac:dyDescent="0.25">
      <c r="A736">
        <v>722</v>
      </c>
      <c r="B736" s="36" t="str">
        <f t="shared" si="236"/>
        <v>INTERAVIÓN</v>
      </c>
      <c r="C736" s="88">
        <v>415</v>
      </c>
      <c r="D736" s="57">
        <v>0.21597222222222223</v>
      </c>
      <c r="E736" s="57">
        <v>0.22083333333333333</v>
      </c>
      <c r="F736" s="58">
        <v>4.8611111111110938E-3</v>
      </c>
      <c r="G736" s="57">
        <v>0.22430555555555556</v>
      </c>
      <c r="H736" s="58">
        <v>3.4722222222222376E-3</v>
      </c>
      <c r="I736" s="59">
        <v>41715</v>
      </c>
      <c r="J736" s="108" t="s">
        <v>19</v>
      </c>
      <c r="K736" s="61">
        <v>6.481481481481477E-3</v>
      </c>
      <c r="L736" s="61">
        <v>7.1759259259259285E-3</v>
      </c>
      <c r="M736" s="89">
        <v>1.3657407407407406E-2</v>
      </c>
      <c r="N736" s="90">
        <v>320</v>
      </c>
      <c r="O736" s="91">
        <v>179</v>
      </c>
      <c r="P736" s="92" t="s">
        <v>34</v>
      </c>
      <c r="R736">
        <v>722</v>
      </c>
      <c r="S736" s="36" t="str">
        <f t="shared" si="223"/>
        <v>MEXICO AEREO</v>
      </c>
      <c r="T736" s="36">
        <f t="shared" si="223"/>
        <v>186</v>
      </c>
      <c r="U736" s="73">
        <v>0.98472222222222217</v>
      </c>
      <c r="V736" s="74">
        <v>0.99375000000000002</v>
      </c>
      <c r="W736" s="75">
        <v>9.0277777777778567E-3</v>
      </c>
      <c r="X736" s="74">
        <v>1.0020833333333334</v>
      </c>
      <c r="Y736" s="75">
        <v>8.3333333333334147E-3</v>
      </c>
      <c r="Z736" s="76">
        <v>41745</v>
      </c>
      <c r="AA736" s="36" t="str">
        <f t="shared" si="240"/>
        <v>Nacional</v>
      </c>
      <c r="AB736" s="36">
        <f t="shared" si="240"/>
        <v>5.9523809523809434E-3</v>
      </c>
      <c r="AC736" s="36">
        <f t="shared" si="240"/>
        <v>7.4404761904761901E-3</v>
      </c>
      <c r="AD736" s="36">
        <f t="shared" si="240"/>
        <v>1.3392857142857133E-2</v>
      </c>
      <c r="AE736" s="36" t="str">
        <f t="shared" si="240"/>
        <v>B737-700</v>
      </c>
      <c r="AF736" s="36">
        <f t="shared" si="240"/>
        <v>126</v>
      </c>
      <c r="AG736" s="36" t="str">
        <f t="shared" si="240"/>
        <v>MEX</v>
      </c>
      <c r="AI736">
        <v>722</v>
      </c>
      <c r="AJ736" s="77" t="str">
        <f t="shared" si="244"/>
        <v>MEXICO AEREO</v>
      </c>
      <c r="AK736" s="77">
        <f t="shared" si="243"/>
        <v>108</v>
      </c>
      <c r="AL736" s="143">
        <v>0.73541666666666661</v>
      </c>
      <c r="AM736" s="144">
        <v>0.74097222222222225</v>
      </c>
      <c r="AN736" s="80">
        <v>5.5555555555556468E-3</v>
      </c>
      <c r="AO736" s="144">
        <v>0.74722222222222223</v>
      </c>
      <c r="AP736" s="80">
        <v>6.2499999999999778E-3</v>
      </c>
      <c r="AQ736" s="81">
        <v>41801</v>
      </c>
      <c r="AR736" s="77" t="str">
        <f t="shared" si="241"/>
        <v>Nacional</v>
      </c>
      <c r="AS736" s="77">
        <f t="shared" si="241"/>
        <v>7.9365079365079222E-3</v>
      </c>
      <c r="AT736" s="77">
        <f t="shared" si="241"/>
        <v>9.5899470899471016E-3</v>
      </c>
      <c r="AU736" s="77">
        <f t="shared" si="241"/>
        <v>1.7526455026455022E-2</v>
      </c>
      <c r="AV736" s="77" t="str">
        <f t="shared" si="241"/>
        <v>E90</v>
      </c>
      <c r="AW736" s="77">
        <f t="shared" si="241"/>
        <v>99</v>
      </c>
      <c r="AX736" s="77" t="str">
        <f t="shared" si="241"/>
        <v>MEX</v>
      </c>
    </row>
    <row r="737" spans="1:50" x14ac:dyDescent="0.25">
      <c r="A737">
        <v>723</v>
      </c>
      <c r="B737" s="36" t="str">
        <f t="shared" si="236"/>
        <v>INTERAVIÓN</v>
      </c>
      <c r="C737" s="36">
        <f t="shared" si="236"/>
        <v>415</v>
      </c>
      <c r="D737" s="74">
        <v>0.24791666666666667</v>
      </c>
      <c r="E737" s="74">
        <v>0.25694444444444448</v>
      </c>
      <c r="F737" s="75">
        <v>9.0277777777778012E-3</v>
      </c>
      <c r="G737" s="74">
        <v>0.2638888888888889</v>
      </c>
      <c r="H737" s="75">
        <v>6.9444444444444198E-3</v>
      </c>
      <c r="I737" s="76">
        <v>41724</v>
      </c>
      <c r="J737" s="36" t="str">
        <f t="shared" ref="J737:P738" si="245">J736</f>
        <v>Nacional</v>
      </c>
      <c r="K737" s="36">
        <f t="shared" si="245"/>
        <v>6.481481481481477E-3</v>
      </c>
      <c r="L737" s="36">
        <f t="shared" si="245"/>
        <v>7.1759259259259285E-3</v>
      </c>
      <c r="M737" s="36">
        <f t="shared" si="245"/>
        <v>1.3657407407407406E-2</v>
      </c>
      <c r="N737" s="36">
        <f t="shared" si="245"/>
        <v>320</v>
      </c>
      <c r="O737" s="36">
        <f t="shared" si="245"/>
        <v>179</v>
      </c>
      <c r="P737" s="36" t="str">
        <f t="shared" si="245"/>
        <v>TIJ</v>
      </c>
      <c r="R737">
        <v>723</v>
      </c>
      <c r="S737" s="36" t="str">
        <f t="shared" si="223"/>
        <v>MEXICO AEREO</v>
      </c>
      <c r="T737" s="36">
        <f t="shared" si="223"/>
        <v>186</v>
      </c>
      <c r="U737" s="73">
        <v>0.98611111111111116</v>
      </c>
      <c r="V737" s="74">
        <v>0.99305555555555547</v>
      </c>
      <c r="W737" s="75">
        <v>6.9444444444443088E-3</v>
      </c>
      <c r="X737" s="74">
        <v>0.99861111111111101</v>
      </c>
      <c r="Y737" s="75">
        <v>5.5555555555555358E-3</v>
      </c>
      <c r="Z737" s="76">
        <v>41744</v>
      </c>
      <c r="AA737" s="36" t="str">
        <f t="shared" si="240"/>
        <v>Nacional</v>
      </c>
      <c r="AB737" s="36">
        <f t="shared" si="240"/>
        <v>5.9523809523809434E-3</v>
      </c>
      <c r="AC737" s="36">
        <f t="shared" si="240"/>
        <v>7.4404761904761901E-3</v>
      </c>
      <c r="AD737" s="36">
        <f t="shared" si="240"/>
        <v>1.3392857142857133E-2</v>
      </c>
      <c r="AE737" s="36" t="str">
        <f t="shared" si="240"/>
        <v>B737-700</v>
      </c>
      <c r="AF737" s="36">
        <f t="shared" si="240"/>
        <v>126</v>
      </c>
      <c r="AG737" s="36" t="str">
        <f t="shared" si="240"/>
        <v>MEX</v>
      </c>
      <c r="AI737">
        <v>723</v>
      </c>
      <c r="AJ737" s="77" t="str">
        <f t="shared" si="244"/>
        <v>MEXICO AEREO</v>
      </c>
      <c r="AK737" s="77">
        <f t="shared" si="243"/>
        <v>108</v>
      </c>
      <c r="AL737" s="78">
        <v>0.82777777777777783</v>
      </c>
      <c r="AM737" s="79">
        <v>0.8520833333333333</v>
      </c>
      <c r="AN737" s="80">
        <v>2.4305555555555469E-2</v>
      </c>
      <c r="AO737" s="79">
        <v>0.87083333333333324</v>
      </c>
      <c r="AP737" s="80">
        <v>1.8749999999999933E-2</v>
      </c>
      <c r="AQ737" s="81">
        <v>41802</v>
      </c>
      <c r="AR737" s="77" t="str">
        <f t="shared" si="241"/>
        <v>Nacional</v>
      </c>
      <c r="AS737" s="77">
        <f t="shared" si="241"/>
        <v>7.9365079365079222E-3</v>
      </c>
      <c r="AT737" s="77">
        <f t="shared" si="241"/>
        <v>9.5899470899471016E-3</v>
      </c>
      <c r="AU737" s="77">
        <f t="shared" si="241"/>
        <v>1.7526455026455022E-2</v>
      </c>
      <c r="AV737" s="77" t="str">
        <f t="shared" si="241"/>
        <v>E90</v>
      </c>
      <c r="AW737" s="77">
        <f t="shared" si="241"/>
        <v>99</v>
      </c>
      <c r="AX737" s="77" t="str">
        <f t="shared" si="241"/>
        <v>MEX</v>
      </c>
    </row>
    <row r="738" spans="1:50" ht="15.75" thickBot="1" x14ac:dyDescent="0.3">
      <c r="A738">
        <v>724</v>
      </c>
      <c r="B738" s="36" t="str">
        <f t="shared" si="236"/>
        <v>INTERAVIÓN</v>
      </c>
      <c r="C738" s="36">
        <f t="shared" si="236"/>
        <v>415</v>
      </c>
      <c r="D738" s="84">
        <v>0.22569444444444445</v>
      </c>
      <c r="E738" s="84">
        <v>0.23124999999999998</v>
      </c>
      <c r="F738" s="85">
        <v>5.5555555555555358E-3</v>
      </c>
      <c r="G738" s="84">
        <v>0.24236111111111111</v>
      </c>
      <c r="H738" s="85">
        <v>1.1111111111111127E-2</v>
      </c>
      <c r="I738" s="86">
        <v>41726</v>
      </c>
      <c r="J738" s="36" t="str">
        <f t="shared" si="245"/>
        <v>Nacional</v>
      </c>
      <c r="K738" s="36">
        <f t="shared" si="245"/>
        <v>6.481481481481477E-3</v>
      </c>
      <c r="L738" s="36">
        <f t="shared" si="245"/>
        <v>7.1759259259259285E-3</v>
      </c>
      <c r="M738" s="36">
        <f t="shared" si="245"/>
        <v>1.3657407407407406E-2</v>
      </c>
      <c r="N738" s="36">
        <f t="shared" si="245"/>
        <v>320</v>
      </c>
      <c r="O738" s="36">
        <f t="shared" si="245"/>
        <v>179</v>
      </c>
      <c r="P738" s="36" t="str">
        <f t="shared" si="245"/>
        <v>TIJ</v>
      </c>
      <c r="R738">
        <v>724</v>
      </c>
      <c r="S738" s="36" t="str">
        <f t="shared" si="223"/>
        <v>MEXICO AEREO</v>
      </c>
      <c r="T738" s="36">
        <f t="shared" si="223"/>
        <v>186</v>
      </c>
      <c r="U738" s="73">
        <v>0.9784722222222223</v>
      </c>
      <c r="V738" s="74">
        <v>0.98333333333333339</v>
      </c>
      <c r="W738" s="75">
        <v>4.8611111111110938E-3</v>
      </c>
      <c r="X738" s="74">
        <v>0.99097222222222225</v>
      </c>
      <c r="Y738" s="75">
        <v>7.6388888888888618E-3</v>
      </c>
      <c r="Z738" s="76">
        <v>41749</v>
      </c>
      <c r="AA738" s="36" t="str">
        <f t="shared" si="240"/>
        <v>Nacional</v>
      </c>
      <c r="AB738" s="36">
        <f t="shared" si="240"/>
        <v>5.9523809523809434E-3</v>
      </c>
      <c r="AC738" s="36">
        <f t="shared" si="240"/>
        <v>7.4404761904761901E-3</v>
      </c>
      <c r="AD738" s="36">
        <f t="shared" si="240"/>
        <v>1.3392857142857133E-2</v>
      </c>
      <c r="AE738" s="36" t="str">
        <f t="shared" si="240"/>
        <v>B737-700</v>
      </c>
      <c r="AF738" s="36">
        <f t="shared" si="240"/>
        <v>126</v>
      </c>
      <c r="AG738" s="36" t="str">
        <f t="shared" si="240"/>
        <v>MEX</v>
      </c>
      <c r="AI738">
        <v>724</v>
      </c>
      <c r="AJ738" s="77" t="str">
        <f t="shared" si="244"/>
        <v>MEXICO AEREO</v>
      </c>
      <c r="AK738" s="77">
        <f t="shared" si="243"/>
        <v>108</v>
      </c>
      <c r="AL738" s="78">
        <v>0.84166666666666667</v>
      </c>
      <c r="AM738" s="79">
        <v>0.84513888888888899</v>
      </c>
      <c r="AN738" s="80">
        <v>3.4722222222223209E-3</v>
      </c>
      <c r="AO738" s="79">
        <v>0.85277777777777775</v>
      </c>
      <c r="AP738" s="80">
        <v>7.6388888888887507E-3</v>
      </c>
      <c r="AQ738" s="81">
        <v>41804</v>
      </c>
      <c r="AR738" s="77" t="str">
        <f t="shared" si="241"/>
        <v>Nacional</v>
      </c>
      <c r="AS738" s="77">
        <f t="shared" si="241"/>
        <v>7.9365079365079222E-3</v>
      </c>
      <c r="AT738" s="77">
        <f t="shared" si="241"/>
        <v>9.5899470899471016E-3</v>
      </c>
      <c r="AU738" s="77">
        <f t="shared" si="241"/>
        <v>1.7526455026455022E-2</v>
      </c>
      <c r="AV738" s="77" t="str">
        <f t="shared" si="241"/>
        <v>E90</v>
      </c>
      <c r="AW738" s="77">
        <f t="shared" si="241"/>
        <v>99</v>
      </c>
      <c r="AX738" s="77" t="str">
        <f t="shared" si="241"/>
        <v>MEX</v>
      </c>
    </row>
    <row r="739" spans="1:50" x14ac:dyDescent="0.25">
      <c r="A739">
        <v>725</v>
      </c>
      <c r="B739" s="36" t="str">
        <f t="shared" si="236"/>
        <v>INTERAVIÓN</v>
      </c>
      <c r="C739" s="88">
        <v>411</v>
      </c>
      <c r="D739" s="57">
        <v>0.83124999999999993</v>
      </c>
      <c r="E739" s="57">
        <v>0.83680555555555547</v>
      </c>
      <c r="F739" s="58">
        <v>5.5555555555555358E-3</v>
      </c>
      <c r="G739" s="57">
        <v>0.84375</v>
      </c>
      <c r="H739" s="58">
        <v>6.9444444444445308E-3</v>
      </c>
      <c r="I739" s="59">
        <v>41713</v>
      </c>
      <c r="J739" s="108" t="s">
        <v>19</v>
      </c>
      <c r="K739" s="61">
        <v>6.8055555555555421E-3</v>
      </c>
      <c r="L739" s="61">
        <v>9.0972222222222565E-3</v>
      </c>
      <c r="M739" s="89">
        <v>1.59027777777778E-2</v>
      </c>
      <c r="N739" s="90">
        <v>320</v>
      </c>
      <c r="O739" s="91">
        <v>179</v>
      </c>
      <c r="P739" s="92" t="s">
        <v>34</v>
      </c>
      <c r="R739">
        <v>725</v>
      </c>
      <c r="S739" s="36" t="str">
        <f t="shared" si="223"/>
        <v>MEXICO AEREO</v>
      </c>
      <c r="T739" s="36">
        <f t="shared" si="223"/>
        <v>186</v>
      </c>
      <c r="U739" s="73">
        <v>0.95694444444444438</v>
      </c>
      <c r="V739" s="74">
        <v>0.96250000000000002</v>
      </c>
      <c r="W739" s="75">
        <v>5.5555555555556468E-3</v>
      </c>
      <c r="X739" s="74">
        <v>0.97499999999999998</v>
      </c>
      <c r="Y739" s="75">
        <v>1.2499999999999956E-2</v>
      </c>
      <c r="Z739" s="76">
        <v>41749</v>
      </c>
      <c r="AA739" s="36" t="str">
        <f t="shared" si="240"/>
        <v>Nacional</v>
      </c>
      <c r="AB739" s="36">
        <f t="shared" si="240"/>
        <v>5.9523809523809434E-3</v>
      </c>
      <c r="AC739" s="36">
        <f t="shared" si="240"/>
        <v>7.4404761904761901E-3</v>
      </c>
      <c r="AD739" s="36">
        <f t="shared" si="240"/>
        <v>1.3392857142857133E-2</v>
      </c>
      <c r="AE739" s="36" t="str">
        <f t="shared" si="240"/>
        <v>B737-700</v>
      </c>
      <c r="AF739" s="36">
        <f t="shared" si="240"/>
        <v>126</v>
      </c>
      <c r="AG739" s="36" t="str">
        <f t="shared" si="240"/>
        <v>MEX</v>
      </c>
      <c r="AI739">
        <v>725</v>
      </c>
      <c r="AJ739" s="77" t="str">
        <f t="shared" si="244"/>
        <v>MEXICO AEREO</v>
      </c>
      <c r="AK739" s="77">
        <f t="shared" si="243"/>
        <v>108</v>
      </c>
      <c r="AL739" s="78">
        <v>0.4236111111111111</v>
      </c>
      <c r="AM739" s="79">
        <v>0.44166666666666665</v>
      </c>
      <c r="AN739" s="80">
        <v>1.8055555555555547E-2</v>
      </c>
      <c r="AO739" s="79">
        <v>0.4513888888888889</v>
      </c>
      <c r="AP739" s="80">
        <v>9.7222222222222432E-3</v>
      </c>
      <c r="AQ739" s="81">
        <v>41805</v>
      </c>
      <c r="AR739" s="77" t="str">
        <f t="shared" si="241"/>
        <v>Nacional</v>
      </c>
      <c r="AS739" s="77">
        <f t="shared" si="241"/>
        <v>7.9365079365079222E-3</v>
      </c>
      <c r="AT739" s="77">
        <f t="shared" si="241"/>
        <v>9.5899470899471016E-3</v>
      </c>
      <c r="AU739" s="77">
        <f t="shared" si="241"/>
        <v>1.7526455026455022E-2</v>
      </c>
      <c r="AV739" s="77" t="str">
        <f t="shared" si="241"/>
        <v>E90</v>
      </c>
      <c r="AW739" s="77">
        <f t="shared" si="241"/>
        <v>99</v>
      </c>
      <c r="AX739" s="77" t="str">
        <f t="shared" si="241"/>
        <v>MEX</v>
      </c>
    </row>
    <row r="740" spans="1:50" x14ac:dyDescent="0.25">
      <c r="A740">
        <v>726</v>
      </c>
      <c r="B740" s="36" t="str">
        <f t="shared" si="236"/>
        <v>INTERAVIÓN</v>
      </c>
      <c r="C740" s="36">
        <f t="shared" si="236"/>
        <v>411</v>
      </c>
      <c r="D740" s="74">
        <v>0.83750000000000002</v>
      </c>
      <c r="E740" s="74">
        <v>0.84375</v>
      </c>
      <c r="F740" s="75">
        <v>6.2499999999999778E-3</v>
      </c>
      <c r="G740" s="74">
        <v>0.85069444444444453</v>
      </c>
      <c r="H740" s="75">
        <v>6.9444444444445308E-3</v>
      </c>
      <c r="I740" s="76">
        <v>41715</v>
      </c>
      <c r="J740" s="36" t="str">
        <f t="shared" ref="J740:P748" si="246">J739</f>
        <v>Nacional</v>
      </c>
      <c r="K740" s="36">
        <f t="shared" si="246"/>
        <v>6.8055555555555421E-3</v>
      </c>
      <c r="L740" s="36">
        <f t="shared" si="246"/>
        <v>9.0972222222222565E-3</v>
      </c>
      <c r="M740" s="36">
        <f t="shared" si="246"/>
        <v>1.59027777777778E-2</v>
      </c>
      <c r="N740" s="36">
        <f t="shared" si="246"/>
        <v>320</v>
      </c>
      <c r="O740" s="36">
        <f t="shared" si="246"/>
        <v>179</v>
      </c>
      <c r="P740" s="36" t="str">
        <f t="shared" si="246"/>
        <v>TIJ</v>
      </c>
      <c r="R740">
        <v>726</v>
      </c>
      <c r="S740" s="36" t="str">
        <f t="shared" si="223"/>
        <v>MEXICO AEREO</v>
      </c>
      <c r="T740" s="36">
        <f t="shared" si="223"/>
        <v>186</v>
      </c>
      <c r="U740" s="73">
        <v>0.9784722222222223</v>
      </c>
      <c r="V740" s="74">
        <v>0.98819444444444438</v>
      </c>
      <c r="W740" s="75">
        <v>9.7222222222220767E-3</v>
      </c>
      <c r="X740" s="74">
        <v>0.9902777777777777</v>
      </c>
      <c r="Y740" s="75">
        <v>2.0833333333333259E-3</v>
      </c>
      <c r="Z740" s="76">
        <v>41751</v>
      </c>
      <c r="AA740" s="36" t="str">
        <f t="shared" si="240"/>
        <v>Nacional</v>
      </c>
      <c r="AB740" s="36">
        <f t="shared" si="240"/>
        <v>5.9523809523809434E-3</v>
      </c>
      <c r="AC740" s="36">
        <f t="shared" si="240"/>
        <v>7.4404761904761901E-3</v>
      </c>
      <c r="AD740" s="36">
        <f t="shared" si="240"/>
        <v>1.3392857142857133E-2</v>
      </c>
      <c r="AE740" s="36" t="str">
        <f t="shared" si="240"/>
        <v>B737-700</v>
      </c>
      <c r="AF740" s="36">
        <f t="shared" si="240"/>
        <v>126</v>
      </c>
      <c r="AG740" s="36" t="str">
        <f t="shared" si="240"/>
        <v>MEX</v>
      </c>
      <c r="AI740">
        <v>726</v>
      </c>
      <c r="AJ740" s="77" t="str">
        <f t="shared" si="244"/>
        <v>MEXICO AEREO</v>
      </c>
      <c r="AK740" s="77">
        <f t="shared" si="243"/>
        <v>108</v>
      </c>
      <c r="AL740" s="78">
        <v>0.82847222222222217</v>
      </c>
      <c r="AM740" s="79">
        <v>0.84236111111111101</v>
      </c>
      <c r="AN740" s="80">
        <v>1.388888888888884E-2</v>
      </c>
      <c r="AO740" s="79">
        <v>0.85833333333333339</v>
      </c>
      <c r="AP740" s="80">
        <v>1.5972222222222388E-2</v>
      </c>
      <c r="AQ740" s="81">
        <v>41806</v>
      </c>
      <c r="AR740" s="77" t="str">
        <f t="shared" si="241"/>
        <v>Nacional</v>
      </c>
      <c r="AS740" s="77">
        <f t="shared" si="241"/>
        <v>7.9365079365079222E-3</v>
      </c>
      <c r="AT740" s="77">
        <f t="shared" si="241"/>
        <v>9.5899470899471016E-3</v>
      </c>
      <c r="AU740" s="77">
        <f t="shared" si="241"/>
        <v>1.7526455026455022E-2</v>
      </c>
      <c r="AV740" s="77" t="str">
        <f t="shared" si="241"/>
        <v>E90</v>
      </c>
      <c r="AW740" s="77">
        <f t="shared" si="241"/>
        <v>99</v>
      </c>
      <c r="AX740" s="77" t="str">
        <f t="shared" si="241"/>
        <v>MEX</v>
      </c>
    </row>
    <row r="741" spans="1:50" x14ac:dyDescent="0.25">
      <c r="A741">
        <v>727</v>
      </c>
      <c r="B741" s="36" t="str">
        <f t="shared" si="236"/>
        <v>INTERAVIÓN</v>
      </c>
      <c r="C741" s="36">
        <f t="shared" si="236"/>
        <v>411</v>
      </c>
      <c r="D741" s="74">
        <v>0.8534722222222223</v>
      </c>
      <c r="E741" s="74">
        <v>0.86041666666666661</v>
      </c>
      <c r="F741" s="75">
        <v>6.9444444444443088E-3</v>
      </c>
      <c r="G741" s="74">
        <v>0.8618055555555556</v>
      </c>
      <c r="H741" s="75">
        <v>1.388888888888995E-3</v>
      </c>
      <c r="I741" s="76">
        <v>41716</v>
      </c>
      <c r="J741" s="36" t="str">
        <f t="shared" si="246"/>
        <v>Nacional</v>
      </c>
      <c r="K741" s="36">
        <f t="shared" si="246"/>
        <v>6.8055555555555421E-3</v>
      </c>
      <c r="L741" s="36">
        <f t="shared" si="246"/>
        <v>9.0972222222222565E-3</v>
      </c>
      <c r="M741" s="36">
        <f t="shared" si="246"/>
        <v>1.59027777777778E-2</v>
      </c>
      <c r="N741" s="36">
        <f t="shared" si="246"/>
        <v>320</v>
      </c>
      <c r="O741" s="36">
        <f t="shared" si="246"/>
        <v>179</v>
      </c>
      <c r="P741" s="36" t="str">
        <f t="shared" si="246"/>
        <v>TIJ</v>
      </c>
      <c r="R741">
        <v>727</v>
      </c>
      <c r="S741" s="36" t="str">
        <f t="shared" si="223"/>
        <v>MEXICO AEREO</v>
      </c>
      <c r="T741" s="36">
        <f t="shared" si="223"/>
        <v>186</v>
      </c>
      <c r="U741" s="73">
        <v>0.9604166666666667</v>
      </c>
      <c r="V741" s="74">
        <v>0.96805555555555556</v>
      </c>
      <c r="W741" s="75">
        <v>7.6388888888888618E-3</v>
      </c>
      <c r="X741" s="74">
        <v>0.97569444444444453</v>
      </c>
      <c r="Y741" s="75">
        <v>7.6388888888889728E-3</v>
      </c>
      <c r="Z741" s="76">
        <v>41753</v>
      </c>
      <c r="AA741" s="36" t="str">
        <f t="shared" si="240"/>
        <v>Nacional</v>
      </c>
      <c r="AB741" s="36">
        <f t="shared" si="240"/>
        <v>5.9523809523809434E-3</v>
      </c>
      <c r="AC741" s="36">
        <f t="shared" si="240"/>
        <v>7.4404761904761901E-3</v>
      </c>
      <c r="AD741" s="36">
        <f t="shared" si="240"/>
        <v>1.3392857142857133E-2</v>
      </c>
      <c r="AE741" s="36" t="str">
        <f t="shared" si="240"/>
        <v>B737-700</v>
      </c>
      <c r="AF741" s="36">
        <f t="shared" si="240"/>
        <v>126</v>
      </c>
      <c r="AG741" s="36" t="str">
        <f t="shared" si="240"/>
        <v>MEX</v>
      </c>
      <c r="AI741">
        <v>727</v>
      </c>
      <c r="AJ741" s="77" t="str">
        <f t="shared" si="244"/>
        <v>MEXICO AEREO</v>
      </c>
      <c r="AK741" s="77">
        <f t="shared" si="243"/>
        <v>108</v>
      </c>
      <c r="AL741" s="78">
        <v>0.84791666666666676</v>
      </c>
      <c r="AM741" s="79">
        <v>0.8618055555555556</v>
      </c>
      <c r="AN741" s="80">
        <v>1.388888888888884E-2</v>
      </c>
      <c r="AO741" s="79">
        <v>0.88124999999999998</v>
      </c>
      <c r="AP741" s="80">
        <v>1.9444444444444375E-2</v>
      </c>
      <c r="AQ741" s="81">
        <v>41807</v>
      </c>
      <c r="AR741" s="77" t="str">
        <f t="shared" si="241"/>
        <v>Nacional</v>
      </c>
      <c r="AS741" s="77">
        <f t="shared" si="241"/>
        <v>7.9365079365079222E-3</v>
      </c>
      <c r="AT741" s="77">
        <f t="shared" si="241"/>
        <v>9.5899470899471016E-3</v>
      </c>
      <c r="AU741" s="77">
        <f t="shared" si="241"/>
        <v>1.7526455026455022E-2</v>
      </c>
      <c r="AV741" s="77" t="str">
        <f t="shared" si="241"/>
        <v>E90</v>
      </c>
      <c r="AW741" s="77">
        <f t="shared" si="241"/>
        <v>99</v>
      </c>
      <c r="AX741" s="77" t="str">
        <f t="shared" si="241"/>
        <v>MEX</v>
      </c>
    </row>
    <row r="742" spans="1:50" x14ac:dyDescent="0.25">
      <c r="A742">
        <v>728</v>
      </c>
      <c r="B742" s="36" t="str">
        <f t="shared" si="236"/>
        <v>INTERAVIÓN</v>
      </c>
      <c r="C742" s="36">
        <f t="shared" si="236"/>
        <v>411</v>
      </c>
      <c r="D742" s="74">
        <v>0.84027777777777779</v>
      </c>
      <c r="E742" s="74">
        <v>0.85625000000000007</v>
      </c>
      <c r="F742" s="75">
        <v>1.5972222222222276E-2</v>
      </c>
      <c r="G742" s="74">
        <v>0.85833333333333339</v>
      </c>
      <c r="H742" s="75">
        <v>2.0833333333333259E-3</v>
      </c>
      <c r="I742" s="76">
        <v>41719</v>
      </c>
      <c r="J742" s="36" t="str">
        <f t="shared" si="246"/>
        <v>Nacional</v>
      </c>
      <c r="K742" s="36">
        <f t="shared" si="246"/>
        <v>6.8055555555555421E-3</v>
      </c>
      <c r="L742" s="36">
        <f t="shared" si="246"/>
        <v>9.0972222222222565E-3</v>
      </c>
      <c r="M742" s="36">
        <f t="shared" si="246"/>
        <v>1.59027777777778E-2</v>
      </c>
      <c r="N742" s="36">
        <f t="shared" si="246"/>
        <v>320</v>
      </c>
      <c r="O742" s="36">
        <f t="shared" si="246"/>
        <v>179</v>
      </c>
      <c r="P742" s="36" t="str">
        <f t="shared" si="246"/>
        <v>TIJ</v>
      </c>
      <c r="R742">
        <v>728</v>
      </c>
      <c r="S742" s="36" t="str">
        <f t="shared" si="223"/>
        <v>MEXICO AEREO</v>
      </c>
      <c r="T742" s="36">
        <f t="shared" si="223"/>
        <v>186</v>
      </c>
      <c r="U742" s="73">
        <v>0.96666666666666667</v>
      </c>
      <c r="V742" s="74">
        <v>0.97499999999999998</v>
      </c>
      <c r="W742" s="75">
        <v>8.3333333333333037E-3</v>
      </c>
      <c r="X742" s="74">
        <v>0.9902777777777777</v>
      </c>
      <c r="Y742" s="75">
        <v>1.5277777777777724E-2</v>
      </c>
      <c r="Z742" s="76">
        <v>41755</v>
      </c>
      <c r="AA742" s="36" t="str">
        <f t="shared" si="240"/>
        <v>Nacional</v>
      </c>
      <c r="AB742" s="36">
        <f t="shared" si="240"/>
        <v>5.9523809523809434E-3</v>
      </c>
      <c r="AC742" s="36">
        <f t="shared" si="240"/>
        <v>7.4404761904761901E-3</v>
      </c>
      <c r="AD742" s="36">
        <f t="shared" si="240"/>
        <v>1.3392857142857133E-2</v>
      </c>
      <c r="AE742" s="36" t="str">
        <f t="shared" si="240"/>
        <v>B737-700</v>
      </c>
      <c r="AF742" s="36">
        <f t="shared" si="240"/>
        <v>126</v>
      </c>
      <c r="AG742" s="36" t="str">
        <f t="shared" si="240"/>
        <v>MEX</v>
      </c>
      <c r="AI742">
        <v>728</v>
      </c>
      <c r="AJ742" s="77" t="str">
        <f t="shared" si="244"/>
        <v>MEXICO AEREO</v>
      </c>
      <c r="AK742" s="77">
        <f t="shared" si="243"/>
        <v>108</v>
      </c>
      <c r="AL742" s="78">
        <v>0.50555555555555554</v>
      </c>
      <c r="AM742" s="79">
        <v>0.5180555555555556</v>
      </c>
      <c r="AN742" s="80">
        <v>1.2500000000000067E-2</v>
      </c>
      <c r="AO742" s="79">
        <v>0.52430555555555558</v>
      </c>
      <c r="AP742" s="80">
        <v>6.2499999999999778E-3</v>
      </c>
      <c r="AQ742" s="81">
        <v>41808</v>
      </c>
      <c r="AR742" s="77" t="str">
        <f t="shared" si="241"/>
        <v>Nacional</v>
      </c>
      <c r="AS742" s="77">
        <f t="shared" si="241"/>
        <v>7.9365079365079222E-3</v>
      </c>
      <c r="AT742" s="77">
        <f t="shared" si="241"/>
        <v>9.5899470899471016E-3</v>
      </c>
      <c r="AU742" s="77">
        <f t="shared" si="241"/>
        <v>1.7526455026455022E-2</v>
      </c>
      <c r="AV742" s="77" t="str">
        <f t="shared" si="241"/>
        <v>E90</v>
      </c>
      <c r="AW742" s="77">
        <f t="shared" si="241"/>
        <v>99</v>
      </c>
      <c r="AX742" s="77" t="str">
        <f t="shared" si="241"/>
        <v>MEX</v>
      </c>
    </row>
    <row r="743" spans="1:50" x14ac:dyDescent="0.25">
      <c r="A743">
        <v>729</v>
      </c>
      <c r="B743" s="36" t="str">
        <f t="shared" si="236"/>
        <v>INTERAVIÓN</v>
      </c>
      <c r="C743" s="36">
        <f t="shared" si="236"/>
        <v>411</v>
      </c>
      <c r="D743" s="74">
        <v>0.83819444444444446</v>
      </c>
      <c r="E743" s="74">
        <v>0.84652777777777777</v>
      </c>
      <c r="F743" s="75">
        <v>8.3333333333333037E-3</v>
      </c>
      <c r="G743" s="74">
        <v>0.85625000000000007</v>
      </c>
      <c r="H743" s="75">
        <v>9.7222222222222987E-3</v>
      </c>
      <c r="I743" s="76">
        <v>41721</v>
      </c>
      <c r="J743" s="36" t="str">
        <f t="shared" si="246"/>
        <v>Nacional</v>
      </c>
      <c r="K743" s="36">
        <f t="shared" si="246"/>
        <v>6.8055555555555421E-3</v>
      </c>
      <c r="L743" s="36">
        <f t="shared" si="246"/>
        <v>9.0972222222222565E-3</v>
      </c>
      <c r="M743" s="36">
        <f t="shared" si="246"/>
        <v>1.59027777777778E-2</v>
      </c>
      <c r="N743" s="36">
        <f t="shared" si="246"/>
        <v>320</v>
      </c>
      <c r="O743" s="36">
        <f t="shared" si="246"/>
        <v>179</v>
      </c>
      <c r="P743" s="36" t="str">
        <f t="shared" si="246"/>
        <v>TIJ</v>
      </c>
      <c r="R743">
        <v>729</v>
      </c>
      <c r="S743" s="36" t="str">
        <f t="shared" si="223"/>
        <v>MEXICO AEREO</v>
      </c>
      <c r="T743" s="36">
        <f t="shared" si="223"/>
        <v>186</v>
      </c>
      <c r="U743" s="73">
        <v>0.96805555555555556</v>
      </c>
      <c r="V743" s="74">
        <v>0.97430555555555554</v>
      </c>
      <c r="W743" s="75">
        <v>6.2499999999999778E-3</v>
      </c>
      <c r="X743" s="74">
        <v>0.98541666666666661</v>
      </c>
      <c r="Y743" s="75">
        <v>1.1111111111111072E-2</v>
      </c>
      <c r="Z743" s="76">
        <v>41757</v>
      </c>
      <c r="AA743" s="36" t="str">
        <f t="shared" si="240"/>
        <v>Nacional</v>
      </c>
      <c r="AB743" s="36">
        <f t="shared" si="240"/>
        <v>5.9523809523809434E-3</v>
      </c>
      <c r="AC743" s="36">
        <f t="shared" si="240"/>
        <v>7.4404761904761901E-3</v>
      </c>
      <c r="AD743" s="36">
        <f t="shared" si="240"/>
        <v>1.3392857142857133E-2</v>
      </c>
      <c r="AE743" s="36" t="str">
        <f t="shared" si="240"/>
        <v>B737-700</v>
      </c>
      <c r="AF743" s="36">
        <f t="shared" si="240"/>
        <v>126</v>
      </c>
      <c r="AG743" s="36" t="str">
        <f t="shared" si="240"/>
        <v>MEX</v>
      </c>
      <c r="AI743">
        <v>729</v>
      </c>
      <c r="AJ743" s="77" t="str">
        <f t="shared" si="244"/>
        <v>MEXICO AEREO</v>
      </c>
      <c r="AK743" s="77">
        <f t="shared" si="243"/>
        <v>108</v>
      </c>
      <c r="AL743" s="78">
        <v>0.50902777777777775</v>
      </c>
      <c r="AM743" s="79">
        <v>0.51388888888888895</v>
      </c>
      <c r="AN743" s="80">
        <v>4.8611111111112049E-3</v>
      </c>
      <c r="AO743" s="79">
        <v>0.52152777777777781</v>
      </c>
      <c r="AP743" s="80">
        <v>7.6388888888888618E-3</v>
      </c>
      <c r="AQ743" s="81">
        <v>41809</v>
      </c>
      <c r="AR743" s="77" t="str">
        <f t="shared" si="241"/>
        <v>Nacional</v>
      </c>
      <c r="AS743" s="77">
        <f t="shared" si="241"/>
        <v>7.9365079365079222E-3</v>
      </c>
      <c r="AT743" s="77">
        <f t="shared" si="241"/>
        <v>9.5899470899471016E-3</v>
      </c>
      <c r="AU743" s="77">
        <f t="shared" si="241"/>
        <v>1.7526455026455022E-2</v>
      </c>
      <c r="AV743" s="77" t="str">
        <f t="shared" si="241"/>
        <v>E90</v>
      </c>
      <c r="AW743" s="77">
        <f t="shared" si="241"/>
        <v>99</v>
      </c>
      <c r="AX743" s="77" t="str">
        <f t="shared" si="241"/>
        <v>MEX</v>
      </c>
    </row>
    <row r="744" spans="1:50" x14ac:dyDescent="0.25">
      <c r="A744">
        <v>730</v>
      </c>
      <c r="B744" s="36" t="str">
        <f t="shared" si="236"/>
        <v>INTERAVIÓN</v>
      </c>
      <c r="C744" s="36">
        <f t="shared" si="236"/>
        <v>411</v>
      </c>
      <c r="D744" s="74">
        <v>0.83750000000000002</v>
      </c>
      <c r="E744" s="74">
        <v>0.84027777777777779</v>
      </c>
      <c r="F744" s="75">
        <v>2.7777777777777679E-3</v>
      </c>
      <c r="G744" s="74">
        <v>0.86875000000000002</v>
      </c>
      <c r="H744" s="75">
        <v>2.8472222222222232E-2</v>
      </c>
      <c r="I744" s="76">
        <v>41721</v>
      </c>
      <c r="J744" s="36" t="str">
        <f t="shared" si="246"/>
        <v>Nacional</v>
      </c>
      <c r="K744" s="36">
        <f t="shared" si="246"/>
        <v>6.8055555555555421E-3</v>
      </c>
      <c r="L744" s="36">
        <f t="shared" si="246"/>
        <v>9.0972222222222565E-3</v>
      </c>
      <c r="M744" s="36">
        <f t="shared" si="246"/>
        <v>1.59027777777778E-2</v>
      </c>
      <c r="N744" s="36">
        <f t="shared" si="246"/>
        <v>320</v>
      </c>
      <c r="O744" s="36">
        <f t="shared" si="246"/>
        <v>179</v>
      </c>
      <c r="P744" s="36" t="str">
        <f t="shared" si="246"/>
        <v>TIJ</v>
      </c>
      <c r="R744">
        <v>730</v>
      </c>
      <c r="S744" s="36" t="str">
        <f t="shared" si="223"/>
        <v>MEXICO AEREO</v>
      </c>
      <c r="T744" s="36">
        <f t="shared" si="223"/>
        <v>186</v>
      </c>
      <c r="U744" s="73">
        <v>0.96875</v>
      </c>
      <c r="V744" s="74">
        <v>0.97569444444444453</v>
      </c>
      <c r="W744" s="75">
        <v>6.9444444444445308E-3</v>
      </c>
      <c r="X744" s="74">
        <v>0.98055555555555562</v>
      </c>
      <c r="Y744" s="75">
        <v>4.8611111111110938E-3</v>
      </c>
      <c r="Z744" s="76">
        <v>41759</v>
      </c>
      <c r="AA744" s="36" t="str">
        <f t="shared" si="240"/>
        <v>Nacional</v>
      </c>
      <c r="AB744" s="36">
        <f t="shared" si="240"/>
        <v>5.9523809523809434E-3</v>
      </c>
      <c r="AC744" s="36">
        <f t="shared" si="240"/>
        <v>7.4404761904761901E-3</v>
      </c>
      <c r="AD744" s="36">
        <f t="shared" si="240"/>
        <v>1.3392857142857133E-2</v>
      </c>
      <c r="AE744" s="36" t="str">
        <f t="shared" si="240"/>
        <v>B737-700</v>
      </c>
      <c r="AF744" s="36">
        <f t="shared" si="240"/>
        <v>126</v>
      </c>
      <c r="AG744" s="36" t="str">
        <f t="shared" si="240"/>
        <v>MEX</v>
      </c>
      <c r="AI744">
        <v>730</v>
      </c>
      <c r="AJ744" s="77" t="str">
        <f t="shared" si="244"/>
        <v>MEXICO AEREO</v>
      </c>
      <c r="AK744" s="77">
        <f t="shared" si="243"/>
        <v>108</v>
      </c>
      <c r="AL744" s="78">
        <v>0.50694444444444442</v>
      </c>
      <c r="AM744" s="79">
        <v>0.50972222222222219</v>
      </c>
      <c r="AN744" s="80">
        <v>2.7777777777777679E-3</v>
      </c>
      <c r="AO744" s="79">
        <v>0.51736111111111105</v>
      </c>
      <c r="AP744" s="80">
        <v>7.6388888888888618E-3</v>
      </c>
      <c r="AQ744" s="81">
        <v>41810</v>
      </c>
      <c r="AR744" s="77" t="str">
        <f t="shared" si="241"/>
        <v>Nacional</v>
      </c>
      <c r="AS744" s="77">
        <f t="shared" si="241"/>
        <v>7.9365079365079222E-3</v>
      </c>
      <c r="AT744" s="77">
        <f t="shared" si="241"/>
        <v>9.5899470899471016E-3</v>
      </c>
      <c r="AU744" s="77">
        <f t="shared" si="241"/>
        <v>1.7526455026455022E-2</v>
      </c>
      <c r="AV744" s="77" t="str">
        <f t="shared" si="241"/>
        <v>E90</v>
      </c>
      <c r="AW744" s="77">
        <f t="shared" si="241"/>
        <v>99</v>
      </c>
      <c r="AX744" s="77" t="str">
        <f t="shared" si="241"/>
        <v>MEX</v>
      </c>
    </row>
    <row r="745" spans="1:50" ht="15.75" thickBot="1" x14ac:dyDescent="0.3">
      <c r="A745">
        <v>731</v>
      </c>
      <c r="B745" s="36" t="str">
        <f t="shared" si="236"/>
        <v>INTERAVIÓN</v>
      </c>
      <c r="C745" s="36">
        <f t="shared" si="236"/>
        <v>411</v>
      </c>
      <c r="D745" s="74">
        <v>0.84375</v>
      </c>
      <c r="E745" s="74">
        <v>0.84652777777777777</v>
      </c>
      <c r="F745" s="75">
        <v>2.7777777777777679E-3</v>
      </c>
      <c r="G745" s="74">
        <v>0.8534722222222223</v>
      </c>
      <c r="H745" s="75">
        <v>6.9444444444445308E-3</v>
      </c>
      <c r="I745" s="76">
        <v>41724</v>
      </c>
      <c r="J745" s="36" t="str">
        <f t="shared" si="246"/>
        <v>Nacional</v>
      </c>
      <c r="K745" s="36">
        <f t="shared" si="246"/>
        <v>6.8055555555555421E-3</v>
      </c>
      <c r="L745" s="36">
        <f t="shared" si="246"/>
        <v>9.0972222222222565E-3</v>
      </c>
      <c r="M745" s="36">
        <f t="shared" si="246"/>
        <v>1.59027777777778E-2</v>
      </c>
      <c r="N745" s="36">
        <f t="shared" si="246"/>
        <v>320</v>
      </c>
      <c r="O745" s="36">
        <f t="shared" si="246"/>
        <v>179</v>
      </c>
      <c r="P745" s="36" t="str">
        <f t="shared" si="246"/>
        <v>TIJ</v>
      </c>
      <c r="R745">
        <v>731</v>
      </c>
      <c r="S745" s="36" t="str">
        <f t="shared" si="223"/>
        <v>MEXICO AEREO</v>
      </c>
      <c r="T745" s="36">
        <f t="shared" si="223"/>
        <v>186</v>
      </c>
      <c r="U745" s="83">
        <v>0.97291666666666676</v>
      </c>
      <c r="V745" s="84">
        <v>0.98055555555555562</v>
      </c>
      <c r="W745" s="85">
        <v>7.6388888888888618E-3</v>
      </c>
      <c r="X745" s="84">
        <v>0.98819444444444438</v>
      </c>
      <c r="Y745" s="85">
        <v>7.6388888888887507E-3</v>
      </c>
      <c r="Z745" s="86">
        <v>41759</v>
      </c>
      <c r="AA745" s="36" t="str">
        <f t="shared" si="240"/>
        <v>Nacional</v>
      </c>
      <c r="AB745" s="36">
        <f t="shared" si="240"/>
        <v>5.9523809523809434E-3</v>
      </c>
      <c r="AC745" s="36">
        <f t="shared" si="240"/>
        <v>7.4404761904761901E-3</v>
      </c>
      <c r="AD745" s="36">
        <f t="shared" si="240"/>
        <v>1.3392857142857133E-2</v>
      </c>
      <c r="AE745" s="36" t="str">
        <f t="shared" si="240"/>
        <v>B737-700</v>
      </c>
      <c r="AF745" s="36">
        <f t="shared" si="240"/>
        <v>126</v>
      </c>
      <c r="AG745" s="36" t="str">
        <f t="shared" si="240"/>
        <v>MEX</v>
      </c>
      <c r="AI745">
        <v>731</v>
      </c>
      <c r="AJ745" s="77" t="str">
        <f t="shared" si="244"/>
        <v>MEXICO AEREO</v>
      </c>
      <c r="AK745" s="77">
        <f t="shared" si="243"/>
        <v>108</v>
      </c>
      <c r="AL745" s="78">
        <v>0.52916666666666667</v>
      </c>
      <c r="AM745" s="79">
        <v>0.53472222222222221</v>
      </c>
      <c r="AN745" s="80">
        <v>5.5555555555555358E-3</v>
      </c>
      <c r="AO745" s="79">
        <v>0.54375000000000007</v>
      </c>
      <c r="AP745" s="80">
        <v>9.0277777777778567E-3</v>
      </c>
      <c r="AQ745" s="81">
        <v>41811</v>
      </c>
      <c r="AR745" s="77" t="str">
        <f t="shared" si="241"/>
        <v>Nacional</v>
      </c>
      <c r="AS745" s="77">
        <f t="shared" si="241"/>
        <v>7.9365079365079222E-3</v>
      </c>
      <c r="AT745" s="77">
        <f t="shared" si="241"/>
        <v>9.5899470899471016E-3</v>
      </c>
      <c r="AU745" s="77">
        <f t="shared" si="241"/>
        <v>1.7526455026455022E-2</v>
      </c>
      <c r="AV745" s="77" t="str">
        <f t="shared" si="241"/>
        <v>E90</v>
      </c>
      <c r="AW745" s="77">
        <f t="shared" si="241"/>
        <v>99</v>
      </c>
      <c r="AX745" s="77" t="str">
        <f t="shared" si="241"/>
        <v>MEX</v>
      </c>
    </row>
    <row r="746" spans="1:50" ht="15.75" thickBot="1" x14ac:dyDescent="0.3">
      <c r="A746">
        <v>732</v>
      </c>
      <c r="B746" s="36" t="str">
        <f t="shared" si="236"/>
        <v>INTERAVIÓN</v>
      </c>
      <c r="C746" s="36">
        <f t="shared" si="236"/>
        <v>411</v>
      </c>
      <c r="D746" s="74">
        <v>0.84166666666666667</v>
      </c>
      <c r="E746" s="74">
        <v>0.84513888888888899</v>
      </c>
      <c r="F746" s="75">
        <v>3.4722222222223209E-3</v>
      </c>
      <c r="G746" s="74">
        <v>0.85277777777777775</v>
      </c>
      <c r="H746" s="75">
        <v>7.6388888888887507E-3</v>
      </c>
      <c r="I746" s="76">
        <v>41725</v>
      </c>
      <c r="J746" s="36" t="str">
        <f t="shared" si="246"/>
        <v>Nacional</v>
      </c>
      <c r="K746" s="36">
        <f t="shared" si="246"/>
        <v>6.8055555555555421E-3</v>
      </c>
      <c r="L746" s="36">
        <f t="shared" si="246"/>
        <v>9.0972222222222565E-3</v>
      </c>
      <c r="M746" s="36">
        <f t="shared" si="246"/>
        <v>1.59027777777778E-2</v>
      </c>
      <c r="N746" s="36">
        <f t="shared" si="246"/>
        <v>320</v>
      </c>
      <c r="O746" s="36">
        <f t="shared" si="246"/>
        <v>179</v>
      </c>
      <c r="P746" s="36" t="str">
        <f t="shared" si="246"/>
        <v>TIJ</v>
      </c>
      <c r="R746">
        <v>732</v>
      </c>
      <c r="S746" s="45" t="s">
        <v>18</v>
      </c>
      <c r="T746" s="55">
        <v>160</v>
      </c>
      <c r="U746" s="56">
        <v>0.92708333333333337</v>
      </c>
      <c r="V746" s="57">
        <v>0.93194444444444446</v>
      </c>
      <c r="W746" s="58">
        <v>4.8611111111110938E-3</v>
      </c>
      <c r="X746" s="57">
        <v>0.94097222222222221</v>
      </c>
      <c r="Y746" s="58">
        <v>9.0277777777777457E-3</v>
      </c>
      <c r="Z746" s="59">
        <v>41736</v>
      </c>
      <c r="AA746" s="60" t="s">
        <v>19</v>
      </c>
      <c r="AB746" s="61">
        <v>6.1197916666666727E-3</v>
      </c>
      <c r="AC746" s="61">
        <v>7.3784722222222099E-3</v>
      </c>
      <c r="AD746" s="62">
        <v>1.3498263888888883E-2</v>
      </c>
      <c r="AE746" s="167" t="s">
        <v>39</v>
      </c>
      <c r="AF746" s="167">
        <v>189</v>
      </c>
      <c r="AG746" s="168" t="s">
        <v>21</v>
      </c>
      <c r="AI746">
        <v>732</v>
      </c>
      <c r="AJ746" s="77" t="str">
        <f t="shared" si="244"/>
        <v>MEXICO AEREO</v>
      </c>
      <c r="AK746" s="77">
        <f t="shared" si="243"/>
        <v>108</v>
      </c>
      <c r="AL746" s="94">
        <v>0.51388888888888895</v>
      </c>
      <c r="AM746" s="95">
        <v>0.52777777777777779</v>
      </c>
      <c r="AN746" s="96">
        <v>1.388888888888884E-2</v>
      </c>
      <c r="AO746" s="95">
        <v>0.54861111111111105</v>
      </c>
      <c r="AP746" s="96">
        <v>2.0833333333333259E-2</v>
      </c>
      <c r="AQ746" s="97">
        <v>41812</v>
      </c>
      <c r="AR746" s="77" t="str">
        <f t="shared" si="241"/>
        <v>Nacional</v>
      </c>
      <c r="AS746" s="77">
        <f t="shared" si="241"/>
        <v>7.9365079365079222E-3</v>
      </c>
      <c r="AT746" s="77">
        <f t="shared" si="241"/>
        <v>9.5899470899471016E-3</v>
      </c>
      <c r="AU746" s="77">
        <f t="shared" si="241"/>
        <v>1.7526455026455022E-2</v>
      </c>
      <c r="AV746" s="77" t="str">
        <f t="shared" si="241"/>
        <v>E90</v>
      </c>
      <c r="AW746" s="77">
        <f t="shared" si="241"/>
        <v>99</v>
      </c>
      <c r="AX746" s="77" t="str">
        <f t="shared" si="241"/>
        <v>MEX</v>
      </c>
    </row>
    <row r="747" spans="1:50" x14ac:dyDescent="0.25">
      <c r="A747">
        <v>733</v>
      </c>
      <c r="B747" s="36" t="str">
        <f t="shared" si="236"/>
        <v>INTERAVIÓN</v>
      </c>
      <c r="C747" s="36">
        <f t="shared" si="236"/>
        <v>411</v>
      </c>
      <c r="D747" s="74">
        <v>0.84513888888888899</v>
      </c>
      <c r="E747" s="74">
        <v>0.85416666666666663</v>
      </c>
      <c r="F747" s="75">
        <v>9.0277777777776347E-3</v>
      </c>
      <c r="G747" s="74">
        <v>0.8666666666666667</v>
      </c>
      <c r="H747" s="75">
        <v>1.2500000000000067E-2</v>
      </c>
      <c r="I747" s="76">
        <v>41726</v>
      </c>
      <c r="J747" s="36" t="str">
        <f t="shared" si="246"/>
        <v>Nacional</v>
      </c>
      <c r="K747" s="36">
        <f t="shared" si="246"/>
        <v>6.8055555555555421E-3</v>
      </c>
      <c r="L747" s="36">
        <f t="shared" si="246"/>
        <v>9.0972222222222565E-3</v>
      </c>
      <c r="M747" s="36">
        <f t="shared" si="246"/>
        <v>1.59027777777778E-2</v>
      </c>
      <c r="N747" s="36">
        <f t="shared" si="246"/>
        <v>320</v>
      </c>
      <c r="O747" s="36">
        <f t="shared" si="246"/>
        <v>179</v>
      </c>
      <c r="P747" s="36" t="str">
        <f t="shared" si="246"/>
        <v>TIJ</v>
      </c>
      <c r="R747">
        <v>733</v>
      </c>
      <c r="S747" s="36" t="str">
        <f t="shared" ref="S747:T810" si="247">S746</f>
        <v>MEXICO AEREO</v>
      </c>
      <c r="T747" s="36">
        <f t="shared" si="247"/>
        <v>160</v>
      </c>
      <c r="U747" s="73">
        <v>0.92847222222222225</v>
      </c>
      <c r="V747" s="74">
        <v>0.93055555555555547</v>
      </c>
      <c r="W747" s="75">
        <v>2.0833333333332149E-3</v>
      </c>
      <c r="X747" s="74">
        <v>0.93680555555555556</v>
      </c>
      <c r="Y747" s="75">
        <v>6.2500000000000888E-3</v>
      </c>
      <c r="Z747" s="76">
        <v>41736</v>
      </c>
      <c r="AA747" s="36" t="str">
        <f t="shared" ref="AA747:AG761" si="248">AA746</f>
        <v>Nacional</v>
      </c>
      <c r="AB747" s="36">
        <f t="shared" si="248"/>
        <v>6.1197916666666727E-3</v>
      </c>
      <c r="AC747" s="36">
        <f t="shared" si="248"/>
        <v>7.3784722222222099E-3</v>
      </c>
      <c r="AD747" s="36">
        <f t="shared" si="248"/>
        <v>1.3498263888888883E-2</v>
      </c>
      <c r="AE747" s="36" t="str">
        <f t="shared" si="248"/>
        <v>B737-800</v>
      </c>
      <c r="AF747" s="36">
        <f t="shared" si="248"/>
        <v>189</v>
      </c>
      <c r="AG747" s="36" t="str">
        <f t="shared" si="248"/>
        <v>MEX</v>
      </c>
      <c r="AI747">
        <v>733</v>
      </c>
      <c r="AJ747" s="77" t="str">
        <f t="shared" si="244"/>
        <v>MEXICO AEREO</v>
      </c>
      <c r="AK747" s="63">
        <v>104</v>
      </c>
      <c r="AL747" s="64">
        <v>0.47083333333333338</v>
      </c>
      <c r="AM747" s="65">
        <v>0.47430555555555554</v>
      </c>
      <c r="AN747" s="66">
        <v>3.4722222222221544E-3</v>
      </c>
      <c r="AO747" s="65">
        <v>0.47916666666666669</v>
      </c>
      <c r="AP747" s="66">
        <v>4.8611111111111494E-3</v>
      </c>
      <c r="AQ747" s="67">
        <v>41792</v>
      </c>
      <c r="AR747" s="68" t="s">
        <v>19</v>
      </c>
      <c r="AS747" s="69">
        <v>7.7777777777777645E-3</v>
      </c>
      <c r="AT747" s="70">
        <v>8.2870370370370598E-3</v>
      </c>
      <c r="AU747" s="70">
        <v>1.6064814814814823E-2</v>
      </c>
      <c r="AV747" s="71" t="s">
        <v>50</v>
      </c>
      <c r="AW747" s="71">
        <v>99</v>
      </c>
      <c r="AX747" s="72" t="s">
        <v>21</v>
      </c>
    </row>
    <row r="748" spans="1:50" ht="15.75" thickBot="1" x14ac:dyDescent="0.3">
      <c r="A748">
        <v>734</v>
      </c>
      <c r="B748" s="36" t="str">
        <f t="shared" si="236"/>
        <v>INTERAVIÓN</v>
      </c>
      <c r="C748" s="36">
        <f t="shared" si="236"/>
        <v>411</v>
      </c>
      <c r="D748" s="84">
        <v>0.83680555555555547</v>
      </c>
      <c r="E748" s="84">
        <v>0.84375</v>
      </c>
      <c r="F748" s="85">
        <v>6.9444444444445308E-3</v>
      </c>
      <c r="G748" s="84">
        <v>0.8520833333333333</v>
      </c>
      <c r="H748" s="85">
        <v>8.3333333333333037E-3</v>
      </c>
      <c r="I748" s="86">
        <v>41727</v>
      </c>
      <c r="J748" s="36" t="str">
        <f t="shared" si="246"/>
        <v>Nacional</v>
      </c>
      <c r="K748" s="36">
        <f t="shared" si="246"/>
        <v>6.8055555555555421E-3</v>
      </c>
      <c r="L748" s="36">
        <f t="shared" si="246"/>
        <v>9.0972222222222565E-3</v>
      </c>
      <c r="M748" s="36">
        <f t="shared" si="246"/>
        <v>1.59027777777778E-2</v>
      </c>
      <c r="N748" s="36">
        <f t="shared" si="246"/>
        <v>320</v>
      </c>
      <c r="O748" s="36">
        <f t="shared" si="246"/>
        <v>179</v>
      </c>
      <c r="P748" s="36" t="str">
        <f t="shared" si="246"/>
        <v>TIJ</v>
      </c>
      <c r="R748">
        <v>734</v>
      </c>
      <c r="S748" s="36" t="str">
        <f t="shared" si="247"/>
        <v>MEXICO AEREO</v>
      </c>
      <c r="T748" s="36">
        <f t="shared" si="247"/>
        <v>160</v>
      </c>
      <c r="U748" s="73">
        <v>0.91388888888888886</v>
      </c>
      <c r="V748" s="74">
        <v>0.91875000000000007</v>
      </c>
      <c r="W748" s="75">
        <v>4.8611111111112049E-3</v>
      </c>
      <c r="X748" s="74">
        <v>0.92569444444444438</v>
      </c>
      <c r="Y748" s="75">
        <v>6.9444444444443088E-3</v>
      </c>
      <c r="Z748" s="76">
        <v>41738</v>
      </c>
      <c r="AA748" s="36" t="str">
        <f t="shared" si="248"/>
        <v>Nacional</v>
      </c>
      <c r="AB748" s="36">
        <f t="shared" si="248"/>
        <v>6.1197916666666727E-3</v>
      </c>
      <c r="AC748" s="36">
        <f t="shared" si="248"/>
        <v>7.3784722222222099E-3</v>
      </c>
      <c r="AD748" s="36">
        <f t="shared" si="248"/>
        <v>1.3498263888888883E-2</v>
      </c>
      <c r="AE748" s="36" t="str">
        <f t="shared" si="248"/>
        <v>B737-800</v>
      </c>
      <c r="AF748" s="36">
        <f t="shared" si="248"/>
        <v>189</v>
      </c>
      <c r="AG748" s="36" t="str">
        <f t="shared" si="248"/>
        <v>MEX</v>
      </c>
      <c r="AI748">
        <v>734</v>
      </c>
      <c r="AJ748" s="77" t="str">
        <f t="shared" si="244"/>
        <v>MEXICO AEREO</v>
      </c>
      <c r="AK748" s="77">
        <f t="shared" si="244"/>
        <v>104</v>
      </c>
      <c r="AL748" s="78">
        <v>0.46180555555555558</v>
      </c>
      <c r="AM748" s="79">
        <v>0.46527777777777773</v>
      </c>
      <c r="AN748" s="80">
        <v>3.4722222222221544E-3</v>
      </c>
      <c r="AO748" s="79">
        <v>0.47083333333333338</v>
      </c>
      <c r="AP748" s="80">
        <v>5.5555555555556468E-3</v>
      </c>
      <c r="AQ748" s="81">
        <v>41793</v>
      </c>
      <c r="AR748" s="77" t="str">
        <f t="shared" ref="AR748:AX761" si="249">AR747</f>
        <v>Nacional</v>
      </c>
      <c r="AS748" s="77">
        <f t="shared" si="249"/>
        <v>7.7777777777777645E-3</v>
      </c>
      <c r="AT748" s="77">
        <f t="shared" si="249"/>
        <v>8.2870370370370598E-3</v>
      </c>
      <c r="AU748" s="77">
        <f t="shared" si="249"/>
        <v>1.6064814814814823E-2</v>
      </c>
      <c r="AV748" s="77" t="str">
        <f t="shared" si="249"/>
        <v>E90</v>
      </c>
      <c r="AW748" s="77">
        <f t="shared" si="249"/>
        <v>99</v>
      </c>
      <c r="AX748" s="77" t="str">
        <f t="shared" si="249"/>
        <v>MEX</v>
      </c>
    </row>
    <row r="749" spans="1:50" ht="15.75" thickBot="1" x14ac:dyDescent="0.3">
      <c r="A749">
        <v>735</v>
      </c>
      <c r="B749" s="36" t="str">
        <f t="shared" si="236"/>
        <v>INTERAVIÓN</v>
      </c>
      <c r="C749" s="46">
        <v>248</v>
      </c>
      <c r="D749" s="47">
        <v>0.48402777777777778</v>
      </c>
      <c r="E749" s="47">
        <v>0.4916666666666667</v>
      </c>
      <c r="F749" s="48">
        <v>7.6388888888889173E-3</v>
      </c>
      <c r="G749" s="47">
        <v>0.51666666666666672</v>
      </c>
      <c r="H749" s="48">
        <v>2.5000000000000022E-2</v>
      </c>
      <c r="I749" s="49">
        <v>41715</v>
      </c>
      <c r="J749" s="49" t="s">
        <v>22</v>
      </c>
      <c r="K749" s="139">
        <v>7.6388888888889173E-3</v>
      </c>
      <c r="L749" s="139">
        <v>2.5000000000000022E-2</v>
      </c>
      <c r="M749" s="145">
        <v>3.2638888888888939E-2</v>
      </c>
      <c r="N749" s="52" t="s">
        <v>39</v>
      </c>
      <c r="O749" s="53">
        <v>189</v>
      </c>
      <c r="P749" s="54" t="s">
        <v>68</v>
      </c>
      <c r="R749">
        <v>735</v>
      </c>
      <c r="S749" s="36" t="str">
        <f t="shared" si="247"/>
        <v>MEXICO AEREO</v>
      </c>
      <c r="T749" s="36">
        <f t="shared" si="247"/>
        <v>160</v>
      </c>
      <c r="U749" s="73">
        <v>0.93055555555555547</v>
      </c>
      <c r="V749" s="74">
        <v>0.93472222222222223</v>
      </c>
      <c r="W749" s="75">
        <v>4.1666666666667629E-3</v>
      </c>
      <c r="X749" s="74">
        <v>0.94027777777777777</v>
      </c>
      <c r="Y749" s="75">
        <v>5.5555555555555358E-3</v>
      </c>
      <c r="Z749" s="76">
        <v>41739</v>
      </c>
      <c r="AA749" s="36" t="str">
        <f t="shared" si="248"/>
        <v>Nacional</v>
      </c>
      <c r="AB749" s="36">
        <f t="shared" si="248"/>
        <v>6.1197916666666727E-3</v>
      </c>
      <c r="AC749" s="36">
        <f t="shared" si="248"/>
        <v>7.3784722222222099E-3</v>
      </c>
      <c r="AD749" s="36">
        <f t="shared" si="248"/>
        <v>1.3498263888888883E-2</v>
      </c>
      <c r="AE749" s="36" t="str">
        <f t="shared" si="248"/>
        <v>B737-800</v>
      </c>
      <c r="AF749" s="36">
        <f t="shared" si="248"/>
        <v>189</v>
      </c>
      <c r="AG749" s="36" t="str">
        <f t="shared" si="248"/>
        <v>MEX</v>
      </c>
      <c r="AI749">
        <v>735</v>
      </c>
      <c r="AJ749" s="77" t="str">
        <f t="shared" si="244"/>
        <v>MEXICO AEREO</v>
      </c>
      <c r="AK749" s="77">
        <f t="shared" si="244"/>
        <v>104</v>
      </c>
      <c r="AL749" s="78">
        <v>0.47152777777777777</v>
      </c>
      <c r="AM749" s="79">
        <v>0.47430555555555554</v>
      </c>
      <c r="AN749" s="80">
        <v>2.7777777777777679E-3</v>
      </c>
      <c r="AO749" s="79">
        <v>0.48541666666666666</v>
      </c>
      <c r="AP749" s="80">
        <v>1.1111111111111127E-2</v>
      </c>
      <c r="AQ749" s="81">
        <v>41794</v>
      </c>
      <c r="AR749" s="77" t="str">
        <f t="shared" si="249"/>
        <v>Nacional</v>
      </c>
      <c r="AS749" s="77">
        <f t="shared" si="249"/>
        <v>7.7777777777777645E-3</v>
      </c>
      <c r="AT749" s="77">
        <f t="shared" si="249"/>
        <v>8.2870370370370598E-3</v>
      </c>
      <c r="AU749" s="77">
        <f t="shared" si="249"/>
        <v>1.6064814814814823E-2</v>
      </c>
      <c r="AV749" s="77" t="str">
        <f t="shared" si="249"/>
        <v>E90</v>
      </c>
      <c r="AW749" s="77">
        <f t="shared" si="249"/>
        <v>99</v>
      </c>
      <c r="AX749" s="77" t="str">
        <f t="shared" si="249"/>
        <v>MEX</v>
      </c>
    </row>
    <row r="750" spans="1:50" x14ac:dyDescent="0.25">
      <c r="A750">
        <v>736</v>
      </c>
      <c r="B750" s="36" t="str">
        <f t="shared" si="236"/>
        <v>INTERAVIÓN</v>
      </c>
      <c r="C750" s="88">
        <v>236</v>
      </c>
      <c r="D750" s="57">
        <v>0.88888888888888884</v>
      </c>
      <c r="E750" s="57">
        <v>0.90277777777777779</v>
      </c>
      <c r="F750" s="58">
        <v>1.3888888888888951E-2</v>
      </c>
      <c r="G750" s="57">
        <v>0.91249999999999998</v>
      </c>
      <c r="H750" s="58">
        <v>9.7222222222221877E-3</v>
      </c>
      <c r="I750" s="59">
        <v>41715</v>
      </c>
      <c r="J750" s="108" t="s">
        <v>19</v>
      </c>
      <c r="K750" s="61">
        <v>8.7962962962962899E-3</v>
      </c>
      <c r="L750" s="61">
        <v>9.9537037037037181E-3</v>
      </c>
      <c r="M750" s="89">
        <v>1.875000000000001E-2</v>
      </c>
      <c r="N750" s="90">
        <v>320</v>
      </c>
      <c r="O750" s="91">
        <v>179</v>
      </c>
      <c r="P750" s="92" t="s">
        <v>28</v>
      </c>
      <c r="R750">
        <v>736</v>
      </c>
      <c r="S750" s="36" t="str">
        <f t="shared" si="247"/>
        <v>MEXICO AEREO</v>
      </c>
      <c r="T750" s="36">
        <f t="shared" si="247"/>
        <v>160</v>
      </c>
      <c r="U750" s="73">
        <v>0.95277777777777783</v>
      </c>
      <c r="V750" s="74">
        <v>0.96250000000000002</v>
      </c>
      <c r="W750" s="75">
        <v>9.7222222222221877E-3</v>
      </c>
      <c r="X750" s="74">
        <v>0.96875</v>
      </c>
      <c r="Y750" s="75">
        <v>6.2499999999999778E-3</v>
      </c>
      <c r="Z750" s="76">
        <v>41740</v>
      </c>
      <c r="AA750" s="36" t="str">
        <f t="shared" si="248"/>
        <v>Nacional</v>
      </c>
      <c r="AB750" s="36">
        <f t="shared" si="248"/>
        <v>6.1197916666666727E-3</v>
      </c>
      <c r="AC750" s="36">
        <f t="shared" si="248"/>
        <v>7.3784722222222099E-3</v>
      </c>
      <c r="AD750" s="36">
        <f t="shared" si="248"/>
        <v>1.3498263888888883E-2</v>
      </c>
      <c r="AE750" s="36" t="str">
        <f t="shared" si="248"/>
        <v>B737-800</v>
      </c>
      <c r="AF750" s="36">
        <f t="shared" si="248"/>
        <v>189</v>
      </c>
      <c r="AG750" s="36" t="str">
        <f t="shared" si="248"/>
        <v>MEX</v>
      </c>
      <c r="AI750">
        <v>736</v>
      </c>
      <c r="AJ750" s="77" t="str">
        <f t="shared" si="244"/>
        <v>MEXICO AEREO</v>
      </c>
      <c r="AK750" s="77">
        <f t="shared" si="244"/>
        <v>104</v>
      </c>
      <c r="AL750" s="78">
        <v>0.47291666666666665</v>
      </c>
      <c r="AM750" s="79">
        <v>0.4770833333333333</v>
      </c>
      <c r="AN750" s="80">
        <v>4.1666666666666519E-3</v>
      </c>
      <c r="AO750" s="79">
        <v>0.48402777777777778</v>
      </c>
      <c r="AP750" s="80">
        <v>6.9444444444444753E-3</v>
      </c>
      <c r="AQ750" s="81">
        <v>41795</v>
      </c>
      <c r="AR750" s="77" t="str">
        <f t="shared" si="249"/>
        <v>Nacional</v>
      </c>
      <c r="AS750" s="77">
        <f t="shared" si="249"/>
        <v>7.7777777777777645E-3</v>
      </c>
      <c r="AT750" s="77">
        <f t="shared" si="249"/>
        <v>8.2870370370370598E-3</v>
      </c>
      <c r="AU750" s="77">
        <f t="shared" si="249"/>
        <v>1.6064814814814823E-2</v>
      </c>
      <c r="AV750" s="77" t="str">
        <f t="shared" si="249"/>
        <v>E90</v>
      </c>
      <c r="AW750" s="77">
        <f t="shared" si="249"/>
        <v>99</v>
      </c>
      <c r="AX750" s="77" t="str">
        <f t="shared" si="249"/>
        <v>MEX</v>
      </c>
    </row>
    <row r="751" spans="1:50" x14ac:dyDescent="0.25">
      <c r="A751">
        <v>737</v>
      </c>
      <c r="B751" s="36" t="str">
        <f t="shared" si="236"/>
        <v>INTERAVIÓN</v>
      </c>
      <c r="C751" s="36">
        <f t="shared" si="236"/>
        <v>236</v>
      </c>
      <c r="D751" s="74">
        <v>0.87083333333333324</v>
      </c>
      <c r="E751" s="74">
        <v>0.87986111111111109</v>
      </c>
      <c r="F751" s="75">
        <v>9.0277777777778567E-3</v>
      </c>
      <c r="G751" s="74">
        <v>0.88888888888888884</v>
      </c>
      <c r="H751" s="75">
        <v>9.0277777777777457E-3</v>
      </c>
      <c r="I751" s="76">
        <v>41716</v>
      </c>
      <c r="J751" s="36" t="str">
        <f t="shared" ref="J751:P758" si="250">J750</f>
        <v>Nacional</v>
      </c>
      <c r="K751" s="36">
        <f t="shared" si="250"/>
        <v>8.7962962962962899E-3</v>
      </c>
      <c r="L751" s="36">
        <f t="shared" si="250"/>
        <v>9.9537037037037181E-3</v>
      </c>
      <c r="M751" s="36">
        <f t="shared" si="250"/>
        <v>1.875000000000001E-2</v>
      </c>
      <c r="N751" s="36">
        <f t="shared" si="250"/>
        <v>320</v>
      </c>
      <c r="O751" s="36">
        <f t="shared" si="250"/>
        <v>179</v>
      </c>
      <c r="P751" s="36" t="str">
        <f t="shared" si="250"/>
        <v>MTY</v>
      </c>
      <c r="R751">
        <v>737</v>
      </c>
      <c r="S751" s="36" t="str">
        <f t="shared" si="247"/>
        <v>MEXICO AEREO</v>
      </c>
      <c r="T751" s="36">
        <f t="shared" si="247"/>
        <v>160</v>
      </c>
      <c r="U751" s="73">
        <v>0.92361111111111116</v>
      </c>
      <c r="V751" s="74">
        <v>0.9291666666666667</v>
      </c>
      <c r="W751" s="75">
        <v>5.5555555555555358E-3</v>
      </c>
      <c r="X751" s="74">
        <v>0.93472222222222223</v>
      </c>
      <c r="Y751" s="75">
        <v>5.5555555555555358E-3</v>
      </c>
      <c r="Z751" s="76">
        <v>41743</v>
      </c>
      <c r="AA751" s="36" t="str">
        <f t="shared" si="248"/>
        <v>Nacional</v>
      </c>
      <c r="AB751" s="36">
        <f t="shared" si="248"/>
        <v>6.1197916666666727E-3</v>
      </c>
      <c r="AC751" s="36">
        <f t="shared" si="248"/>
        <v>7.3784722222222099E-3</v>
      </c>
      <c r="AD751" s="36">
        <f t="shared" si="248"/>
        <v>1.3498263888888883E-2</v>
      </c>
      <c r="AE751" s="36" t="str">
        <f t="shared" si="248"/>
        <v>B737-800</v>
      </c>
      <c r="AF751" s="36">
        <f t="shared" si="248"/>
        <v>189</v>
      </c>
      <c r="AG751" s="36" t="str">
        <f t="shared" si="248"/>
        <v>MEX</v>
      </c>
      <c r="AI751">
        <v>737</v>
      </c>
      <c r="AJ751" s="77" t="str">
        <f t="shared" si="244"/>
        <v>MEXICO AEREO</v>
      </c>
      <c r="AK751" s="77">
        <f t="shared" si="244"/>
        <v>104</v>
      </c>
      <c r="AL751" s="78">
        <v>0.47083333333333338</v>
      </c>
      <c r="AM751" s="79">
        <v>0.48125000000000001</v>
      </c>
      <c r="AN751" s="80">
        <v>1.041666666666663E-2</v>
      </c>
      <c r="AO751" s="79">
        <v>0.48402777777777778</v>
      </c>
      <c r="AP751" s="80">
        <v>2.7777777777777679E-3</v>
      </c>
      <c r="AQ751" s="81">
        <v>41796</v>
      </c>
      <c r="AR751" s="77" t="str">
        <f t="shared" si="249"/>
        <v>Nacional</v>
      </c>
      <c r="AS751" s="77">
        <f t="shared" si="249"/>
        <v>7.7777777777777645E-3</v>
      </c>
      <c r="AT751" s="77">
        <f t="shared" si="249"/>
        <v>8.2870370370370598E-3</v>
      </c>
      <c r="AU751" s="77">
        <f t="shared" si="249"/>
        <v>1.6064814814814823E-2</v>
      </c>
      <c r="AV751" s="77" t="str">
        <f t="shared" si="249"/>
        <v>E90</v>
      </c>
      <c r="AW751" s="77">
        <f t="shared" si="249"/>
        <v>99</v>
      </c>
      <c r="AX751" s="77" t="str">
        <f t="shared" si="249"/>
        <v>MEX</v>
      </c>
    </row>
    <row r="752" spans="1:50" x14ac:dyDescent="0.25">
      <c r="A752">
        <v>738</v>
      </c>
      <c r="B752" s="36" t="str">
        <f t="shared" si="236"/>
        <v>INTERAVIÓN</v>
      </c>
      <c r="C752" s="36">
        <f t="shared" si="236"/>
        <v>236</v>
      </c>
      <c r="D752" s="74">
        <v>0.88750000000000007</v>
      </c>
      <c r="E752" s="74">
        <v>0.89583333333333337</v>
      </c>
      <c r="F752" s="75">
        <v>8.3333333333333037E-3</v>
      </c>
      <c r="G752" s="74">
        <v>0.90138888888888891</v>
      </c>
      <c r="H752" s="75">
        <v>5.5555555555555358E-3</v>
      </c>
      <c r="I752" s="76">
        <v>41721</v>
      </c>
      <c r="J752" s="36" t="str">
        <f t="shared" si="250"/>
        <v>Nacional</v>
      </c>
      <c r="K752" s="36">
        <f t="shared" si="250"/>
        <v>8.7962962962962899E-3</v>
      </c>
      <c r="L752" s="36">
        <f t="shared" si="250"/>
        <v>9.9537037037037181E-3</v>
      </c>
      <c r="M752" s="36">
        <f t="shared" si="250"/>
        <v>1.875000000000001E-2</v>
      </c>
      <c r="N752" s="36">
        <f t="shared" si="250"/>
        <v>320</v>
      </c>
      <c r="O752" s="36">
        <f t="shared" si="250"/>
        <v>179</v>
      </c>
      <c r="P752" s="36" t="str">
        <f t="shared" si="250"/>
        <v>MTY</v>
      </c>
      <c r="R752">
        <v>738</v>
      </c>
      <c r="S752" s="36" t="str">
        <f t="shared" si="247"/>
        <v>MEXICO AEREO</v>
      </c>
      <c r="T752" s="36">
        <f t="shared" si="247"/>
        <v>160</v>
      </c>
      <c r="U752" s="73">
        <v>0.92986111111111114</v>
      </c>
      <c r="V752" s="74">
        <v>0.94166666666666676</v>
      </c>
      <c r="W752" s="75">
        <v>1.1805555555555625E-2</v>
      </c>
      <c r="X752" s="74">
        <v>0.98125000000000007</v>
      </c>
      <c r="Y752" s="75">
        <v>3.9583333333333304E-2</v>
      </c>
      <c r="Z752" s="76">
        <v>41745</v>
      </c>
      <c r="AA752" s="36" t="str">
        <f t="shared" si="248"/>
        <v>Nacional</v>
      </c>
      <c r="AB752" s="36">
        <f t="shared" si="248"/>
        <v>6.1197916666666727E-3</v>
      </c>
      <c r="AC752" s="36">
        <f t="shared" si="248"/>
        <v>7.3784722222222099E-3</v>
      </c>
      <c r="AD752" s="36">
        <f t="shared" si="248"/>
        <v>1.3498263888888883E-2</v>
      </c>
      <c r="AE752" s="36" t="str">
        <f t="shared" si="248"/>
        <v>B737-800</v>
      </c>
      <c r="AF752" s="36">
        <f t="shared" si="248"/>
        <v>189</v>
      </c>
      <c r="AG752" s="36" t="str">
        <f t="shared" si="248"/>
        <v>MEX</v>
      </c>
      <c r="AI752">
        <v>738</v>
      </c>
      <c r="AJ752" s="77" t="str">
        <f t="shared" si="244"/>
        <v>MEXICO AEREO</v>
      </c>
      <c r="AK752" s="77">
        <f t="shared" si="244"/>
        <v>104</v>
      </c>
      <c r="AL752" s="78">
        <v>0.4680555555555555</v>
      </c>
      <c r="AM752" s="79">
        <v>0.47291666666666665</v>
      </c>
      <c r="AN752" s="80">
        <v>4.8611111111111494E-3</v>
      </c>
      <c r="AO752" s="79">
        <v>0.47569444444444442</v>
      </c>
      <c r="AP752" s="80">
        <v>2.7777777777777679E-3</v>
      </c>
      <c r="AQ752" s="81">
        <v>41799</v>
      </c>
      <c r="AR752" s="77" t="str">
        <f t="shared" si="249"/>
        <v>Nacional</v>
      </c>
      <c r="AS752" s="77">
        <f t="shared" si="249"/>
        <v>7.7777777777777645E-3</v>
      </c>
      <c r="AT752" s="77">
        <f t="shared" si="249"/>
        <v>8.2870370370370598E-3</v>
      </c>
      <c r="AU752" s="77">
        <f t="shared" si="249"/>
        <v>1.6064814814814823E-2</v>
      </c>
      <c r="AV752" s="77" t="str">
        <f t="shared" si="249"/>
        <v>E90</v>
      </c>
      <c r="AW752" s="77">
        <f t="shared" si="249"/>
        <v>99</v>
      </c>
      <c r="AX752" s="77" t="str">
        <f t="shared" si="249"/>
        <v>MEX</v>
      </c>
    </row>
    <row r="753" spans="1:50" x14ac:dyDescent="0.25">
      <c r="A753">
        <v>739</v>
      </c>
      <c r="B753" s="36" t="str">
        <f t="shared" si="236"/>
        <v>INTERAVIÓN</v>
      </c>
      <c r="C753" s="36">
        <f t="shared" si="236"/>
        <v>236</v>
      </c>
      <c r="D753" s="74">
        <v>0.88611111111111107</v>
      </c>
      <c r="E753" s="74">
        <v>0.8930555555555556</v>
      </c>
      <c r="F753" s="75">
        <v>6.9444444444445308E-3</v>
      </c>
      <c r="G753" s="74">
        <v>0.9</v>
      </c>
      <c r="H753" s="75">
        <v>6.9444444444444198E-3</v>
      </c>
      <c r="I753" s="76">
        <v>41723</v>
      </c>
      <c r="J753" s="36" t="str">
        <f t="shared" si="250"/>
        <v>Nacional</v>
      </c>
      <c r="K753" s="36">
        <f t="shared" si="250"/>
        <v>8.7962962962962899E-3</v>
      </c>
      <c r="L753" s="36">
        <f t="shared" si="250"/>
        <v>9.9537037037037181E-3</v>
      </c>
      <c r="M753" s="36">
        <f t="shared" si="250"/>
        <v>1.875000000000001E-2</v>
      </c>
      <c r="N753" s="36">
        <f t="shared" si="250"/>
        <v>320</v>
      </c>
      <c r="O753" s="36">
        <f t="shared" si="250"/>
        <v>179</v>
      </c>
      <c r="P753" s="36" t="str">
        <f t="shared" si="250"/>
        <v>MTY</v>
      </c>
      <c r="R753">
        <v>739</v>
      </c>
      <c r="S753" s="36" t="str">
        <f t="shared" si="247"/>
        <v>MEXICO AEREO</v>
      </c>
      <c r="T753" s="36">
        <f t="shared" si="247"/>
        <v>160</v>
      </c>
      <c r="U753" s="73">
        <v>0.92083333333333339</v>
      </c>
      <c r="V753" s="74">
        <v>0.92499999999999993</v>
      </c>
      <c r="W753" s="75">
        <v>4.1666666666665408E-3</v>
      </c>
      <c r="X753" s="74">
        <v>0.9291666666666667</v>
      </c>
      <c r="Y753" s="75">
        <v>4.1666666666667629E-3</v>
      </c>
      <c r="Z753" s="76">
        <v>41744</v>
      </c>
      <c r="AA753" s="36" t="str">
        <f t="shared" si="248"/>
        <v>Nacional</v>
      </c>
      <c r="AB753" s="36">
        <f t="shared" si="248"/>
        <v>6.1197916666666727E-3</v>
      </c>
      <c r="AC753" s="36">
        <f t="shared" si="248"/>
        <v>7.3784722222222099E-3</v>
      </c>
      <c r="AD753" s="36">
        <f t="shared" si="248"/>
        <v>1.3498263888888883E-2</v>
      </c>
      <c r="AE753" s="36" t="str">
        <f t="shared" si="248"/>
        <v>B737-800</v>
      </c>
      <c r="AF753" s="36">
        <f t="shared" si="248"/>
        <v>189</v>
      </c>
      <c r="AG753" s="36" t="str">
        <f t="shared" si="248"/>
        <v>MEX</v>
      </c>
      <c r="AI753">
        <v>739</v>
      </c>
      <c r="AJ753" s="77" t="str">
        <f t="shared" si="244"/>
        <v>MEXICO AEREO</v>
      </c>
      <c r="AK753" s="77">
        <f t="shared" si="244"/>
        <v>104</v>
      </c>
      <c r="AL753" s="78">
        <v>0.46180555555555558</v>
      </c>
      <c r="AM753" s="79">
        <v>0.46875</v>
      </c>
      <c r="AN753" s="80">
        <v>6.9444444444444198E-3</v>
      </c>
      <c r="AO753" s="79">
        <v>0.4777777777777778</v>
      </c>
      <c r="AP753" s="80">
        <v>9.0277777777778012E-3</v>
      </c>
      <c r="AQ753" s="81">
        <v>41801</v>
      </c>
      <c r="AR753" s="77" t="str">
        <f t="shared" si="249"/>
        <v>Nacional</v>
      </c>
      <c r="AS753" s="77">
        <f t="shared" si="249"/>
        <v>7.7777777777777645E-3</v>
      </c>
      <c r="AT753" s="77">
        <f t="shared" si="249"/>
        <v>8.2870370370370598E-3</v>
      </c>
      <c r="AU753" s="77">
        <f t="shared" si="249"/>
        <v>1.6064814814814823E-2</v>
      </c>
      <c r="AV753" s="77" t="str">
        <f t="shared" si="249"/>
        <v>E90</v>
      </c>
      <c r="AW753" s="77">
        <f t="shared" si="249"/>
        <v>99</v>
      </c>
      <c r="AX753" s="77" t="str">
        <f t="shared" si="249"/>
        <v>MEX</v>
      </c>
    </row>
    <row r="754" spans="1:50" x14ac:dyDescent="0.25">
      <c r="A754">
        <v>740</v>
      </c>
      <c r="B754" s="36" t="str">
        <f t="shared" si="236"/>
        <v>INTERAVIÓN</v>
      </c>
      <c r="C754" s="36">
        <f t="shared" si="236"/>
        <v>236</v>
      </c>
      <c r="D754" s="74">
        <v>0.8930555555555556</v>
      </c>
      <c r="E754" s="74">
        <v>0.90277777777777779</v>
      </c>
      <c r="F754" s="75">
        <v>9.7222222222221877E-3</v>
      </c>
      <c r="G754" s="74">
        <v>0.9159722222222223</v>
      </c>
      <c r="H754" s="75">
        <v>1.3194444444444509E-2</v>
      </c>
      <c r="I754" s="76">
        <v>41724</v>
      </c>
      <c r="J754" s="36" t="str">
        <f t="shared" si="250"/>
        <v>Nacional</v>
      </c>
      <c r="K754" s="36">
        <f t="shared" si="250"/>
        <v>8.7962962962962899E-3</v>
      </c>
      <c r="L754" s="36">
        <f t="shared" si="250"/>
        <v>9.9537037037037181E-3</v>
      </c>
      <c r="M754" s="36">
        <f t="shared" si="250"/>
        <v>1.875000000000001E-2</v>
      </c>
      <c r="N754" s="36">
        <f t="shared" si="250"/>
        <v>320</v>
      </c>
      <c r="O754" s="36">
        <f t="shared" si="250"/>
        <v>179</v>
      </c>
      <c r="P754" s="36" t="str">
        <f t="shared" si="250"/>
        <v>MTY</v>
      </c>
      <c r="R754">
        <v>740</v>
      </c>
      <c r="S754" s="36" t="str">
        <f t="shared" si="247"/>
        <v>MEXICO AEREO</v>
      </c>
      <c r="T754" s="36">
        <f t="shared" si="247"/>
        <v>160</v>
      </c>
      <c r="U754" s="73">
        <v>0.92361111111111116</v>
      </c>
      <c r="V754" s="74">
        <v>0.93194444444444446</v>
      </c>
      <c r="W754" s="75">
        <v>8.3333333333333037E-3</v>
      </c>
      <c r="X754" s="74">
        <v>0.93611111111111101</v>
      </c>
      <c r="Y754" s="75">
        <v>4.1666666666665408E-3</v>
      </c>
      <c r="Z754" s="76">
        <v>41746</v>
      </c>
      <c r="AA754" s="36" t="str">
        <f t="shared" si="248"/>
        <v>Nacional</v>
      </c>
      <c r="AB754" s="36">
        <f t="shared" si="248"/>
        <v>6.1197916666666727E-3</v>
      </c>
      <c r="AC754" s="36">
        <f t="shared" si="248"/>
        <v>7.3784722222222099E-3</v>
      </c>
      <c r="AD754" s="36">
        <f t="shared" si="248"/>
        <v>1.3498263888888883E-2</v>
      </c>
      <c r="AE754" s="36" t="str">
        <f t="shared" si="248"/>
        <v>B737-800</v>
      </c>
      <c r="AF754" s="36">
        <f t="shared" si="248"/>
        <v>189</v>
      </c>
      <c r="AG754" s="36" t="str">
        <f t="shared" si="248"/>
        <v>MEX</v>
      </c>
      <c r="AI754">
        <v>740</v>
      </c>
      <c r="AJ754" s="77" t="str">
        <f t="shared" si="244"/>
        <v>MEXICO AEREO</v>
      </c>
      <c r="AK754" s="77">
        <f t="shared" si="244"/>
        <v>104</v>
      </c>
      <c r="AL754" s="78">
        <v>0.22430555555555556</v>
      </c>
      <c r="AM754" s="79">
        <v>0.24583333333333335</v>
      </c>
      <c r="AN754" s="80">
        <v>2.1527777777777785E-2</v>
      </c>
      <c r="AO754" s="79">
        <v>0.26666666666666666</v>
      </c>
      <c r="AP754" s="80">
        <v>2.0833333333333315E-2</v>
      </c>
      <c r="AQ754" s="81">
        <v>41801</v>
      </c>
      <c r="AR754" s="77" t="str">
        <f t="shared" si="249"/>
        <v>Nacional</v>
      </c>
      <c r="AS754" s="77">
        <f t="shared" si="249"/>
        <v>7.7777777777777645E-3</v>
      </c>
      <c r="AT754" s="77">
        <f t="shared" si="249"/>
        <v>8.2870370370370598E-3</v>
      </c>
      <c r="AU754" s="77">
        <f t="shared" si="249"/>
        <v>1.6064814814814823E-2</v>
      </c>
      <c r="AV754" s="77" t="str">
        <f t="shared" si="249"/>
        <v>E90</v>
      </c>
      <c r="AW754" s="77">
        <f t="shared" si="249"/>
        <v>99</v>
      </c>
      <c r="AX754" s="77" t="str">
        <f t="shared" si="249"/>
        <v>MEX</v>
      </c>
    </row>
    <row r="755" spans="1:50" x14ac:dyDescent="0.25">
      <c r="A755">
        <v>741</v>
      </c>
      <c r="B755" s="36" t="str">
        <f t="shared" si="236"/>
        <v>INTERAVIÓN</v>
      </c>
      <c r="C755" s="36">
        <f t="shared" si="236"/>
        <v>236</v>
      </c>
      <c r="D755" s="74">
        <v>0.89583333333333337</v>
      </c>
      <c r="E755" s="74">
        <v>0.89861111111111114</v>
      </c>
      <c r="F755" s="75">
        <v>2.7777777777777679E-3</v>
      </c>
      <c r="G755" s="74">
        <v>0.91527777777777775</v>
      </c>
      <c r="H755" s="75">
        <v>1.6666666666666607E-2</v>
      </c>
      <c r="I755" s="76">
        <v>41724</v>
      </c>
      <c r="J755" s="36" t="str">
        <f t="shared" si="250"/>
        <v>Nacional</v>
      </c>
      <c r="K755" s="36">
        <f t="shared" si="250"/>
        <v>8.7962962962962899E-3</v>
      </c>
      <c r="L755" s="36">
        <f t="shared" si="250"/>
        <v>9.9537037037037181E-3</v>
      </c>
      <c r="M755" s="36">
        <f t="shared" si="250"/>
        <v>1.875000000000001E-2</v>
      </c>
      <c r="N755" s="36">
        <f t="shared" si="250"/>
        <v>320</v>
      </c>
      <c r="O755" s="36">
        <f t="shared" si="250"/>
        <v>179</v>
      </c>
      <c r="P755" s="36" t="str">
        <f t="shared" si="250"/>
        <v>MTY</v>
      </c>
      <c r="R755">
        <v>741</v>
      </c>
      <c r="S755" s="36" t="str">
        <f t="shared" si="247"/>
        <v>MEXICO AEREO</v>
      </c>
      <c r="T755" s="36">
        <f t="shared" si="247"/>
        <v>160</v>
      </c>
      <c r="U755" s="73">
        <v>0.42708333333333331</v>
      </c>
      <c r="V755" s="74">
        <v>0.4284722222222222</v>
      </c>
      <c r="W755" s="75">
        <v>1.388888888888884E-3</v>
      </c>
      <c r="X755" s="74">
        <v>0.42986111111111108</v>
      </c>
      <c r="Y755" s="75">
        <v>1.388888888888884E-3</v>
      </c>
      <c r="Z755" s="76">
        <v>41747</v>
      </c>
      <c r="AA755" s="36" t="str">
        <f t="shared" si="248"/>
        <v>Nacional</v>
      </c>
      <c r="AB755" s="36">
        <f t="shared" si="248"/>
        <v>6.1197916666666727E-3</v>
      </c>
      <c r="AC755" s="36">
        <f t="shared" si="248"/>
        <v>7.3784722222222099E-3</v>
      </c>
      <c r="AD755" s="36">
        <f t="shared" si="248"/>
        <v>1.3498263888888883E-2</v>
      </c>
      <c r="AE755" s="36" t="str">
        <f t="shared" si="248"/>
        <v>B737-800</v>
      </c>
      <c r="AF755" s="36">
        <f t="shared" si="248"/>
        <v>189</v>
      </c>
      <c r="AG755" s="36" t="str">
        <f t="shared" si="248"/>
        <v>MEX</v>
      </c>
      <c r="AI755">
        <v>741</v>
      </c>
      <c r="AJ755" s="77" t="str">
        <f t="shared" si="244"/>
        <v>MEXICO AEREO</v>
      </c>
      <c r="AK755" s="77">
        <f t="shared" si="244"/>
        <v>104</v>
      </c>
      <c r="AL755" s="78">
        <v>0.22916666666666666</v>
      </c>
      <c r="AM755" s="79">
        <v>0.25069444444444444</v>
      </c>
      <c r="AN755" s="80">
        <v>2.1527777777777785E-2</v>
      </c>
      <c r="AO755" s="79">
        <v>0.25486111111111109</v>
      </c>
      <c r="AP755" s="80">
        <v>4.1666666666666519E-3</v>
      </c>
      <c r="AQ755" s="81">
        <v>41802</v>
      </c>
      <c r="AR755" s="77" t="str">
        <f t="shared" si="249"/>
        <v>Nacional</v>
      </c>
      <c r="AS755" s="77">
        <f t="shared" si="249"/>
        <v>7.7777777777777645E-3</v>
      </c>
      <c r="AT755" s="77">
        <f t="shared" si="249"/>
        <v>8.2870370370370598E-3</v>
      </c>
      <c r="AU755" s="77">
        <f t="shared" si="249"/>
        <v>1.6064814814814823E-2</v>
      </c>
      <c r="AV755" s="77" t="str">
        <f t="shared" si="249"/>
        <v>E90</v>
      </c>
      <c r="AW755" s="77">
        <f t="shared" si="249"/>
        <v>99</v>
      </c>
      <c r="AX755" s="77" t="str">
        <f t="shared" si="249"/>
        <v>MEX</v>
      </c>
    </row>
    <row r="756" spans="1:50" x14ac:dyDescent="0.25">
      <c r="A756">
        <v>742</v>
      </c>
      <c r="B756" s="36" t="str">
        <f t="shared" si="236"/>
        <v>INTERAVIÓN</v>
      </c>
      <c r="C756" s="36">
        <f t="shared" si="236"/>
        <v>236</v>
      </c>
      <c r="D756" s="74">
        <v>0.8930555555555556</v>
      </c>
      <c r="E756" s="74">
        <v>0.90486111111111101</v>
      </c>
      <c r="F756" s="75">
        <v>1.1805555555555403E-2</v>
      </c>
      <c r="G756" s="74">
        <v>0.90972222222222221</v>
      </c>
      <c r="H756" s="75">
        <v>4.8611111111112049E-3</v>
      </c>
      <c r="I756" s="76">
        <v>41725</v>
      </c>
      <c r="J756" s="36" t="str">
        <f t="shared" si="250"/>
        <v>Nacional</v>
      </c>
      <c r="K756" s="36">
        <f t="shared" si="250"/>
        <v>8.7962962962962899E-3</v>
      </c>
      <c r="L756" s="36">
        <f t="shared" si="250"/>
        <v>9.9537037037037181E-3</v>
      </c>
      <c r="M756" s="36">
        <f t="shared" si="250"/>
        <v>1.875000000000001E-2</v>
      </c>
      <c r="N756" s="36">
        <f t="shared" si="250"/>
        <v>320</v>
      </c>
      <c r="O756" s="36">
        <f t="shared" si="250"/>
        <v>179</v>
      </c>
      <c r="P756" s="36" t="str">
        <f t="shared" si="250"/>
        <v>MTY</v>
      </c>
      <c r="R756">
        <v>742</v>
      </c>
      <c r="S756" s="36" t="str">
        <f t="shared" si="247"/>
        <v>MEXICO AEREO</v>
      </c>
      <c r="T756" s="36">
        <f t="shared" si="247"/>
        <v>160</v>
      </c>
      <c r="U756" s="73">
        <v>0.93819444444444444</v>
      </c>
      <c r="V756" s="74">
        <v>0.94513888888888886</v>
      </c>
      <c r="W756" s="75">
        <v>6.9444444444444198E-3</v>
      </c>
      <c r="X756" s="74">
        <v>0.9506944444444444</v>
      </c>
      <c r="Y756" s="75">
        <v>5.5555555555555358E-3</v>
      </c>
      <c r="Z756" s="76">
        <v>41749</v>
      </c>
      <c r="AA756" s="36" t="str">
        <f t="shared" si="248"/>
        <v>Nacional</v>
      </c>
      <c r="AB756" s="36">
        <f t="shared" si="248"/>
        <v>6.1197916666666727E-3</v>
      </c>
      <c r="AC756" s="36">
        <f t="shared" si="248"/>
        <v>7.3784722222222099E-3</v>
      </c>
      <c r="AD756" s="36">
        <f t="shared" si="248"/>
        <v>1.3498263888888883E-2</v>
      </c>
      <c r="AE756" s="36" t="str">
        <f t="shared" si="248"/>
        <v>B737-800</v>
      </c>
      <c r="AF756" s="36">
        <f t="shared" si="248"/>
        <v>189</v>
      </c>
      <c r="AG756" s="36" t="str">
        <f t="shared" si="248"/>
        <v>MEX</v>
      </c>
      <c r="AI756">
        <v>742</v>
      </c>
      <c r="AJ756" s="77" t="str">
        <f t="shared" si="244"/>
        <v>MEXICO AEREO</v>
      </c>
      <c r="AK756" s="77">
        <f t="shared" si="244"/>
        <v>104</v>
      </c>
      <c r="AL756" s="78">
        <v>0.8979166666666667</v>
      </c>
      <c r="AM756" s="79">
        <v>0.90138888888888891</v>
      </c>
      <c r="AN756" s="80">
        <v>3.4722222222222099E-3</v>
      </c>
      <c r="AO756" s="79">
        <v>0.90625</v>
      </c>
      <c r="AP756" s="80">
        <v>4.8611111111110938E-3</v>
      </c>
      <c r="AQ756" s="81">
        <v>41803</v>
      </c>
      <c r="AR756" s="77" t="str">
        <f t="shared" si="249"/>
        <v>Nacional</v>
      </c>
      <c r="AS756" s="77">
        <f t="shared" si="249"/>
        <v>7.7777777777777645E-3</v>
      </c>
      <c r="AT756" s="77">
        <f t="shared" si="249"/>
        <v>8.2870370370370598E-3</v>
      </c>
      <c r="AU756" s="77">
        <f t="shared" si="249"/>
        <v>1.6064814814814823E-2</v>
      </c>
      <c r="AV756" s="77" t="str">
        <f t="shared" si="249"/>
        <v>E90</v>
      </c>
      <c r="AW756" s="77">
        <f t="shared" si="249"/>
        <v>99</v>
      </c>
      <c r="AX756" s="77" t="str">
        <f t="shared" si="249"/>
        <v>MEX</v>
      </c>
    </row>
    <row r="757" spans="1:50" x14ac:dyDescent="0.25">
      <c r="A757">
        <v>743</v>
      </c>
      <c r="B757" s="36" t="str">
        <f t="shared" si="236"/>
        <v>INTERAVIÓN</v>
      </c>
      <c r="C757" s="36">
        <f t="shared" si="236"/>
        <v>236</v>
      </c>
      <c r="D757" s="74">
        <v>0.88541666666666663</v>
      </c>
      <c r="E757" s="74">
        <v>0.89374999999999993</v>
      </c>
      <c r="F757" s="75">
        <v>8.3333333333333037E-3</v>
      </c>
      <c r="G757" s="74">
        <v>0.90555555555555556</v>
      </c>
      <c r="H757" s="75">
        <v>1.1805555555555625E-2</v>
      </c>
      <c r="I757" s="76">
        <v>41726</v>
      </c>
      <c r="J757" s="36" t="str">
        <f t="shared" si="250"/>
        <v>Nacional</v>
      </c>
      <c r="K757" s="36">
        <f t="shared" si="250"/>
        <v>8.7962962962962899E-3</v>
      </c>
      <c r="L757" s="36">
        <f t="shared" si="250"/>
        <v>9.9537037037037181E-3</v>
      </c>
      <c r="M757" s="36">
        <f t="shared" si="250"/>
        <v>1.875000000000001E-2</v>
      </c>
      <c r="N757" s="36">
        <f t="shared" si="250"/>
        <v>320</v>
      </c>
      <c r="O757" s="36">
        <f t="shared" si="250"/>
        <v>179</v>
      </c>
      <c r="P757" s="36" t="str">
        <f t="shared" si="250"/>
        <v>MTY</v>
      </c>
      <c r="R757">
        <v>743</v>
      </c>
      <c r="S757" s="36" t="str">
        <f t="shared" si="247"/>
        <v>MEXICO AEREO</v>
      </c>
      <c r="T757" s="36">
        <f t="shared" si="247"/>
        <v>160</v>
      </c>
      <c r="U757" s="73">
        <v>0.97638888888888886</v>
      </c>
      <c r="V757" s="74">
        <v>0.98125000000000007</v>
      </c>
      <c r="W757" s="75">
        <v>4.8611111111112049E-3</v>
      </c>
      <c r="X757" s="74">
        <v>0.98472222222222217</v>
      </c>
      <c r="Y757" s="75">
        <v>3.4722222222220989E-3</v>
      </c>
      <c r="Z757" s="76">
        <v>41751</v>
      </c>
      <c r="AA757" s="36" t="str">
        <f t="shared" si="248"/>
        <v>Nacional</v>
      </c>
      <c r="AB757" s="36">
        <f t="shared" si="248"/>
        <v>6.1197916666666727E-3</v>
      </c>
      <c r="AC757" s="36">
        <f t="shared" si="248"/>
        <v>7.3784722222222099E-3</v>
      </c>
      <c r="AD757" s="36">
        <f t="shared" si="248"/>
        <v>1.3498263888888883E-2</v>
      </c>
      <c r="AE757" s="36" t="str">
        <f t="shared" si="248"/>
        <v>B737-800</v>
      </c>
      <c r="AF757" s="36">
        <f t="shared" si="248"/>
        <v>189</v>
      </c>
      <c r="AG757" s="36" t="str">
        <f t="shared" si="248"/>
        <v>MEX</v>
      </c>
      <c r="AI757">
        <v>743</v>
      </c>
      <c r="AJ757" s="77" t="str">
        <f t="shared" si="244"/>
        <v>MEXICO AEREO</v>
      </c>
      <c r="AK757" s="77">
        <f t="shared" si="244"/>
        <v>104</v>
      </c>
      <c r="AL757" s="78">
        <v>0.25486111111111109</v>
      </c>
      <c r="AM757" s="79">
        <v>0.26527777777777778</v>
      </c>
      <c r="AN757" s="80">
        <v>1.0416666666666685E-2</v>
      </c>
      <c r="AO757" s="79">
        <v>0.28958333333333336</v>
      </c>
      <c r="AP757" s="80">
        <v>2.430555555555558E-2</v>
      </c>
      <c r="AQ757" s="81">
        <v>41807</v>
      </c>
      <c r="AR757" s="77" t="str">
        <f t="shared" si="249"/>
        <v>Nacional</v>
      </c>
      <c r="AS757" s="77">
        <f t="shared" si="249"/>
        <v>7.7777777777777645E-3</v>
      </c>
      <c r="AT757" s="77">
        <f t="shared" si="249"/>
        <v>8.2870370370370598E-3</v>
      </c>
      <c r="AU757" s="77">
        <f t="shared" si="249"/>
        <v>1.6064814814814823E-2</v>
      </c>
      <c r="AV757" s="77" t="str">
        <f t="shared" si="249"/>
        <v>E90</v>
      </c>
      <c r="AW757" s="77">
        <f t="shared" si="249"/>
        <v>99</v>
      </c>
      <c r="AX757" s="77" t="str">
        <f t="shared" si="249"/>
        <v>MEX</v>
      </c>
    </row>
    <row r="758" spans="1:50" ht="15.75" thickBot="1" x14ac:dyDescent="0.3">
      <c r="A758">
        <v>744</v>
      </c>
      <c r="B758" s="36" t="str">
        <f t="shared" si="236"/>
        <v>INTERAVIÓN</v>
      </c>
      <c r="C758" s="36">
        <f t="shared" si="236"/>
        <v>236</v>
      </c>
      <c r="D758" s="84">
        <v>0.88541666666666663</v>
      </c>
      <c r="E758" s="84">
        <v>0.89374999999999993</v>
      </c>
      <c r="F758" s="85">
        <v>8.3333333333333037E-3</v>
      </c>
      <c r="G758" s="84">
        <v>0.90555555555555556</v>
      </c>
      <c r="H758" s="85">
        <v>1.1805555555555625E-2</v>
      </c>
      <c r="I758" s="86">
        <v>41726</v>
      </c>
      <c r="J758" s="36" t="str">
        <f t="shared" si="250"/>
        <v>Nacional</v>
      </c>
      <c r="K758" s="36">
        <f t="shared" si="250"/>
        <v>8.7962962962962899E-3</v>
      </c>
      <c r="L758" s="36">
        <f t="shared" si="250"/>
        <v>9.9537037037037181E-3</v>
      </c>
      <c r="M758" s="36">
        <f t="shared" si="250"/>
        <v>1.875000000000001E-2</v>
      </c>
      <c r="N758" s="36">
        <f t="shared" si="250"/>
        <v>320</v>
      </c>
      <c r="O758" s="36">
        <f t="shared" si="250"/>
        <v>179</v>
      </c>
      <c r="P758" s="36" t="str">
        <f t="shared" si="250"/>
        <v>MTY</v>
      </c>
      <c r="R758">
        <v>744</v>
      </c>
      <c r="S758" s="36" t="str">
        <f t="shared" si="247"/>
        <v>MEXICO AEREO</v>
      </c>
      <c r="T758" s="36">
        <f t="shared" si="247"/>
        <v>160</v>
      </c>
      <c r="U758" s="73">
        <v>0.94236111111111109</v>
      </c>
      <c r="V758" s="74">
        <v>0.95208333333333339</v>
      </c>
      <c r="W758" s="75">
        <v>9.7222222222222987E-3</v>
      </c>
      <c r="X758" s="74">
        <v>0.95486111111111116</v>
      </c>
      <c r="Y758" s="75">
        <v>2.7777777777777679E-3</v>
      </c>
      <c r="Z758" s="76">
        <v>41753</v>
      </c>
      <c r="AA758" s="36" t="str">
        <f t="shared" si="248"/>
        <v>Nacional</v>
      </c>
      <c r="AB758" s="36">
        <f t="shared" si="248"/>
        <v>6.1197916666666727E-3</v>
      </c>
      <c r="AC758" s="36">
        <f t="shared" si="248"/>
        <v>7.3784722222222099E-3</v>
      </c>
      <c r="AD758" s="36">
        <f t="shared" si="248"/>
        <v>1.3498263888888883E-2</v>
      </c>
      <c r="AE758" s="36" t="str">
        <f t="shared" si="248"/>
        <v>B737-800</v>
      </c>
      <c r="AF758" s="36">
        <f t="shared" si="248"/>
        <v>189</v>
      </c>
      <c r="AG758" s="36" t="str">
        <f t="shared" si="248"/>
        <v>MEX</v>
      </c>
      <c r="AI758">
        <v>744</v>
      </c>
      <c r="AJ758" s="77" t="str">
        <f t="shared" si="244"/>
        <v>MEXICO AEREO</v>
      </c>
      <c r="AK758" s="77">
        <f t="shared" si="244"/>
        <v>104</v>
      </c>
      <c r="AL758" s="78">
        <v>0.46111111111111108</v>
      </c>
      <c r="AM758" s="79">
        <v>0.47152777777777777</v>
      </c>
      <c r="AN758" s="80">
        <v>1.0416666666666685E-2</v>
      </c>
      <c r="AO758" s="79">
        <v>0.47638888888888892</v>
      </c>
      <c r="AP758" s="80">
        <v>4.8611111111111494E-3</v>
      </c>
      <c r="AQ758" s="81">
        <v>41808</v>
      </c>
      <c r="AR758" s="77" t="str">
        <f t="shared" si="249"/>
        <v>Nacional</v>
      </c>
      <c r="AS758" s="77">
        <f t="shared" si="249"/>
        <v>7.7777777777777645E-3</v>
      </c>
      <c r="AT758" s="77">
        <f t="shared" si="249"/>
        <v>8.2870370370370598E-3</v>
      </c>
      <c r="AU758" s="77">
        <f t="shared" si="249"/>
        <v>1.6064814814814823E-2</v>
      </c>
      <c r="AV758" s="77" t="str">
        <f t="shared" si="249"/>
        <v>E90</v>
      </c>
      <c r="AW758" s="77">
        <f t="shared" si="249"/>
        <v>99</v>
      </c>
      <c r="AX758" s="77" t="str">
        <f t="shared" si="249"/>
        <v>MEX</v>
      </c>
    </row>
    <row r="759" spans="1:50" x14ac:dyDescent="0.25">
      <c r="A759">
        <v>745</v>
      </c>
      <c r="B759" s="36" t="str">
        <f t="shared" si="236"/>
        <v>INTERAVIÓN</v>
      </c>
      <c r="C759" s="88">
        <v>230</v>
      </c>
      <c r="D759" s="57">
        <v>0.32777777777777778</v>
      </c>
      <c r="E759" s="57">
        <v>0.34027777777777773</v>
      </c>
      <c r="F759" s="58">
        <v>1.2499999999999956E-2</v>
      </c>
      <c r="G759" s="57">
        <v>0.34236111111111112</v>
      </c>
      <c r="H759" s="58">
        <v>2.0833333333333814E-3</v>
      </c>
      <c r="I759" s="59">
        <v>41716</v>
      </c>
      <c r="J759" s="108" t="s">
        <v>19</v>
      </c>
      <c r="K759" s="61">
        <v>8.3333333333333228E-3</v>
      </c>
      <c r="L759" s="61">
        <v>4.282407407407411E-3</v>
      </c>
      <c r="M759" s="89">
        <v>1.2615740740740733E-2</v>
      </c>
      <c r="N759" s="90" t="s">
        <v>20</v>
      </c>
      <c r="O759" s="91">
        <v>50</v>
      </c>
      <c r="P759" s="92" t="s">
        <v>33</v>
      </c>
      <c r="R759">
        <v>745</v>
      </c>
      <c r="S759" s="36" t="str">
        <f t="shared" si="247"/>
        <v>MEXICO AEREO</v>
      </c>
      <c r="T759" s="36">
        <f t="shared" si="247"/>
        <v>160</v>
      </c>
      <c r="U759" s="73">
        <v>0.9277777777777777</v>
      </c>
      <c r="V759" s="74">
        <v>0.93472222222222223</v>
      </c>
      <c r="W759" s="75">
        <v>6.9444444444445308E-3</v>
      </c>
      <c r="X759" s="74">
        <v>0.94166666666666676</v>
      </c>
      <c r="Y759" s="75">
        <v>6.9444444444445308E-3</v>
      </c>
      <c r="Z759" s="76">
        <v>41757</v>
      </c>
      <c r="AA759" s="36" t="str">
        <f t="shared" si="248"/>
        <v>Nacional</v>
      </c>
      <c r="AB759" s="36">
        <f t="shared" si="248"/>
        <v>6.1197916666666727E-3</v>
      </c>
      <c r="AC759" s="36">
        <f t="shared" si="248"/>
        <v>7.3784722222222099E-3</v>
      </c>
      <c r="AD759" s="36">
        <f t="shared" si="248"/>
        <v>1.3498263888888883E-2</v>
      </c>
      <c r="AE759" s="36" t="str">
        <f t="shared" si="248"/>
        <v>B737-800</v>
      </c>
      <c r="AF759" s="36">
        <f t="shared" si="248"/>
        <v>189</v>
      </c>
      <c r="AG759" s="36" t="str">
        <f t="shared" si="248"/>
        <v>MEX</v>
      </c>
      <c r="AI759">
        <v>745</v>
      </c>
      <c r="AJ759" s="77" t="str">
        <f t="shared" si="244"/>
        <v>MEXICO AEREO</v>
      </c>
      <c r="AK759" s="77">
        <f t="shared" si="244"/>
        <v>104</v>
      </c>
      <c r="AL759" s="78">
        <v>0.46319444444444446</v>
      </c>
      <c r="AM759" s="79">
        <v>0.4680555555555555</v>
      </c>
      <c r="AN759" s="80">
        <v>4.8611111111110383E-3</v>
      </c>
      <c r="AO759" s="79">
        <v>0.47361111111111115</v>
      </c>
      <c r="AP759" s="80">
        <v>5.5555555555556468E-3</v>
      </c>
      <c r="AQ759" s="81">
        <v>41809</v>
      </c>
      <c r="AR759" s="77" t="str">
        <f t="shared" si="249"/>
        <v>Nacional</v>
      </c>
      <c r="AS759" s="77">
        <f t="shared" si="249"/>
        <v>7.7777777777777645E-3</v>
      </c>
      <c r="AT759" s="77">
        <f t="shared" si="249"/>
        <v>8.2870370370370598E-3</v>
      </c>
      <c r="AU759" s="77">
        <f t="shared" si="249"/>
        <v>1.6064814814814823E-2</v>
      </c>
      <c r="AV759" s="77" t="str">
        <f t="shared" si="249"/>
        <v>E90</v>
      </c>
      <c r="AW759" s="77">
        <f t="shared" si="249"/>
        <v>99</v>
      </c>
      <c r="AX759" s="77" t="str">
        <f t="shared" si="249"/>
        <v>MEX</v>
      </c>
    </row>
    <row r="760" spans="1:50" x14ac:dyDescent="0.25">
      <c r="A760">
        <v>746</v>
      </c>
      <c r="B760" s="36" t="str">
        <f t="shared" si="236"/>
        <v>INTERAVIÓN</v>
      </c>
      <c r="C760" s="36">
        <f t="shared" si="236"/>
        <v>230</v>
      </c>
      <c r="D760" s="74">
        <v>0.31944444444444448</v>
      </c>
      <c r="E760" s="74">
        <v>0.3298611111111111</v>
      </c>
      <c r="F760" s="75">
        <v>1.041666666666663E-2</v>
      </c>
      <c r="G760" s="74">
        <v>0.33749999999999997</v>
      </c>
      <c r="H760" s="75">
        <v>7.6388888888888618E-3</v>
      </c>
      <c r="I760" s="76">
        <v>41717</v>
      </c>
      <c r="J760" s="36" t="str">
        <f t="shared" ref="J760:P765" si="251">J759</f>
        <v>Nacional</v>
      </c>
      <c r="K760" s="36">
        <f t="shared" si="251"/>
        <v>8.3333333333333228E-3</v>
      </c>
      <c r="L760" s="36">
        <f t="shared" si="251"/>
        <v>4.282407407407411E-3</v>
      </c>
      <c r="M760" s="36">
        <f t="shared" si="251"/>
        <v>1.2615740740740733E-2</v>
      </c>
      <c r="N760" s="36" t="str">
        <f t="shared" si="251"/>
        <v>ER4</v>
      </c>
      <c r="O760" s="36">
        <f t="shared" si="251"/>
        <v>50</v>
      </c>
      <c r="P760" s="36" t="str">
        <f t="shared" si="251"/>
        <v>CUU</v>
      </c>
      <c r="R760">
        <v>746</v>
      </c>
      <c r="S760" s="36" t="str">
        <f t="shared" si="247"/>
        <v>MEXICO AEREO</v>
      </c>
      <c r="T760" s="36">
        <f t="shared" si="247"/>
        <v>160</v>
      </c>
      <c r="U760" s="73">
        <v>0.92638888888888893</v>
      </c>
      <c r="V760" s="74">
        <v>0.93125000000000002</v>
      </c>
      <c r="W760" s="75">
        <v>4.8611111111110938E-3</v>
      </c>
      <c r="X760" s="74">
        <v>0.9375</v>
      </c>
      <c r="Y760" s="75">
        <v>6.2499999999999778E-3</v>
      </c>
      <c r="Z760" s="76">
        <v>41759</v>
      </c>
      <c r="AA760" s="36" t="str">
        <f t="shared" si="248"/>
        <v>Nacional</v>
      </c>
      <c r="AB760" s="36">
        <f t="shared" si="248"/>
        <v>6.1197916666666727E-3</v>
      </c>
      <c r="AC760" s="36">
        <f t="shared" si="248"/>
        <v>7.3784722222222099E-3</v>
      </c>
      <c r="AD760" s="36">
        <f t="shared" si="248"/>
        <v>1.3498263888888883E-2</v>
      </c>
      <c r="AE760" s="36" t="str">
        <f t="shared" si="248"/>
        <v>B737-800</v>
      </c>
      <c r="AF760" s="36">
        <f t="shared" si="248"/>
        <v>189</v>
      </c>
      <c r="AG760" s="36" t="str">
        <f t="shared" si="248"/>
        <v>MEX</v>
      </c>
      <c r="AI760">
        <v>746</v>
      </c>
      <c r="AJ760" s="77" t="str">
        <f t="shared" si="244"/>
        <v>MEXICO AEREO</v>
      </c>
      <c r="AK760" s="77">
        <f t="shared" si="244"/>
        <v>104</v>
      </c>
      <c r="AL760" s="78">
        <v>0.46597222222222223</v>
      </c>
      <c r="AM760" s="79">
        <v>0.47222222222222227</v>
      </c>
      <c r="AN760" s="80">
        <v>6.2500000000000333E-3</v>
      </c>
      <c r="AO760" s="79">
        <v>0.47916666666666669</v>
      </c>
      <c r="AP760" s="80">
        <v>6.9444444444444198E-3</v>
      </c>
      <c r="AQ760" s="81">
        <v>41810</v>
      </c>
      <c r="AR760" s="77" t="str">
        <f t="shared" si="249"/>
        <v>Nacional</v>
      </c>
      <c r="AS760" s="77">
        <f t="shared" si="249"/>
        <v>7.7777777777777645E-3</v>
      </c>
      <c r="AT760" s="77">
        <f t="shared" si="249"/>
        <v>8.2870370370370598E-3</v>
      </c>
      <c r="AU760" s="77">
        <f t="shared" si="249"/>
        <v>1.6064814814814823E-2</v>
      </c>
      <c r="AV760" s="77" t="str">
        <f t="shared" si="249"/>
        <v>E90</v>
      </c>
      <c r="AW760" s="77">
        <f t="shared" si="249"/>
        <v>99</v>
      </c>
      <c r="AX760" s="77" t="str">
        <f t="shared" si="249"/>
        <v>MEX</v>
      </c>
    </row>
    <row r="761" spans="1:50" ht="15.75" thickBot="1" x14ac:dyDescent="0.3">
      <c r="A761">
        <v>747</v>
      </c>
      <c r="B761" s="36" t="str">
        <f t="shared" si="236"/>
        <v>INTERAVIÓN</v>
      </c>
      <c r="C761" s="36">
        <f t="shared" si="236"/>
        <v>230</v>
      </c>
      <c r="D761" s="74">
        <v>0.3430555555555555</v>
      </c>
      <c r="E761" s="74">
        <v>0.34791666666666665</v>
      </c>
      <c r="F761" s="75">
        <v>4.8611111111111494E-3</v>
      </c>
      <c r="G761" s="74">
        <v>0.35625000000000001</v>
      </c>
      <c r="H761" s="75">
        <v>8.3333333333333592E-3</v>
      </c>
      <c r="I761" s="76">
        <v>41718</v>
      </c>
      <c r="J761" s="36" t="str">
        <f t="shared" si="251"/>
        <v>Nacional</v>
      </c>
      <c r="K761" s="36">
        <f t="shared" si="251"/>
        <v>8.3333333333333228E-3</v>
      </c>
      <c r="L761" s="36">
        <f t="shared" si="251"/>
        <v>4.282407407407411E-3</v>
      </c>
      <c r="M761" s="36">
        <f t="shared" si="251"/>
        <v>1.2615740740740733E-2</v>
      </c>
      <c r="N761" s="36" t="str">
        <f t="shared" si="251"/>
        <v>ER4</v>
      </c>
      <c r="O761" s="36">
        <f t="shared" si="251"/>
        <v>50</v>
      </c>
      <c r="P761" s="36" t="str">
        <f t="shared" si="251"/>
        <v>CUU</v>
      </c>
      <c r="R761">
        <v>747</v>
      </c>
      <c r="S761" s="36" t="str">
        <f t="shared" si="247"/>
        <v>MEXICO AEREO</v>
      </c>
      <c r="T761" s="36">
        <f t="shared" si="247"/>
        <v>160</v>
      </c>
      <c r="U761" s="83">
        <v>0.92986111111111114</v>
      </c>
      <c r="V761" s="84">
        <v>0.9375</v>
      </c>
      <c r="W761" s="85">
        <v>7.6388888888888618E-3</v>
      </c>
      <c r="X761" s="84">
        <v>0.94166666666666676</v>
      </c>
      <c r="Y761" s="85">
        <v>4.1666666666667629E-3</v>
      </c>
      <c r="Z761" s="86">
        <v>41759</v>
      </c>
      <c r="AA761" s="36" t="str">
        <f t="shared" si="248"/>
        <v>Nacional</v>
      </c>
      <c r="AB761" s="36">
        <f t="shared" si="248"/>
        <v>6.1197916666666727E-3</v>
      </c>
      <c r="AC761" s="36">
        <f t="shared" si="248"/>
        <v>7.3784722222222099E-3</v>
      </c>
      <c r="AD761" s="36">
        <f t="shared" si="248"/>
        <v>1.3498263888888883E-2</v>
      </c>
      <c r="AE761" s="36" t="str">
        <f t="shared" si="248"/>
        <v>B737-800</v>
      </c>
      <c r="AF761" s="36">
        <f t="shared" si="248"/>
        <v>189</v>
      </c>
      <c r="AG761" s="36" t="str">
        <f t="shared" si="248"/>
        <v>MEX</v>
      </c>
      <c r="AI761">
        <v>747</v>
      </c>
      <c r="AJ761" s="77" t="str">
        <f t="shared" si="244"/>
        <v>MEXICO AEREO</v>
      </c>
      <c r="AK761" s="77">
        <f t="shared" si="244"/>
        <v>104</v>
      </c>
      <c r="AL761" s="94">
        <v>0.50624999999999998</v>
      </c>
      <c r="AM761" s="95">
        <v>0.5083333333333333</v>
      </c>
      <c r="AN761" s="96">
        <v>2.0833333333333259E-3</v>
      </c>
      <c r="AO761" s="95">
        <v>0.5180555555555556</v>
      </c>
      <c r="AP761" s="96">
        <v>9.7222222222222987E-3</v>
      </c>
      <c r="AQ761" s="97">
        <v>41813</v>
      </c>
      <c r="AR761" s="77" t="str">
        <f t="shared" si="249"/>
        <v>Nacional</v>
      </c>
      <c r="AS761" s="77">
        <f t="shared" si="249"/>
        <v>7.7777777777777645E-3</v>
      </c>
      <c r="AT761" s="77">
        <f t="shared" si="249"/>
        <v>8.2870370370370598E-3</v>
      </c>
      <c r="AU761" s="77">
        <f t="shared" si="249"/>
        <v>1.6064814814814823E-2</v>
      </c>
      <c r="AV761" s="77" t="str">
        <f t="shared" si="249"/>
        <v>E90</v>
      </c>
      <c r="AW761" s="77">
        <f t="shared" si="249"/>
        <v>99</v>
      </c>
      <c r="AX761" s="77" t="str">
        <f t="shared" si="249"/>
        <v>MEX</v>
      </c>
    </row>
    <row r="762" spans="1:50" x14ac:dyDescent="0.25">
      <c r="A762">
        <v>748</v>
      </c>
      <c r="B762" s="36" t="str">
        <f t="shared" si="236"/>
        <v>INTERAVIÓN</v>
      </c>
      <c r="C762" s="36">
        <f t="shared" si="236"/>
        <v>230</v>
      </c>
      <c r="D762" s="74">
        <v>0.43402777777777773</v>
      </c>
      <c r="E762" s="74">
        <v>0.44097222222222227</v>
      </c>
      <c r="F762" s="75">
        <v>6.9444444444445308E-3</v>
      </c>
      <c r="G762" s="74">
        <v>0.44444444444444442</v>
      </c>
      <c r="H762" s="75">
        <v>3.4722222222221544E-3</v>
      </c>
      <c r="I762" s="76">
        <v>41720</v>
      </c>
      <c r="J762" s="36" t="str">
        <f t="shared" si="251"/>
        <v>Nacional</v>
      </c>
      <c r="K762" s="36">
        <f t="shared" si="251"/>
        <v>8.3333333333333228E-3</v>
      </c>
      <c r="L762" s="36">
        <f t="shared" si="251"/>
        <v>4.282407407407411E-3</v>
      </c>
      <c r="M762" s="36">
        <f t="shared" si="251"/>
        <v>1.2615740740740733E-2</v>
      </c>
      <c r="N762" s="36" t="str">
        <f t="shared" si="251"/>
        <v>ER4</v>
      </c>
      <c r="O762" s="36">
        <f t="shared" si="251"/>
        <v>50</v>
      </c>
      <c r="P762" s="36" t="str">
        <f t="shared" si="251"/>
        <v>CUU</v>
      </c>
      <c r="R762">
        <v>748</v>
      </c>
      <c r="S762" s="36" t="str">
        <f t="shared" si="247"/>
        <v>MEXICO AEREO</v>
      </c>
      <c r="T762" s="55">
        <v>156</v>
      </c>
      <c r="U762" s="56">
        <v>0.57291666666666663</v>
      </c>
      <c r="V762" s="57">
        <v>0.57916666666666672</v>
      </c>
      <c r="W762" s="58">
        <v>6.2500000000000888E-3</v>
      </c>
      <c r="X762" s="57">
        <v>0.58333333333333337</v>
      </c>
      <c r="Y762" s="58">
        <v>4.1666666666666519E-3</v>
      </c>
      <c r="Z762" s="59">
        <v>41730</v>
      </c>
      <c r="AA762" s="60" t="s">
        <v>19</v>
      </c>
      <c r="AB762" s="61">
        <v>7.6388888888889259E-3</v>
      </c>
      <c r="AC762" s="61">
        <v>6.4670138888888945E-3</v>
      </c>
      <c r="AD762" s="62">
        <v>1.4105902777777821E-2</v>
      </c>
      <c r="AE762" s="167" t="s">
        <v>45</v>
      </c>
      <c r="AF762" s="167">
        <v>126</v>
      </c>
      <c r="AG762" s="168" t="s">
        <v>21</v>
      </c>
      <c r="AI762">
        <v>748</v>
      </c>
      <c r="AJ762" s="77" t="str">
        <f t="shared" si="244"/>
        <v>MEXICO AEREO</v>
      </c>
      <c r="AK762" s="63">
        <v>100</v>
      </c>
      <c r="AL762" s="64">
        <v>0.35555555555555557</v>
      </c>
      <c r="AM762" s="65">
        <v>0.3611111111111111</v>
      </c>
      <c r="AN762" s="66">
        <v>5.5555555555555358E-3</v>
      </c>
      <c r="AO762" s="65">
        <v>0.36388888888888887</v>
      </c>
      <c r="AP762" s="66">
        <v>2.7777777777777679E-3</v>
      </c>
      <c r="AQ762" s="67">
        <v>41792</v>
      </c>
      <c r="AR762" s="68" t="s">
        <v>19</v>
      </c>
      <c r="AS762" s="69">
        <v>6.4236111111111048E-3</v>
      </c>
      <c r="AT762" s="70">
        <v>7.8124999999999844E-3</v>
      </c>
      <c r="AU762" s="70">
        <v>1.4236111111111088E-2</v>
      </c>
      <c r="AV762" s="71">
        <v>738</v>
      </c>
      <c r="AW762" s="71">
        <v>189</v>
      </c>
      <c r="AX762" s="72" t="s">
        <v>21</v>
      </c>
    </row>
    <row r="763" spans="1:50" x14ac:dyDescent="0.25">
      <c r="A763">
        <v>749</v>
      </c>
      <c r="B763" s="36" t="str">
        <f t="shared" si="236"/>
        <v>INTERAVIÓN</v>
      </c>
      <c r="C763" s="36">
        <f t="shared" si="236"/>
        <v>230</v>
      </c>
      <c r="D763" s="74">
        <v>0.33402777777777781</v>
      </c>
      <c r="E763" s="74">
        <v>0.34166666666666662</v>
      </c>
      <c r="F763" s="75">
        <v>7.6388888888888062E-3</v>
      </c>
      <c r="G763" s="74">
        <v>0.34375</v>
      </c>
      <c r="H763" s="75">
        <v>2.0833333333333814E-3</v>
      </c>
      <c r="I763" s="76">
        <v>41725</v>
      </c>
      <c r="J763" s="36" t="str">
        <f t="shared" si="251"/>
        <v>Nacional</v>
      </c>
      <c r="K763" s="36">
        <f t="shared" si="251"/>
        <v>8.3333333333333228E-3</v>
      </c>
      <c r="L763" s="36">
        <f t="shared" si="251"/>
        <v>4.282407407407411E-3</v>
      </c>
      <c r="M763" s="36">
        <f t="shared" si="251"/>
        <v>1.2615740740740733E-2</v>
      </c>
      <c r="N763" s="36" t="str">
        <f t="shared" si="251"/>
        <v>ER4</v>
      </c>
      <c r="O763" s="36">
        <f t="shared" si="251"/>
        <v>50</v>
      </c>
      <c r="P763" s="36" t="str">
        <f t="shared" si="251"/>
        <v>CUU</v>
      </c>
      <c r="R763">
        <v>749</v>
      </c>
      <c r="S763" s="36" t="str">
        <f t="shared" si="247"/>
        <v>MEXICO AEREO</v>
      </c>
      <c r="T763" s="36">
        <f t="shared" si="247"/>
        <v>156</v>
      </c>
      <c r="U763" s="73">
        <v>0.55763888888888891</v>
      </c>
      <c r="V763" s="74">
        <v>0.56458333333333333</v>
      </c>
      <c r="W763" s="75">
        <v>6.9444444444444198E-3</v>
      </c>
      <c r="X763" s="74">
        <v>0.57638888888888895</v>
      </c>
      <c r="Y763" s="75">
        <v>1.1805555555555625E-2</v>
      </c>
      <c r="Z763" s="76">
        <v>41731</v>
      </c>
      <c r="AA763" s="36" t="str">
        <f t="shared" ref="AA763:AG777" si="252">AA762</f>
        <v>Nacional</v>
      </c>
      <c r="AB763" s="36">
        <f t="shared" si="252"/>
        <v>7.6388888888889259E-3</v>
      </c>
      <c r="AC763" s="36">
        <f t="shared" si="252"/>
        <v>6.4670138888888945E-3</v>
      </c>
      <c r="AD763" s="36">
        <f t="shared" si="252"/>
        <v>1.4105902777777821E-2</v>
      </c>
      <c r="AE763" s="36" t="str">
        <f t="shared" si="252"/>
        <v>B737-700</v>
      </c>
      <c r="AF763" s="36">
        <f t="shared" si="252"/>
        <v>126</v>
      </c>
      <c r="AG763" s="36" t="str">
        <f t="shared" si="252"/>
        <v>MEX</v>
      </c>
      <c r="AI763">
        <v>749</v>
      </c>
      <c r="AJ763" s="77" t="str">
        <f t="shared" si="244"/>
        <v>MEXICO AEREO</v>
      </c>
      <c r="AK763" s="77">
        <f t="shared" si="244"/>
        <v>100</v>
      </c>
      <c r="AL763" s="78">
        <v>0.35625000000000001</v>
      </c>
      <c r="AM763" s="79">
        <v>0.3611111111111111</v>
      </c>
      <c r="AN763" s="80">
        <v>4.8611111111110938E-3</v>
      </c>
      <c r="AO763" s="79">
        <v>0.36874999999999997</v>
      </c>
      <c r="AP763" s="80">
        <v>7.6388888888888618E-3</v>
      </c>
      <c r="AQ763" s="81">
        <v>41793</v>
      </c>
      <c r="AR763" s="77" t="str">
        <f t="shared" ref="AR763:AX781" si="253">AR762</f>
        <v>Nacional</v>
      </c>
      <c r="AS763" s="77">
        <f t="shared" si="253"/>
        <v>6.4236111111111048E-3</v>
      </c>
      <c r="AT763" s="77">
        <f t="shared" si="253"/>
        <v>7.8124999999999844E-3</v>
      </c>
      <c r="AU763" s="77">
        <f t="shared" si="253"/>
        <v>1.4236111111111088E-2</v>
      </c>
      <c r="AV763" s="77">
        <f t="shared" si="253"/>
        <v>738</v>
      </c>
      <c r="AW763" s="77">
        <f t="shared" si="253"/>
        <v>189</v>
      </c>
      <c r="AX763" s="77" t="str">
        <f t="shared" si="253"/>
        <v>MEX</v>
      </c>
    </row>
    <row r="764" spans="1:50" ht="15.75" thickBot="1" x14ac:dyDescent="0.3">
      <c r="A764">
        <v>750</v>
      </c>
      <c r="B764" s="36" t="str">
        <f t="shared" si="236"/>
        <v>INTERAVIÓN</v>
      </c>
      <c r="C764" s="36">
        <f t="shared" si="236"/>
        <v>230</v>
      </c>
      <c r="D764" s="84">
        <v>0.4152777777777778</v>
      </c>
      <c r="E764" s="84">
        <v>0.42291666666666666</v>
      </c>
      <c r="F764" s="85">
        <v>7.6388888888888618E-3</v>
      </c>
      <c r="G764" s="84">
        <v>0.42499999999999999</v>
      </c>
      <c r="H764" s="85">
        <v>2.0833333333333259E-3</v>
      </c>
      <c r="I764" s="86">
        <v>41727</v>
      </c>
      <c r="J764" s="36" t="str">
        <f t="shared" si="251"/>
        <v>Nacional</v>
      </c>
      <c r="K764" s="36">
        <f t="shared" si="251"/>
        <v>8.3333333333333228E-3</v>
      </c>
      <c r="L764" s="36">
        <f t="shared" si="251"/>
        <v>4.282407407407411E-3</v>
      </c>
      <c r="M764" s="36">
        <f t="shared" si="251"/>
        <v>1.2615740740740733E-2</v>
      </c>
      <c r="N764" s="36" t="str">
        <f t="shared" si="251"/>
        <v>ER4</v>
      </c>
      <c r="O764" s="36">
        <f t="shared" si="251"/>
        <v>50</v>
      </c>
      <c r="P764" s="36" t="str">
        <f t="shared" si="251"/>
        <v>CUU</v>
      </c>
      <c r="R764">
        <v>750</v>
      </c>
      <c r="S764" s="36" t="str">
        <f t="shared" si="247"/>
        <v>MEXICO AEREO</v>
      </c>
      <c r="T764" s="36">
        <f t="shared" si="247"/>
        <v>156</v>
      </c>
      <c r="U764" s="73">
        <v>7.0833333333333331E-2</v>
      </c>
      <c r="V764" s="74">
        <v>7.6388888888888895E-2</v>
      </c>
      <c r="W764" s="75">
        <v>5.5555555555555636E-3</v>
      </c>
      <c r="X764" s="74">
        <v>8.4027777777777771E-2</v>
      </c>
      <c r="Y764" s="75">
        <v>7.6388888888888756E-3</v>
      </c>
      <c r="Z764" s="76">
        <v>41732</v>
      </c>
      <c r="AA764" s="36" t="str">
        <f t="shared" si="252"/>
        <v>Nacional</v>
      </c>
      <c r="AB764" s="36">
        <f t="shared" si="252"/>
        <v>7.6388888888889259E-3</v>
      </c>
      <c r="AC764" s="36">
        <f t="shared" si="252"/>
        <v>6.4670138888888945E-3</v>
      </c>
      <c r="AD764" s="36">
        <f t="shared" si="252"/>
        <v>1.4105902777777821E-2</v>
      </c>
      <c r="AE764" s="36" t="str">
        <f t="shared" si="252"/>
        <v>B737-700</v>
      </c>
      <c r="AF764" s="36">
        <f t="shared" si="252"/>
        <v>126</v>
      </c>
      <c r="AG764" s="36" t="str">
        <f t="shared" si="252"/>
        <v>MEX</v>
      </c>
      <c r="AI764">
        <v>750</v>
      </c>
      <c r="AJ764" s="77" t="str">
        <f t="shared" si="244"/>
        <v>MEXICO AEREO</v>
      </c>
      <c r="AK764" s="77">
        <f t="shared" si="244"/>
        <v>100</v>
      </c>
      <c r="AL764" s="78">
        <v>0.35625000000000001</v>
      </c>
      <c r="AM764" s="79">
        <v>0.3611111111111111</v>
      </c>
      <c r="AN764" s="80">
        <v>4.8611111111110938E-3</v>
      </c>
      <c r="AO764" s="79">
        <v>0.36944444444444446</v>
      </c>
      <c r="AP764" s="80">
        <v>8.3333333333333592E-3</v>
      </c>
      <c r="AQ764" s="81">
        <v>41794</v>
      </c>
      <c r="AR764" s="77" t="str">
        <f t="shared" si="253"/>
        <v>Nacional</v>
      </c>
      <c r="AS764" s="77">
        <f t="shared" si="253"/>
        <v>6.4236111111111048E-3</v>
      </c>
      <c r="AT764" s="77">
        <f t="shared" si="253"/>
        <v>7.8124999999999844E-3</v>
      </c>
      <c r="AU764" s="77">
        <f t="shared" si="253"/>
        <v>1.4236111111111088E-2</v>
      </c>
      <c r="AV764" s="77">
        <f t="shared" si="253"/>
        <v>738</v>
      </c>
      <c r="AW764" s="77">
        <f t="shared" si="253"/>
        <v>189</v>
      </c>
      <c r="AX764" s="77" t="str">
        <f t="shared" si="253"/>
        <v>MEX</v>
      </c>
    </row>
    <row r="765" spans="1:50" ht="15.75" thickBot="1" x14ac:dyDescent="0.3">
      <c r="A765">
        <v>751</v>
      </c>
      <c r="B765" s="36" t="str">
        <f t="shared" si="236"/>
        <v>INTERAVIÓN</v>
      </c>
      <c r="C765" s="46">
        <v>221</v>
      </c>
      <c r="D765" s="47">
        <v>0.44027777777777777</v>
      </c>
      <c r="E765" s="47">
        <v>0.45277777777777778</v>
      </c>
      <c r="F765" s="48">
        <v>1.2500000000000011E-2</v>
      </c>
      <c r="G765" s="47">
        <v>0.46111111111111108</v>
      </c>
      <c r="H765" s="48">
        <v>8.3333333333333037E-3</v>
      </c>
      <c r="I765" s="49">
        <v>41718</v>
      </c>
      <c r="J765" s="49" t="s">
        <v>19</v>
      </c>
      <c r="K765" s="139">
        <v>1.2500000000000011E-2</v>
      </c>
      <c r="L765" s="139">
        <v>8.3333333333333037E-3</v>
      </c>
      <c r="M765" s="145">
        <v>2.0833333333333315E-2</v>
      </c>
      <c r="N765" s="36" t="str">
        <f t="shared" si="251"/>
        <v>ER4</v>
      </c>
      <c r="O765" s="36">
        <f t="shared" si="251"/>
        <v>50</v>
      </c>
      <c r="P765" s="36" t="str">
        <f t="shared" si="251"/>
        <v>CUU</v>
      </c>
      <c r="R765">
        <v>751</v>
      </c>
      <c r="S765" s="36" t="str">
        <f t="shared" si="247"/>
        <v>MEXICO AEREO</v>
      </c>
      <c r="T765" s="36">
        <f t="shared" si="247"/>
        <v>156</v>
      </c>
      <c r="U765" s="73">
        <v>0.56180555555555556</v>
      </c>
      <c r="V765" s="74">
        <v>0.56805555555555554</v>
      </c>
      <c r="W765" s="75">
        <v>6.2499999999999778E-3</v>
      </c>
      <c r="X765" s="74">
        <v>0.57638888888888895</v>
      </c>
      <c r="Y765" s="75">
        <v>8.3333333333334147E-3</v>
      </c>
      <c r="Z765" s="76">
        <v>41733</v>
      </c>
      <c r="AA765" s="36" t="str">
        <f t="shared" si="252"/>
        <v>Nacional</v>
      </c>
      <c r="AB765" s="36">
        <f t="shared" si="252"/>
        <v>7.6388888888889259E-3</v>
      </c>
      <c r="AC765" s="36">
        <f t="shared" si="252"/>
        <v>6.4670138888888945E-3</v>
      </c>
      <c r="AD765" s="36">
        <f t="shared" si="252"/>
        <v>1.4105902777777821E-2</v>
      </c>
      <c r="AE765" s="36" t="str">
        <f t="shared" si="252"/>
        <v>B737-700</v>
      </c>
      <c r="AF765" s="36">
        <f t="shared" si="252"/>
        <v>126</v>
      </c>
      <c r="AG765" s="36" t="str">
        <f t="shared" si="252"/>
        <v>MEX</v>
      </c>
      <c r="AI765">
        <v>751</v>
      </c>
      <c r="AJ765" s="77" t="str">
        <f t="shared" si="244"/>
        <v>MEXICO AEREO</v>
      </c>
      <c r="AK765" s="77">
        <f t="shared" si="244"/>
        <v>100</v>
      </c>
      <c r="AL765" s="78">
        <v>0.3576388888888889</v>
      </c>
      <c r="AM765" s="79">
        <v>0.36180555555555555</v>
      </c>
      <c r="AN765" s="80">
        <v>4.1666666666666519E-3</v>
      </c>
      <c r="AO765" s="79">
        <v>0.37152777777777773</v>
      </c>
      <c r="AP765" s="80">
        <v>9.7222222222221877E-3</v>
      </c>
      <c r="AQ765" s="81">
        <v>41795</v>
      </c>
      <c r="AR765" s="77" t="str">
        <f t="shared" si="253"/>
        <v>Nacional</v>
      </c>
      <c r="AS765" s="77">
        <f t="shared" si="253"/>
        <v>6.4236111111111048E-3</v>
      </c>
      <c r="AT765" s="77">
        <f t="shared" si="253"/>
        <v>7.8124999999999844E-3</v>
      </c>
      <c r="AU765" s="77">
        <f t="shared" si="253"/>
        <v>1.4236111111111088E-2</v>
      </c>
      <c r="AV765" s="77">
        <f t="shared" si="253"/>
        <v>738</v>
      </c>
      <c r="AW765" s="77">
        <f t="shared" si="253"/>
        <v>189</v>
      </c>
      <c r="AX765" s="77" t="str">
        <f t="shared" si="253"/>
        <v>MEX</v>
      </c>
    </row>
    <row r="766" spans="1:50" x14ac:dyDescent="0.25">
      <c r="A766">
        <v>752</v>
      </c>
      <c r="B766" s="45" t="s">
        <v>69</v>
      </c>
      <c r="C766" s="88">
        <v>585</v>
      </c>
      <c r="D766" s="57">
        <v>0.76666666666666661</v>
      </c>
      <c r="E766" s="57">
        <v>0.77638888888888891</v>
      </c>
      <c r="F766" s="58">
        <v>9.7222222222222987E-3</v>
      </c>
      <c r="G766" s="57">
        <v>0.78472222222222221</v>
      </c>
      <c r="H766" s="58">
        <v>8.3333333333333037E-3</v>
      </c>
      <c r="I766" s="59">
        <v>41715</v>
      </c>
      <c r="J766" s="108" t="s">
        <v>19</v>
      </c>
      <c r="K766" s="61">
        <v>8.9015151515151204E-3</v>
      </c>
      <c r="L766" s="61">
        <v>6.0606060606060996E-3</v>
      </c>
      <c r="M766" s="89">
        <v>1.496212121212122E-2</v>
      </c>
      <c r="N766" s="90" t="s">
        <v>39</v>
      </c>
      <c r="O766" s="91">
        <v>189</v>
      </c>
      <c r="P766" s="92" t="s">
        <v>46</v>
      </c>
      <c r="R766">
        <v>752</v>
      </c>
      <c r="S766" s="36" t="str">
        <f t="shared" si="247"/>
        <v>MEXICO AEREO</v>
      </c>
      <c r="T766" s="36">
        <f t="shared" si="247"/>
        <v>156</v>
      </c>
      <c r="U766" s="73">
        <v>0.5444444444444444</v>
      </c>
      <c r="V766" s="74">
        <v>0.55972222222222223</v>
      </c>
      <c r="W766" s="75">
        <v>1.5277777777777835E-2</v>
      </c>
      <c r="X766" s="74">
        <v>0.56944444444444442</v>
      </c>
      <c r="Y766" s="75">
        <v>9.7222222222221877E-3</v>
      </c>
      <c r="Z766" s="76">
        <v>41737</v>
      </c>
      <c r="AA766" s="36" t="str">
        <f t="shared" si="252"/>
        <v>Nacional</v>
      </c>
      <c r="AB766" s="36">
        <f t="shared" si="252"/>
        <v>7.6388888888889259E-3</v>
      </c>
      <c r="AC766" s="36">
        <f t="shared" si="252"/>
        <v>6.4670138888888945E-3</v>
      </c>
      <c r="AD766" s="36">
        <f t="shared" si="252"/>
        <v>1.4105902777777821E-2</v>
      </c>
      <c r="AE766" s="36" t="str">
        <f t="shared" si="252"/>
        <v>B737-700</v>
      </c>
      <c r="AF766" s="36">
        <f t="shared" si="252"/>
        <v>126</v>
      </c>
      <c r="AG766" s="36" t="str">
        <f t="shared" si="252"/>
        <v>MEX</v>
      </c>
      <c r="AI766">
        <v>752</v>
      </c>
      <c r="AJ766" s="77" t="str">
        <f t="shared" si="244"/>
        <v>MEXICO AEREO</v>
      </c>
      <c r="AK766" s="77">
        <f t="shared" si="244"/>
        <v>100</v>
      </c>
      <c r="AL766" s="78">
        <v>0.3520833333333333</v>
      </c>
      <c r="AM766" s="79">
        <v>0.3576388888888889</v>
      </c>
      <c r="AN766" s="80">
        <v>5.5555555555555913E-3</v>
      </c>
      <c r="AO766" s="79">
        <v>0.36736111111111108</v>
      </c>
      <c r="AP766" s="80">
        <v>9.7222222222221877E-3</v>
      </c>
      <c r="AQ766" s="81">
        <v>41796</v>
      </c>
      <c r="AR766" s="77" t="str">
        <f t="shared" si="253"/>
        <v>Nacional</v>
      </c>
      <c r="AS766" s="77">
        <f t="shared" si="253"/>
        <v>6.4236111111111048E-3</v>
      </c>
      <c r="AT766" s="77">
        <f t="shared" si="253"/>
        <v>7.8124999999999844E-3</v>
      </c>
      <c r="AU766" s="77">
        <f t="shared" si="253"/>
        <v>1.4236111111111088E-2</v>
      </c>
      <c r="AV766" s="77">
        <f t="shared" si="253"/>
        <v>738</v>
      </c>
      <c r="AW766" s="77">
        <f t="shared" si="253"/>
        <v>189</v>
      </c>
      <c r="AX766" s="77" t="str">
        <f t="shared" si="253"/>
        <v>MEX</v>
      </c>
    </row>
    <row r="767" spans="1:50" x14ac:dyDescent="0.25">
      <c r="A767">
        <v>753</v>
      </c>
      <c r="B767" s="36" t="str">
        <f t="shared" ref="B767:C776" si="254">B766</f>
        <v xml:space="preserve">GRANRENTA </v>
      </c>
      <c r="C767" s="36">
        <f t="shared" si="254"/>
        <v>585</v>
      </c>
      <c r="D767" s="74">
        <v>0.71180555555555547</v>
      </c>
      <c r="E767" s="74">
        <v>0.72152777777777777</v>
      </c>
      <c r="F767" s="75">
        <v>9.7222222222222987E-3</v>
      </c>
      <c r="G767" s="74">
        <v>0.72569444444444453</v>
      </c>
      <c r="H767" s="75">
        <v>4.1666666666667629E-3</v>
      </c>
      <c r="I767" s="76">
        <v>41716</v>
      </c>
      <c r="J767" s="36" t="str">
        <f t="shared" ref="J767:P776" si="255">J766</f>
        <v>Nacional</v>
      </c>
      <c r="K767" s="36">
        <f t="shared" si="255"/>
        <v>8.9015151515151204E-3</v>
      </c>
      <c r="L767" s="36">
        <f t="shared" si="255"/>
        <v>6.0606060606060996E-3</v>
      </c>
      <c r="M767" s="36">
        <f t="shared" si="255"/>
        <v>1.496212121212122E-2</v>
      </c>
      <c r="N767" s="36" t="str">
        <f t="shared" si="255"/>
        <v>B737-800</v>
      </c>
      <c r="O767" s="36">
        <f t="shared" si="255"/>
        <v>189</v>
      </c>
      <c r="P767" s="36" t="str">
        <f t="shared" si="255"/>
        <v>CUN</v>
      </c>
      <c r="R767">
        <v>753</v>
      </c>
      <c r="S767" s="36" t="str">
        <f t="shared" si="247"/>
        <v>MEXICO AEREO</v>
      </c>
      <c r="T767" s="36">
        <f t="shared" si="247"/>
        <v>156</v>
      </c>
      <c r="U767" s="73">
        <v>0.58333333333333337</v>
      </c>
      <c r="V767" s="74">
        <v>0.59375</v>
      </c>
      <c r="W767" s="75">
        <v>1.041666666666663E-2</v>
      </c>
      <c r="X767" s="74">
        <v>0.59722222222222221</v>
      </c>
      <c r="Y767" s="75">
        <v>3.4722222222222099E-3</v>
      </c>
      <c r="Z767" s="76">
        <v>41738</v>
      </c>
      <c r="AA767" s="36" t="str">
        <f t="shared" si="252"/>
        <v>Nacional</v>
      </c>
      <c r="AB767" s="36">
        <f t="shared" si="252"/>
        <v>7.6388888888889259E-3</v>
      </c>
      <c r="AC767" s="36">
        <f t="shared" si="252"/>
        <v>6.4670138888888945E-3</v>
      </c>
      <c r="AD767" s="36">
        <f t="shared" si="252"/>
        <v>1.4105902777777821E-2</v>
      </c>
      <c r="AE767" s="36" t="str">
        <f t="shared" si="252"/>
        <v>B737-700</v>
      </c>
      <c r="AF767" s="36">
        <f t="shared" si="252"/>
        <v>126</v>
      </c>
      <c r="AG767" s="36" t="str">
        <f t="shared" si="252"/>
        <v>MEX</v>
      </c>
      <c r="AI767">
        <v>753</v>
      </c>
      <c r="AJ767" s="77" t="str">
        <f t="shared" si="244"/>
        <v>MEXICO AEREO</v>
      </c>
      <c r="AK767" s="77">
        <f t="shared" si="244"/>
        <v>100</v>
      </c>
      <c r="AL767" s="78">
        <v>0.34513888888888888</v>
      </c>
      <c r="AM767" s="79">
        <v>0.3520833333333333</v>
      </c>
      <c r="AN767" s="80">
        <v>6.9444444444444198E-3</v>
      </c>
      <c r="AO767" s="79">
        <v>0.35833333333333334</v>
      </c>
      <c r="AP767" s="80">
        <v>6.2500000000000333E-3</v>
      </c>
      <c r="AQ767" s="81">
        <v>41797</v>
      </c>
      <c r="AR767" s="77" t="str">
        <f t="shared" si="253"/>
        <v>Nacional</v>
      </c>
      <c r="AS767" s="77">
        <f t="shared" si="253"/>
        <v>6.4236111111111048E-3</v>
      </c>
      <c r="AT767" s="77">
        <f t="shared" si="253"/>
        <v>7.8124999999999844E-3</v>
      </c>
      <c r="AU767" s="77">
        <f t="shared" si="253"/>
        <v>1.4236111111111088E-2</v>
      </c>
      <c r="AV767" s="77">
        <f t="shared" si="253"/>
        <v>738</v>
      </c>
      <c r="AW767" s="77">
        <f t="shared" si="253"/>
        <v>189</v>
      </c>
      <c r="AX767" s="77" t="str">
        <f t="shared" si="253"/>
        <v>MEX</v>
      </c>
    </row>
    <row r="768" spans="1:50" x14ac:dyDescent="0.25">
      <c r="A768">
        <v>754</v>
      </c>
      <c r="B768" s="36" t="str">
        <f t="shared" si="254"/>
        <v xml:space="preserve">GRANRENTA </v>
      </c>
      <c r="C768" s="36">
        <f t="shared" si="254"/>
        <v>585</v>
      </c>
      <c r="D768" s="74">
        <v>0.71666666666666667</v>
      </c>
      <c r="E768" s="74">
        <v>0.72430555555555554</v>
      </c>
      <c r="F768" s="75">
        <v>7.6388888888888618E-3</v>
      </c>
      <c r="G768" s="74">
        <v>0.72916666666666663</v>
      </c>
      <c r="H768" s="75">
        <v>4.8611111111110938E-3</v>
      </c>
      <c r="I768" s="76">
        <v>41717</v>
      </c>
      <c r="J768" s="36" t="str">
        <f t="shared" si="255"/>
        <v>Nacional</v>
      </c>
      <c r="K768" s="36">
        <f t="shared" si="255"/>
        <v>8.9015151515151204E-3</v>
      </c>
      <c r="L768" s="36">
        <f t="shared" si="255"/>
        <v>6.0606060606060996E-3</v>
      </c>
      <c r="M768" s="36">
        <f t="shared" si="255"/>
        <v>1.496212121212122E-2</v>
      </c>
      <c r="N768" s="36" t="str">
        <f t="shared" si="255"/>
        <v>B737-800</v>
      </c>
      <c r="O768" s="36">
        <f t="shared" si="255"/>
        <v>189</v>
      </c>
      <c r="P768" s="36" t="str">
        <f t="shared" si="255"/>
        <v>CUN</v>
      </c>
      <c r="R768">
        <v>754</v>
      </c>
      <c r="S768" s="36" t="str">
        <f t="shared" si="247"/>
        <v>MEXICO AEREO</v>
      </c>
      <c r="T768" s="36">
        <f t="shared" si="247"/>
        <v>156</v>
      </c>
      <c r="U768" s="73">
        <v>0.54027777777777775</v>
      </c>
      <c r="V768" s="74">
        <v>0.54375000000000007</v>
      </c>
      <c r="W768" s="75">
        <v>3.4722222222223209E-3</v>
      </c>
      <c r="X768" s="74">
        <v>0.55069444444444449</v>
      </c>
      <c r="Y768" s="75">
        <v>6.9444444444444198E-3</v>
      </c>
      <c r="Z768" s="76">
        <v>41739</v>
      </c>
      <c r="AA768" s="36" t="str">
        <f t="shared" si="252"/>
        <v>Nacional</v>
      </c>
      <c r="AB768" s="36">
        <f t="shared" si="252"/>
        <v>7.6388888888889259E-3</v>
      </c>
      <c r="AC768" s="36">
        <f t="shared" si="252"/>
        <v>6.4670138888888945E-3</v>
      </c>
      <c r="AD768" s="36">
        <f t="shared" si="252"/>
        <v>1.4105902777777821E-2</v>
      </c>
      <c r="AE768" s="36" t="str">
        <f t="shared" si="252"/>
        <v>B737-700</v>
      </c>
      <c r="AF768" s="36">
        <f t="shared" si="252"/>
        <v>126</v>
      </c>
      <c r="AG768" s="36" t="str">
        <f t="shared" si="252"/>
        <v>MEX</v>
      </c>
      <c r="AI768">
        <v>754</v>
      </c>
      <c r="AJ768" s="77" t="str">
        <f t="shared" si="244"/>
        <v>MEXICO AEREO</v>
      </c>
      <c r="AK768" s="77">
        <f t="shared" si="244"/>
        <v>100</v>
      </c>
      <c r="AL768" s="78">
        <v>0.3444444444444445</v>
      </c>
      <c r="AM768" s="79">
        <v>0.34722222222222227</v>
      </c>
      <c r="AN768" s="80">
        <v>2.7777777777777679E-3</v>
      </c>
      <c r="AO768" s="79">
        <v>0.35416666666666669</v>
      </c>
      <c r="AP768" s="80">
        <v>6.9444444444444198E-3</v>
      </c>
      <c r="AQ768" s="81">
        <v>41799</v>
      </c>
      <c r="AR768" s="77" t="str">
        <f t="shared" si="253"/>
        <v>Nacional</v>
      </c>
      <c r="AS768" s="77">
        <f t="shared" si="253"/>
        <v>6.4236111111111048E-3</v>
      </c>
      <c r="AT768" s="77">
        <f t="shared" si="253"/>
        <v>7.8124999999999844E-3</v>
      </c>
      <c r="AU768" s="77">
        <f t="shared" si="253"/>
        <v>1.4236111111111088E-2</v>
      </c>
      <c r="AV768" s="77">
        <f t="shared" si="253"/>
        <v>738</v>
      </c>
      <c r="AW768" s="77">
        <f t="shared" si="253"/>
        <v>189</v>
      </c>
      <c r="AX768" s="77" t="str">
        <f t="shared" si="253"/>
        <v>MEX</v>
      </c>
    </row>
    <row r="769" spans="1:50" x14ac:dyDescent="0.25">
      <c r="A769">
        <v>755</v>
      </c>
      <c r="B769" s="36" t="str">
        <f t="shared" si="254"/>
        <v xml:space="preserve">GRANRENTA </v>
      </c>
      <c r="C769" s="36">
        <f t="shared" si="254"/>
        <v>585</v>
      </c>
      <c r="D769" s="74">
        <v>0.87847222222222221</v>
      </c>
      <c r="E769" s="74">
        <v>0.8881944444444444</v>
      </c>
      <c r="F769" s="75">
        <v>9.7222222222221877E-3</v>
      </c>
      <c r="G769" s="74">
        <v>0.8979166666666667</v>
      </c>
      <c r="H769" s="75">
        <v>9.7222222222222987E-3</v>
      </c>
      <c r="I769" s="76">
        <v>41719</v>
      </c>
      <c r="J769" s="36" t="str">
        <f t="shared" si="255"/>
        <v>Nacional</v>
      </c>
      <c r="K769" s="36">
        <f t="shared" si="255"/>
        <v>8.9015151515151204E-3</v>
      </c>
      <c r="L769" s="36">
        <f t="shared" si="255"/>
        <v>6.0606060606060996E-3</v>
      </c>
      <c r="M769" s="36">
        <f t="shared" si="255"/>
        <v>1.496212121212122E-2</v>
      </c>
      <c r="N769" s="36" t="str">
        <f t="shared" si="255"/>
        <v>B737-800</v>
      </c>
      <c r="O769" s="36">
        <f t="shared" si="255"/>
        <v>189</v>
      </c>
      <c r="P769" s="36" t="str">
        <f t="shared" si="255"/>
        <v>CUN</v>
      </c>
      <c r="R769">
        <v>755</v>
      </c>
      <c r="S769" s="36" t="str">
        <f t="shared" si="247"/>
        <v>MEXICO AEREO</v>
      </c>
      <c r="T769" s="36">
        <f t="shared" si="247"/>
        <v>156</v>
      </c>
      <c r="U769" s="73">
        <v>0.57291666666666663</v>
      </c>
      <c r="V769" s="74">
        <v>0.57916666666666672</v>
      </c>
      <c r="W769" s="75">
        <v>6.2500000000000888E-3</v>
      </c>
      <c r="X769" s="74">
        <v>0.58333333333333337</v>
      </c>
      <c r="Y769" s="75">
        <v>4.1666666666666519E-3</v>
      </c>
      <c r="Z769" s="76">
        <v>41742</v>
      </c>
      <c r="AA769" s="36" t="str">
        <f t="shared" si="252"/>
        <v>Nacional</v>
      </c>
      <c r="AB769" s="36">
        <f t="shared" si="252"/>
        <v>7.6388888888889259E-3</v>
      </c>
      <c r="AC769" s="36">
        <f t="shared" si="252"/>
        <v>6.4670138888888945E-3</v>
      </c>
      <c r="AD769" s="36">
        <f t="shared" si="252"/>
        <v>1.4105902777777821E-2</v>
      </c>
      <c r="AE769" s="36" t="str">
        <f t="shared" si="252"/>
        <v>B737-700</v>
      </c>
      <c r="AF769" s="36">
        <f t="shared" si="252"/>
        <v>126</v>
      </c>
      <c r="AG769" s="36" t="str">
        <f t="shared" si="252"/>
        <v>MEX</v>
      </c>
      <c r="AI769">
        <v>755</v>
      </c>
      <c r="AJ769" s="77" t="str">
        <f t="shared" si="244"/>
        <v>MEXICO AEREO</v>
      </c>
      <c r="AK769" s="77">
        <f t="shared" si="244"/>
        <v>100</v>
      </c>
      <c r="AL769" s="78">
        <v>0.89583333333333337</v>
      </c>
      <c r="AM769" s="79">
        <v>0.90277777777777779</v>
      </c>
      <c r="AN769" s="80">
        <v>6.9444444444444198E-3</v>
      </c>
      <c r="AO769" s="79">
        <v>0.91111111111111109</v>
      </c>
      <c r="AP769" s="80">
        <v>8.3333333333333037E-3</v>
      </c>
      <c r="AQ769" s="81">
        <v>41801</v>
      </c>
      <c r="AR769" s="77" t="str">
        <f t="shared" si="253"/>
        <v>Nacional</v>
      </c>
      <c r="AS769" s="77">
        <f t="shared" si="253"/>
        <v>6.4236111111111048E-3</v>
      </c>
      <c r="AT769" s="77">
        <f t="shared" si="253"/>
        <v>7.8124999999999844E-3</v>
      </c>
      <c r="AU769" s="77">
        <f t="shared" si="253"/>
        <v>1.4236111111111088E-2</v>
      </c>
      <c r="AV769" s="77">
        <f t="shared" si="253"/>
        <v>738</v>
      </c>
      <c r="AW769" s="77">
        <f t="shared" si="253"/>
        <v>189</v>
      </c>
      <c r="AX769" s="77" t="str">
        <f t="shared" si="253"/>
        <v>MEX</v>
      </c>
    </row>
    <row r="770" spans="1:50" x14ac:dyDescent="0.25">
      <c r="A770">
        <v>756</v>
      </c>
      <c r="B770" s="36" t="str">
        <f t="shared" si="254"/>
        <v xml:space="preserve">GRANRENTA </v>
      </c>
      <c r="C770" s="36">
        <f t="shared" si="254"/>
        <v>585</v>
      </c>
      <c r="D770" s="74">
        <v>0.63402777777777775</v>
      </c>
      <c r="E770" s="74">
        <v>0.64236111111111105</v>
      </c>
      <c r="F770" s="75">
        <v>8.3333333333333037E-3</v>
      </c>
      <c r="G770" s="74">
        <v>0.64583333333333337</v>
      </c>
      <c r="H770" s="75">
        <v>3.4722222222223209E-3</v>
      </c>
      <c r="I770" s="76">
        <v>41720</v>
      </c>
      <c r="J770" s="36" t="str">
        <f t="shared" si="255"/>
        <v>Nacional</v>
      </c>
      <c r="K770" s="36">
        <f t="shared" si="255"/>
        <v>8.9015151515151204E-3</v>
      </c>
      <c r="L770" s="36">
        <f t="shared" si="255"/>
        <v>6.0606060606060996E-3</v>
      </c>
      <c r="M770" s="36">
        <f t="shared" si="255"/>
        <v>1.496212121212122E-2</v>
      </c>
      <c r="N770" s="36" t="str">
        <f t="shared" si="255"/>
        <v>B737-800</v>
      </c>
      <c r="O770" s="36">
        <f t="shared" si="255"/>
        <v>189</v>
      </c>
      <c r="P770" s="36" t="str">
        <f t="shared" si="255"/>
        <v>CUN</v>
      </c>
      <c r="R770">
        <v>756</v>
      </c>
      <c r="S770" s="36" t="str">
        <f t="shared" si="247"/>
        <v>MEXICO AEREO</v>
      </c>
      <c r="T770" s="36">
        <f t="shared" si="247"/>
        <v>156</v>
      </c>
      <c r="U770" s="73">
        <v>0.56805555555555554</v>
      </c>
      <c r="V770" s="74">
        <v>0.57500000000000007</v>
      </c>
      <c r="W770" s="75">
        <v>6.9444444444445308E-3</v>
      </c>
      <c r="X770" s="74">
        <v>0.57916666666666672</v>
      </c>
      <c r="Y770" s="75">
        <v>4.1666666666666519E-3</v>
      </c>
      <c r="Z770" s="76">
        <v>41743</v>
      </c>
      <c r="AA770" s="36" t="str">
        <f t="shared" si="252"/>
        <v>Nacional</v>
      </c>
      <c r="AB770" s="36">
        <f t="shared" si="252"/>
        <v>7.6388888888889259E-3</v>
      </c>
      <c r="AC770" s="36">
        <f t="shared" si="252"/>
        <v>6.4670138888888945E-3</v>
      </c>
      <c r="AD770" s="36">
        <f t="shared" si="252"/>
        <v>1.4105902777777821E-2</v>
      </c>
      <c r="AE770" s="36" t="str">
        <f t="shared" si="252"/>
        <v>B737-700</v>
      </c>
      <c r="AF770" s="36">
        <f t="shared" si="252"/>
        <v>126</v>
      </c>
      <c r="AG770" s="36" t="str">
        <f t="shared" si="252"/>
        <v>MEX</v>
      </c>
      <c r="AI770">
        <v>756</v>
      </c>
      <c r="AJ770" s="77" t="str">
        <f t="shared" si="244"/>
        <v>MEXICO AEREO</v>
      </c>
      <c r="AK770" s="77">
        <f t="shared" si="244"/>
        <v>100</v>
      </c>
      <c r="AL770" s="78">
        <v>0.54305555555555551</v>
      </c>
      <c r="AM770" s="79">
        <v>0.5493055555555556</v>
      </c>
      <c r="AN770" s="80">
        <v>6.2500000000000888E-3</v>
      </c>
      <c r="AO770" s="79">
        <v>0.55347222222222225</v>
      </c>
      <c r="AP770" s="80">
        <v>4.1666666666666519E-3</v>
      </c>
      <c r="AQ770" s="81">
        <v>41801</v>
      </c>
      <c r="AR770" s="77" t="str">
        <f t="shared" si="253"/>
        <v>Nacional</v>
      </c>
      <c r="AS770" s="77">
        <f t="shared" si="253"/>
        <v>6.4236111111111048E-3</v>
      </c>
      <c r="AT770" s="77">
        <f t="shared" si="253"/>
        <v>7.8124999999999844E-3</v>
      </c>
      <c r="AU770" s="77">
        <f t="shared" si="253"/>
        <v>1.4236111111111088E-2</v>
      </c>
      <c r="AV770" s="77">
        <f t="shared" si="253"/>
        <v>738</v>
      </c>
      <c r="AW770" s="77">
        <f t="shared" si="253"/>
        <v>189</v>
      </c>
      <c r="AX770" s="77" t="str">
        <f t="shared" si="253"/>
        <v>MEX</v>
      </c>
    </row>
    <row r="771" spans="1:50" x14ac:dyDescent="0.25">
      <c r="A771">
        <v>757</v>
      </c>
      <c r="B771" s="36" t="str">
        <f t="shared" si="254"/>
        <v xml:space="preserve">GRANRENTA </v>
      </c>
      <c r="C771" s="36">
        <f t="shared" si="254"/>
        <v>585</v>
      </c>
      <c r="D771" s="74">
        <v>0.8833333333333333</v>
      </c>
      <c r="E771" s="74">
        <v>0.89583333333333337</v>
      </c>
      <c r="F771" s="75">
        <v>1.2500000000000067E-2</v>
      </c>
      <c r="G771" s="74">
        <v>0.9</v>
      </c>
      <c r="H771" s="75">
        <v>4.1666666666666519E-3</v>
      </c>
      <c r="I771" s="76">
        <v>41721</v>
      </c>
      <c r="J771" s="36" t="str">
        <f t="shared" si="255"/>
        <v>Nacional</v>
      </c>
      <c r="K771" s="36">
        <f t="shared" si="255"/>
        <v>8.9015151515151204E-3</v>
      </c>
      <c r="L771" s="36">
        <f t="shared" si="255"/>
        <v>6.0606060606060996E-3</v>
      </c>
      <c r="M771" s="36">
        <f t="shared" si="255"/>
        <v>1.496212121212122E-2</v>
      </c>
      <c r="N771" s="36" t="str">
        <f t="shared" si="255"/>
        <v>B737-800</v>
      </c>
      <c r="O771" s="36">
        <f t="shared" si="255"/>
        <v>189</v>
      </c>
      <c r="P771" s="36" t="str">
        <f t="shared" si="255"/>
        <v>CUN</v>
      </c>
      <c r="R771">
        <v>757</v>
      </c>
      <c r="S771" s="36" t="str">
        <f t="shared" si="247"/>
        <v>MEXICO AEREO</v>
      </c>
      <c r="T771" s="36">
        <f t="shared" si="247"/>
        <v>156</v>
      </c>
      <c r="U771" s="73">
        <v>0.54999999999999993</v>
      </c>
      <c r="V771" s="74">
        <v>0.55555555555555558</v>
      </c>
      <c r="W771" s="75">
        <v>5.5555555555556468E-3</v>
      </c>
      <c r="X771" s="74">
        <v>0.56111111111111112</v>
      </c>
      <c r="Y771" s="75">
        <v>5.5555555555555358E-3</v>
      </c>
      <c r="Z771" s="76">
        <v>41744</v>
      </c>
      <c r="AA771" s="36" t="str">
        <f t="shared" si="252"/>
        <v>Nacional</v>
      </c>
      <c r="AB771" s="36">
        <f t="shared" si="252"/>
        <v>7.6388888888889259E-3</v>
      </c>
      <c r="AC771" s="36">
        <f t="shared" si="252"/>
        <v>6.4670138888888945E-3</v>
      </c>
      <c r="AD771" s="36">
        <f t="shared" si="252"/>
        <v>1.4105902777777821E-2</v>
      </c>
      <c r="AE771" s="36" t="str">
        <f t="shared" si="252"/>
        <v>B737-700</v>
      </c>
      <c r="AF771" s="36">
        <f t="shared" si="252"/>
        <v>126</v>
      </c>
      <c r="AG771" s="36" t="str">
        <f t="shared" si="252"/>
        <v>MEX</v>
      </c>
      <c r="AI771">
        <v>757</v>
      </c>
      <c r="AJ771" s="77" t="str">
        <f t="shared" si="244"/>
        <v>MEXICO AEREO</v>
      </c>
      <c r="AK771" s="77">
        <f t="shared" si="244"/>
        <v>100</v>
      </c>
      <c r="AL771" s="78">
        <v>0.98611111111111116</v>
      </c>
      <c r="AM771" s="79">
        <v>0.9916666666666667</v>
      </c>
      <c r="AN771" s="80">
        <v>5.5555555555555358E-3</v>
      </c>
      <c r="AO771" s="79">
        <v>1.0034722222222221</v>
      </c>
      <c r="AP771" s="80">
        <v>1.1805555555555403E-2</v>
      </c>
      <c r="AQ771" s="81">
        <v>41802</v>
      </c>
      <c r="AR771" s="77" t="str">
        <f t="shared" si="253"/>
        <v>Nacional</v>
      </c>
      <c r="AS771" s="77">
        <f t="shared" si="253"/>
        <v>6.4236111111111048E-3</v>
      </c>
      <c r="AT771" s="77">
        <f t="shared" si="253"/>
        <v>7.8124999999999844E-3</v>
      </c>
      <c r="AU771" s="77">
        <f t="shared" si="253"/>
        <v>1.4236111111111088E-2</v>
      </c>
      <c r="AV771" s="77">
        <f t="shared" si="253"/>
        <v>738</v>
      </c>
      <c r="AW771" s="77">
        <f t="shared" si="253"/>
        <v>189</v>
      </c>
      <c r="AX771" s="77" t="str">
        <f t="shared" si="253"/>
        <v>MEX</v>
      </c>
    </row>
    <row r="772" spans="1:50" x14ac:dyDescent="0.25">
      <c r="A772">
        <v>758</v>
      </c>
      <c r="B772" s="36" t="str">
        <f t="shared" si="254"/>
        <v xml:space="preserve">GRANRENTA </v>
      </c>
      <c r="C772" s="36">
        <f t="shared" si="254"/>
        <v>585</v>
      </c>
      <c r="D772" s="74">
        <v>0.70000000000000007</v>
      </c>
      <c r="E772" s="74">
        <v>0.70624999999999993</v>
      </c>
      <c r="F772" s="75">
        <v>6.2499999999998668E-3</v>
      </c>
      <c r="G772" s="74">
        <v>0.7104166666666667</v>
      </c>
      <c r="H772" s="75">
        <v>4.1666666666667629E-3</v>
      </c>
      <c r="I772" s="76">
        <v>41722</v>
      </c>
      <c r="J772" s="36" t="str">
        <f t="shared" si="255"/>
        <v>Nacional</v>
      </c>
      <c r="K772" s="36">
        <f t="shared" si="255"/>
        <v>8.9015151515151204E-3</v>
      </c>
      <c r="L772" s="36">
        <f t="shared" si="255"/>
        <v>6.0606060606060996E-3</v>
      </c>
      <c r="M772" s="36">
        <f t="shared" si="255"/>
        <v>1.496212121212122E-2</v>
      </c>
      <c r="N772" s="36" t="str">
        <f t="shared" si="255"/>
        <v>B737-800</v>
      </c>
      <c r="O772" s="36">
        <f t="shared" si="255"/>
        <v>189</v>
      </c>
      <c r="P772" s="36" t="str">
        <f t="shared" si="255"/>
        <v>CUN</v>
      </c>
      <c r="R772">
        <v>758</v>
      </c>
      <c r="S772" s="36" t="str">
        <f t="shared" si="247"/>
        <v>MEXICO AEREO</v>
      </c>
      <c r="T772" s="36">
        <f t="shared" si="247"/>
        <v>156</v>
      </c>
      <c r="U772" s="73">
        <v>0.54861111111111105</v>
      </c>
      <c r="V772" s="74">
        <v>0.56111111111111112</v>
      </c>
      <c r="W772" s="75">
        <v>1.2500000000000067E-2</v>
      </c>
      <c r="X772" s="74">
        <v>0.56180555555555556</v>
      </c>
      <c r="Y772" s="75">
        <v>6.9444444444444198E-4</v>
      </c>
      <c r="Z772" s="76">
        <v>41747</v>
      </c>
      <c r="AA772" s="36" t="str">
        <f t="shared" si="252"/>
        <v>Nacional</v>
      </c>
      <c r="AB772" s="36">
        <f t="shared" si="252"/>
        <v>7.6388888888889259E-3</v>
      </c>
      <c r="AC772" s="36">
        <f t="shared" si="252"/>
        <v>6.4670138888888945E-3</v>
      </c>
      <c r="AD772" s="36">
        <f t="shared" si="252"/>
        <v>1.4105902777777821E-2</v>
      </c>
      <c r="AE772" s="36" t="str">
        <f t="shared" si="252"/>
        <v>B737-700</v>
      </c>
      <c r="AF772" s="36">
        <f t="shared" si="252"/>
        <v>126</v>
      </c>
      <c r="AG772" s="36" t="str">
        <f t="shared" si="252"/>
        <v>MEX</v>
      </c>
      <c r="AI772">
        <v>758</v>
      </c>
      <c r="AJ772" s="77" t="str">
        <f t="shared" si="244"/>
        <v>MEXICO AEREO</v>
      </c>
      <c r="AK772" s="77">
        <f t="shared" si="244"/>
        <v>100</v>
      </c>
      <c r="AL772" s="78">
        <v>0.21388888888888891</v>
      </c>
      <c r="AM772" s="79">
        <v>0.21805555555555556</v>
      </c>
      <c r="AN772" s="80">
        <v>4.1666666666666519E-3</v>
      </c>
      <c r="AO772" s="79">
        <v>0.22569444444444445</v>
      </c>
      <c r="AP772" s="80">
        <v>7.6388888888888895E-3</v>
      </c>
      <c r="AQ772" s="81">
        <v>41802</v>
      </c>
      <c r="AR772" s="77" t="str">
        <f t="shared" si="253"/>
        <v>Nacional</v>
      </c>
      <c r="AS772" s="77">
        <f t="shared" si="253"/>
        <v>6.4236111111111048E-3</v>
      </c>
      <c r="AT772" s="77">
        <f t="shared" si="253"/>
        <v>7.8124999999999844E-3</v>
      </c>
      <c r="AU772" s="77">
        <f t="shared" si="253"/>
        <v>1.4236111111111088E-2</v>
      </c>
      <c r="AV772" s="77">
        <f t="shared" si="253"/>
        <v>738</v>
      </c>
      <c r="AW772" s="77">
        <f t="shared" si="253"/>
        <v>189</v>
      </c>
      <c r="AX772" s="77" t="str">
        <f t="shared" si="253"/>
        <v>MEX</v>
      </c>
    </row>
    <row r="773" spans="1:50" x14ac:dyDescent="0.25">
      <c r="A773">
        <v>759</v>
      </c>
      <c r="B773" s="36" t="str">
        <f t="shared" si="254"/>
        <v xml:space="preserve">GRANRENTA </v>
      </c>
      <c r="C773" s="36">
        <f t="shared" si="254"/>
        <v>585</v>
      </c>
      <c r="D773" s="74">
        <v>0.70972222222222225</v>
      </c>
      <c r="E773" s="74">
        <v>0.72152777777777777</v>
      </c>
      <c r="F773" s="75">
        <v>1.1805555555555514E-2</v>
      </c>
      <c r="G773" s="74">
        <v>0.72638888888888886</v>
      </c>
      <c r="H773" s="75">
        <v>4.8611111111110938E-3</v>
      </c>
      <c r="I773" s="76">
        <v>41725</v>
      </c>
      <c r="J773" s="36" t="str">
        <f t="shared" si="255"/>
        <v>Nacional</v>
      </c>
      <c r="K773" s="36">
        <f t="shared" si="255"/>
        <v>8.9015151515151204E-3</v>
      </c>
      <c r="L773" s="36">
        <f t="shared" si="255"/>
        <v>6.0606060606060996E-3</v>
      </c>
      <c r="M773" s="36">
        <f t="shared" si="255"/>
        <v>1.496212121212122E-2</v>
      </c>
      <c r="N773" s="36" t="str">
        <f t="shared" si="255"/>
        <v>B737-800</v>
      </c>
      <c r="O773" s="36">
        <f t="shared" si="255"/>
        <v>189</v>
      </c>
      <c r="P773" s="36" t="str">
        <f t="shared" si="255"/>
        <v>CUN</v>
      </c>
      <c r="R773">
        <v>759</v>
      </c>
      <c r="S773" s="36" t="str">
        <f t="shared" si="247"/>
        <v>MEXICO AEREO</v>
      </c>
      <c r="T773" s="36">
        <f t="shared" si="247"/>
        <v>156</v>
      </c>
      <c r="U773" s="73">
        <v>0.58333333333333337</v>
      </c>
      <c r="V773" s="74">
        <v>0.59375</v>
      </c>
      <c r="W773" s="75">
        <v>1.041666666666663E-2</v>
      </c>
      <c r="X773" s="74">
        <v>0.60069444444444442</v>
      </c>
      <c r="Y773" s="75">
        <v>6.9444444444444198E-3</v>
      </c>
      <c r="Z773" s="76">
        <v>41750</v>
      </c>
      <c r="AA773" s="36" t="str">
        <f t="shared" si="252"/>
        <v>Nacional</v>
      </c>
      <c r="AB773" s="36">
        <f t="shared" si="252"/>
        <v>7.6388888888889259E-3</v>
      </c>
      <c r="AC773" s="36">
        <f t="shared" si="252"/>
        <v>6.4670138888888945E-3</v>
      </c>
      <c r="AD773" s="36">
        <f t="shared" si="252"/>
        <v>1.4105902777777821E-2</v>
      </c>
      <c r="AE773" s="36" t="str">
        <f t="shared" si="252"/>
        <v>B737-700</v>
      </c>
      <c r="AF773" s="36">
        <f t="shared" si="252"/>
        <v>126</v>
      </c>
      <c r="AG773" s="36" t="str">
        <f t="shared" si="252"/>
        <v>MEX</v>
      </c>
      <c r="AI773">
        <v>759</v>
      </c>
      <c r="AJ773" s="77" t="str">
        <f t="shared" si="244"/>
        <v>MEXICO AEREO</v>
      </c>
      <c r="AK773" s="77">
        <f t="shared" si="244"/>
        <v>100</v>
      </c>
      <c r="AL773" s="78">
        <v>0.92361111111111116</v>
      </c>
      <c r="AM773" s="79">
        <v>0.9277777777777777</v>
      </c>
      <c r="AN773" s="80">
        <v>4.1666666666665408E-3</v>
      </c>
      <c r="AO773" s="79">
        <v>0.93125000000000002</v>
      </c>
      <c r="AP773" s="80">
        <v>3.4722222222223209E-3</v>
      </c>
      <c r="AQ773" s="81">
        <v>41803</v>
      </c>
      <c r="AR773" s="77" t="str">
        <f t="shared" si="253"/>
        <v>Nacional</v>
      </c>
      <c r="AS773" s="77">
        <f t="shared" si="253"/>
        <v>6.4236111111111048E-3</v>
      </c>
      <c r="AT773" s="77">
        <f t="shared" si="253"/>
        <v>7.8124999999999844E-3</v>
      </c>
      <c r="AU773" s="77">
        <f t="shared" si="253"/>
        <v>1.4236111111111088E-2</v>
      </c>
      <c r="AV773" s="77">
        <f t="shared" si="253"/>
        <v>738</v>
      </c>
      <c r="AW773" s="77">
        <f t="shared" si="253"/>
        <v>189</v>
      </c>
      <c r="AX773" s="77" t="str">
        <f t="shared" si="253"/>
        <v>MEX</v>
      </c>
    </row>
    <row r="774" spans="1:50" x14ac:dyDescent="0.25">
      <c r="A774">
        <v>760</v>
      </c>
      <c r="B774" s="36" t="str">
        <f t="shared" si="254"/>
        <v xml:space="preserve">GRANRENTA </v>
      </c>
      <c r="C774" s="36">
        <f t="shared" si="254"/>
        <v>585</v>
      </c>
      <c r="D774" s="74">
        <v>0.88194444444444453</v>
      </c>
      <c r="E774" s="74">
        <v>0.89444444444444438</v>
      </c>
      <c r="F774" s="75">
        <v>1.2499999999999845E-2</v>
      </c>
      <c r="G774" s="74">
        <v>0.8979166666666667</v>
      </c>
      <c r="H774" s="75">
        <v>3.4722222222223209E-3</v>
      </c>
      <c r="I774" s="76">
        <v>41725</v>
      </c>
      <c r="J774" s="36" t="str">
        <f t="shared" si="255"/>
        <v>Nacional</v>
      </c>
      <c r="K774" s="36">
        <f t="shared" si="255"/>
        <v>8.9015151515151204E-3</v>
      </c>
      <c r="L774" s="36">
        <f t="shared" si="255"/>
        <v>6.0606060606060996E-3</v>
      </c>
      <c r="M774" s="36">
        <f t="shared" si="255"/>
        <v>1.496212121212122E-2</v>
      </c>
      <c r="N774" s="36" t="str">
        <f t="shared" si="255"/>
        <v>B737-800</v>
      </c>
      <c r="O774" s="36">
        <f t="shared" si="255"/>
        <v>189</v>
      </c>
      <c r="P774" s="36" t="str">
        <f t="shared" si="255"/>
        <v>CUN</v>
      </c>
      <c r="R774">
        <v>760</v>
      </c>
      <c r="S774" s="36" t="str">
        <f t="shared" si="247"/>
        <v>MEXICO AEREO</v>
      </c>
      <c r="T774" s="36">
        <f t="shared" si="247"/>
        <v>156</v>
      </c>
      <c r="U774" s="73">
        <v>0.57847222222222217</v>
      </c>
      <c r="V774" s="74">
        <v>0.57986111111111105</v>
      </c>
      <c r="W774" s="75">
        <v>1.388888888888884E-3</v>
      </c>
      <c r="X774" s="74">
        <v>0.58680555555555558</v>
      </c>
      <c r="Y774" s="75">
        <v>6.9444444444445308E-3</v>
      </c>
      <c r="Z774" s="76">
        <v>41753</v>
      </c>
      <c r="AA774" s="36" t="str">
        <f t="shared" si="252"/>
        <v>Nacional</v>
      </c>
      <c r="AB774" s="36">
        <f t="shared" si="252"/>
        <v>7.6388888888889259E-3</v>
      </c>
      <c r="AC774" s="36">
        <f t="shared" si="252"/>
        <v>6.4670138888888945E-3</v>
      </c>
      <c r="AD774" s="36">
        <f t="shared" si="252"/>
        <v>1.4105902777777821E-2</v>
      </c>
      <c r="AE774" s="36" t="str">
        <f t="shared" si="252"/>
        <v>B737-700</v>
      </c>
      <c r="AF774" s="36">
        <f t="shared" si="252"/>
        <v>126</v>
      </c>
      <c r="AG774" s="36" t="str">
        <f t="shared" si="252"/>
        <v>MEX</v>
      </c>
      <c r="AI774">
        <v>760</v>
      </c>
      <c r="AJ774" s="77" t="str">
        <f t="shared" si="244"/>
        <v>MEXICO AEREO</v>
      </c>
      <c r="AK774" s="77">
        <f t="shared" si="244"/>
        <v>100</v>
      </c>
      <c r="AL774" s="78">
        <v>0.87083333333333324</v>
      </c>
      <c r="AM774" s="79">
        <v>0.87986111111111109</v>
      </c>
      <c r="AN774" s="80">
        <v>9.0277777777778567E-3</v>
      </c>
      <c r="AO774" s="79">
        <v>0.88888888888888884</v>
      </c>
      <c r="AP774" s="80">
        <v>9.0277777777777457E-3</v>
      </c>
      <c r="AQ774" s="81">
        <v>41804</v>
      </c>
      <c r="AR774" s="77" t="str">
        <f t="shared" si="253"/>
        <v>Nacional</v>
      </c>
      <c r="AS774" s="77">
        <f t="shared" si="253"/>
        <v>6.4236111111111048E-3</v>
      </c>
      <c r="AT774" s="77">
        <f t="shared" si="253"/>
        <v>7.8124999999999844E-3</v>
      </c>
      <c r="AU774" s="77">
        <f t="shared" si="253"/>
        <v>1.4236111111111088E-2</v>
      </c>
      <c r="AV774" s="77">
        <f t="shared" si="253"/>
        <v>738</v>
      </c>
      <c r="AW774" s="77">
        <f t="shared" si="253"/>
        <v>189</v>
      </c>
      <c r="AX774" s="77" t="str">
        <f t="shared" si="253"/>
        <v>MEX</v>
      </c>
    </row>
    <row r="775" spans="1:50" x14ac:dyDescent="0.25">
      <c r="A775">
        <v>761</v>
      </c>
      <c r="B775" s="36" t="str">
        <f t="shared" si="254"/>
        <v xml:space="preserve">GRANRENTA </v>
      </c>
      <c r="C775" s="36">
        <f t="shared" si="254"/>
        <v>585</v>
      </c>
      <c r="D775" s="74">
        <v>0.71111111111111114</v>
      </c>
      <c r="E775" s="74">
        <v>0.71666666666666667</v>
      </c>
      <c r="F775" s="75">
        <v>5.5555555555555358E-3</v>
      </c>
      <c r="G775" s="74">
        <v>0.7284722222222223</v>
      </c>
      <c r="H775" s="75">
        <v>1.1805555555555625E-2</v>
      </c>
      <c r="I775" s="76">
        <v>41726</v>
      </c>
      <c r="J775" s="36" t="str">
        <f t="shared" si="255"/>
        <v>Nacional</v>
      </c>
      <c r="K775" s="36">
        <f t="shared" si="255"/>
        <v>8.9015151515151204E-3</v>
      </c>
      <c r="L775" s="36">
        <f t="shared" si="255"/>
        <v>6.0606060606060996E-3</v>
      </c>
      <c r="M775" s="36">
        <f t="shared" si="255"/>
        <v>1.496212121212122E-2</v>
      </c>
      <c r="N775" s="36" t="str">
        <f t="shared" si="255"/>
        <v>B737-800</v>
      </c>
      <c r="O775" s="36">
        <f t="shared" si="255"/>
        <v>189</v>
      </c>
      <c r="P775" s="36" t="str">
        <f t="shared" si="255"/>
        <v>CUN</v>
      </c>
      <c r="R775">
        <v>761</v>
      </c>
      <c r="S775" s="36" t="str">
        <f t="shared" si="247"/>
        <v>MEXICO AEREO</v>
      </c>
      <c r="T775" s="36">
        <f t="shared" si="247"/>
        <v>156</v>
      </c>
      <c r="U775" s="73">
        <v>0.55833333333333335</v>
      </c>
      <c r="V775" s="74">
        <v>0.56666666666666665</v>
      </c>
      <c r="W775" s="75">
        <v>8.3333333333333037E-3</v>
      </c>
      <c r="X775" s="74">
        <v>0.57361111111111118</v>
      </c>
      <c r="Y775" s="75">
        <v>6.9444444444445308E-3</v>
      </c>
      <c r="Z775" s="76">
        <v>41754</v>
      </c>
      <c r="AA775" s="36" t="str">
        <f t="shared" si="252"/>
        <v>Nacional</v>
      </c>
      <c r="AB775" s="36">
        <f t="shared" si="252"/>
        <v>7.6388888888889259E-3</v>
      </c>
      <c r="AC775" s="36">
        <f t="shared" si="252"/>
        <v>6.4670138888888945E-3</v>
      </c>
      <c r="AD775" s="36">
        <f t="shared" si="252"/>
        <v>1.4105902777777821E-2</v>
      </c>
      <c r="AE775" s="36" t="str">
        <f t="shared" si="252"/>
        <v>B737-700</v>
      </c>
      <c r="AF775" s="36">
        <f t="shared" si="252"/>
        <v>126</v>
      </c>
      <c r="AG775" s="36" t="str">
        <f t="shared" si="252"/>
        <v>MEX</v>
      </c>
      <c r="AI775">
        <v>761</v>
      </c>
      <c r="AJ775" s="77" t="str">
        <f t="shared" si="244"/>
        <v>MEXICO AEREO</v>
      </c>
      <c r="AK775" s="77">
        <f t="shared" si="244"/>
        <v>100</v>
      </c>
      <c r="AL775" s="78">
        <v>0.27569444444444446</v>
      </c>
      <c r="AM775" s="79">
        <v>0.29166666666666669</v>
      </c>
      <c r="AN775" s="80">
        <v>1.5972222222222221E-2</v>
      </c>
      <c r="AO775" s="79">
        <v>0.30555555555555552</v>
      </c>
      <c r="AP775" s="80">
        <v>1.388888888888884E-2</v>
      </c>
      <c r="AQ775" s="81">
        <v>41805</v>
      </c>
      <c r="AR775" s="77" t="str">
        <f t="shared" si="253"/>
        <v>Nacional</v>
      </c>
      <c r="AS775" s="77">
        <f t="shared" si="253"/>
        <v>6.4236111111111048E-3</v>
      </c>
      <c r="AT775" s="77">
        <f t="shared" si="253"/>
        <v>7.8124999999999844E-3</v>
      </c>
      <c r="AU775" s="77">
        <f t="shared" si="253"/>
        <v>1.4236111111111088E-2</v>
      </c>
      <c r="AV775" s="77">
        <f t="shared" si="253"/>
        <v>738</v>
      </c>
      <c r="AW775" s="77">
        <f t="shared" si="253"/>
        <v>189</v>
      </c>
      <c r="AX775" s="77" t="str">
        <f t="shared" si="253"/>
        <v>MEX</v>
      </c>
    </row>
    <row r="776" spans="1:50" ht="15.75" thickBot="1" x14ac:dyDescent="0.3">
      <c r="A776">
        <v>762</v>
      </c>
      <c r="B776" s="36" t="str">
        <f t="shared" si="254"/>
        <v xml:space="preserve">GRANRENTA </v>
      </c>
      <c r="C776" s="36">
        <f t="shared" si="254"/>
        <v>585</v>
      </c>
      <c r="D776" s="120">
        <v>0.70000000000000007</v>
      </c>
      <c r="E776" s="120">
        <v>0.70416666666666661</v>
      </c>
      <c r="F776" s="121">
        <v>4.1666666666665408E-3</v>
      </c>
      <c r="G776" s="120">
        <v>0.71180555555555547</v>
      </c>
      <c r="H776" s="121">
        <v>7.6388888888888618E-3</v>
      </c>
      <c r="I776" s="122">
        <v>41729</v>
      </c>
      <c r="J776" s="36" t="str">
        <f t="shared" si="255"/>
        <v>Nacional</v>
      </c>
      <c r="K776" s="36">
        <f t="shared" si="255"/>
        <v>8.9015151515151204E-3</v>
      </c>
      <c r="L776" s="36">
        <f t="shared" si="255"/>
        <v>6.0606060606060996E-3</v>
      </c>
      <c r="M776" s="36">
        <f t="shared" si="255"/>
        <v>1.496212121212122E-2</v>
      </c>
      <c r="N776" s="36" t="str">
        <f t="shared" si="255"/>
        <v>B737-800</v>
      </c>
      <c r="O776" s="36">
        <f t="shared" si="255"/>
        <v>189</v>
      </c>
      <c r="P776" s="36" t="str">
        <f t="shared" si="255"/>
        <v>CUN</v>
      </c>
      <c r="R776">
        <v>762</v>
      </c>
      <c r="S776" s="36" t="str">
        <f t="shared" si="247"/>
        <v>MEXICO AEREO</v>
      </c>
      <c r="T776" s="36">
        <f t="shared" si="247"/>
        <v>156</v>
      </c>
      <c r="U776" s="73">
        <v>0.57291666666666663</v>
      </c>
      <c r="V776" s="74">
        <v>0.57638888888888895</v>
      </c>
      <c r="W776" s="75">
        <v>3.4722222222223209E-3</v>
      </c>
      <c r="X776" s="74">
        <v>0.58333333333333337</v>
      </c>
      <c r="Y776" s="75">
        <v>6.9444444444444198E-3</v>
      </c>
      <c r="Z776" s="76">
        <v>41758</v>
      </c>
      <c r="AA776" s="36" t="str">
        <f t="shared" si="252"/>
        <v>Nacional</v>
      </c>
      <c r="AB776" s="36">
        <f t="shared" si="252"/>
        <v>7.6388888888889259E-3</v>
      </c>
      <c r="AC776" s="36">
        <f t="shared" si="252"/>
        <v>6.4670138888888945E-3</v>
      </c>
      <c r="AD776" s="36">
        <f t="shared" si="252"/>
        <v>1.4105902777777821E-2</v>
      </c>
      <c r="AE776" s="36" t="str">
        <f t="shared" si="252"/>
        <v>B737-700</v>
      </c>
      <c r="AF776" s="36">
        <f t="shared" si="252"/>
        <v>126</v>
      </c>
      <c r="AG776" s="36" t="str">
        <f t="shared" si="252"/>
        <v>MEX</v>
      </c>
      <c r="AI776">
        <v>762</v>
      </c>
      <c r="AJ776" s="77" t="str">
        <f t="shared" si="244"/>
        <v>MEXICO AEREO</v>
      </c>
      <c r="AK776" s="77">
        <f t="shared" si="244"/>
        <v>100</v>
      </c>
      <c r="AL776" s="78">
        <v>0.8305555555555556</v>
      </c>
      <c r="AM776" s="79">
        <v>0.84166666666666667</v>
      </c>
      <c r="AN776" s="80">
        <v>1.1111111111111072E-2</v>
      </c>
      <c r="AO776" s="79">
        <v>0.85763888888888884</v>
      </c>
      <c r="AP776" s="80">
        <v>1.5972222222222165E-2</v>
      </c>
      <c r="AQ776" s="81">
        <v>41806</v>
      </c>
      <c r="AR776" s="77" t="str">
        <f t="shared" si="253"/>
        <v>Nacional</v>
      </c>
      <c r="AS776" s="77">
        <f t="shared" si="253"/>
        <v>6.4236111111111048E-3</v>
      </c>
      <c r="AT776" s="77">
        <f t="shared" si="253"/>
        <v>7.8124999999999844E-3</v>
      </c>
      <c r="AU776" s="77">
        <f t="shared" si="253"/>
        <v>1.4236111111111088E-2</v>
      </c>
      <c r="AV776" s="77">
        <f t="shared" si="253"/>
        <v>738</v>
      </c>
      <c r="AW776" s="77">
        <f t="shared" si="253"/>
        <v>189</v>
      </c>
      <c r="AX776" s="77" t="str">
        <f t="shared" si="253"/>
        <v>MEX</v>
      </c>
    </row>
    <row r="777" spans="1:50" ht="15.75" thickBot="1" x14ac:dyDescent="0.3">
      <c r="A777">
        <v>763</v>
      </c>
      <c r="B777" s="171" t="s">
        <v>70</v>
      </c>
      <c r="C777" s="124">
        <v>21</v>
      </c>
      <c r="D777" s="57">
        <v>0.84375</v>
      </c>
      <c r="E777" s="57">
        <v>0.85416666666666663</v>
      </c>
      <c r="F777" s="58">
        <v>1.041666666666663E-2</v>
      </c>
      <c r="G777" s="57">
        <v>0.86458333333333337</v>
      </c>
      <c r="H777" s="58">
        <v>1.0416666666666741E-2</v>
      </c>
      <c r="I777" s="59">
        <v>41715</v>
      </c>
      <c r="J777" s="59" t="s">
        <v>19</v>
      </c>
      <c r="K777" s="57">
        <v>8.0357142857142884E-3</v>
      </c>
      <c r="L777" s="57">
        <v>4.0674603174602874E-3</v>
      </c>
      <c r="M777" s="172">
        <v>1.2103174603174576E-2</v>
      </c>
      <c r="N777" s="110" t="s">
        <v>20</v>
      </c>
      <c r="O777" s="110">
        <v>50</v>
      </c>
      <c r="P777" s="167" t="s">
        <v>24</v>
      </c>
      <c r="R777">
        <v>763</v>
      </c>
      <c r="S777" s="36" t="str">
        <f t="shared" si="247"/>
        <v>MEXICO AEREO</v>
      </c>
      <c r="T777" s="36">
        <f t="shared" si="247"/>
        <v>156</v>
      </c>
      <c r="U777" s="83">
        <v>0.54583333333333328</v>
      </c>
      <c r="V777" s="84">
        <v>0.55902777777777779</v>
      </c>
      <c r="W777" s="85">
        <v>1.3194444444444509E-2</v>
      </c>
      <c r="X777" s="84">
        <v>0.56805555555555554</v>
      </c>
      <c r="Y777" s="85">
        <v>9.0277777777777457E-3</v>
      </c>
      <c r="Z777" s="86">
        <v>41759</v>
      </c>
      <c r="AA777" s="36" t="str">
        <f t="shared" si="252"/>
        <v>Nacional</v>
      </c>
      <c r="AB777" s="36">
        <f t="shared" si="252"/>
        <v>7.6388888888889259E-3</v>
      </c>
      <c r="AC777" s="36">
        <f t="shared" si="252"/>
        <v>6.4670138888888945E-3</v>
      </c>
      <c r="AD777" s="36">
        <f t="shared" si="252"/>
        <v>1.4105902777777821E-2</v>
      </c>
      <c r="AE777" s="36" t="str">
        <f t="shared" si="252"/>
        <v>B737-700</v>
      </c>
      <c r="AF777" s="36">
        <f t="shared" si="252"/>
        <v>126</v>
      </c>
      <c r="AG777" s="36" t="str">
        <f t="shared" si="252"/>
        <v>MEX</v>
      </c>
      <c r="AI777">
        <v>763</v>
      </c>
      <c r="AJ777" s="77" t="str">
        <f t="shared" si="244"/>
        <v>MEXICO AEREO</v>
      </c>
      <c r="AK777" s="77">
        <f t="shared" si="244"/>
        <v>100</v>
      </c>
      <c r="AL777" s="78">
        <v>0.26041666666666669</v>
      </c>
      <c r="AM777" s="79">
        <v>0.26597222222222222</v>
      </c>
      <c r="AN777" s="80">
        <v>5.5555555555555358E-3</v>
      </c>
      <c r="AO777" s="79">
        <v>0.2722222222222222</v>
      </c>
      <c r="AP777" s="80">
        <v>6.2499999999999778E-3</v>
      </c>
      <c r="AQ777" s="81">
        <v>41807</v>
      </c>
      <c r="AR777" s="77" t="str">
        <f t="shared" si="253"/>
        <v>Nacional</v>
      </c>
      <c r="AS777" s="77">
        <f t="shared" si="253"/>
        <v>6.4236111111111048E-3</v>
      </c>
      <c r="AT777" s="77">
        <f t="shared" si="253"/>
        <v>7.8124999999999844E-3</v>
      </c>
      <c r="AU777" s="77">
        <f t="shared" si="253"/>
        <v>1.4236111111111088E-2</v>
      </c>
      <c r="AV777" s="77">
        <f t="shared" si="253"/>
        <v>738</v>
      </c>
      <c r="AW777" s="77">
        <f t="shared" si="253"/>
        <v>189</v>
      </c>
      <c r="AX777" s="77" t="str">
        <f t="shared" si="253"/>
        <v>MEX</v>
      </c>
    </row>
    <row r="778" spans="1:50" x14ac:dyDescent="0.25">
      <c r="A778">
        <v>764</v>
      </c>
      <c r="B778" s="36" t="str">
        <f t="shared" ref="B778:C799" si="256">B777</f>
        <v>TOR</v>
      </c>
      <c r="C778" s="36">
        <f t="shared" si="256"/>
        <v>21</v>
      </c>
      <c r="D778" s="74">
        <v>0.83333333333333337</v>
      </c>
      <c r="E778" s="74">
        <v>0.85069444444444453</v>
      </c>
      <c r="F778" s="75">
        <v>1.736111111111116E-2</v>
      </c>
      <c r="G778" s="74">
        <v>0.85416666666666663</v>
      </c>
      <c r="H778" s="75">
        <v>3.4722222222220989E-3</v>
      </c>
      <c r="I778" s="76">
        <v>41716</v>
      </c>
      <c r="J778" s="36" t="str">
        <f t="shared" ref="J778:P783" si="257">J777</f>
        <v>Nacional</v>
      </c>
      <c r="K778" s="36">
        <f t="shared" si="257"/>
        <v>8.0357142857142884E-3</v>
      </c>
      <c r="L778" s="36">
        <f t="shared" si="257"/>
        <v>4.0674603174602874E-3</v>
      </c>
      <c r="M778" s="36">
        <f t="shared" si="257"/>
        <v>1.2103174603174576E-2</v>
      </c>
      <c r="N778" s="36" t="str">
        <f t="shared" si="257"/>
        <v>ER4</v>
      </c>
      <c r="O778" s="36">
        <f t="shared" si="257"/>
        <v>50</v>
      </c>
      <c r="P778" s="36" t="str">
        <f t="shared" si="257"/>
        <v>QRO</v>
      </c>
      <c r="R778">
        <v>764</v>
      </c>
      <c r="S778" s="36" t="str">
        <f t="shared" si="247"/>
        <v>MEXICO AEREO</v>
      </c>
      <c r="T778" s="55">
        <v>128</v>
      </c>
      <c r="U778" s="56">
        <v>0.84097222222222223</v>
      </c>
      <c r="V778" s="57">
        <v>0.85416666666666663</v>
      </c>
      <c r="W778" s="58">
        <v>1.3194444444444398E-2</v>
      </c>
      <c r="X778" s="57">
        <v>0.85902777777777783</v>
      </c>
      <c r="Y778" s="58">
        <v>4.8611111111112049E-3</v>
      </c>
      <c r="Z778" s="59">
        <v>41730</v>
      </c>
      <c r="AA778" s="60" t="s">
        <v>19</v>
      </c>
      <c r="AB778" s="61">
        <v>8.735380116959051E-3</v>
      </c>
      <c r="AC778" s="61">
        <v>8.4064327485380407E-3</v>
      </c>
      <c r="AD778" s="62">
        <v>1.714181286549709E-2</v>
      </c>
      <c r="AE778" s="167" t="s">
        <v>45</v>
      </c>
      <c r="AF778" s="167">
        <v>126</v>
      </c>
      <c r="AG778" s="168" t="s">
        <v>21</v>
      </c>
      <c r="AI778">
        <v>764</v>
      </c>
      <c r="AJ778" s="77" t="str">
        <f t="shared" si="244"/>
        <v>MEXICO AEREO</v>
      </c>
      <c r="AK778" s="77">
        <f t="shared" si="244"/>
        <v>100</v>
      </c>
      <c r="AL778" s="78">
        <v>0.36458333333333331</v>
      </c>
      <c r="AM778" s="79">
        <v>0.375</v>
      </c>
      <c r="AN778" s="80">
        <v>1.0416666666666685E-2</v>
      </c>
      <c r="AO778" s="79">
        <v>0.37847222222222227</v>
      </c>
      <c r="AP778" s="80">
        <v>3.4722222222222654E-3</v>
      </c>
      <c r="AQ778" s="81">
        <v>41808</v>
      </c>
      <c r="AR778" s="77" t="str">
        <f t="shared" si="253"/>
        <v>Nacional</v>
      </c>
      <c r="AS778" s="77">
        <f t="shared" si="253"/>
        <v>6.4236111111111048E-3</v>
      </c>
      <c r="AT778" s="77">
        <f t="shared" si="253"/>
        <v>7.8124999999999844E-3</v>
      </c>
      <c r="AU778" s="77">
        <f t="shared" si="253"/>
        <v>1.4236111111111088E-2</v>
      </c>
      <c r="AV778" s="77">
        <f t="shared" si="253"/>
        <v>738</v>
      </c>
      <c r="AW778" s="77">
        <f t="shared" si="253"/>
        <v>189</v>
      </c>
      <c r="AX778" s="77" t="str">
        <f t="shared" si="253"/>
        <v>MEX</v>
      </c>
    </row>
    <row r="779" spans="1:50" x14ac:dyDescent="0.25">
      <c r="A779">
        <v>765</v>
      </c>
      <c r="B779" s="36" t="str">
        <f t="shared" si="256"/>
        <v>TOR</v>
      </c>
      <c r="C779" s="36">
        <f t="shared" si="256"/>
        <v>21</v>
      </c>
      <c r="D779" s="74">
        <v>0.84652777777777777</v>
      </c>
      <c r="E779" s="74">
        <v>0.8520833333333333</v>
      </c>
      <c r="F779" s="75">
        <v>5.5555555555555358E-3</v>
      </c>
      <c r="G779" s="74">
        <v>0.85486111111111107</v>
      </c>
      <c r="H779" s="75">
        <v>2.7777777777777679E-3</v>
      </c>
      <c r="I779" s="76">
        <v>41724</v>
      </c>
      <c r="J779" s="36" t="str">
        <f t="shared" si="257"/>
        <v>Nacional</v>
      </c>
      <c r="K779" s="36">
        <f t="shared" si="257"/>
        <v>8.0357142857142884E-3</v>
      </c>
      <c r="L779" s="36">
        <f t="shared" si="257"/>
        <v>4.0674603174602874E-3</v>
      </c>
      <c r="M779" s="36">
        <f t="shared" si="257"/>
        <v>1.2103174603174576E-2</v>
      </c>
      <c r="N779" s="36" t="str">
        <f t="shared" si="257"/>
        <v>ER4</v>
      </c>
      <c r="O779" s="36">
        <f t="shared" si="257"/>
        <v>50</v>
      </c>
      <c r="P779" s="36" t="str">
        <f t="shared" si="257"/>
        <v>QRO</v>
      </c>
      <c r="R779">
        <v>765</v>
      </c>
      <c r="S779" s="36" t="str">
        <f t="shared" si="247"/>
        <v>MEXICO AEREO</v>
      </c>
      <c r="T779" s="36">
        <f t="shared" si="247"/>
        <v>128</v>
      </c>
      <c r="U779" s="73">
        <v>0.84375</v>
      </c>
      <c r="V779" s="74">
        <v>0.8534722222222223</v>
      </c>
      <c r="W779" s="75">
        <v>9.7222222222222987E-3</v>
      </c>
      <c r="X779" s="74">
        <v>0.86597222222222225</v>
      </c>
      <c r="Y779" s="75">
        <v>1.2499999999999956E-2</v>
      </c>
      <c r="Z779" s="76">
        <v>41734</v>
      </c>
      <c r="AA779" s="36" t="str">
        <f t="shared" ref="AA779:AG796" si="258">AA778</f>
        <v>Nacional</v>
      </c>
      <c r="AB779" s="36">
        <f t="shared" si="258"/>
        <v>8.735380116959051E-3</v>
      </c>
      <c r="AC779" s="36">
        <f t="shared" si="258"/>
        <v>8.4064327485380407E-3</v>
      </c>
      <c r="AD779" s="36">
        <f t="shared" si="258"/>
        <v>1.714181286549709E-2</v>
      </c>
      <c r="AE779" s="36" t="str">
        <f t="shared" si="258"/>
        <v>B737-700</v>
      </c>
      <c r="AF779" s="36">
        <f t="shared" si="258"/>
        <v>126</v>
      </c>
      <c r="AG779" s="36" t="str">
        <f t="shared" si="258"/>
        <v>MEX</v>
      </c>
      <c r="AI779">
        <v>765</v>
      </c>
      <c r="AJ779" s="77" t="str">
        <f t="shared" si="244"/>
        <v>MEXICO AEREO</v>
      </c>
      <c r="AK779" s="77">
        <f t="shared" si="244"/>
        <v>100</v>
      </c>
      <c r="AL779" s="78">
        <v>0.3527777777777778</v>
      </c>
      <c r="AM779" s="79">
        <v>0.3576388888888889</v>
      </c>
      <c r="AN779" s="80">
        <v>4.8611111111110938E-3</v>
      </c>
      <c r="AO779" s="79">
        <v>0.37013888888888885</v>
      </c>
      <c r="AP779" s="80">
        <v>1.2499999999999956E-2</v>
      </c>
      <c r="AQ779" s="81">
        <v>41809</v>
      </c>
      <c r="AR779" s="77" t="str">
        <f t="shared" si="253"/>
        <v>Nacional</v>
      </c>
      <c r="AS779" s="77">
        <f t="shared" si="253"/>
        <v>6.4236111111111048E-3</v>
      </c>
      <c r="AT779" s="77">
        <f t="shared" si="253"/>
        <v>7.8124999999999844E-3</v>
      </c>
      <c r="AU779" s="77">
        <f t="shared" si="253"/>
        <v>1.4236111111111088E-2</v>
      </c>
      <c r="AV779" s="77">
        <f t="shared" si="253"/>
        <v>738</v>
      </c>
      <c r="AW779" s="77">
        <f t="shared" si="253"/>
        <v>189</v>
      </c>
      <c r="AX779" s="77" t="str">
        <f t="shared" si="253"/>
        <v>MEX</v>
      </c>
    </row>
    <row r="780" spans="1:50" x14ac:dyDescent="0.25">
      <c r="A780">
        <v>766</v>
      </c>
      <c r="B780" s="36" t="str">
        <f t="shared" si="256"/>
        <v>TOR</v>
      </c>
      <c r="C780" s="36">
        <f t="shared" si="256"/>
        <v>21</v>
      </c>
      <c r="D780" s="74">
        <v>1.0111111111111111</v>
      </c>
      <c r="E780" s="74">
        <v>1.0159722222222223</v>
      </c>
      <c r="F780" s="75">
        <v>4.8611111111112049E-3</v>
      </c>
      <c r="G780" s="74">
        <v>1.0180555555555555</v>
      </c>
      <c r="H780" s="75">
        <v>2.0833333333332149E-3</v>
      </c>
      <c r="I780" s="76">
        <v>41725</v>
      </c>
      <c r="J780" s="36" t="str">
        <f t="shared" si="257"/>
        <v>Nacional</v>
      </c>
      <c r="K780" s="36">
        <f t="shared" si="257"/>
        <v>8.0357142857142884E-3</v>
      </c>
      <c r="L780" s="36">
        <f t="shared" si="257"/>
        <v>4.0674603174602874E-3</v>
      </c>
      <c r="M780" s="36">
        <f t="shared" si="257"/>
        <v>1.2103174603174576E-2</v>
      </c>
      <c r="N780" s="36" t="str">
        <f t="shared" si="257"/>
        <v>ER4</v>
      </c>
      <c r="O780" s="36">
        <f t="shared" si="257"/>
        <v>50</v>
      </c>
      <c r="P780" s="36" t="str">
        <f t="shared" si="257"/>
        <v>QRO</v>
      </c>
      <c r="R780">
        <v>766</v>
      </c>
      <c r="S780" s="36" t="str">
        <f t="shared" si="247"/>
        <v>MEXICO AEREO</v>
      </c>
      <c r="T780" s="36">
        <f t="shared" si="247"/>
        <v>128</v>
      </c>
      <c r="U780" s="73">
        <v>0.84583333333333333</v>
      </c>
      <c r="V780" s="74">
        <v>0.85277777777777775</v>
      </c>
      <c r="W780" s="75">
        <v>6.9444444444444198E-3</v>
      </c>
      <c r="X780" s="74">
        <v>0.86111111111111116</v>
      </c>
      <c r="Y780" s="75">
        <v>8.3333333333334147E-3</v>
      </c>
      <c r="Z780" s="76">
        <v>41736</v>
      </c>
      <c r="AA780" s="36" t="str">
        <f t="shared" si="258"/>
        <v>Nacional</v>
      </c>
      <c r="AB780" s="36">
        <f t="shared" si="258"/>
        <v>8.735380116959051E-3</v>
      </c>
      <c r="AC780" s="36">
        <f t="shared" si="258"/>
        <v>8.4064327485380407E-3</v>
      </c>
      <c r="AD780" s="36">
        <f t="shared" si="258"/>
        <v>1.714181286549709E-2</v>
      </c>
      <c r="AE780" s="36" t="str">
        <f t="shared" si="258"/>
        <v>B737-700</v>
      </c>
      <c r="AF780" s="36">
        <f t="shared" si="258"/>
        <v>126</v>
      </c>
      <c r="AG780" s="36" t="str">
        <f t="shared" si="258"/>
        <v>MEX</v>
      </c>
      <c r="AI780">
        <v>766</v>
      </c>
      <c r="AJ780" s="77" t="str">
        <f t="shared" si="244"/>
        <v>MEXICO AEREO</v>
      </c>
      <c r="AK780" s="77">
        <f t="shared" si="244"/>
        <v>100</v>
      </c>
      <c r="AL780" s="78">
        <v>0.36180555555555555</v>
      </c>
      <c r="AM780" s="79">
        <v>0.36388888888888887</v>
      </c>
      <c r="AN780" s="80">
        <v>2.0833333333333259E-3</v>
      </c>
      <c r="AO780" s="79">
        <v>0.36944444444444446</v>
      </c>
      <c r="AP780" s="80">
        <v>5.5555555555555913E-3</v>
      </c>
      <c r="AQ780" s="81">
        <v>41810</v>
      </c>
      <c r="AR780" s="77" t="str">
        <f t="shared" si="253"/>
        <v>Nacional</v>
      </c>
      <c r="AS780" s="77">
        <f t="shared" si="253"/>
        <v>6.4236111111111048E-3</v>
      </c>
      <c r="AT780" s="77">
        <f t="shared" si="253"/>
        <v>7.8124999999999844E-3</v>
      </c>
      <c r="AU780" s="77">
        <f t="shared" si="253"/>
        <v>1.4236111111111088E-2</v>
      </c>
      <c r="AV780" s="77">
        <f t="shared" si="253"/>
        <v>738</v>
      </c>
      <c r="AW780" s="77">
        <f t="shared" si="253"/>
        <v>189</v>
      </c>
      <c r="AX780" s="77" t="str">
        <f t="shared" si="253"/>
        <v>MEX</v>
      </c>
    </row>
    <row r="781" spans="1:50" ht="15.75" thickBot="1" x14ac:dyDescent="0.3">
      <c r="A781">
        <v>767</v>
      </c>
      <c r="B781" s="36" t="str">
        <f t="shared" si="256"/>
        <v>TOR</v>
      </c>
      <c r="C781" s="36">
        <f t="shared" si="256"/>
        <v>21</v>
      </c>
      <c r="D781" s="74">
        <v>0.83611111111111114</v>
      </c>
      <c r="E781" s="74">
        <v>0.84166666666666667</v>
      </c>
      <c r="F781" s="75">
        <v>5.5555555555555358E-3</v>
      </c>
      <c r="G781" s="74">
        <v>0.84375</v>
      </c>
      <c r="H781" s="75">
        <v>2.0833333333333259E-3</v>
      </c>
      <c r="I781" s="76">
        <v>41726</v>
      </c>
      <c r="J781" s="36" t="str">
        <f t="shared" si="257"/>
        <v>Nacional</v>
      </c>
      <c r="K781" s="36">
        <f t="shared" si="257"/>
        <v>8.0357142857142884E-3</v>
      </c>
      <c r="L781" s="36">
        <f t="shared" si="257"/>
        <v>4.0674603174602874E-3</v>
      </c>
      <c r="M781" s="36">
        <f t="shared" si="257"/>
        <v>1.2103174603174576E-2</v>
      </c>
      <c r="N781" s="36" t="str">
        <f t="shared" si="257"/>
        <v>ER4</v>
      </c>
      <c r="O781" s="36">
        <f t="shared" si="257"/>
        <v>50</v>
      </c>
      <c r="P781" s="36" t="str">
        <f t="shared" si="257"/>
        <v>QRO</v>
      </c>
      <c r="R781">
        <v>767</v>
      </c>
      <c r="S781" s="36" t="str">
        <f t="shared" si="247"/>
        <v>MEXICO AEREO</v>
      </c>
      <c r="T781" s="36">
        <f t="shared" si="247"/>
        <v>128</v>
      </c>
      <c r="U781" s="73">
        <v>0.84930555555555554</v>
      </c>
      <c r="V781" s="74">
        <v>0.85277777777777775</v>
      </c>
      <c r="W781" s="75">
        <v>3.4722222222222099E-3</v>
      </c>
      <c r="X781" s="74">
        <v>0.85902777777777783</v>
      </c>
      <c r="Y781" s="75">
        <v>6.2500000000000888E-3</v>
      </c>
      <c r="Z781" s="76">
        <v>41736</v>
      </c>
      <c r="AA781" s="36" t="str">
        <f t="shared" si="258"/>
        <v>Nacional</v>
      </c>
      <c r="AB781" s="36">
        <f t="shared" si="258"/>
        <v>8.735380116959051E-3</v>
      </c>
      <c r="AC781" s="36">
        <f t="shared" si="258"/>
        <v>8.4064327485380407E-3</v>
      </c>
      <c r="AD781" s="36">
        <f t="shared" si="258"/>
        <v>1.714181286549709E-2</v>
      </c>
      <c r="AE781" s="36" t="str">
        <f t="shared" si="258"/>
        <v>B737-700</v>
      </c>
      <c r="AF781" s="36">
        <f t="shared" si="258"/>
        <v>126</v>
      </c>
      <c r="AG781" s="36" t="str">
        <f t="shared" si="258"/>
        <v>MEX</v>
      </c>
      <c r="AI781">
        <v>767</v>
      </c>
      <c r="AJ781" s="77" t="str">
        <f t="shared" si="244"/>
        <v>MEXICO AEREO</v>
      </c>
      <c r="AK781" s="77">
        <f t="shared" si="244"/>
        <v>100</v>
      </c>
      <c r="AL781" s="94">
        <v>0.34375</v>
      </c>
      <c r="AM781" s="95">
        <v>0.35138888888888892</v>
      </c>
      <c r="AN781" s="96">
        <v>7.6388888888889173E-3</v>
      </c>
      <c r="AO781" s="95">
        <v>0.35416666666666669</v>
      </c>
      <c r="AP781" s="96">
        <v>2.7777777777777679E-3</v>
      </c>
      <c r="AQ781" s="97">
        <v>41813</v>
      </c>
      <c r="AR781" s="77" t="str">
        <f t="shared" si="253"/>
        <v>Nacional</v>
      </c>
      <c r="AS781" s="77">
        <f t="shared" si="253"/>
        <v>6.4236111111111048E-3</v>
      </c>
      <c r="AT781" s="77">
        <f t="shared" si="253"/>
        <v>7.8124999999999844E-3</v>
      </c>
      <c r="AU781" s="77">
        <f t="shared" si="253"/>
        <v>1.4236111111111088E-2</v>
      </c>
      <c r="AV781" s="77">
        <f t="shared" si="253"/>
        <v>738</v>
      </c>
      <c r="AW781" s="77">
        <f t="shared" si="253"/>
        <v>189</v>
      </c>
      <c r="AX781" s="77" t="str">
        <f t="shared" si="253"/>
        <v>MEX</v>
      </c>
    </row>
    <row r="782" spans="1:50" x14ac:dyDescent="0.25">
      <c r="A782">
        <v>784</v>
      </c>
      <c r="B782" s="36" t="str">
        <f t="shared" si="256"/>
        <v>TOR</v>
      </c>
      <c r="C782" s="36">
        <f t="shared" si="256"/>
        <v>21</v>
      </c>
      <c r="D782" s="74">
        <v>0.35416666666666669</v>
      </c>
      <c r="E782" s="74">
        <v>0.36041666666666666</v>
      </c>
      <c r="F782" s="75">
        <v>6.2499999999999778E-3</v>
      </c>
      <c r="G782" s="74">
        <v>0.36388888888888887</v>
      </c>
      <c r="H782" s="75">
        <v>3.4722222222222099E-3</v>
      </c>
      <c r="I782" s="76">
        <v>41716</v>
      </c>
      <c r="J782" s="36" t="str">
        <f t="shared" si="257"/>
        <v>Nacional</v>
      </c>
      <c r="K782" s="36">
        <f t="shared" si="257"/>
        <v>8.0357142857142884E-3</v>
      </c>
      <c r="L782" s="36">
        <f t="shared" si="257"/>
        <v>4.0674603174602874E-3</v>
      </c>
      <c r="M782" s="36">
        <f t="shared" si="257"/>
        <v>1.2103174603174576E-2</v>
      </c>
      <c r="N782" s="36" t="str">
        <f t="shared" si="257"/>
        <v>ER4</v>
      </c>
      <c r="O782" s="36">
        <f t="shared" si="257"/>
        <v>50</v>
      </c>
      <c r="P782" s="36" t="str">
        <f t="shared" si="257"/>
        <v>QRO</v>
      </c>
      <c r="R782">
        <v>768</v>
      </c>
      <c r="S782" s="36" t="str">
        <f t="shared" si="247"/>
        <v>MEXICO AEREO</v>
      </c>
      <c r="T782" s="36">
        <f t="shared" si="247"/>
        <v>128</v>
      </c>
      <c r="U782" s="73">
        <v>0.84861111111111109</v>
      </c>
      <c r="V782" s="74">
        <v>0.85416666666666663</v>
      </c>
      <c r="W782" s="75">
        <v>5.5555555555555358E-3</v>
      </c>
      <c r="X782" s="74">
        <v>0.8618055555555556</v>
      </c>
      <c r="Y782" s="75">
        <v>7.6388888888889728E-3</v>
      </c>
      <c r="Z782" s="76">
        <v>41738</v>
      </c>
      <c r="AA782" s="36" t="str">
        <f t="shared" si="258"/>
        <v>Nacional</v>
      </c>
      <c r="AB782" s="36">
        <f t="shared" si="258"/>
        <v>8.735380116959051E-3</v>
      </c>
      <c r="AC782" s="36">
        <f t="shared" si="258"/>
        <v>8.4064327485380407E-3</v>
      </c>
      <c r="AD782" s="36">
        <f t="shared" si="258"/>
        <v>1.714181286549709E-2</v>
      </c>
      <c r="AE782" s="36" t="str">
        <f t="shared" si="258"/>
        <v>B737-700</v>
      </c>
      <c r="AF782" s="36">
        <f t="shared" si="258"/>
        <v>126</v>
      </c>
      <c r="AG782" s="36" t="str">
        <f t="shared" si="258"/>
        <v>MEX</v>
      </c>
      <c r="AI782">
        <v>768</v>
      </c>
      <c r="AJ782" s="77" t="s">
        <v>51</v>
      </c>
      <c r="AK782" s="63">
        <v>248</v>
      </c>
      <c r="AL782" s="64">
        <v>0.51041666666666663</v>
      </c>
      <c r="AM782" s="65">
        <v>0.52638888888888891</v>
      </c>
      <c r="AN782" s="66">
        <v>1.5972222222222276E-2</v>
      </c>
      <c r="AO782" s="65">
        <v>0.54722222222222217</v>
      </c>
      <c r="AP782" s="66">
        <v>2.0833333333333259E-2</v>
      </c>
      <c r="AQ782" s="67">
        <v>41791</v>
      </c>
      <c r="AR782" s="68" t="s">
        <v>22</v>
      </c>
      <c r="AS782" s="69">
        <v>1.4583333333333313E-2</v>
      </c>
      <c r="AT782" s="70">
        <v>1.8088624338624341E-2</v>
      </c>
      <c r="AU782" s="70">
        <v>3.2671957671957658E-2</v>
      </c>
      <c r="AV782" s="71">
        <v>737</v>
      </c>
      <c r="AW782" s="71">
        <v>169</v>
      </c>
      <c r="AX782" s="72" t="s">
        <v>40</v>
      </c>
    </row>
    <row r="783" spans="1:50" ht="15.75" thickBot="1" x14ac:dyDescent="0.3">
      <c r="A783">
        <v>785</v>
      </c>
      <c r="B783" s="36" t="str">
        <f t="shared" si="256"/>
        <v>TOR</v>
      </c>
      <c r="C783" s="36">
        <f t="shared" si="256"/>
        <v>21</v>
      </c>
      <c r="D783" s="84">
        <v>0.35000000000000003</v>
      </c>
      <c r="E783" s="84">
        <v>0.35625000000000001</v>
      </c>
      <c r="F783" s="85">
        <v>6.2499999999999778E-3</v>
      </c>
      <c r="G783" s="84">
        <v>0.36041666666666666</v>
      </c>
      <c r="H783" s="85">
        <v>4.1666666666666519E-3</v>
      </c>
      <c r="I783" s="86">
        <v>41726</v>
      </c>
      <c r="J783" s="36" t="str">
        <f t="shared" si="257"/>
        <v>Nacional</v>
      </c>
      <c r="K783" s="36">
        <f t="shared" si="257"/>
        <v>8.0357142857142884E-3</v>
      </c>
      <c r="L783" s="36">
        <f t="shared" si="257"/>
        <v>4.0674603174602874E-3</v>
      </c>
      <c r="M783" s="36">
        <f t="shared" si="257"/>
        <v>1.2103174603174576E-2</v>
      </c>
      <c r="N783" s="36" t="str">
        <f t="shared" si="257"/>
        <v>ER4</v>
      </c>
      <c r="O783" s="36">
        <f t="shared" si="257"/>
        <v>50</v>
      </c>
      <c r="P783" s="36" t="str">
        <f t="shared" si="257"/>
        <v>QRO</v>
      </c>
      <c r="R783">
        <v>769</v>
      </c>
      <c r="S783" s="36" t="str">
        <f t="shared" si="247"/>
        <v>MEXICO AEREO</v>
      </c>
      <c r="T783" s="36">
        <f t="shared" si="247"/>
        <v>128</v>
      </c>
      <c r="U783" s="73">
        <v>0.83888888888888891</v>
      </c>
      <c r="V783" s="74">
        <v>0.84305555555555556</v>
      </c>
      <c r="W783" s="75">
        <v>4.1666666666666519E-3</v>
      </c>
      <c r="X783" s="74">
        <v>0.875</v>
      </c>
      <c r="Y783" s="75">
        <v>3.1944444444444442E-2</v>
      </c>
      <c r="Z783" s="76">
        <v>41740</v>
      </c>
      <c r="AA783" s="36" t="str">
        <f t="shared" si="258"/>
        <v>Nacional</v>
      </c>
      <c r="AB783" s="36">
        <f t="shared" si="258"/>
        <v>8.735380116959051E-3</v>
      </c>
      <c r="AC783" s="36">
        <f t="shared" si="258"/>
        <v>8.4064327485380407E-3</v>
      </c>
      <c r="AD783" s="36">
        <f t="shared" si="258"/>
        <v>1.714181286549709E-2</v>
      </c>
      <c r="AE783" s="36" t="str">
        <f t="shared" si="258"/>
        <v>B737-700</v>
      </c>
      <c r="AF783" s="36">
        <f t="shared" si="258"/>
        <v>126</v>
      </c>
      <c r="AG783" s="36" t="str">
        <f t="shared" si="258"/>
        <v>MEX</v>
      </c>
      <c r="AI783">
        <v>769</v>
      </c>
      <c r="AJ783" s="77" t="str">
        <f t="shared" ref="AJ783:AK810" si="259">AJ782</f>
        <v>VUELOS AL NORTE</v>
      </c>
      <c r="AK783" s="77">
        <f t="shared" si="259"/>
        <v>248</v>
      </c>
      <c r="AL783" s="78">
        <v>0.50972222222222219</v>
      </c>
      <c r="AM783" s="79">
        <v>0.52569444444444446</v>
      </c>
      <c r="AN783" s="80">
        <v>1.5972222222222276E-2</v>
      </c>
      <c r="AO783" s="79">
        <v>0.54027777777777775</v>
      </c>
      <c r="AP783" s="80">
        <v>1.4583333333333282E-2</v>
      </c>
      <c r="AQ783" s="81">
        <v>41792</v>
      </c>
      <c r="AR783" s="77" t="str">
        <f t="shared" ref="AR783:AX802" si="260">AR782</f>
        <v>Internacional</v>
      </c>
      <c r="AS783" s="77">
        <f t="shared" si="260"/>
        <v>1.4583333333333313E-2</v>
      </c>
      <c r="AT783" s="77">
        <f t="shared" si="260"/>
        <v>1.8088624338624341E-2</v>
      </c>
      <c r="AU783" s="77">
        <f t="shared" si="260"/>
        <v>3.2671957671957658E-2</v>
      </c>
      <c r="AV783" s="77">
        <f t="shared" si="260"/>
        <v>737</v>
      </c>
      <c r="AW783" s="77">
        <f t="shared" si="260"/>
        <v>169</v>
      </c>
      <c r="AX783" s="77" t="str">
        <f t="shared" si="260"/>
        <v>LAX</v>
      </c>
    </row>
    <row r="784" spans="1:50" x14ac:dyDescent="0.25">
      <c r="A784">
        <v>768</v>
      </c>
      <c r="B784" s="36" t="str">
        <f t="shared" si="256"/>
        <v>TOR</v>
      </c>
      <c r="C784" s="125">
        <v>29</v>
      </c>
      <c r="D784" s="112">
        <v>0.41180555555555554</v>
      </c>
      <c r="E784" s="112">
        <v>0.42638888888888887</v>
      </c>
      <c r="F784" s="113">
        <v>1.4583333333333337E-2</v>
      </c>
      <c r="G784" s="112">
        <v>0.44305555555555554</v>
      </c>
      <c r="H784" s="113">
        <v>1.6666666666666663E-2</v>
      </c>
      <c r="I784" s="114">
        <v>41718</v>
      </c>
      <c r="J784" s="115" t="s">
        <v>19</v>
      </c>
      <c r="K784" s="116">
        <v>1.0763888888888878E-2</v>
      </c>
      <c r="L784" s="116">
        <v>1.3541666666666674E-2</v>
      </c>
      <c r="M784" s="117">
        <v>2.4305555555555552E-2</v>
      </c>
      <c r="N784" s="109" t="s">
        <v>20</v>
      </c>
      <c r="O784" s="110">
        <v>50</v>
      </c>
      <c r="P784" s="167" t="s">
        <v>24</v>
      </c>
      <c r="R784">
        <v>770</v>
      </c>
      <c r="S784" s="36" t="str">
        <f t="shared" si="247"/>
        <v>MEXICO AEREO</v>
      </c>
      <c r="T784" s="36">
        <f t="shared" si="247"/>
        <v>128</v>
      </c>
      <c r="U784" s="73">
        <v>0.86458333333333337</v>
      </c>
      <c r="V784" s="74">
        <v>0.87361111111111101</v>
      </c>
      <c r="W784" s="75">
        <v>9.0277777777776347E-3</v>
      </c>
      <c r="X784" s="74">
        <v>0.87916666666666676</v>
      </c>
      <c r="Y784" s="75">
        <v>5.5555555555557579E-3</v>
      </c>
      <c r="Z784" s="76">
        <v>41741</v>
      </c>
      <c r="AA784" s="36" t="str">
        <f t="shared" si="258"/>
        <v>Nacional</v>
      </c>
      <c r="AB784" s="36">
        <f t="shared" si="258"/>
        <v>8.735380116959051E-3</v>
      </c>
      <c r="AC784" s="36">
        <f t="shared" si="258"/>
        <v>8.4064327485380407E-3</v>
      </c>
      <c r="AD784" s="36">
        <f t="shared" si="258"/>
        <v>1.714181286549709E-2</v>
      </c>
      <c r="AE784" s="36" t="str">
        <f t="shared" si="258"/>
        <v>B737-700</v>
      </c>
      <c r="AF784" s="36">
        <f t="shared" si="258"/>
        <v>126</v>
      </c>
      <c r="AG784" s="36" t="str">
        <f t="shared" si="258"/>
        <v>MEX</v>
      </c>
      <c r="AI784">
        <v>770</v>
      </c>
      <c r="AJ784" s="77" t="str">
        <f t="shared" si="259"/>
        <v>VUELOS AL NORTE</v>
      </c>
      <c r="AK784" s="77">
        <f t="shared" si="259"/>
        <v>248</v>
      </c>
      <c r="AL784" s="78">
        <v>0.51111111111111118</v>
      </c>
      <c r="AM784" s="79">
        <v>0.52430555555555558</v>
      </c>
      <c r="AN784" s="80">
        <v>1.3194444444444398E-2</v>
      </c>
      <c r="AO784" s="79">
        <v>0.54097222222222219</v>
      </c>
      <c r="AP784" s="80">
        <v>1.6666666666666607E-2</v>
      </c>
      <c r="AQ784" s="81">
        <v>41793</v>
      </c>
      <c r="AR784" s="77" t="str">
        <f t="shared" si="260"/>
        <v>Internacional</v>
      </c>
      <c r="AS784" s="77">
        <f t="shared" si="260"/>
        <v>1.4583333333333313E-2</v>
      </c>
      <c r="AT784" s="77">
        <f t="shared" si="260"/>
        <v>1.8088624338624341E-2</v>
      </c>
      <c r="AU784" s="77">
        <f t="shared" si="260"/>
        <v>3.2671957671957658E-2</v>
      </c>
      <c r="AV784" s="77">
        <f t="shared" si="260"/>
        <v>737</v>
      </c>
      <c r="AW784" s="77">
        <f t="shared" si="260"/>
        <v>169</v>
      </c>
      <c r="AX784" s="77" t="str">
        <f t="shared" si="260"/>
        <v>LAX</v>
      </c>
    </row>
    <row r="785" spans="1:50" ht="15.75" thickBot="1" x14ac:dyDescent="0.3">
      <c r="A785">
        <v>769</v>
      </c>
      <c r="B785" s="36" t="str">
        <f t="shared" si="256"/>
        <v>TOR</v>
      </c>
      <c r="C785" s="36">
        <f>C784</f>
        <v>29</v>
      </c>
      <c r="D785" s="84">
        <v>0.4375</v>
      </c>
      <c r="E785" s="84">
        <v>0.44444444444444442</v>
      </c>
      <c r="F785" s="85">
        <v>6.9444444444444198E-3</v>
      </c>
      <c r="G785" s="84">
        <v>0.4548611111111111</v>
      </c>
      <c r="H785" s="85">
        <v>1.0416666666666685E-2</v>
      </c>
      <c r="I785" s="86">
        <v>41726</v>
      </c>
      <c r="J785" s="36" t="str">
        <f t="shared" ref="J785:P785" si="261">J784</f>
        <v>Nacional</v>
      </c>
      <c r="K785" s="36">
        <f t="shared" si="261"/>
        <v>1.0763888888888878E-2</v>
      </c>
      <c r="L785" s="36">
        <f t="shared" si="261"/>
        <v>1.3541666666666674E-2</v>
      </c>
      <c r="M785" s="36">
        <f t="shared" si="261"/>
        <v>2.4305555555555552E-2</v>
      </c>
      <c r="N785" s="36" t="str">
        <f t="shared" si="261"/>
        <v>ER4</v>
      </c>
      <c r="O785" s="36">
        <f t="shared" si="261"/>
        <v>50</v>
      </c>
      <c r="P785" s="36" t="str">
        <f t="shared" si="261"/>
        <v>QRO</v>
      </c>
      <c r="R785">
        <v>771</v>
      </c>
      <c r="S785" s="36" t="str">
        <f t="shared" si="247"/>
        <v>MEXICO AEREO</v>
      </c>
      <c r="T785" s="36">
        <f t="shared" si="247"/>
        <v>128</v>
      </c>
      <c r="U785" s="73">
        <v>0.84097222222222223</v>
      </c>
      <c r="V785" s="74">
        <v>0.85416666666666663</v>
      </c>
      <c r="W785" s="75">
        <v>1.3194444444444398E-2</v>
      </c>
      <c r="X785" s="74">
        <v>0.85902777777777783</v>
      </c>
      <c r="Y785" s="75">
        <v>4.8611111111112049E-3</v>
      </c>
      <c r="Z785" s="76">
        <v>41742</v>
      </c>
      <c r="AA785" s="36" t="str">
        <f t="shared" si="258"/>
        <v>Nacional</v>
      </c>
      <c r="AB785" s="36">
        <f t="shared" si="258"/>
        <v>8.735380116959051E-3</v>
      </c>
      <c r="AC785" s="36">
        <f t="shared" si="258"/>
        <v>8.4064327485380407E-3</v>
      </c>
      <c r="AD785" s="36">
        <f t="shared" si="258"/>
        <v>1.714181286549709E-2</v>
      </c>
      <c r="AE785" s="36" t="str">
        <f t="shared" si="258"/>
        <v>B737-700</v>
      </c>
      <c r="AF785" s="36">
        <f t="shared" si="258"/>
        <v>126</v>
      </c>
      <c r="AG785" s="36" t="str">
        <f t="shared" si="258"/>
        <v>MEX</v>
      </c>
      <c r="AI785">
        <v>771</v>
      </c>
      <c r="AJ785" s="77" t="str">
        <f t="shared" si="259"/>
        <v>VUELOS AL NORTE</v>
      </c>
      <c r="AK785" s="77">
        <f t="shared" si="259"/>
        <v>248</v>
      </c>
      <c r="AL785" s="78">
        <v>0.54652777777777783</v>
      </c>
      <c r="AM785" s="79">
        <v>0.5625</v>
      </c>
      <c r="AN785" s="80">
        <v>1.5972222222222165E-2</v>
      </c>
      <c r="AO785" s="79">
        <v>0.58333333333333337</v>
      </c>
      <c r="AP785" s="80">
        <v>2.083333333333337E-2</v>
      </c>
      <c r="AQ785" s="81">
        <v>41794</v>
      </c>
      <c r="AR785" s="77" t="str">
        <f t="shared" si="260"/>
        <v>Internacional</v>
      </c>
      <c r="AS785" s="77">
        <f t="shared" si="260"/>
        <v>1.4583333333333313E-2</v>
      </c>
      <c r="AT785" s="77">
        <f t="shared" si="260"/>
        <v>1.8088624338624341E-2</v>
      </c>
      <c r="AU785" s="77">
        <f t="shared" si="260"/>
        <v>3.2671957671957658E-2</v>
      </c>
      <c r="AV785" s="77">
        <f t="shared" si="260"/>
        <v>737</v>
      </c>
      <c r="AW785" s="77">
        <f t="shared" si="260"/>
        <v>169</v>
      </c>
      <c r="AX785" s="77" t="str">
        <f t="shared" si="260"/>
        <v>LAX</v>
      </c>
    </row>
    <row r="786" spans="1:50" x14ac:dyDescent="0.25">
      <c r="A786">
        <v>770</v>
      </c>
      <c r="B786" s="36" t="str">
        <f t="shared" si="256"/>
        <v>TOR</v>
      </c>
      <c r="C786" s="88">
        <v>28</v>
      </c>
      <c r="D786" s="57">
        <v>0.50069444444444444</v>
      </c>
      <c r="E786" s="57">
        <v>0.5493055555555556</v>
      </c>
      <c r="F786" s="58">
        <v>4.861111111111116E-2</v>
      </c>
      <c r="G786" s="57">
        <v>0.55069444444444449</v>
      </c>
      <c r="H786" s="58">
        <v>1.388888888888884E-3</v>
      </c>
      <c r="I786" s="59">
        <v>41725</v>
      </c>
      <c r="J786" s="108" t="s">
        <v>19</v>
      </c>
      <c r="K786" s="61">
        <v>2.5347222222222243E-2</v>
      </c>
      <c r="L786" s="61">
        <v>2.7777777777777679E-3</v>
      </c>
      <c r="M786" s="89">
        <v>2.8125000000000011E-2</v>
      </c>
      <c r="N786" s="90" t="s">
        <v>20</v>
      </c>
      <c r="O786" s="91">
        <v>50</v>
      </c>
      <c r="P786" s="92" t="s">
        <v>29</v>
      </c>
      <c r="R786">
        <v>772</v>
      </c>
      <c r="S786" s="36" t="str">
        <f t="shared" si="247"/>
        <v>MEXICO AEREO</v>
      </c>
      <c r="T786" s="36">
        <f t="shared" si="247"/>
        <v>128</v>
      </c>
      <c r="U786" s="73">
        <v>0.8534722222222223</v>
      </c>
      <c r="V786" s="74">
        <v>0.86111111111111116</v>
      </c>
      <c r="W786" s="75">
        <v>7.6388888888888618E-3</v>
      </c>
      <c r="X786" s="74">
        <v>0.8652777777777777</v>
      </c>
      <c r="Y786" s="75">
        <v>4.1666666666665408E-3</v>
      </c>
      <c r="Z786" s="76">
        <v>41743</v>
      </c>
      <c r="AA786" s="36" t="str">
        <f t="shared" si="258"/>
        <v>Nacional</v>
      </c>
      <c r="AB786" s="36">
        <f t="shared" si="258"/>
        <v>8.735380116959051E-3</v>
      </c>
      <c r="AC786" s="36">
        <f t="shared" si="258"/>
        <v>8.4064327485380407E-3</v>
      </c>
      <c r="AD786" s="36">
        <f t="shared" si="258"/>
        <v>1.714181286549709E-2</v>
      </c>
      <c r="AE786" s="36" t="str">
        <f t="shared" si="258"/>
        <v>B737-700</v>
      </c>
      <c r="AF786" s="36">
        <f t="shared" si="258"/>
        <v>126</v>
      </c>
      <c r="AG786" s="36" t="str">
        <f t="shared" si="258"/>
        <v>MEX</v>
      </c>
      <c r="AI786">
        <v>772</v>
      </c>
      <c r="AJ786" s="77" t="str">
        <f t="shared" si="259"/>
        <v>VUELOS AL NORTE</v>
      </c>
      <c r="AK786" s="77">
        <f t="shared" si="259"/>
        <v>248</v>
      </c>
      <c r="AL786" s="78">
        <v>0.51250000000000007</v>
      </c>
      <c r="AM786" s="79">
        <v>0.53125</v>
      </c>
      <c r="AN786" s="80">
        <v>1.8749999999999933E-2</v>
      </c>
      <c r="AO786" s="79">
        <v>0.54583333333333328</v>
      </c>
      <c r="AP786" s="80">
        <v>1.4583333333333282E-2</v>
      </c>
      <c r="AQ786" s="81">
        <v>41795</v>
      </c>
      <c r="AR786" s="77" t="str">
        <f t="shared" si="260"/>
        <v>Internacional</v>
      </c>
      <c r="AS786" s="77">
        <f t="shared" si="260"/>
        <v>1.4583333333333313E-2</v>
      </c>
      <c r="AT786" s="77">
        <f t="shared" si="260"/>
        <v>1.8088624338624341E-2</v>
      </c>
      <c r="AU786" s="77">
        <f t="shared" si="260"/>
        <v>3.2671957671957658E-2</v>
      </c>
      <c r="AV786" s="77">
        <f t="shared" si="260"/>
        <v>737</v>
      </c>
      <c r="AW786" s="77">
        <f t="shared" si="260"/>
        <v>169</v>
      </c>
      <c r="AX786" s="77" t="str">
        <f t="shared" si="260"/>
        <v>LAX</v>
      </c>
    </row>
    <row r="787" spans="1:50" ht="15.75" thickBot="1" x14ac:dyDescent="0.3">
      <c r="A787">
        <v>771</v>
      </c>
      <c r="B787" s="36" t="str">
        <f t="shared" si="256"/>
        <v>TOR</v>
      </c>
      <c r="C787" s="36">
        <f>C786</f>
        <v>28</v>
      </c>
      <c r="D787" s="84">
        <v>0.55833333333333335</v>
      </c>
      <c r="E787" s="84">
        <v>0.56041666666666667</v>
      </c>
      <c r="F787" s="85">
        <v>2.0833333333333259E-3</v>
      </c>
      <c r="G787" s="84">
        <v>0.56458333333333333</v>
      </c>
      <c r="H787" s="85">
        <v>4.1666666666666519E-3</v>
      </c>
      <c r="I787" s="86">
        <v>41726</v>
      </c>
      <c r="J787" s="36" t="str">
        <f t="shared" ref="J787:P787" si="262">J786</f>
        <v>Nacional</v>
      </c>
      <c r="K787" s="36">
        <f t="shared" si="262"/>
        <v>2.5347222222222243E-2</v>
      </c>
      <c r="L787" s="36">
        <f t="shared" si="262"/>
        <v>2.7777777777777679E-3</v>
      </c>
      <c r="M787" s="36">
        <f t="shared" si="262"/>
        <v>2.8125000000000011E-2</v>
      </c>
      <c r="N787" s="36" t="str">
        <f t="shared" si="262"/>
        <v>ER4</v>
      </c>
      <c r="O787" s="36">
        <f t="shared" si="262"/>
        <v>50</v>
      </c>
      <c r="P787" s="36" t="str">
        <f t="shared" si="262"/>
        <v>PVR</v>
      </c>
      <c r="R787">
        <v>773</v>
      </c>
      <c r="S787" s="36" t="str">
        <f t="shared" si="247"/>
        <v>MEXICO AEREO</v>
      </c>
      <c r="T787" s="36">
        <f t="shared" si="247"/>
        <v>128</v>
      </c>
      <c r="U787" s="73">
        <v>0.84305555555555556</v>
      </c>
      <c r="V787" s="74">
        <v>0.86319444444444438</v>
      </c>
      <c r="W787" s="75">
        <v>2.0138888888888817E-2</v>
      </c>
      <c r="X787" s="74">
        <v>0.86597222222222225</v>
      </c>
      <c r="Y787" s="75">
        <v>2.7777777777778789E-3</v>
      </c>
      <c r="Z787" s="76">
        <v>41745</v>
      </c>
      <c r="AA787" s="36" t="str">
        <f t="shared" si="258"/>
        <v>Nacional</v>
      </c>
      <c r="AB787" s="36">
        <f t="shared" si="258"/>
        <v>8.735380116959051E-3</v>
      </c>
      <c r="AC787" s="36">
        <f t="shared" si="258"/>
        <v>8.4064327485380407E-3</v>
      </c>
      <c r="AD787" s="36">
        <f t="shared" si="258"/>
        <v>1.714181286549709E-2</v>
      </c>
      <c r="AE787" s="36" t="str">
        <f t="shared" si="258"/>
        <v>B737-700</v>
      </c>
      <c r="AF787" s="36">
        <f t="shared" si="258"/>
        <v>126</v>
      </c>
      <c r="AG787" s="36" t="str">
        <f t="shared" si="258"/>
        <v>MEX</v>
      </c>
      <c r="AI787">
        <v>773</v>
      </c>
      <c r="AJ787" s="77" t="str">
        <f t="shared" si="259"/>
        <v>VUELOS AL NORTE</v>
      </c>
      <c r="AK787" s="77">
        <f t="shared" si="259"/>
        <v>248</v>
      </c>
      <c r="AL787" s="78">
        <v>0.50138888888888888</v>
      </c>
      <c r="AM787" s="79">
        <v>0.51597222222222217</v>
      </c>
      <c r="AN787" s="80">
        <v>1.4583333333333282E-2</v>
      </c>
      <c r="AO787" s="79">
        <v>0.52986111111111112</v>
      </c>
      <c r="AP787" s="80">
        <v>1.3888888888888951E-2</v>
      </c>
      <c r="AQ787" s="81">
        <v>41796</v>
      </c>
      <c r="AR787" s="77" t="str">
        <f t="shared" si="260"/>
        <v>Internacional</v>
      </c>
      <c r="AS787" s="77">
        <f t="shared" si="260"/>
        <v>1.4583333333333313E-2</v>
      </c>
      <c r="AT787" s="77">
        <f t="shared" si="260"/>
        <v>1.8088624338624341E-2</v>
      </c>
      <c r="AU787" s="77">
        <f t="shared" si="260"/>
        <v>3.2671957671957658E-2</v>
      </c>
      <c r="AV787" s="77">
        <f t="shared" si="260"/>
        <v>737</v>
      </c>
      <c r="AW787" s="77">
        <f t="shared" si="260"/>
        <v>169</v>
      </c>
      <c r="AX787" s="77" t="str">
        <f t="shared" si="260"/>
        <v>LAX</v>
      </c>
    </row>
    <row r="788" spans="1:50" x14ac:dyDescent="0.25">
      <c r="A788">
        <v>772</v>
      </c>
      <c r="B788" s="36" t="str">
        <f t="shared" si="256"/>
        <v>TOR</v>
      </c>
      <c r="C788" s="88">
        <v>26</v>
      </c>
      <c r="D788" s="57">
        <v>0.7284722222222223</v>
      </c>
      <c r="E788" s="57">
        <v>0.73055555555555562</v>
      </c>
      <c r="F788" s="58">
        <v>2.0833333333333259E-3</v>
      </c>
      <c r="G788" s="57">
        <v>0.73263888888888884</v>
      </c>
      <c r="H788" s="58">
        <v>2.0833333333332149E-3</v>
      </c>
      <c r="I788" s="59">
        <v>41720</v>
      </c>
      <c r="J788" s="108" t="s">
        <v>19</v>
      </c>
      <c r="K788" s="61">
        <v>4.4444444444444063E-3</v>
      </c>
      <c r="L788" s="61">
        <v>2.9166666666665896E-3</v>
      </c>
      <c r="M788" s="89">
        <v>7.3611111111109954E-3</v>
      </c>
      <c r="N788" s="90" t="s">
        <v>20</v>
      </c>
      <c r="O788" s="91">
        <v>50</v>
      </c>
      <c r="P788" s="92" t="s">
        <v>29</v>
      </c>
      <c r="R788">
        <v>774</v>
      </c>
      <c r="S788" s="36" t="str">
        <f t="shared" si="247"/>
        <v>MEXICO AEREO</v>
      </c>
      <c r="T788" s="36">
        <f t="shared" si="247"/>
        <v>128</v>
      </c>
      <c r="U788" s="73">
        <v>0.8666666666666667</v>
      </c>
      <c r="V788" s="74">
        <v>0.87291666666666667</v>
      </c>
      <c r="W788" s="75">
        <v>6.2499999999999778E-3</v>
      </c>
      <c r="X788" s="74">
        <v>0.87847222222222221</v>
      </c>
      <c r="Y788" s="75">
        <v>5.5555555555555358E-3</v>
      </c>
      <c r="Z788" s="76">
        <v>41744</v>
      </c>
      <c r="AA788" s="36" t="str">
        <f t="shared" si="258"/>
        <v>Nacional</v>
      </c>
      <c r="AB788" s="36">
        <f t="shared" si="258"/>
        <v>8.735380116959051E-3</v>
      </c>
      <c r="AC788" s="36">
        <f t="shared" si="258"/>
        <v>8.4064327485380407E-3</v>
      </c>
      <c r="AD788" s="36">
        <f t="shared" si="258"/>
        <v>1.714181286549709E-2</v>
      </c>
      <c r="AE788" s="36" t="str">
        <f t="shared" si="258"/>
        <v>B737-700</v>
      </c>
      <c r="AF788" s="36">
        <f t="shared" si="258"/>
        <v>126</v>
      </c>
      <c r="AG788" s="36" t="str">
        <f t="shared" si="258"/>
        <v>MEX</v>
      </c>
      <c r="AI788">
        <v>774</v>
      </c>
      <c r="AJ788" s="77" t="str">
        <f t="shared" si="259"/>
        <v>VUELOS AL NORTE</v>
      </c>
      <c r="AK788" s="77">
        <f t="shared" si="259"/>
        <v>248</v>
      </c>
      <c r="AL788" s="78">
        <v>0.5</v>
      </c>
      <c r="AM788" s="79">
        <v>0.51458333333333328</v>
      </c>
      <c r="AN788" s="80">
        <v>1.4583333333333282E-2</v>
      </c>
      <c r="AO788" s="79">
        <v>0.53611111111111109</v>
      </c>
      <c r="AP788" s="80">
        <v>2.1527777777777812E-2</v>
      </c>
      <c r="AQ788" s="81">
        <v>41797</v>
      </c>
      <c r="AR788" s="77" t="str">
        <f t="shared" si="260"/>
        <v>Internacional</v>
      </c>
      <c r="AS788" s="77">
        <f t="shared" si="260"/>
        <v>1.4583333333333313E-2</v>
      </c>
      <c r="AT788" s="77">
        <f t="shared" si="260"/>
        <v>1.8088624338624341E-2</v>
      </c>
      <c r="AU788" s="77">
        <f t="shared" si="260"/>
        <v>3.2671957671957658E-2</v>
      </c>
      <c r="AV788" s="77">
        <f t="shared" si="260"/>
        <v>737</v>
      </c>
      <c r="AW788" s="77">
        <f t="shared" si="260"/>
        <v>169</v>
      </c>
      <c r="AX788" s="77" t="str">
        <f t="shared" si="260"/>
        <v>LAX</v>
      </c>
    </row>
    <row r="789" spans="1:50" x14ac:dyDescent="0.25">
      <c r="A789">
        <v>773</v>
      </c>
      <c r="B789" s="36" t="str">
        <f t="shared" si="256"/>
        <v>TOR</v>
      </c>
      <c r="C789" s="36">
        <f t="shared" si="256"/>
        <v>26</v>
      </c>
      <c r="D789" s="74">
        <v>0.73055555555555562</v>
      </c>
      <c r="E789" s="74">
        <v>0.73611111111111116</v>
      </c>
      <c r="F789" s="75">
        <v>5.5555555555555358E-3</v>
      </c>
      <c r="G789" s="74">
        <v>0.73749999999999993</v>
      </c>
      <c r="H789" s="75">
        <v>1.3888888888887729E-3</v>
      </c>
      <c r="I789" s="76">
        <v>41721</v>
      </c>
      <c r="J789" s="36" t="str">
        <f t="shared" ref="J789:P792" si="263">J788</f>
        <v>Nacional</v>
      </c>
      <c r="K789" s="36">
        <f t="shared" si="263"/>
        <v>4.4444444444444063E-3</v>
      </c>
      <c r="L789" s="36">
        <f t="shared" si="263"/>
        <v>2.9166666666665896E-3</v>
      </c>
      <c r="M789" s="36">
        <f t="shared" si="263"/>
        <v>7.3611111111109954E-3</v>
      </c>
      <c r="N789" s="36" t="str">
        <f t="shared" si="263"/>
        <v>ER4</v>
      </c>
      <c r="O789" s="36">
        <f t="shared" si="263"/>
        <v>50</v>
      </c>
      <c r="P789" s="36" t="str">
        <f t="shared" si="263"/>
        <v>PVR</v>
      </c>
      <c r="R789">
        <v>775</v>
      </c>
      <c r="S789" s="36" t="str">
        <f t="shared" si="247"/>
        <v>MEXICO AEREO</v>
      </c>
      <c r="T789" s="36">
        <f t="shared" si="247"/>
        <v>128</v>
      </c>
      <c r="U789" s="73">
        <v>0.83611111111111114</v>
      </c>
      <c r="V789" s="74">
        <v>0.84583333333333333</v>
      </c>
      <c r="W789" s="75">
        <v>9.7222222222221877E-3</v>
      </c>
      <c r="X789" s="74">
        <v>0.85555555555555562</v>
      </c>
      <c r="Y789" s="75">
        <v>9.7222222222222987E-3</v>
      </c>
      <c r="Z789" s="76">
        <v>41749</v>
      </c>
      <c r="AA789" s="36" t="str">
        <f t="shared" si="258"/>
        <v>Nacional</v>
      </c>
      <c r="AB789" s="36">
        <f t="shared" si="258"/>
        <v>8.735380116959051E-3</v>
      </c>
      <c r="AC789" s="36">
        <f t="shared" si="258"/>
        <v>8.4064327485380407E-3</v>
      </c>
      <c r="AD789" s="36">
        <f t="shared" si="258"/>
        <v>1.714181286549709E-2</v>
      </c>
      <c r="AE789" s="36" t="str">
        <f t="shared" si="258"/>
        <v>B737-700</v>
      </c>
      <c r="AF789" s="36">
        <f t="shared" si="258"/>
        <v>126</v>
      </c>
      <c r="AG789" s="36" t="str">
        <f t="shared" si="258"/>
        <v>MEX</v>
      </c>
      <c r="AI789">
        <v>775</v>
      </c>
      <c r="AJ789" s="77" t="str">
        <f t="shared" si="259"/>
        <v>VUELOS AL NORTE</v>
      </c>
      <c r="AK789" s="77">
        <f t="shared" si="259"/>
        <v>248</v>
      </c>
      <c r="AL789" s="78">
        <v>0.49444444444444446</v>
      </c>
      <c r="AM789" s="79">
        <v>0.50763888888888886</v>
      </c>
      <c r="AN789" s="80">
        <v>1.3194444444444398E-2</v>
      </c>
      <c r="AO789" s="79">
        <v>0.52500000000000002</v>
      </c>
      <c r="AP789" s="80">
        <v>1.736111111111116E-2</v>
      </c>
      <c r="AQ789" s="81">
        <v>41798</v>
      </c>
      <c r="AR789" s="77" t="str">
        <f t="shared" si="260"/>
        <v>Internacional</v>
      </c>
      <c r="AS789" s="77">
        <f t="shared" si="260"/>
        <v>1.4583333333333313E-2</v>
      </c>
      <c r="AT789" s="77">
        <f t="shared" si="260"/>
        <v>1.8088624338624341E-2</v>
      </c>
      <c r="AU789" s="77">
        <f t="shared" si="260"/>
        <v>3.2671957671957658E-2</v>
      </c>
      <c r="AV789" s="77">
        <f t="shared" si="260"/>
        <v>737</v>
      </c>
      <c r="AW789" s="77">
        <f t="shared" si="260"/>
        <v>169</v>
      </c>
      <c r="AX789" s="77" t="str">
        <f t="shared" si="260"/>
        <v>LAX</v>
      </c>
    </row>
    <row r="790" spans="1:50" x14ac:dyDescent="0.25">
      <c r="A790">
        <v>774</v>
      </c>
      <c r="B790" s="36" t="str">
        <f t="shared" si="256"/>
        <v>TOR</v>
      </c>
      <c r="C790" s="36">
        <f t="shared" si="256"/>
        <v>26</v>
      </c>
      <c r="D790" s="74">
        <v>0.72361111111111109</v>
      </c>
      <c r="E790" s="74">
        <v>0.7270833333333333</v>
      </c>
      <c r="F790" s="75">
        <v>3.4722222222222099E-3</v>
      </c>
      <c r="G790" s="74">
        <v>0.73263888888888884</v>
      </c>
      <c r="H790" s="75">
        <v>5.5555555555555358E-3</v>
      </c>
      <c r="I790" s="76">
        <v>41722</v>
      </c>
      <c r="J790" s="36" t="str">
        <f t="shared" si="263"/>
        <v>Nacional</v>
      </c>
      <c r="K790" s="36">
        <f t="shared" si="263"/>
        <v>4.4444444444444063E-3</v>
      </c>
      <c r="L790" s="36">
        <f t="shared" si="263"/>
        <v>2.9166666666665896E-3</v>
      </c>
      <c r="M790" s="36">
        <f t="shared" si="263"/>
        <v>7.3611111111109954E-3</v>
      </c>
      <c r="N790" s="36" t="str">
        <f t="shared" si="263"/>
        <v>ER4</v>
      </c>
      <c r="O790" s="36">
        <f t="shared" si="263"/>
        <v>50</v>
      </c>
      <c r="P790" s="36" t="str">
        <f t="shared" si="263"/>
        <v>PVR</v>
      </c>
      <c r="R790">
        <v>776</v>
      </c>
      <c r="S790" s="36" t="str">
        <f t="shared" si="247"/>
        <v>MEXICO AEREO</v>
      </c>
      <c r="T790" s="36">
        <f t="shared" si="247"/>
        <v>128</v>
      </c>
      <c r="U790" s="73">
        <v>0.84583333333333333</v>
      </c>
      <c r="V790" s="74">
        <v>0.85069444444444453</v>
      </c>
      <c r="W790" s="75">
        <v>4.8611111111112049E-3</v>
      </c>
      <c r="X790" s="74">
        <v>0.85833333333333339</v>
      </c>
      <c r="Y790" s="75">
        <v>7.6388888888888618E-3</v>
      </c>
      <c r="Z790" s="76">
        <v>41749</v>
      </c>
      <c r="AA790" s="36" t="str">
        <f t="shared" si="258"/>
        <v>Nacional</v>
      </c>
      <c r="AB790" s="36">
        <f t="shared" si="258"/>
        <v>8.735380116959051E-3</v>
      </c>
      <c r="AC790" s="36">
        <f t="shared" si="258"/>
        <v>8.4064327485380407E-3</v>
      </c>
      <c r="AD790" s="36">
        <f t="shared" si="258"/>
        <v>1.714181286549709E-2</v>
      </c>
      <c r="AE790" s="36" t="str">
        <f t="shared" si="258"/>
        <v>B737-700</v>
      </c>
      <c r="AF790" s="36">
        <f t="shared" si="258"/>
        <v>126</v>
      </c>
      <c r="AG790" s="36" t="str">
        <f t="shared" si="258"/>
        <v>MEX</v>
      </c>
      <c r="AI790">
        <v>776</v>
      </c>
      <c r="AJ790" s="77" t="str">
        <f t="shared" si="259"/>
        <v>VUELOS AL NORTE</v>
      </c>
      <c r="AK790" s="77">
        <f t="shared" si="259"/>
        <v>248</v>
      </c>
      <c r="AL790" s="78">
        <v>0.67569444444444438</v>
      </c>
      <c r="AM790" s="79">
        <v>0.68402777777777779</v>
      </c>
      <c r="AN790" s="80">
        <v>8.3333333333334147E-3</v>
      </c>
      <c r="AO790" s="79">
        <v>0.69791666666666663</v>
      </c>
      <c r="AP790" s="80">
        <v>1.388888888888884E-2</v>
      </c>
      <c r="AQ790" s="81">
        <v>41801</v>
      </c>
      <c r="AR790" s="77" t="str">
        <f t="shared" si="260"/>
        <v>Internacional</v>
      </c>
      <c r="AS790" s="77">
        <f t="shared" si="260"/>
        <v>1.4583333333333313E-2</v>
      </c>
      <c r="AT790" s="77">
        <f t="shared" si="260"/>
        <v>1.8088624338624341E-2</v>
      </c>
      <c r="AU790" s="77">
        <f t="shared" si="260"/>
        <v>3.2671957671957658E-2</v>
      </c>
      <c r="AV790" s="77">
        <f t="shared" si="260"/>
        <v>737</v>
      </c>
      <c r="AW790" s="77">
        <f t="shared" si="260"/>
        <v>169</v>
      </c>
      <c r="AX790" s="77" t="str">
        <f t="shared" si="260"/>
        <v>LAX</v>
      </c>
    </row>
    <row r="791" spans="1:50" x14ac:dyDescent="0.25">
      <c r="A791">
        <v>775</v>
      </c>
      <c r="B791" s="36" t="str">
        <f t="shared" si="256"/>
        <v>TOR</v>
      </c>
      <c r="C791" s="36">
        <f t="shared" si="256"/>
        <v>26</v>
      </c>
      <c r="D791" s="74">
        <v>0.72569444444444453</v>
      </c>
      <c r="E791" s="74">
        <v>0.73333333333333339</v>
      </c>
      <c r="F791" s="75">
        <v>7.6388888888888618E-3</v>
      </c>
      <c r="G791" s="74">
        <v>0.73541666666666661</v>
      </c>
      <c r="H791" s="75">
        <v>2.0833333333332149E-3</v>
      </c>
      <c r="I791" s="76">
        <v>41725</v>
      </c>
      <c r="J791" s="36" t="str">
        <f t="shared" si="263"/>
        <v>Nacional</v>
      </c>
      <c r="K791" s="36">
        <f t="shared" si="263"/>
        <v>4.4444444444444063E-3</v>
      </c>
      <c r="L791" s="36">
        <f t="shared" si="263"/>
        <v>2.9166666666665896E-3</v>
      </c>
      <c r="M791" s="36">
        <f t="shared" si="263"/>
        <v>7.3611111111109954E-3</v>
      </c>
      <c r="N791" s="36" t="str">
        <f t="shared" si="263"/>
        <v>ER4</v>
      </c>
      <c r="O791" s="36">
        <f t="shared" si="263"/>
        <v>50</v>
      </c>
      <c r="P791" s="36" t="str">
        <f t="shared" si="263"/>
        <v>PVR</v>
      </c>
      <c r="R791">
        <v>777</v>
      </c>
      <c r="S791" s="36" t="str">
        <f t="shared" si="247"/>
        <v>MEXICO AEREO</v>
      </c>
      <c r="T791" s="36">
        <f t="shared" si="247"/>
        <v>128</v>
      </c>
      <c r="U791" s="73">
        <v>0.83124999999999993</v>
      </c>
      <c r="V791" s="74">
        <v>0.84722222222222221</v>
      </c>
      <c r="W791" s="75">
        <v>1.5972222222222276E-2</v>
      </c>
      <c r="X791" s="74">
        <v>0.85555555555555562</v>
      </c>
      <c r="Y791" s="75">
        <v>8.3333333333334147E-3</v>
      </c>
      <c r="Z791" s="76">
        <v>41751</v>
      </c>
      <c r="AA791" s="36" t="str">
        <f t="shared" si="258"/>
        <v>Nacional</v>
      </c>
      <c r="AB791" s="36">
        <f t="shared" si="258"/>
        <v>8.735380116959051E-3</v>
      </c>
      <c r="AC791" s="36">
        <f t="shared" si="258"/>
        <v>8.4064327485380407E-3</v>
      </c>
      <c r="AD791" s="36">
        <f t="shared" si="258"/>
        <v>1.714181286549709E-2</v>
      </c>
      <c r="AE791" s="36" t="str">
        <f t="shared" si="258"/>
        <v>B737-700</v>
      </c>
      <c r="AF791" s="36">
        <f t="shared" si="258"/>
        <v>126</v>
      </c>
      <c r="AG791" s="36" t="str">
        <f t="shared" si="258"/>
        <v>MEX</v>
      </c>
      <c r="AI791">
        <v>777</v>
      </c>
      <c r="AJ791" s="77" t="str">
        <f t="shared" si="259"/>
        <v>VUELOS AL NORTE</v>
      </c>
      <c r="AK791" s="77">
        <f t="shared" si="259"/>
        <v>248</v>
      </c>
      <c r="AL791" s="78">
        <v>0.83750000000000002</v>
      </c>
      <c r="AM791" s="79">
        <v>0.85</v>
      </c>
      <c r="AN791" s="80">
        <v>1.2499999999999956E-2</v>
      </c>
      <c r="AO791" s="79">
        <v>0.875</v>
      </c>
      <c r="AP791" s="80">
        <v>2.5000000000000022E-2</v>
      </c>
      <c r="AQ791" s="81">
        <v>41802</v>
      </c>
      <c r="AR791" s="77" t="str">
        <f t="shared" si="260"/>
        <v>Internacional</v>
      </c>
      <c r="AS791" s="77">
        <f t="shared" si="260"/>
        <v>1.4583333333333313E-2</v>
      </c>
      <c r="AT791" s="77">
        <f t="shared" si="260"/>
        <v>1.8088624338624341E-2</v>
      </c>
      <c r="AU791" s="77">
        <f t="shared" si="260"/>
        <v>3.2671957671957658E-2</v>
      </c>
      <c r="AV791" s="77">
        <f t="shared" si="260"/>
        <v>737</v>
      </c>
      <c r="AW791" s="77">
        <f t="shared" si="260"/>
        <v>169</v>
      </c>
      <c r="AX791" s="77" t="str">
        <f t="shared" si="260"/>
        <v>LAX</v>
      </c>
    </row>
    <row r="792" spans="1:50" ht="15.75" thickBot="1" x14ac:dyDescent="0.3">
      <c r="A792">
        <v>776</v>
      </c>
      <c r="B792" s="36" t="str">
        <f t="shared" si="256"/>
        <v>TOR</v>
      </c>
      <c r="C792" s="36">
        <f t="shared" si="256"/>
        <v>26</v>
      </c>
      <c r="D792" s="84">
        <v>0.72569444444444453</v>
      </c>
      <c r="E792" s="84">
        <v>0.72916666666666663</v>
      </c>
      <c r="F792" s="85">
        <v>3.4722222222220989E-3</v>
      </c>
      <c r="G792" s="84">
        <v>0.73263888888888884</v>
      </c>
      <c r="H792" s="85">
        <v>3.4722222222222099E-3</v>
      </c>
      <c r="I792" s="86">
        <v>41729</v>
      </c>
      <c r="J792" s="36" t="str">
        <f t="shared" si="263"/>
        <v>Nacional</v>
      </c>
      <c r="K792" s="36">
        <f t="shared" si="263"/>
        <v>4.4444444444444063E-3</v>
      </c>
      <c r="L792" s="36">
        <f t="shared" si="263"/>
        <v>2.9166666666665896E-3</v>
      </c>
      <c r="M792" s="36">
        <f t="shared" si="263"/>
        <v>7.3611111111109954E-3</v>
      </c>
      <c r="N792" s="36" t="str">
        <f t="shared" si="263"/>
        <v>ER4</v>
      </c>
      <c r="O792" s="36">
        <f t="shared" si="263"/>
        <v>50</v>
      </c>
      <c r="P792" s="36" t="str">
        <f t="shared" si="263"/>
        <v>PVR</v>
      </c>
      <c r="R792">
        <v>778</v>
      </c>
      <c r="S792" s="36" t="str">
        <f t="shared" si="247"/>
        <v>MEXICO AEREO</v>
      </c>
      <c r="T792" s="36">
        <f t="shared" si="247"/>
        <v>128</v>
      </c>
      <c r="U792" s="73">
        <v>0.85069444444444453</v>
      </c>
      <c r="V792" s="74">
        <v>0.85763888888888884</v>
      </c>
      <c r="W792" s="75">
        <v>6.9444444444443088E-3</v>
      </c>
      <c r="X792" s="74">
        <v>0.86319444444444438</v>
      </c>
      <c r="Y792" s="75">
        <v>5.5555555555555358E-3</v>
      </c>
      <c r="Z792" s="76">
        <v>41753</v>
      </c>
      <c r="AA792" s="36" t="str">
        <f t="shared" si="258"/>
        <v>Nacional</v>
      </c>
      <c r="AB792" s="36">
        <f t="shared" si="258"/>
        <v>8.735380116959051E-3</v>
      </c>
      <c r="AC792" s="36">
        <f t="shared" si="258"/>
        <v>8.4064327485380407E-3</v>
      </c>
      <c r="AD792" s="36">
        <f t="shared" si="258"/>
        <v>1.714181286549709E-2</v>
      </c>
      <c r="AE792" s="36" t="str">
        <f t="shared" si="258"/>
        <v>B737-700</v>
      </c>
      <c r="AF792" s="36">
        <f t="shared" si="258"/>
        <v>126</v>
      </c>
      <c r="AG792" s="36" t="str">
        <f t="shared" si="258"/>
        <v>MEX</v>
      </c>
      <c r="AI792">
        <v>778</v>
      </c>
      <c r="AJ792" s="77" t="str">
        <f t="shared" si="259"/>
        <v>VUELOS AL NORTE</v>
      </c>
      <c r="AK792" s="77">
        <f t="shared" si="259"/>
        <v>248</v>
      </c>
      <c r="AL792" s="78">
        <v>0.84652777777777777</v>
      </c>
      <c r="AM792" s="79">
        <v>0.86249999999999993</v>
      </c>
      <c r="AN792" s="80">
        <v>1.5972222222222165E-2</v>
      </c>
      <c r="AO792" s="79">
        <v>0.8930555555555556</v>
      </c>
      <c r="AP792" s="80">
        <v>3.0555555555555669E-2</v>
      </c>
      <c r="AQ792" s="81">
        <v>41803</v>
      </c>
      <c r="AR792" s="77" t="str">
        <f t="shared" si="260"/>
        <v>Internacional</v>
      </c>
      <c r="AS792" s="77">
        <f t="shared" si="260"/>
        <v>1.4583333333333313E-2</v>
      </c>
      <c r="AT792" s="77">
        <f t="shared" si="260"/>
        <v>1.8088624338624341E-2</v>
      </c>
      <c r="AU792" s="77">
        <f t="shared" si="260"/>
        <v>3.2671957671957658E-2</v>
      </c>
      <c r="AV792" s="77">
        <f t="shared" si="260"/>
        <v>737</v>
      </c>
      <c r="AW792" s="77">
        <f t="shared" si="260"/>
        <v>169</v>
      </c>
      <c r="AX792" s="77" t="str">
        <f t="shared" si="260"/>
        <v>LAX</v>
      </c>
    </row>
    <row r="793" spans="1:50" x14ac:dyDescent="0.25">
      <c r="A793">
        <v>777</v>
      </c>
      <c r="B793" s="36" t="str">
        <f t="shared" si="256"/>
        <v>TOR</v>
      </c>
      <c r="C793" s="88">
        <v>25</v>
      </c>
      <c r="D793" s="57">
        <v>0.56041666666666667</v>
      </c>
      <c r="E793" s="57">
        <v>0.56597222222222221</v>
      </c>
      <c r="F793" s="58">
        <v>5.5555555555555358E-3</v>
      </c>
      <c r="G793" s="57">
        <v>0.57847222222222217</v>
      </c>
      <c r="H793" s="58">
        <v>1.2499999999999956E-2</v>
      </c>
      <c r="I793" s="59">
        <v>41717</v>
      </c>
      <c r="J793" s="108" t="s">
        <v>19</v>
      </c>
      <c r="K793" s="61">
        <v>4.7619047619047294E-3</v>
      </c>
      <c r="L793" s="61">
        <v>3.5714285714285748E-3</v>
      </c>
      <c r="M793" s="89">
        <v>8.3333333333333037E-3</v>
      </c>
      <c r="N793" s="90" t="s">
        <v>20</v>
      </c>
      <c r="O793" s="91">
        <v>50</v>
      </c>
      <c r="P793" s="92" t="s">
        <v>24</v>
      </c>
      <c r="R793">
        <v>779</v>
      </c>
      <c r="S793" s="36" t="str">
        <f t="shared" si="247"/>
        <v>MEXICO AEREO</v>
      </c>
      <c r="T793" s="36">
        <f t="shared" si="247"/>
        <v>128</v>
      </c>
      <c r="U793" s="73">
        <v>0.88263888888888886</v>
      </c>
      <c r="V793" s="74">
        <v>0.89027777777777783</v>
      </c>
      <c r="W793" s="75">
        <v>7.6388888888889728E-3</v>
      </c>
      <c r="X793" s="74">
        <v>0.8979166666666667</v>
      </c>
      <c r="Y793" s="75">
        <v>7.6388888888888618E-3</v>
      </c>
      <c r="Z793" s="76">
        <v>41755</v>
      </c>
      <c r="AA793" s="36" t="str">
        <f t="shared" si="258"/>
        <v>Nacional</v>
      </c>
      <c r="AB793" s="36">
        <f t="shared" si="258"/>
        <v>8.735380116959051E-3</v>
      </c>
      <c r="AC793" s="36">
        <f t="shared" si="258"/>
        <v>8.4064327485380407E-3</v>
      </c>
      <c r="AD793" s="36">
        <f t="shared" si="258"/>
        <v>1.714181286549709E-2</v>
      </c>
      <c r="AE793" s="36" t="str">
        <f t="shared" si="258"/>
        <v>B737-700</v>
      </c>
      <c r="AF793" s="36">
        <f t="shared" si="258"/>
        <v>126</v>
      </c>
      <c r="AG793" s="36" t="str">
        <f t="shared" si="258"/>
        <v>MEX</v>
      </c>
      <c r="AI793">
        <v>779</v>
      </c>
      <c r="AJ793" s="77" t="str">
        <f t="shared" si="259"/>
        <v>VUELOS AL NORTE</v>
      </c>
      <c r="AK793" s="77">
        <f t="shared" si="259"/>
        <v>248</v>
      </c>
      <c r="AL793" s="78">
        <v>0.95000000000000007</v>
      </c>
      <c r="AM793" s="79">
        <v>0.95694444444444438</v>
      </c>
      <c r="AN793" s="80">
        <v>6.9444444444443088E-3</v>
      </c>
      <c r="AO793" s="79">
        <v>0.97777777777777775</v>
      </c>
      <c r="AP793" s="80">
        <v>2.083333333333337E-2</v>
      </c>
      <c r="AQ793" s="81">
        <v>41804</v>
      </c>
      <c r="AR793" s="77" t="str">
        <f t="shared" si="260"/>
        <v>Internacional</v>
      </c>
      <c r="AS793" s="77">
        <f t="shared" si="260"/>
        <v>1.4583333333333313E-2</v>
      </c>
      <c r="AT793" s="77">
        <f t="shared" si="260"/>
        <v>1.8088624338624341E-2</v>
      </c>
      <c r="AU793" s="77">
        <f t="shared" si="260"/>
        <v>3.2671957671957658E-2</v>
      </c>
      <c r="AV793" s="77">
        <f t="shared" si="260"/>
        <v>737</v>
      </c>
      <c r="AW793" s="77">
        <f t="shared" si="260"/>
        <v>169</v>
      </c>
      <c r="AX793" s="77" t="str">
        <f t="shared" si="260"/>
        <v>LAX</v>
      </c>
    </row>
    <row r="794" spans="1:50" x14ac:dyDescent="0.25">
      <c r="A794">
        <v>778</v>
      </c>
      <c r="B794" s="36" t="str">
        <f t="shared" si="256"/>
        <v>TOR</v>
      </c>
      <c r="C794" s="36">
        <f t="shared" si="256"/>
        <v>25</v>
      </c>
      <c r="D794" s="74">
        <v>0.55208333333333337</v>
      </c>
      <c r="E794" s="74">
        <v>0.55555555555555558</v>
      </c>
      <c r="F794" s="75">
        <v>3.4722222222222099E-3</v>
      </c>
      <c r="G794" s="74">
        <v>0.55902777777777779</v>
      </c>
      <c r="H794" s="75">
        <v>3.4722222222222099E-3</v>
      </c>
      <c r="I794" s="76">
        <v>41720</v>
      </c>
      <c r="J794" s="36" t="str">
        <f t="shared" ref="J794:P799" si="264">J793</f>
        <v>Nacional</v>
      </c>
      <c r="K794" s="36">
        <f t="shared" si="264"/>
        <v>4.7619047619047294E-3</v>
      </c>
      <c r="L794" s="36">
        <f t="shared" si="264"/>
        <v>3.5714285714285748E-3</v>
      </c>
      <c r="M794" s="36">
        <f t="shared" si="264"/>
        <v>8.3333333333333037E-3</v>
      </c>
      <c r="N794" s="36" t="str">
        <f t="shared" si="264"/>
        <v>ER4</v>
      </c>
      <c r="O794" s="36">
        <f t="shared" si="264"/>
        <v>50</v>
      </c>
      <c r="P794" s="36" t="str">
        <f t="shared" si="264"/>
        <v>QRO</v>
      </c>
      <c r="R794">
        <v>780</v>
      </c>
      <c r="S794" s="36" t="str">
        <f t="shared" si="247"/>
        <v>MEXICO AEREO</v>
      </c>
      <c r="T794" s="36">
        <f t="shared" si="247"/>
        <v>128</v>
      </c>
      <c r="U794" s="73">
        <v>0.85763888888888884</v>
      </c>
      <c r="V794" s="74">
        <v>0.86805555555555547</v>
      </c>
      <c r="W794" s="75">
        <v>1.041666666666663E-2</v>
      </c>
      <c r="X794" s="74">
        <v>0.87361111111111101</v>
      </c>
      <c r="Y794" s="75">
        <v>5.5555555555555358E-3</v>
      </c>
      <c r="Z794" s="76">
        <v>41757</v>
      </c>
      <c r="AA794" s="36" t="str">
        <f t="shared" si="258"/>
        <v>Nacional</v>
      </c>
      <c r="AB794" s="36">
        <f t="shared" si="258"/>
        <v>8.735380116959051E-3</v>
      </c>
      <c r="AC794" s="36">
        <f t="shared" si="258"/>
        <v>8.4064327485380407E-3</v>
      </c>
      <c r="AD794" s="36">
        <f t="shared" si="258"/>
        <v>1.714181286549709E-2</v>
      </c>
      <c r="AE794" s="36" t="str">
        <f t="shared" si="258"/>
        <v>B737-700</v>
      </c>
      <c r="AF794" s="36">
        <f t="shared" si="258"/>
        <v>126</v>
      </c>
      <c r="AG794" s="36" t="str">
        <f t="shared" si="258"/>
        <v>MEX</v>
      </c>
      <c r="AI794">
        <v>780</v>
      </c>
      <c r="AJ794" s="77" t="str">
        <f t="shared" si="259"/>
        <v>VUELOS AL NORTE</v>
      </c>
      <c r="AK794" s="77">
        <f t="shared" si="259"/>
        <v>248</v>
      </c>
      <c r="AL794" s="78">
        <v>0.46666666666666662</v>
      </c>
      <c r="AM794" s="79">
        <v>0.47361111111111115</v>
      </c>
      <c r="AN794" s="80">
        <v>6.9444444444445308E-3</v>
      </c>
      <c r="AO794" s="79">
        <v>0.4861111111111111</v>
      </c>
      <c r="AP794" s="80">
        <v>1.2499999999999956E-2</v>
      </c>
      <c r="AQ794" s="81">
        <v>41805</v>
      </c>
      <c r="AR794" s="77" t="str">
        <f t="shared" si="260"/>
        <v>Internacional</v>
      </c>
      <c r="AS794" s="77">
        <f t="shared" si="260"/>
        <v>1.4583333333333313E-2</v>
      </c>
      <c r="AT794" s="77">
        <f t="shared" si="260"/>
        <v>1.8088624338624341E-2</v>
      </c>
      <c r="AU794" s="77">
        <f t="shared" si="260"/>
        <v>3.2671957671957658E-2</v>
      </c>
      <c r="AV794" s="77">
        <f t="shared" si="260"/>
        <v>737</v>
      </c>
      <c r="AW794" s="77">
        <f t="shared" si="260"/>
        <v>169</v>
      </c>
      <c r="AX794" s="77" t="str">
        <f t="shared" si="260"/>
        <v>LAX</v>
      </c>
    </row>
    <row r="795" spans="1:50" x14ac:dyDescent="0.25">
      <c r="A795">
        <v>779</v>
      </c>
      <c r="B795" s="36" t="str">
        <f t="shared" si="256"/>
        <v>TOR</v>
      </c>
      <c r="C795" s="36">
        <f t="shared" si="256"/>
        <v>25</v>
      </c>
      <c r="D795" s="74">
        <v>0.5493055555555556</v>
      </c>
      <c r="E795" s="74">
        <v>0.55277777777777781</v>
      </c>
      <c r="F795" s="75">
        <v>3.4722222222222099E-3</v>
      </c>
      <c r="G795" s="74">
        <v>0.5541666666666667</v>
      </c>
      <c r="H795" s="75">
        <v>1.388888888888884E-3</v>
      </c>
      <c r="I795" s="76">
        <v>41721</v>
      </c>
      <c r="J795" s="36" t="str">
        <f t="shared" si="264"/>
        <v>Nacional</v>
      </c>
      <c r="K795" s="36">
        <f t="shared" si="264"/>
        <v>4.7619047619047294E-3</v>
      </c>
      <c r="L795" s="36">
        <f t="shared" si="264"/>
        <v>3.5714285714285748E-3</v>
      </c>
      <c r="M795" s="36">
        <f t="shared" si="264"/>
        <v>8.3333333333333037E-3</v>
      </c>
      <c r="N795" s="36" t="str">
        <f t="shared" si="264"/>
        <v>ER4</v>
      </c>
      <c r="O795" s="36">
        <f t="shared" si="264"/>
        <v>50</v>
      </c>
      <c r="P795" s="36" t="str">
        <f t="shared" si="264"/>
        <v>QRO</v>
      </c>
      <c r="R795">
        <v>781</v>
      </c>
      <c r="S795" s="36" t="str">
        <f t="shared" si="247"/>
        <v>MEXICO AEREO</v>
      </c>
      <c r="T795" s="36">
        <f t="shared" si="247"/>
        <v>128</v>
      </c>
      <c r="U795" s="73">
        <v>0.84375</v>
      </c>
      <c r="V795" s="74">
        <v>0.84722222222222221</v>
      </c>
      <c r="W795" s="75">
        <v>3.4722222222222099E-3</v>
      </c>
      <c r="X795" s="74">
        <v>0.85763888888888884</v>
      </c>
      <c r="Y795" s="75">
        <v>1.041666666666663E-2</v>
      </c>
      <c r="Z795" s="76">
        <v>41759</v>
      </c>
      <c r="AA795" s="36" t="str">
        <f t="shared" si="258"/>
        <v>Nacional</v>
      </c>
      <c r="AB795" s="36">
        <f t="shared" si="258"/>
        <v>8.735380116959051E-3</v>
      </c>
      <c r="AC795" s="36">
        <f t="shared" si="258"/>
        <v>8.4064327485380407E-3</v>
      </c>
      <c r="AD795" s="36">
        <f t="shared" si="258"/>
        <v>1.714181286549709E-2</v>
      </c>
      <c r="AE795" s="36" t="str">
        <f t="shared" si="258"/>
        <v>B737-700</v>
      </c>
      <c r="AF795" s="36">
        <f t="shared" si="258"/>
        <v>126</v>
      </c>
      <c r="AG795" s="36" t="str">
        <f t="shared" si="258"/>
        <v>MEX</v>
      </c>
      <c r="AI795">
        <v>781</v>
      </c>
      <c r="AJ795" s="77" t="str">
        <f t="shared" si="259"/>
        <v>VUELOS AL NORTE</v>
      </c>
      <c r="AK795" s="77">
        <f t="shared" si="259"/>
        <v>248</v>
      </c>
      <c r="AL795" s="78">
        <v>0.25555555555555559</v>
      </c>
      <c r="AM795" s="79">
        <v>0.27013888888888887</v>
      </c>
      <c r="AN795" s="80">
        <v>1.4583333333333282E-2</v>
      </c>
      <c r="AO795" s="79">
        <v>0.28472222222222221</v>
      </c>
      <c r="AP795" s="80">
        <v>1.4583333333333337E-2</v>
      </c>
      <c r="AQ795" s="81">
        <v>41806</v>
      </c>
      <c r="AR795" s="77" t="str">
        <f t="shared" si="260"/>
        <v>Internacional</v>
      </c>
      <c r="AS795" s="77">
        <f t="shared" si="260"/>
        <v>1.4583333333333313E-2</v>
      </c>
      <c r="AT795" s="77">
        <f t="shared" si="260"/>
        <v>1.8088624338624341E-2</v>
      </c>
      <c r="AU795" s="77">
        <f t="shared" si="260"/>
        <v>3.2671957671957658E-2</v>
      </c>
      <c r="AV795" s="77">
        <f t="shared" si="260"/>
        <v>737</v>
      </c>
      <c r="AW795" s="77">
        <f t="shared" si="260"/>
        <v>169</v>
      </c>
      <c r="AX795" s="77" t="str">
        <f t="shared" si="260"/>
        <v>LAX</v>
      </c>
    </row>
    <row r="796" spans="1:50" ht="15.75" thickBot="1" x14ac:dyDescent="0.3">
      <c r="A796">
        <v>780</v>
      </c>
      <c r="B796" s="36" t="str">
        <f t="shared" si="256"/>
        <v>TOR</v>
      </c>
      <c r="C796" s="36">
        <f t="shared" si="256"/>
        <v>25</v>
      </c>
      <c r="D796" s="74">
        <v>0.54652777777777783</v>
      </c>
      <c r="E796" s="74">
        <v>0.55138888888888882</v>
      </c>
      <c r="F796" s="75">
        <v>4.8611111111109828E-3</v>
      </c>
      <c r="G796" s="74">
        <v>0.55208333333333337</v>
      </c>
      <c r="H796" s="75">
        <v>6.94444444444553E-4</v>
      </c>
      <c r="I796" s="76">
        <v>41722</v>
      </c>
      <c r="J796" s="36" t="str">
        <f t="shared" si="264"/>
        <v>Nacional</v>
      </c>
      <c r="K796" s="36">
        <f t="shared" si="264"/>
        <v>4.7619047619047294E-3</v>
      </c>
      <c r="L796" s="36">
        <f t="shared" si="264"/>
        <v>3.5714285714285748E-3</v>
      </c>
      <c r="M796" s="36">
        <f t="shared" si="264"/>
        <v>8.3333333333333037E-3</v>
      </c>
      <c r="N796" s="36" t="str">
        <f t="shared" si="264"/>
        <v>ER4</v>
      </c>
      <c r="O796" s="36">
        <f t="shared" si="264"/>
        <v>50</v>
      </c>
      <c r="P796" s="36" t="str">
        <f t="shared" si="264"/>
        <v>QRO</v>
      </c>
      <c r="R796">
        <v>782</v>
      </c>
      <c r="S796" s="36" t="str">
        <f t="shared" si="247"/>
        <v>MEXICO AEREO</v>
      </c>
      <c r="T796" s="36">
        <f t="shared" si="247"/>
        <v>128</v>
      </c>
      <c r="U796" s="83">
        <v>0.83680555555555547</v>
      </c>
      <c r="V796" s="84">
        <v>0.84444444444444444</v>
      </c>
      <c r="W796" s="85">
        <v>7.6388888888889728E-3</v>
      </c>
      <c r="X796" s="84">
        <v>0.85486111111111107</v>
      </c>
      <c r="Y796" s="85">
        <v>1.041666666666663E-2</v>
      </c>
      <c r="Z796" s="86">
        <v>41759</v>
      </c>
      <c r="AA796" s="36" t="str">
        <f t="shared" si="258"/>
        <v>Nacional</v>
      </c>
      <c r="AB796" s="36">
        <f t="shared" si="258"/>
        <v>8.735380116959051E-3</v>
      </c>
      <c r="AC796" s="36">
        <f t="shared" si="258"/>
        <v>8.4064327485380407E-3</v>
      </c>
      <c r="AD796" s="36">
        <f t="shared" si="258"/>
        <v>1.714181286549709E-2</v>
      </c>
      <c r="AE796" s="36" t="str">
        <f t="shared" si="258"/>
        <v>B737-700</v>
      </c>
      <c r="AF796" s="36">
        <f t="shared" si="258"/>
        <v>126</v>
      </c>
      <c r="AG796" s="36" t="str">
        <f t="shared" si="258"/>
        <v>MEX</v>
      </c>
      <c r="AI796">
        <v>782</v>
      </c>
      <c r="AJ796" s="77" t="str">
        <f t="shared" si="259"/>
        <v>VUELOS AL NORTE</v>
      </c>
      <c r="AK796" s="77">
        <f t="shared" si="259"/>
        <v>248</v>
      </c>
      <c r="AL796" s="78">
        <v>0.83819444444444446</v>
      </c>
      <c r="AM796" s="79">
        <v>0.8569444444444444</v>
      </c>
      <c r="AN796" s="80">
        <v>1.8749999999999933E-2</v>
      </c>
      <c r="AO796" s="79">
        <v>0.86319444444444438</v>
      </c>
      <c r="AP796" s="80">
        <v>6.2499999999999778E-3</v>
      </c>
      <c r="AQ796" s="81">
        <v>41807</v>
      </c>
      <c r="AR796" s="77" t="str">
        <f t="shared" si="260"/>
        <v>Internacional</v>
      </c>
      <c r="AS796" s="77">
        <f t="shared" si="260"/>
        <v>1.4583333333333313E-2</v>
      </c>
      <c r="AT796" s="77">
        <f t="shared" si="260"/>
        <v>1.8088624338624341E-2</v>
      </c>
      <c r="AU796" s="77">
        <f t="shared" si="260"/>
        <v>3.2671957671957658E-2</v>
      </c>
      <c r="AV796" s="77">
        <f t="shared" si="260"/>
        <v>737</v>
      </c>
      <c r="AW796" s="77">
        <f t="shared" si="260"/>
        <v>169</v>
      </c>
      <c r="AX796" s="77" t="str">
        <f t="shared" si="260"/>
        <v>LAX</v>
      </c>
    </row>
    <row r="797" spans="1:50" x14ac:dyDescent="0.25">
      <c r="A797">
        <v>781</v>
      </c>
      <c r="B797" s="36" t="str">
        <f t="shared" si="256"/>
        <v>TOR</v>
      </c>
      <c r="C797" s="36">
        <f t="shared" si="256"/>
        <v>25</v>
      </c>
      <c r="D797" s="74">
        <v>0.55694444444444446</v>
      </c>
      <c r="E797" s="74">
        <v>0.56527777777777777</v>
      </c>
      <c r="F797" s="75">
        <v>8.3333333333333037E-3</v>
      </c>
      <c r="G797" s="74">
        <v>0.56805555555555554</v>
      </c>
      <c r="H797" s="75">
        <v>2.7777777777777679E-3</v>
      </c>
      <c r="I797" s="76">
        <v>41725</v>
      </c>
      <c r="J797" s="36" t="str">
        <f t="shared" si="264"/>
        <v>Nacional</v>
      </c>
      <c r="K797" s="36">
        <f t="shared" si="264"/>
        <v>4.7619047619047294E-3</v>
      </c>
      <c r="L797" s="36">
        <f t="shared" si="264"/>
        <v>3.5714285714285748E-3</v>
      </c>
      <c r="M797" s="36">
        <f t="shared" si="264"/>
        <v>8.3333333333333037E-3</v>
      </c>
      <c r="N797" s="36" t="str">
        <f t="shared" si="264"/>
        <v>ER4</v>
      </c>
      <c r="O797" s="36">
        <f t="shared" si="264"/>
        <v>50</v>
      </c>
      <c r="P797" s="36" t="str">
        <f t="shared" si="264"/>
        <v>QRO</v>
      </c>
      <c r="R797">
        <v>783</v>
      </c>
      <c r="S797" s="36" t="str">
        <f t="shared" si="247"/>
        <v>MEXICO AEREO</v>
      </c>
      <c r="T797" s="55">
        <v>126</v>
      </c>
      <c r="U797" s="56">
        <v>0.8041666666666667</v>
      </c>
      <c r="V797" s="57">
        <v>0.8125</v>
      </c>
      <c r="W797" s="58">
        <v>8.3333333333333037E-3</v>
      </c>
      <c r="X797" s="57">
        <v>0.82152777777777775</v>
      </c>
      <c r="Y797" s="58">
        <v>9.0277777777777457E-3</v>
      </c>
      <c r="Z797" s="59">
        <v>41732</v>
      </c>
      <c r="AA797" s="60" t="s">
        <v>19</v>
      </c>
      <c r="AB797" s="61">
        <v>8.6111111111111249E-3</v>
      </c>
      <c r="AC797" s="61">
        <v>6.1111111111110897E-3</v>
      </c>
      <c r="AD797" s="62">
        <v>1.4722222222222215E-2</v>
      </c>
      <c r="AE797" s="167" t="s">
        <v>45</v>
      </c>
      <c r="AF797" s="167">
        <v>126</v>
      </c>
      <c r="AG797" s="168" t="s">
        <v>21</v>
      </c>
      <c r="AI797">
        <v>783</v>
      </c>
      <c r="AJ797" s="77" t="str">
        <f t="shared" si="259"/>
        <v>VUELOS AL NORTE</v>
      </c>
      <c r="AK797" s="77">
        <f t="shared" si="259"/>
        <v>248</v>
      </c>
      <c r="AL797" s="78">
        <v>0.49444444444444446</v>
      </c>
      <c r="AM797" s="79">
        <v>0.51180555555555551</v>
      </c>
      <c r="AN797" s="80">
        <v>1.7361111111111049E-2</v>
      </c>
      <c r="AO797" s="79">
        <v>0.53125</v>
      </c>
      <c r="AP797" s="80">
        <v>1.9444444444444486E-2</v>
      </c>
      <c r="AQ797" s="81">
        <v>41808</v>
      </c>
      <c r="AR797" s="77" t="str">
        <f t="shared" si="260"/>
        <v>Internacional</v>
      </c>
      <c r="AS797" s="77">
        <f t="shared" si="260"/>
        <v>1.4583333333333313E-2</v>
      </c>
      <c r="AT797" s="77">
        <f t="shared" si="260"/>
        <v>1.8088624338624341E-2</v>
      </c>
      <c r="AU797" s="77">
        <f t="shared" si="260"/>
        <v>3.2671957671957658E-2</v>
      </c>
      <c r="AV797" s="77">
        <f t="shared" si="260"/>
        <v>737</v>
      </c>
      <c r="AW797" s="77">
        <f t="shared" si="260"/>
        <v>169</v>
      </c>
      <c r="AX797" s="77" t="str">
        <f t="shared" si="260"/>
        <v>LAX</v>
      </c>
    </row>
    <row r="798" spans="1:50" x14ac:dyDescent="0.25">
      <c r="A798">
        <v>782</v>
      </c>
      <c r="B798" s="36" t="str">
        <f t="shared" si="256"/>
        <v>TOR</v>
      </c>
      <c r="C798" s="36">
        <f t="shared" si="256"/>
        <v>25</v>
      </c>
      <c r="D798" s="74">
        <v>0.55694444444444446</v>
      </c>
      <c r="E798" s="74">
        <v>0.56111111111111112</v>
      </c>
      <c r="F798" s="75">
        <v>4.1666666666666519E-3</v>
      </c>
      <c r="G798" s="74">
        <v>0.5625</v>
      </c>
      <c r="H798" s="173">
        <v>1.388888888888884E-3</v>
      </c>
      <c r="I798" s="76">
        <v>41727</v>
      </c>
      <c r="J798" s="36" t="str">
        <f t="shared" si="264"/>
        <v>Nacional</v>
      </c>
      <c r="K798" s="36">
        <f t="shared" si="264"/>
        <v>4.7619047619047294E-3</v>
      </c>
      <c r="L798" s="36">
        <f t="shared" si="264"/>
        <v>3.5714285714285748E-3</v>
      </c>
      <c r="M798" s="36">
        <f t="shared" si="264"/>
        <v>8.3333333333333037E-3</v>
      </c>
      <c r="N798" s="36" t="str">
        <f t="shared" si="264"/>
        <v>ER4</v>
      </c>
      <c r="O798" s="36">
        <f t="shared" si="264"/>
        <v>50</v>
      </c>
      <c r="P798" s="36" t="str">
        <f t="shared" si="264"/>
        <v>QRO</v>
      </c>
      <c r="R798">
        <v>784</v>
      </c>
      <c r="S798" s="36" t="str">
        <f t="shared" si="247"/>
        <v>MEXICO AEREO</v>
      </c>
      <c r="T798" s="36">
        <f t="shared" si="247"/>
        <v>126</v>
      </c>
      <c r="U798" s="73">
        <v>0.83333333333333337</v>
      </c>
      <c r="V798" s="74">
        <v>0.85069444444444453</v>
      </c>
      <c r="W798" s="75">
        <v>1.736111111111116E-2</v>
      </c>
      <c r="X798" s="74">
        <v>0.8520833333333333</v>
      </c>
      <c r="Y798" s="75">
        <v>1.3888888888887729E-3</v>
      </c>
      <c r="Z798" s="76">
        <v>41734</v>
      </c>
      <c r="AA798" s="36" t="str">
        <f t="shared" ref="AA798:AG801" si="265">AA797</f>
        <v>Nacional</v>
      </c>
      <c r="AB798" s="36">
        <f t="shared" si="265"/>
        <v>8.6111111111111249E-3</v>
      </c>
      <c r="AC798" s="36">
        <f t="shared" si="265"/>
        <v>6.1111111111110897E-3</v>
      </c>
      <c r="AD798" s="36">
        <f t="shared" si="265"/>
        <v>1.4722222222222215E-2</v>
      </c>
      <c r="AE798" s="36" t="str">
        <f t="shared" si="265"/>
        <v>B737-700</v>
      </c>
      <c r="AF798" s="36">
        <f t="shared" si="265"/>
        <v>126</v>
      </c>
      <c r="AG798" s="36" t="str">
        <f t="shared" si="265"/>
        <v>MEX</v>
      </c>
      <c r="AI798">
        <v>784</v>
      </c>
      <c r="AJ798" s="77" t="str">
        <f t="shared" si="259"/>
        <v>VUELOS AL NORTE</v>
      </c>
      <c r="AK798" s="77">
        <f t="shared" si="259"/>
        <v>248</v>
      </c>
      <c r="AL798" s="78">
        <v>0.50416666666666665</v>
      </c>
      <c r="AM798" s="79">
        <v>0.51458333333333328</v>
      </c>
      <c r="AN798" s="80">
        <v>1.041666666666663E-2</v>
      </c>
      <c r="AO798" s="79">
        <v>0.53472222222222221</v>
      </c>
      <c r="AP798" s="80">
        <v>2.0138888888888928E-2</v>
      </c>
      <c r="AQ798" s="81">
        <v>41809</v>
      </c>
      <c r="AR798" s="77" t="str">
        <f t="shared" si="260"/>
        <v>Internacional</v>
      </c>
      <c r="AS798" s="77">
        <f t="shared" si="260"/>
        <v>1.4583333333333313E-2</v>
      </c>
      <c r="AT798" s="77">
        <f t="shared" si="260"/>
        <v>1.8088624338624341E-2</v>
      </c>
      <c r="AU798" s="77">
        <f t="shared" si="260"/>
        <v>3.2671957671957658E-2</v>
      </c>
      <c r="AV798" s="77">
        <f t="shared" si="260"/>
        <v>737</v>
      </c>
      <c r="AW798" s="77">
        <f t="shared" si="260"/>
        <v>169</v>
      </c>
      <c r="AX798" s="77" t="str">
        <f t="shared" si="260"/>
        <v>LAX</v>
      </c>
    </row>
    <row r="799" spans="1:50" ht="15.75" thickBot="1" x14ac:dyDescent="0.3">
      <c r="A799">
        <v>783</v>
      </c>
      <c r="B799" s="36" t="str">
        <f t="shared" si="256"/>
        <v>TOR</v>
      </c>
      <c r="C799" s="36">
        <f t="shared" si="256"/>
        <v>25</v>
      </c>
      <c r="D799" s="84">
        <v>0.55555555555555558</v>
      </c>
      <c r="E799" s="84">
        <v>0.55902777777777779</v>
      </c>
      <c r="F799" s="85">
        <v>3.4722222222222099E-3</v>
      </c>
      <c r="G799" s="84">
        <v>0.56180555555555556</v>
      </c>
      <c r="H799" s="85">
        <v>2.7777777777777679E-3</v>
      </c>
      <c r="I799" s="86">
        <v>41729</v>
      </c>
      <c r="J799" s="36" t="str">
        <f t="shared" si="264"/>
        <v>Nacional</v>
      </c>
      <c r="K799" s="36">
        <f t="shared" si="264"/>
        <v>4.7619047619047294E-3</v>
      </c>
      <c r="L799" s="36">
        <f t="shared" si="264"/>
        <v>3.5714285714285748E-3</v>
      </c>
      <c r="M799" s="36">
        <f t="shared" si="264"/>
        <v>8.3333333333333037E-3</v>
      </c>
      <c r="N799" s="36" t="str">
        <f t="shared" si="264"/>
        <v>ER4</v>
      </c>
      <c r="O799" s="36">
        <f t="shared" si="264"/>
        <v>50</v>
      </c>
      <c r="P799" s="36" t="str">
        <f t="shared" si="264"/>
        <v>QRO</v>
      </c>
      <c r="R799">
        <v>785</v>
      </c>
      <c r="S799" s="36" t="str">
        <f t="shared" si="247"/>
        <v>MEXICO AEREO</v>
      </c>
      <c r="T799" s="36">
        <f t="shared" si="247"/>
        <v>126</v>
      </c>
      <c r="U799" s="73">
        <v>0.7944444444444444</v>
      </c>
      <c r="V799" s="74">
        <v>0.79722222222222217</v>
      </c>
      <c r="W799" s="75">
        <v>2.7777777777777679E-3</v>
      </c>
      <c r="X799" s="74">
        <v>0.80138888888888893</v>
      </c>
      <c r="Y799" s="75">
        <v>4.1666666666667629E-3</v>
      </c>
      <c r="Z799" s="76">
        <v>41738</v>
      </c>
      <c r="AA799" s="36" t="str">
        <f t="shared" si="265"/>
        <v>Nacional</v>
      </c>
      <c r="AB799" s="36">
        <f t="shared" si="265"/>
        <v>8.6111111111111249E-3</v>
      </c>
      <c r="AC799" s="36">
        <f t="shared" si="265"/>
        <v>6.1111111111110897E-3</v>
      </c>
      <c r="AD799" s="36">
        <f t="shared" si="265"/>
        <v>1.4722222222222215E-2</v>
      </c>
      <c r="AE799" s="36" t="str">
        <f t="shared" si="265"/>
        <v>B737-700</v>
      </c>
      <c r="AF799" s="36">
        <f t="shared" si="265"/>
        <v>126</v>
      </c>
      <c r="AG799" s="36" t="str">
        <f t="shared" si="265"/>
        <v>MEX</v>
      </c>
      <c r="AI799">
        <v>785</v>
      </c>
      <c r="AJ799" s="77" t="str">
        <f t="shared" si="259"/>
        <v>VUELOS AL NORTE</v>
      </c>
      <c r="AK799" s="77">
        <f t="shared" si="259"/>
        <v>248</v>
      </c>
      <c r="AL799" s="78">
        <v>0.50972222222222219</v>
      </c>
      <c r="AM799" s="79">
        <v>0.52361111111111114</v>
      </c>
      <c r="AN799" s="80">
        <v>1.3888888888888951E-2</v>
      </c>
      <c r="AO799" s="79">
        <v>0.53819444444444442</v>
      </c>
      <c r="AP799" s="80">
        <v>1.4583333333333282E-2</v>
      </c>
      <c r="AQ799" s="81">
        <v>41810</v>
      </c>
      <c r="AR799" s="77" t="str">
        <f t="shared" si="260"/>
        <v>Internacional</v>
      </c>
      <c r="AS799" s="77">
        <f t="shared" si="260"/>
        <v>1.4583333333333313E-2</v>
      </c>
      <c r="AT799" s="77">
        <f t="shared" si="260"/>
        <v>1.8088624338624341E-2</v>
      </c>
      <c r="AU799" s="77">
        <f t="shared" si="260"/>
        <v>3.2671957671957658E-2</v>
      </c>
      <c r="AV799" s="77">
        <f t="shared" si="260"/>
        <v>737</v>
      </c>
      <c r="AW799" s="77">
        <f t="shared" si="260"/>
        <v>169</v>
      </c>
      <c r="AX799" s="77" t="str">
        <f t="shared" si="260"/>
        <v>LAX</v>
      </c>
    </row>
    <row r="800" spans="1:50" x14ac:dyDescent="0.25">
      <c r="A800">
        <v>786</v>
      </c>
      <c r="B800" s="63" t="s">
        <v>71</v>
      </c>
      <c r="C800" s="151">
        <v>4525</v>
      </c>
      <c r="D800" s="152">
        <v>0.68472222222222223</v>
      </c>
      <c r="E800" s="152">
        <v>0.6958333333333333</v>
      </c>
      <c r="F800" s="153">
        <v>1.1111111111111072E-2</v>
      </c>
      <c r="G800" s="152">
        <v>0.70208333333333339</v>
      </c>
      <c r="H800" s="153">
        <v>6.2500000000000888E-3</v>
      </c>
      <c r="I800" s="67">
        <v>41714</v>
      </c>
      <c r="J800" s="174" t="s">
        <v>22</v>
      </c>
      <c r="K800" s="135">
        <v>1.0669191919191922E-2</v>
      </c>
      <c r="L800" s="135">
        <v>9.2171717171717349E-3</v>
      </c>
      <c r="M800" s="175">
        <v>1.9886363636363657E-2</v>
      </c>
      <c r="N800" s="90" t="s">
        <v>20</v>
      </c>
      <c r="O800" s="91">
        <v>50</v>
      </c>
      <c r="P800" s="92" t="s">
        <v>54</v>
      </c>
      <c r="R800">
        <v>786</v>
      </c>
      <c r="S800" s="36" t="str">
        <f t="shared" si="247"/>
        <v>MEXICO AEREO</v>
      </c>
      <c r="T800" s="36">
        <f t="shared" si="247"/>
        <v>126</v>
      </c>
      <c r="U800" s="73">
        <v>0.80763888888888891</v>
      </c>
      <c r="V800" s="74">
        <v>0.8125</v>
      </c>
      <c r="W800" s="75">
        <v>4.8611111111110938E-3</v>
      </c>
      <c r="X800" s="74">
        <v>0.82291666666666663</v>
      </c>
      <c r="Y800" s="75">
        <v>1.041666666666663E-2</v>
      </c>
      <c r="Z800" s="76">
        <v>41741</v>
      </c>
      <c r="AA800" s="36" t="str">
        <f t="shared" si="265"/>
        <v>Nacional</v>
      </c>
      <c r="AB800" s="36">
        <f t="shared" si="265"/>
        <v>8.6111111111111249E-3</v>
      </c>
      <c r="AC800" s="36">
        <f t="shared" si="265"/>
        <v>6.1111111111110897E-3</v>
      </c>
      <c r="AD800" s="36">
        <f t="shared" si="265"/>
        <v>1.4722222222222215E-2</v>
      </c>
      <c r="AE800" s="36" t="str">
        <f t="shared" si="265"/>
        <v>B737-700</v>
      </c>
      <c r="AF800" s="36">
        <f t="shared" si="265"/>
        <v>126</v>
      </c>
      <c r="AG800" s="36" t="str">
        <f t="shared" si="265"/>
        <v>MEX</v>
      </c>
      <c r="AI800">
        <v>786</v>
      </c>
      <c r="AJ800" s="77" t="str">
        <f t="shared" si="259"/>
        <v>VUELOS AL NORTE</v>
      </c>
      <c r="AK800" s="77">
        <f t="shared" si="259"/>
        <v>248</v>
      </c>
      <c r="AL800" s="78">
        <v>0.51180555555555551</v>
      </c>
      <c r="AM800" s="79">
        <v>0.52430555555555558</v>
      </c>
      <c r="AN800" s="80">
        <v>1.2500000000000067E-2</v>
      </c>
      <c r="AO800" s="79">
        <v>0.53888888888888886</v>
      </c>
      <c r="AP800" s="80">
        <v>1.4583333333333282E-2</v>
      </c>
      <c r="AQ800" s="81">
        <v>41811</v>
      </c>
      <c r="AR800" s="77" t="str">
        <f t="shared" si="260"/>
        <v>Internacional</v>
      </c>
      <c r="AS800" s="77">
        <f t="shared" si="260"/>
        <v>1.4583333333333313E-2</v>
      </c>
      <c r="AT800" s="77">
        <f t="shared" si="260"/>
        <v>1.8088624338624341E-2</v>
      </c>
      <c r="AU800" s="77">
        <f t="shared" si="260"/>
        <v>3.2671957671957658E-2</v>
      </c>
      <c r="AV800" s="77">
        <f t="shared" si="260"/>
        <v>737</v>
      </c>
      <c r="AW800" s="77">
        <f t="shared" si="260"/>
        <v>169</v>
      </c>
      <c r="AX800" s="77" t="str">
        <f t="shared" si="260"/>
        <v>LAX</v>
      </c>
    </row>
    <row r="801" spans="1:50" ht="15.75" thickBot="1" x14ac:dyDescent="0.3">
      <c r="A801">
        <v>787</v>
      </c>
      <c r="B801" s="36" t="str">
        <f t="shared" ref="B801:C864" si="266">B800</f>
        <v>UNIDOS VOLAMOS</v>
      </c>
      <c r="C801" s="36">
        <f t="shared" si="266"/>
        <v>4525</v>
      </c>
      <c r="D801" s="118">
        <v>0.70416666666666661</v>
      </c>
      <c r="E801" s="118">
        <v>0.72083333333333333</v>
      </c>
      <c r="F801" s="119">
        <v>1.6666666666666718E-2</v>
      </c>
      <c r="G801" s="118">
        <v>0.73125000000000007</v>
      </c>
      <c r="H801" s="119">
        <v>1.0416666666666741E-2</v>
      </c>
      <c r="I801" s="81">
        <v>41715</v>
      </c>
      <c r="J801" s="36" t="str">
        <f t="shared" ref="J801:P810" si="267">J800</f>
        <v>Internacional</v>
      </c>
      <c r="K801" s="36">
        <f t="shared" si="267"/>
        <v>1.0669191919191922E-2</v>
      </c>
      <c r="L801" s="36">
        <f t="shared" si="267"/>
        <v>9.2171717171717349E-3</v>
      </c>
      <c r="M801" s="36">
        <f t="shared" si="267"/>
        <v>1.9886363636363657E-2</v>
      </c>
      <c r="N801" s="36" t="str">
        <f t="shared" si="267"/>
        <v>ER4</v>
      </c>
      <c r="O801" s="36">
        <f t="shared" si="267"/>
        <v>50</v>
      </c>
      <c r="P801" s="36" t="str">
        <f t="shared" si="267"/>
        <v>IAH</v>
      </c>
      <c r="R801">
        <v>787</v>
      </c>
      <c r="S801" s="36" t="str">
        <f t="shared" si="247"/>
        <v>MEXICO AEREO</v>
      </c>
      <c r="T801" s="36">
        <f t="shared" si="247"/>
        <v>126</v>
      </c>
      <c r="U801" s="83">
        <v>0.79513888888888884</v>
      </c>
      <c r="V801" s="84">
        <v>0.80486111111111114</v>
      </c>
      <c r="W801" s="85">
        <v>9.7222222222222987E-3</v>
      </c>
      <c r="X801" s="84">
        <v>0.81041666666666667</v>
      </c>
      <c r="Y801" s="85">
        <v>5.5555555555555358E-3</v>
      </c>
      <c r="Z801" s="86">
        <v>41759</v>
      </c>
      <c r="AA801" s="36" t="str">
        <f t="shared" si="265"/>
        <v>Nacional</v>
      </c>
      <c r="AB801" s="36">
        <f t="shared" si="265"/>
        <v>8.6111111111111249E-3</v>
      </c>
      <c r="AC801" s="36">
        <f t="shared" si="265"/>
        <v>6.1111111111110897E-3</v>
      </c>
      <c r="AD801" s="36">
        <f t="shared" si="265"/>
        <v>1.4722222222222215E-2</v>
      </c>
      <c r="AE801" s="36" t="str">
        <f t="shared" si="265"/>
        <v>B737-700</v>
      </c>
      <c r="AF801" s="36">
        <f t="shared" si="265"/>
        <v>126</v>
      </c>
      <c r="AG801" s="36" t="str">
        <f t="shared" si="265"/>
        <v>MEX</v>
      </c>
      <c r="AI801">
        <v>787</v>
      </c>
      <c r="AJ801" s="77" t="str">
        <f t="shared" si="259"/>
        <v>VUELOS AL NORTE</v>
      </c>
      <c r="AK801" s="77">
        <f t="shared" si="259"/>
        <v>248</v>
      </c>
      <c r="AL801" s="78">
        <v>0.4770833333333333</v>
      </c>
      <c r="AM801" s="79">
        <v>0.51041666666666663</v>
      </c>
      <c r="AN801" s="80">
        <v>3.3333333333333326E-2</v>
      </c>
      <c r="AO801" s="79">
        <v>0.52777777777777779</v>
      </c>
      <c r="AP801" s="80">
        <v>1.736111111111116E-2</v>
      </c>
      <c r="AQ801" s="81">
        <v>41813</v>
      </c>
      <c r="AR801" s="77" t="str">
        <f t="shared" si="260"/>
        <v>Internacional</v>
      </c>
      <c r="AS801" s="77">
        <f t="shared" si="260"/>
        <v>1.4583333333333313E-2</v>
      </c>
      <c r="AT801" s="77">
        <f t="shared" si="260"/>
        <v>1.8088624338624341E-2</v>
      </c>
      <c r="AU801" s="77">
        <f t="shared" si="260"/>
        <v>3.2671957671957658E-2</v>
      </c>
      <c r="AV801" s="77">
        <f t="shared" si="260"/>
        <v>737</v>
      </c>
      <c r="AW801" s="77">
        <f t="shared" si="260"/>
        <v>169</v>
      </c>
      <c r="AX801" s="77" t="str">
        <f t="shared" si="260"/>
        <v>LAX</v>
      </c>
    </row>
    <row r="802" spans="1:50" ht="15.75" thickBot="1" x14ac:dyDescent="0.3">
      <c r="A802">
        <v>788</v>
      </c>
      <c r="B802" s="36" t="str">
        <f t="shared" si="266"/>
        <v>UNIDOS VOLAMOS</v>
      </c>
      <c r="C802" s="36">
        <f t="shared" si="266"/>
        <v>4525</v>
      </c>
      <c r="D802" s="118">
        <v>0.66805555555555562</v>
      </c>
      <c r="E802" s="118">
        <v>0.67638888888888893</v>
      </c>
      <c r="F802" s="119">
        <v>8.3333333333333037E-3</v>
      </c>
      <c r="G802" s="118">
        <v>0.68263888888888891</v>
      </c>
      <c r="H802" s="119">
        <v>6.2499999999999778E-3</v>
      </c>
      <c r="I802" s="81">
        <v>41717</v>
      </c>
      <c r="J802" s="36" t="str">
        <f t="shared" si="267"/>
        <v>Internacional</v>
      </c>
      <c r="K802" s="36">
        <f t="shared" si="267"/>
        <v>1.0669191919191922E-2</v>
      </c>
      <c r="L802" s="36">
        <f t="shared" si="267"/>
        <v>9.2171717171717349E-3</v>
      </c>
      <c r="M802" s="36">
        <f t="shared" si="267"/>
        <v>1.9886363636363657E-2</v>
      </c>
      <c r="N802" s="36" t="str">
        <f t="shared" si="267"/>
        <v>ER4</v>
      </c>
      <c r="O802" s="36">
        <f t="shared" si="267"/>
        <v>50</v>
      </c>
      <c r="P802" s="36" t="str">
        <f t="shared" si="267"/>
        <v>IAH</v>
      </c>
      <c r="R802">
        <v>788</v>
      </c>
      <c r="S802" s="36" t="str">
        <f t="shared" si="247"/>
        <v>MEXICO AEREO</v>
      </c>
      <c r="T802" s="55">
        <v>120</v>
      </c>
      <c r="U802" s="56">
        <v>0.45277777777777778</v>
      </c>
      <c r="V802" s="57">
        <v>0.45833333333333331</v>
      </c>
      <c r="W802" s="58">
        <v>5.5555555555555358E-3</v>
      </c>
      <c r="X802" s="57">
        <v>0.46388888888888885</v>
      </c>
      <c r="Y802" s="58">
        <v>5.5555555555555358E-3</v>
      </c>
      <c r="Z802" s="59">
        <v>41730</v>
      </c>
      <c r="AA802" s="60" t="s">
        <v>19</v>
      </c>
      <c r="AB802" s="61">
        <v>7.133838383838376E-3</v>
      </c>
      <c r="AC802" s="61">
        <v>7.1654040404040475E-3</v>
      </c>
      <c r="AD802" s="62">
        <v>1.4299242424242423E-2</v>
      </c>
      <c r="AE802" s="167" t="s">
        <v>39</v>
      </c>
      <c r="AF802" s="167">
        <v>189</v>
      </c>
      <c r="AG802" s="168" t="s">
        <v>43</v>
      </c>
      <c r="AI802">
        <v>788</v>
      </c>
      <c r="AJ802" s="77" t="str">
        <f t="shared" si="259"/>
        <v>VUELOS AL NORTE</v>
      </c>
      <c r="AK802" s="77">
        <f t="shared" si="259"/>
        <v>248</v>
      </c>
      <c r="AL802" s="94">
        <v>0.51111111111111118</v>
      </c>
      <c r="AM802" s="95">
        <v>0.52361111111111114</v>
      </c>
      <c r="AN802" s="96">
        <v>1.2499999999999956E-2</v>
      </c>
      <c r="AO802" s="95">
        <v>0.55347222222222225</v>
      </c>
      <c r="AP802" s="96">
        <v>2.9861111111111116E-2</v>
      </c>
      <c r="AQ802" s="97">
        <v>41812</v>
      </c>
      <c r="AR802" s="77" t="str">
        <f t="shared" si="260"/>
        <v>Internacional</v>
      </c>
      <c r="AS802" s="77">
        <f t="shared" si="260"/>
        <v>1.4583333333333313E-2</v>
      </c>
      <c r="AT802" s="77">
        <f t="shared" si="260"/>
        <v>1.8088624338624341E-2</v>
      </c>
      <c r="AU802" s="77">
        <f t="shared" si="260"/>
        <v>3.2671957671957658E-2</v>
      </c>
      <c r="AV802" s="77">
        <f t="shared" si="260"/>
        <v>737</v>
      </c>
      <c r="AW802" s="77">
        <f t="shared" si="260"/>
        <v>169</v>
      </c>
      <c r="AX802" s="77" t="str">
        <f t="shared" si="260"/>
        <v>LAX</v>
      </c>
    </row>
    <row r="803" spans="1:50" x14ac:dyDescent="0.25">
      <c r="A803">
        <v>789</v>
      </c>
      <c r="B803" s="36" t="str">
        <f t="shared" si="266"/>
        <v>UNIDOS VOLAMOS</v>
      </c>
      <c r="C803" s="36">
        <f t="shared" si="266"/>
        <v>4525</v>
      </c>
      <c r="D803" s="118">
        <v>0.67499999999999993</v>
      </c>
      <c r="E803" s="118">
        <v>0.68263888888888891</v>
      </c>
      <c r="F803" s="119">
        <v>7.6388888888889728E-3</v>
      </c>
      <c r="G803" s="118">
        <v>0.69513888888888886</v>
      </c>
      <c r="H803" s="119">
        <v>1.2499999999999956E-2</v>
      </c>
      <c r="I803" s="81">
        <v>41720</v>
      </c>
      <c r="J803" s="36" t="str">
        <f t="shared" si="267"/>
        <v>Internacional</v>
      </c>
      <c r="K803" s="36">
        <f t="shared" si="267"/>
        <v>1.0669191919191922E-2</v>
      </c>
      <c r="L803" s="36">
        <f t="shared" si="267"/>
        <v>9.2171717171717349E-3</v>
      </c>
      <c r="M803" s="36">
        <f t="shared" si="267"/>
        <v>1.9886363636363657E-2</v>
      </c>
      <c r="N803" s="36" t="str">
        <f t="shared" si="267"/>
        <v>ER4</v>
      </c>
      <c r="O803" s="36">
        <f t="shared" si="267"/>
        <v>50</v>
      </c>
      <c r="P803" s="36" t="str">
        <f t="shared" si="267"/>
        <v>IAH</v>
      </c>
      <c r="R803">
        <v>789</v>
      </c>
      <c r="S803" s="36" t="str">
        <f t="shared" si="247"/>
        <v>MEXICO AEREO</v>
      </c>
      <c r="T803" s="36">
        <f t="shared" si="247"/>
        <v>120</v>
      </c>
      <c r="U803" s="73">
        <v>0.41666666666666669</v>
      </c>
      <c r="V803" s="74">
        <v>0.41805555555555557</v>
      </c>
      <c r="W803" s="75">
        <v>1.388888888888884E-3</v>
      </c>
      <c r="X803" s="74">
        <v>0.42708333333333331</v>
      </c>
      <c r="Y803" s="75">
        <v>9.0277777777777457E-3</v>
      </c>
      <c r="Z803" s="76">
        <v>41731</v>
      </c>
      <c r="AA803" s="36" t="str">
        <f t="shared" ref="AA803:AG823" si="268">AA802</f>
        <v>Nacional</v>
      </c>
      <c r="AB803" s="36">
        <f t="shared" si="268"/>
        <v>7.133838383838376E-3</v>
      </c>
      <c r="AC803" s="36">
        <f t="shared" si="268"/>
        <v>7.1654040404040475E-3</v>
      </c>
      <c r="AD803" s="36">
        <f t="shared" si="268"/>
        <v>1.4299242424242423E-2</v>
      </c>
      <c r="AE803" s="36" t="str">
        <f t="shared" si="268"/>
        <v>B737-800</v>
      </c>
      <c r="AF803" s="36">
        <f t="shared" si="268"/>
        <v>189</v>
      </c>
      <c r="AG803" s="36" t="str">
        <f t="shared" si="268"/>
        <v>SFO</v>
      </c>
      <c r="AI803">
        <v>789</v>
      </c>
      <c r="AJ803" s="77" t="str">
        <f t="shared" si="259"/>
        <v>VUELOS AL NORTE</v>
      </c>
      <c r="AK803" s="63">
        <v>242</v>
      </c>
      <c r="AL803" s="64">
        <v>0.23750000000000002</v>
      </c>
      <c r="AM803" s="65">
        <v>0.2638888888888889</v>
      </c>
      <c r="AN803" s="66">
        <v>2.6388888888888878E-2</v>
      </c>
      <c r="AO803" s="65">
        <v>0.28611111111111115</v>
      </c>
      <c r="AP803" s="66">
        <v>2.2222222222222254E-2</v>
      </c>
      <c r="AQ803" s="67">
        <v>41792</v>
      </c>
      <c r="AR803" s="68" t="s">
        <v>22</v>
      </c>
      <c r="AS803" s="69">
        <v>1.4861111111111117E-2</v>
      </c>
      <c r="AT803" s="70">
        <v>2.2152777777777764E-2</v>
      </c>
      <c r="AU803" s="70">
        <v>3.7013888888888881E-2</v>
      </c>
      <c r="AV803" s="71" t="s">
        <v>39</v>
      </c>
      <c r="AW803" s="71">
        <v>189</v>
      </c>
      <c r="AX803" s="72" t="s">
        <v>40</v>
      </c>
    </row>
    <row r="804" spans="1:50" x14ac:dyDescent="0.25">
      <c r="A804">
        <v>790</v>
      </c>
      <c r="B804" s="36" t="str">
        <f t="shared" si="266"/>
        <v>UNIDOS VOLAMOS</v>
      </c>
      <c r="C804" s="36">
        <f t="shared" si="266"/>
        <v>4525</v>
      </c>
      <c r="D804" s="118">
        <v>0.67638888888888893</v>
      </c>
      <c r="E804" s="118">
        <v>0.6875</v>
      </c>
      <c r="F804" s="119">
        <v>1.1111111111111072E-2</v>
      </c>
      <c r="G804" s="118">
        <v>0.69930555555555562</v>
      </c>
      <c r="H804" s="119">
        <v>1.1805555555555625E-2</v>
      </c>
      <c r="I804" s="81">
        <v>41721</v>
      </c>
      <c r="J804" s="36" t="str">
        <f t="shared" si="267"/>
        <v>Internacional</v>
      </c>
      <c r="K804" s="36">
        <f t="shared" si="267"/>
        <v>1.0669191919191922E-2</v>
      </c>
      <c r="L804" s="36">
        <f t="shared" si="267"/>
        <v>9.2171717171717349E-3</v>
      </c>
      <c r="M804" s="36">
        <f t="shared" si="267"/>
        <v>1.9886363636363657E-2</v>
      </c>
      <c r="N804" s="36" t="str">
        <f t="shared" si="267"/>
        <v>ER4</v>
      </c>
      <c r="O804" s="36">
        <f t="shared" si="267"/>
        <v>50</v>
      </c>
      <c r="P804" s="36" t="str">
        <f t="shared" si="267"/>
        <v>IAH</v>
      </c>
      <c r="R804">
        <v>790</v>
      </c>
      <c r="S804" s="36" t="str">
        <f t="shared" si="247"/>
        <v>MEXICO AEREO</v>
      </c>
      <c r="T804" s="36">
        <f t="shared" si="247"/>
        <v>120</v>
      </c>
      <c r="U804" s="73">
        <v>0.42986111111111108</v>
      </c>
      <c r="V804" s="74">
        <v>0.44861111111111113</v>
      </c>
      <c r="W804" s="75">
        <v>1.8750000000000044E-2</v>
      </c>
      <c r="X804" s="74">
        <v>0.45555555555555555</v>
      </c>
      <c r="Y804" s="75">
        <v>6.9444444444444198E-3</v>
      </c>
      <c r="Z804" s="76">
        <v>41732</v>
      </c>
      <c r="AA804" s="36" t="str">
        <f t="shared" si="268"/>
        <v>Nacional</v>
      </c>
      <c r="AB804" s="36">
        <f t="shared" si="268"/>
        <v>7.133838383838376E-3</v>
      </c>
      <c r="AC804" s="36">
        <f t="shared" si="268"/>
        <v>7.1654040404040475E-3</v>
      </c>
      <c r="AD804" s="36">
        <f t="shared" si="268"/>
        <v>1.4299242424242423E-2</v>
      </c>
      <c r="AE804" s="36" t="str">
        <f t="shared" si="268"/>
        <v>B737-800</v>
      </c>
      <c r="AF804" s="36">
        <f t="shared" si="268"/>
        <v>189</v>
      </c>
      <c r="AG804" s="36" t="str">
        <f t="shared" si="268"/>
        <v>SFO</v>
      </c>
      <c r="AI804">
        <v>790</v>
      </c>
      <c r="AJ804" s="77" t="str">
        <f t="shared" si="259"/>
        <v>VUELOS AL NORTE</v>
      </c>
      <c r="AK804" s="77">
        <f t="shared" si="259"/>
        <v>242</v>
      </c>
      <c r="AL804" s="78">
        <v>0.22916666666666666</v>
      </c>
      <c r="AM804" s="79">
        <v>0.24652777777777779</v>
      </c>
      <c r="AN804" s="80">
        <v>1.7361111111111133E-2</v>
      </c>
      <c r="AO804" s="79">
        <v>0.27430555555555552</v>
      </c>
      <c r="AP804" s="80">
        <v>2.7777777777777735E-2</v>
      </c>
      <c r="AQ804" s="81">
        <v>41793</v>
      </c>
      <c r="AR804" s="77" t="str">
        <f t="shared" ref="AR804:AX822" si="269">AR803</f>
        <v>Internacional</v>
      </c>
      <c r="AS804" s="77">
        <f t="shared" si="269"/>
        <v>1.4861111111111117E-2</v>
      </c>
      <c r="AT804" s="77">
        <f t="shared" si="269"/>
        <v>2.2152777777777764E-2</v>
      </c>
      <c r="AU804" s="77">
        <f t="shared" si="269"/>
        <v>3.7013888888888881E-2</v>
      </c>
      <c r="AV804" s="77" t="str">
        <f t="shared" si="269"/>
        <v>B737-800</v>
      </c>
      <c r="AW804" s="77">
        <f t="shared" si="269"/>
        <v>189</v>
      </c>
      <c r="AX804" s="77" t="str">
        <f t="shared" si="269"/>
        <v>LAX</v>
      </c>
    </row>
    <row r="805" spans="1:50" x14ac:dyDescent="0.25">
      <c r="A805">
        <v>791</v>
      </c>
      <c r="B805" s="36" t="str">
        <f t="shared" si="266"/>
        <v>UNIDOS VOLAMOS</v>
      </c>
      <c r="C805" s="36">
        <f t="shared" si="266"/>
        <v>4525</v>
      </c>
      <c r="D805" s="118">
        <v>0.68611111111111101</v>
      </c>
      <c r="E805" s="118">
        <v>0.6958333333333333</v>
      </c>
      <c r="F805" s="119">
        <v>9.7222222222222987E-3</v>
      </c>
      <c r="G805" s="118">
        <v>0.71805555555555556</v>
      </c>
      <c r="H805" s="119">
        <v>2.2222222222222254E-2</v>
      </c>
      <c r="I805" s="81">
        <v>41722</v>
      </c>
      <c r="J805" s="36" t="str">
        <f t="shared" si="267"/>
        <v>Internacional</v>
      </c>
      <c r="K805" s="36">
        <f t="shared" si="267"/>
        <v>1.0669191919191922E-2</v>
      </c>
      <c r="L805" s="36">
        <f t="shared" si="267"/>
        <v>9.2171717171717349E-3</v>
      </c>
      <c r="M805" s="36">
        <f t="shared" si="267"/>
        <v>1.9886363636363657E-2</v>
      </c>
      <c r="N805" s="36" t="str">
        <f t="shared" si="267"/>
        <v>ER4</v>
      </c>
      <c r="O805" s="36">
        <f t="shared" si="267"/>
        <v>50</v>
      </c>
      <c r="P805" s="36" t="str">
        <f t="shared" si="267"/>
        <v>IAH</v>
      </c>
      <c r="R805">
        <v>791</v>
      </c>
      <c r="S805" s="36" t="str">
        <f t="shared" si="247"/>
        <v>MEXICO AEREO</v>
      </c>
      <c r="T805" s="36">
        <f t="shared" si="247"/>
        <v>120</v>
      </c>
      <c r="U805" s="73">
        <v>0.42708333333333331</v>
      </c>
      <c r="V805" s="74">
        <v>0.43402777777777773</v>
      </c>
      <c r="W805" s="75">
        <v>6.9444444444444198E-3</v>
      </c>
      <c r="X805" s="74">
        <v>0.43611111111111112</v>
      </c>
      <c r="Y805" s="75">
        <v>2.0833333333333814E-3</v>
      </c>
      <c r="Z805" s="76">
        <v>41733</v>
      </c>
      <c r="AA805" s="36" t="str">
        <f t="shared" si="268"/>
        <v>Nacional</v>
      </c>
      <c r="AB805" s="36">
        <f t="shared" si="268"/>
        <v>7.133838383838376E-3</v>
      </c>
      <c r="AC805" s="36">
        <f t="shared" si="268"/>
        <v>7.1654040404040475E-3</v>
      </c>
      <c r="AD805" s="36">
        <f t="shared" si="268"/>
        <v>1.4299242424242423E-2</v>
      </c>
      <c r="AE805" s="36" t="str">
        <f t="shared" si="268"/>
        <v>B737-800</v>
      </c>
      <c r="AF805" s="36">
        <f t="shared" si="268"/>
        <v>189</v>
      </c>
      <c r="AG805" s="36" t="str">
        <f t="shared" si="268"/>
        <v>SFO</v>
      </c>
      <c r="AI805">
        <v>791</v>
      </c>
      <c r="AJ805" s="77" t="str">
        <f t="shared" si="259"/>
        <v>VUELOS AL NORTE</v>
      </c>
      <c r="AK805" s="77">
        <f t="shared" si="259"/>
        <v>242</v>
      </c>
      <c r="AL805" s="78">
        <v>0.2298611111111111</v>
      </c>
      <c r="AM805" s="79">
        <v>0.24374999999999999</v>
      </c>
      <c r="AN805" s="80">
        <v>1.3888888888888895E-2</v>
      </c>
      <c r="AO805" s="79">
        <v>0.27638888888888885</v>
      </c>
      <c r="AP805" s="80">
        <v>3.2638888888888856E-2</v>
      </c>
      <c r="AQ805" s="81">
        <v>41794</v>
      </c>
      <c r="AR805" s="77" t="str">
        <f t="shared" si="269"/>
        <v>Internacional</v>
      </c>
      <c r="AS805" s="77">
        <f t="shared" si="269"/>
        <v>1.4861111111111117E-2</v>
      </c>
      <c r="AT805" s="77">
        <f t="shared" si="269"/>
        <v>2.2152777777777764E-2</v>
      </c>
      <c r="AU805" s="77">
        <f t="shared" si="269"/>
        <v>3.7013888888888881E-2</v>
      </c>
      <c r="AV805" s="77" t="str">
        <f t="shared" si="269"/>
        <v>B737-800</v>
      </c>
      <c r="AW805" s="77">
        <f t="shared" si="269"/>
        <v>189</v>
      </c>
      <c r="AX805" s="77" t="str">
        <f t="shared" si="269"/>
        <v>LAX</v>
      </c>
    </row>
    <row r="806" spans="1:50" x14ac:dyDescent="0.25">
      <c r="A806">
        <v>792</v>
      </c>
      <c r="B806" s="36" t="str">
        <f t="shared" si="266"/>
        <v>UNIDOS VOLAMOS</v>
      </c>
      <c r="C806" s="36">
        <f t="shared" si="266"/>
        <v>4525</v>
      </c>
      <c r="D806" s="118">
        <v>0.65208333333333335</v>
      </c>
      <c r="E806" s="118">
        <v>0.66319444444444442</v>
      </c>
      <c r="F806" s="119">
        <v>1.1111111111111072E-2</v>
      </c>
      <c r="G806" s="118">
        <v>0.66597222222222219</v>
      </c>
      <c r="H806" s="119">
        <v>2.7777777777777679E-3</v>
      </c>
      <c r="I806" s="81">
        <v>41723</v>
      </c>
      <c r="J806" s="36" t="str">
        <f t="shared" si="267"/>
        <v>Internacional</v>
      </c>
      <c r="K806" s="36">
        <f t="shared" si="267"/>
        <v>1.0669191919191922E-2</v>
      </c>
      <c r="L806" s="36">
        <f t="shared" si="267"/>
        <v>9.2171717171717349E-3</v>
      </c>
      <c r="M806" s="36">
        <f t="shared" si="267"/>
        <v>1.9886363636363657E-2</v>
      </c>
      <c r="N806" s="36" t="str">
        <f t="shared" si="267"/>
        <v>ER4</v>
      </c>
      <c r="O806" s="36">
        <f t="shared" si="267"/>
        <v>50</v>
      </c>
      <c r="P806" s="36" t="str">
        <f t="shared" si="267"/>
        <v>IAH</v>
      </c>
      <c r="R806">
        <v>792</v>
      </c>
      <c r="S806" s="36" t="str">
        <f t="shared" si="247"/>
        <v>MEXICO AEREO</v>
      </c>
      <c r="T806" s="36">
        <f t="shared" si="247"/>
        <v>120</v>
      </c>
      <c r="U806" s="73">
        <v>0.41875000000000001</v>
      </c>
      <c r="V806" s="74">
        <v>0.4291666666666667</v>
      </c>
      <c r="W806" s="75">
        <v>1.0416666666666685E-2</v>
      </c>
      <c r="X806" s="74">
        <v>0.43402777777777773</v>
      </c>
      <c r="Y806" s="75">
        <v>4.8611111111110383E-3</v>
      </c>
      <c r="Z806" s="76">
        <v>41735</v>
      </c>
      <c r="AA806" s="36" t="str">
        <f t="shared" si="268"/>
        <v>Nacional</v>
      </c>
      <c r="AB806" s="36">
        <f t="shared" si="268"/>
        <v>7.133838383838376E-3</v>
      </c>
      <c r="AC806" s="36">
        <f t="shared" si="268"/>
        <v>7.1654040404040475E-3</v>
      </c>
      <c r="AD806" s="36">
        <f t="shared" si="268"/>
        <v>1.4299242424242423E-2</v>
      </c>
      <c r="AE806" s="36" t="str">
        <f t="shared" si="268"/>
        <v>B737-800</v>
      </c>
      <c r="AF806" s="36">
        <f t="shared" si="268"/>
        <v>189</v>
      </c>
      <c r="AG806" s="36" t="str">
        <f t="shared" si="268"/>
        <v>SFO</v>
      </c>
      <c r="AI806">
        <v>792</v>
      </c>
      <c r="AJ806" s="77" t="str">
        <f t="shared" si="259"/>
        <v>VUELOS AL NORTE</v>
      </c>
      <c r="AK806" s="77">
        <f t="shared" si="259"/>
        <v>242</v>
      </c>
      <c r="AL806" s="78">
        <v>0.22222222222222221</v>
      </c>
      <c r="AM806" s="79">
        <v>0.22708333333333333</v>
      </c>
      <c r="AN806" s="80">
        <v>4.8611111111111216E-3</v>
      </c>
      <c r="AO806" s="79">
        <v>0.26458333333333334</v>
      </c>
      <c r="AP806" s="80">
        <v>3.7500000000000006E-2</v>
      </c>
      <c r="AQ806" s="81">
        <v>41795</v>
      </c>
      <c r="AR806" s="77" t="str">
        <f t="shared" si="269"/>
        <v>Internacional</v>
      </c>
      <c r="AS806" s="77">
        <f t="shared" si="269"/>
        <v>1.4861111111111117E-2</v>
      </c>
      <c r="AT806" s="77">
        <f t="shared" si="269"/>
        <v>2.2152777777777764E-2</v>
      </c>
      <c r="AU806" s="77">
        <f t="shared" si="269"/>
        <v>3.7013888888888881E-2</v>
      </c>
      <c r="AV806" s="77" t="str">
        <f t="shared" si="269"/>
        <v>B737-800</v>
      </c>
      <c r="AW806" s="77">
        <f t="shared" si="269"/>
        <v>189</v>
      </c>
      <c r="AX806" s="77" t="str">
        <f t="shared" si="269"/>
        <v>LAX</v>
      </c>
    </row>
    <row r="807" spans="1:50" x14ac:dyDescent="0.25">
      <c r="A807">
        <v>793</v>
      </c>
      <c r="B807" s="36" t="str">
        <f t="shared" si="266"/>
        <v>UNIDOS VOLAMOS</v>
      </c>
      <c r="C807" s="36">
        <f t="shared" si="266"/>
        <v>4525</v>
      </c>
      <c r="D807" s="118">
        <v>0.6694444444444444</v>
      </c>
      <c r="E807" s="118">
        <v>0.67847222222222225</v>
      </c>
      <c r="F807" s="119">
        <v>9.0277777777778567E-3</v>
      </c>
      <c r="G807" s="118">
        <v>0.69374999999999998</v>
      </c>
      <c r="H807" s="119">
        <v>1.5277777777777724E-2</v>
      </c>
      <c r="I807" s="81">
        <v>41725</v>
      </c>
      <c r="J807" s="36" t="str">
        <f t="shared" si="267"/>
        <v>Internacional</v>
      </c>
      <c r="K807" s="36">
        <f t="shared" si="267"/>
        <v>1.0669191919191922E-2</v>
      </c>
      <c r="L807" s="36">
        <f t="shared" si="267"/>
        <v>9.2171717171717349E-3</v>
      </c>
      <c r="M807" s="36">
        <f t="shared" si="267"/>
        <v>1.9886363636363657E-2</v>
      </c>
      <c r="N807" s="36" t="str">
        <f t="shared" si="267"/>
        <v>ER4</v>
      </c>
      <c r="O807" s="36">
        <f t="shared" si="267"/>
        <v>50</v>
      </c>
      <c r="P807" s="36" t="str">
        <f t="shared" si="267"/>
        <v>IAH</v>
      </c>
      <c r="R807">
        <v>793</v>
      </c>
      <c r="S807" s="36" t="str">
        <f t="shared" si="247"/>
        <v>MEXICO AEREO</v>
      </c>
      <c r="T807" s="36">
        <f t="shared" si="247"/>
        <v>120</v>
      </c>
      <c r="U807" s="73">
        <v>0.41666666666666669</v>
      </c>
      <c r="V807" s="74">
        <v>0.42499999999999999</v>
      </c>
      <c r="W807" s="75">
        <v>8.3333333333333037E-3</v>
      </c>
      <c r="X807" s="74">
        <v>0.43333333333333335</v>
      </c>
      <c r="Y807" s="75">
        <v>8.3333333333333592E-3</v>
      </c>
      <c r="Z807" s="76">
        <v>41737</v>
      </c>
      <c r="AA807" s="36" t="str">
        <f t="shared" si="268"/>
        <v>Nacional</v>
      </c>
      <c r="AB807" s="36">
        <f t="shared" si="268"/>
        <v>7.133838383838376E-3</v>
      </c>
      <c r="AC807" s="36">
        <f t="shared" si="268"/>
        <v>7.1654040404040475E-3</v>
      </c>
      <c r="AD807" s="36">
        <f t="shared" si="268"/>
        <v>1.4299242424242423E-2</v>
      </c>
      <c r="AE807" s="36" t="str">
        <f t="shared" si="268"/>
        <v>B737-800</v>
      </c>
      <c r="AF807" s="36">
        <f t="shared" si="268"/>
        <v>189</v>
      </c>
      <c r="AG807" s="36" t="str">
        <f t="shared" si="268"/>
        <v>SFO</v>
      </c>
      <c r="AI807">
        <v>793</v>
      </c>
      <c r="AJ807" s="77" t="str">
        <f t="shared" si="259"/>
        <v>VUELOS AL NORTE</v>
      </c>
      <c r="AK807" s="77">
        <f t="shared" si="259"/>
        <v>242</v>
      </c>
      <c r="AL807" s="78">
        <v>0.23680555555555557</v>
      </c>
      <c r="AM807" s="79">
        <v>0.25625000000000003</v>
      </c>
      <c r="AN807" s="80">
        <v>1.9444444444444459E-2</v>
      </c>
      <c r="AO807" s="79">
        <v>0.27638888888888885</v>
      </c>
      <c r="AP807" s="80">
        <v>2.0138888888888817E-2</v>
      </c>
      <c r="AQ807" s="81">
        <v>41796</v>
      </c>
      <c r="AR807" s="77" t="str">
        <f t="shared" si="269"/>
        <v>Internacional</v>
      </c>
      <c r="AS807" s="77">
        <f t="shared" si="269"/>
        <v>1.4861111111111117E-2</v>
      </c>
      <c r="AT807" s="77">
        <f t="shared" si="269"/>
        <v>2.2152777777777764E-2</v>
      </c>
      <c r="AU807" s="77">
        <f t="shared" si="269"/>
        <v>3.7013888888888881E-2</v>
      </c>
      <c r="AV807" s="77" t="str">
        <f t="shared" si="269"/>
        <v>B737-800</v>
      </c>
      <c r="AW807" s="77">
        <f t="shared" si="269"/>
        <v>189</v>
      </c>
      <c r="AX807" s="77" t="str">
        <f t="shared" si="269"/>
        <v>LAX</v>
      </c>
    </row>
    <row r="808" spans="1:50" x14ac:dyDescent="0.25">
      <c r="A808">
        <v>794</v>
      </c>
      <c r="B808" s="36" t="str">
        <f t="shared" si="266"/>
        <v>UNIDOS VOLAMOS</v>
      </c>
      <c r="C808" s="36">
        <f t="shared" si="266"/>
        <v>4525</v>
      </c>
      <c r="D808" s="118">
        <v>0.68194444444444446</v>
      </c>
      <c r="E808" s="118">
        <v>0.69236111111111109</v>
      </c>
      <c r="F808" s="119">
        <v>1.041666666666663E-2</v>
      </c>
      <c r="G808" s="118">
        <v>0.69444444444444453</v>
      </c>
      <c r="H808" s="119">
        <v>2.083333333333437E-3</v>
      </c>
      <c r="I808" s="81">
        <v>41727</v>
      </c>
      <c r="J808" s="36" t="str">
        <f t="shared" si="267"/>
        <v>Internacional</v>
      </c>
      <c r="K808" s="36">
        <f t="shared" si="267"/>
        <v>1.0669191919191922E-2</v>
      </c>
      <c r="L808" s="36">
        <f t="shared" si="267"/>
        <v>9.2171717171717349E-3</v>
      </c>
      <c r="M808" s="36">
        <f t="shared" si="267"/>
        <v>1.9886363636363657E-2</v>
      </c>
      <c r="N808" s="36" t="str">
        <f t="shared" si="267"/>
        <v>ER4</v>
      </c>
      <c r="O808" s="36">
        <f t="shared" si="267"/>
        <v>50</v>
      </c>
      <c r="P808" s="36" t="str">
        <f t="shared" si="267"/>
        <v>IAH</v>
      </c>
      <c r="R808">
        <v>794</v>
      </c>
      <c r="S808" s="36" t="str">
        <f t="shared" si="247"/>
        <v>MEXICO AEREO</v>
      </c>
      <c r="T808" s="36">
        <f t="shared" si="247"/>
        <v>120</v>
      </c>
      <c r="U808" s="73">
        <v>0.42708333333333331</v>
      </c>
      <c r="V808" s="74">
        <v>0.42986111111111108</v>
      </c>
      <c r="W808" s="75">
        <v>2.7777777777777679E-3</v>
      </c>
      <c r="X808" s="74">
        <v>0.43402777777777773</v>
      </c>
      <c r="Y808" s="75">
        <v>4.1666666666666519E-3</v>
      </c>
      <c r="Z808" s="76">
        <v>41738</v>
      </c>
      <c r="AA808" s="36" t="str">
        <f t="shared" si="268"/>
        <v>Nacional</v>
      </c>
      <c r="AB808" s="36">
        <f t="shared" si="268"/>
        <v>7.133838383838376E-3</v>
      </c>
      <c r="AC808" s="36">
        <f t="shared" si="268"/>
        <v>7.1654040404040475E-3</v>
      </c>
      <c r="AD808" s="36">
        <f t="shared" si="268"/>
        <v>1.4299242424242423E-2</v>
      </c>
      <c r="AE808" s="36" t="str">
        <f t="shared" si="268"/>
        <v>B737-800</v>
      </c>
      <c r="AF808" s="36">
        <f t="shared" si="268"/>
        <v>189</v>
      </c>
      <c r="AG808" s="36" t="str">
        <f t="shared" si="268"/>
        <v>SFO</v>
      </c>
      <c r="AI808">
        <v>794</v>
      </c>
      <c r="AJ808" s="77" t="str">
        <f t="shared" si="259"/>
        <v>VUELOS AL NORTE</v>
      </c>
      <c r="AK808" s="77">
        <f t="shared" si="259"/>
        <v>242</v>
      </c>
      <c r="AL808" s="78">
        <v>0.22638888888888889</v>
      </c>
      <c r="AM808" s="79">
        <v>0.24374999999999999</v>
      </c>
      <c r="AN808" s="80">
        <v>1.7361111111111105E-2</v>
      </c>
      <c r="AO808" s="79">
        <v>0.2722222222222222</v>
      </c>
      <c r="AP808" s="80">
        <v>2.8472222222222204E-2</v>
      </c>
      <c r="AQ808" s="81">
        <v>41797</v>
      </c>
      <c r="AR808" s="77" t="str">
        <f t="shared" si="269"/>
        <v>Internacional</v>
      </c>
      <c r="AS808" s="77">
        <f t="shared" si="269"/>
        <v>1.4861111111111117E-2</v>
      </c>
      <c r="AT808" s="77">
        <f t="shared" si="269"/>
        <v>2.2152777777777764E-2</v>
      </c>
      <c r="AU808" s="77">
        <f t="shared" si="269"/>
        <v>3.7013888888888881E-2</v>
      </c>
      <c r="AV808" s="77" t="str">
        <f t="shared" si="269"/>
        <v>B737-800</v>
      </c>
      <c r="AW808" s="77">
        <f t="shared" si="269"/>
        <v>189</v>
      </c>
      <c r="AX808" s="77" t="str">
        <f t="shared" si="269"/>
        <v>LAX</v>
      </c>
    </row>
    <row r="809" spans="1:50" x14ac:dyDescent="0.25">
      <c r="A809">
        <v>795</v>
      </c>
      <c r="B809" s="36" t="str">
        <f t="shared" si="266"/>
        <v>UNIDOS VOLAMOS</v>
      </c>
      <c r="C809" s="36">
        <f t="shared" si="266"/>
        <v>4525</v>
      </c>
      <c r="D809" s="118">
        <v>0.68194444444444446</v>
      </c>
      <c r="E809" s="118">
        <v>0.69513888888888886</v>
      </c>
      <c r="F809" s="119">
        <v>1.3194444444444398E-2</v>
      </c>
      <c r="G809" s="118">
        <v>0.69791666666666663</v>
      </c>
      <c r="H809" s="119">
        <v>2.7777777777777679E-3</v>
      </c>
      <c r="I809" s="81">
        <v>41728</v>
      </c>
      <c r="J809" s="36" t="str">
        <f t="shared" si="267"/>
        <v>Internacional</v>
      </c>
      <c r="K809" s="36">
        <f t="shared" si="267"/>
        <v>1.0669191919191922E-2</v>
      </c>
      <c r="L809" s="36">
        <f t="shared" si="267"/>
        <v>9.2171717171717349E-3</v>
      </c>
      <c r="M809" s="36">
        <f t="shared" si="267"/>
        <v>1.9886363636363657E-2</v>
      </c>
      <c r="N809" s="36" t="str">
        <f t="shared" si="267"/>
        <v>ER4</v>
      </c>
      <c r="O809" s="36">
        <f t="shared" si="267"/>
        <v>50</v>
      </c>
      <c r="P809" s="36" t="str">
        <f t="shared" si="267"/>
        <v>IAH</v>
      </c>
      <c r="R809">
        <v>795</v>
      </c>
      <c r="S809" s="36" t="str">
        <f t="shared" si="247"/>
        <v>MEXICO AEREO</v>
      </c>
      <c r="T809" s="36">
        <f t="shared" si="247"/>
        <v>120</v>
      </c>
      <c r="U809" s="73">
        <v>0.42638888888888887</v>
      </c>
      <c r="V809" s="74">
        <v>0.4375</v>
      </c>
      <c r="W809" s="75">
        <v>1.1111111111111127E-2</v>
      </c>
      <c r="X809" s="74">
        <v>0.44444444444444442</v>
      </c>
      <c r="Y809" s="75">
        <v>6.9444444444444198E-3</v>
      </c>
      <c r="Z809" s="76">
        <v>41739</v>
      </c>
      <c r="AA809" s="36" t="str">
        <f t="shared" si="268"/>
        <v>Nacional</v>
      </c>
      <c r="AB809" s="36">
        <f t="shared" si="268"/>
        <v>7.133838383838376E-3</v>
      </c>
      <c r="AC809" s="36">
        <f t="shared" si="268"/>
        <v>7.1654040404040475E-3</v>
      </c>
      <c r="AD809" s="36">
        <f t="shared" si="268"/>
        <v>1.4299242424242423E-2</v>
      </c>
      <c r="AE809" s="36" t="str">
        <f t="shared" si="268"/>
        <v>B737-800</v>
      </c>
      <c r="AF809" s="36">
        <f t="shared" si="268"/>
        <v>189</v>
      </c>
      <c r="AG809" s="36" t="str">
        <f t="shared" si="268"/>
        <v>SFO</v>
      </c>
      <c r="AI809">
        <v>795</v>
      </c>
      <c r="AJ809" s="77" t="str">
        <f t="shared" si="259"/>
        <v>VUELOS AL NORTE</v>
      </c>
      <c r="AK809" s="77">
        <f t="shared" si="259"/>
        <v>242</v>
      </c>
      <c r="AL809" s="78">
        <v>0.23124999999999998</v>
      </c>
      <c r="AM809" s="79">
        <v>0.24791666666666667</v>
      </c>
      <c r="AN809" s="80">
        <v>1.6666666666666691E-2</v>
      </c>
      <c r="AO809" s="79">
        <v>0.27847222222222223</v>
      </c>
      <c r="AP809" s="80">
        <v>3.0555555555555558E-2</v>
      </c>
      <c r="AQ809" s="81">
        <v>41798</v>
      </c>
      <c r="AR809" s="77" t="str">
        <f t="shared" si="269"/>
        <v>Internacional</v>
      </c>
      <c r="AS809" s="77">
        <f t="shared" si="269"/>
        <v>1.4861111111111117E-2</v>
      </c>
      <c r="AT809" s="77">
        <f t="shared" si="269"/>
        <v>2.2152777777777764E-2</v>
      </c>
      <c r="AU809" s="77">
        <f t="shared" si="269"/>
        <v>3.7013888888888881E-2</v>
      </c>
      <c r="AV809" s="77" t="str">
        <f t="shared" si="269"/>
        <v>B737-800</v>
      </c>
      <c r="AW809" s="77">
        <f t="shared" si="269"/>
        <v>189</v>
      </c>
      <c r="AX809" s="77" t="str">
        <f t="shared" si="269"/>
        <v>LAX</v>
      </c>
    </row>
    <row r="810" spans="1:50" ht="15.75" thickBot="1" x14ac:dyDescent="0.3">
      <c r="A810">
        <v>796</v>
      </c>
      <c r="B810" s="36" t="str">
        <f t="shared" si="266"/>
        <v>UNIDOS VOLAMOS</v>
      </c>
      <c r="C810" s="36">
        <f t="shared" si="266"/>
        <v>4525</v>
      </c>
      <c r="D810" s="176">
        <v>0.65486111111111112</v>
      </c>
      <c r="E810" s="176">
        <v>0.66388888888888886</v>
      </c>
      <c r="F810" s="177">
        <v>9.0277777777777457E-3</v>
      </c>
      <c r="G810" s="176">
        <v>0.67291666666666661</v>
      </c>
      <c r="H810" s="177">
        <v>9.0277777777777457E-3</v>
      </c>
      <c r="I810" s="97">
        <v>41729</v>
      </c>
      <c r="J810" s="36" t="str">
        <f t="shared" si="267"/>
        <v>Internacional</v>
      </c>
      <c r="K810" s="36">
        <f t="shared" si="267"/>
        <v>1.0669191919191922E-2</v>
      </c>
      <c r="L810" s="36">
        <f t="shared" si="267"/>
        <v>9.2171717171717349E-3</v>
      </c>
      <c r="M810" s="36">
        <f t="shared" si="267"/>
        <v>1.9886363636363657E-2</v>
      </c>
      <c r="N810" s="36" t="str">
        <f t="shared" si="267"/>
        <v>ER4</v>
      </c>
      <c r="O810" s="36">
        <f t="shared" si="267"/>
        <v>50</v>
      </c>
      <c r="P810" s="36" t="str">
        <f t="shared" si="267"/>
        <v>IAH</v>
      </c>
      <c r="R810">
        <v>796</v>
      </c>
      <c r="S810" s="36" t="str">
        <f t="shared" si="247"/>
        <v>MEXICO AEREO</v>
      </c>
      <c r="T810" s="36">
        <f t="shared" si="247"/>
        <v>120</v>
      </c>
      <c r="U810" s="73">
        <v>0.42708333333333331</v>
      </c>
      <c r="V810" s="74">
        <v>0.43402777777777773</v>
      </c>
      <c r="W810" s="75">
        <v>6.9444444444444198E-3</v>
      </c>
      <c r="X810" s="74">
        <v>0.44027777777777777</v>
      </c>
      <c r="Y810" s="75">
        <v>6.2500000000000333E-3</v>
      </c>
      <c r="Z810" s="76">
        <v>41741</v>
      </c>
      <c r="AA810" s="36" t="str">
        <f t="shared" si="268"/>
        <v>Nacional</v>
      </c>
      <c r="AB810" s="36">
        <f t="shared" si="268"/>
        <v>7.133838383838376E-3</v>
      </c>
      <c r="AC810" s="36">
        <f t="shared" si="268"/>
        <v>7.1654040404040475E-3</v>
      </c>
      <c r="AD810" s="36">
        <f t="shared" si="268"/>
        <v>1.4299242424242423E-2</v>
      </c>
      <c r="AE810" s="36" t="str">
        <f t="shared" si="268"/>
        <v>B737-800</v>
      </c>
      <c r="AF810" s="36">
        <f t="shared" si="268"/>
        <v>189</v>
      </c>
      <c r="AG810" s="36" t="str">
        <f t="shared" si="268"/>
        <v>SFO</v>
      </c>
      <c r="AI810">
        <v>796</v>
      </c>
      <c r="AJ810" s="77" t="str">
        <f t="shared" si="259"/>
        <v>VUELOS AL NORTE</v>
      </c>
      <c r="AK810" s="77">
        <f t="shared" si="259"/>
        <v>242</v>
      </c>
      <c r="AL810" s="78">
        <v>0.23819444444444446</v>
      </c>
      <c r="AM810" s="79">
        <v>0.25555555555555559</v>
      </c>
      <c r="AN810" s="80">
        <v>1.7361111111111133E-2</v>
      </c>
      <c r="AO810" s="79">
        <v>0.29375000000000001</v>
      </c>
      <c r="AP810" s="80">
        <v>3.819444444444442E-2</v>
      </c>
      <c r="AQ810" s="81">
        <v>41800</v>
      </c>
      <c r="AR810" s="77" t="str">
        <f t="shared" si="269"/>
        <v>Internacional</v>
      </c>
      <c r="AS810" s="77">
        <f t="shared" si="269"/>
        <v>1.4861111111111117E-2</v>
      </c>
      <c r="AT810" s="77">
        <f t="shared" si="269"/>
        <v>2.2152777777777764E-2</v>
      </c>
      <c r="AU810" s="77">
        <f t="shared" si="269"/>
        <v>3.7013888888888881E-2</v>
      </c>
      <c r="AV810" s="77" t="str">
        <f t="shared" si="269"/>
        <v>B737-800</v>
      </c>
      <c r="AW810" s="77">
        <f t="shared" si="269"/>
        <v>189</v>
      </c>
      <c r="AX810" s="77" t="str">
        <f t="shared" si="269"/>
        <v>LAX</v>
      </c>
    </row>
    <row r="811" spans="1:50" x14ac:dyDescent="0.25">
      <c r="A811">
        <v>797</v>
      </c>
      <c r="B811" s="36" t="str">
        <f t="shared" si="266"/>
        <v>UNIDOS VOLAMOS</v>
      </c>
      <c r="C811" s="151">
        <v>4394</v>
      </c>
      <c r="D811" s="152">
        <v>0.82986111111111116</v>
      </c>
      <c r="E811" s="152">
        <v>0.83888888888888891</v>
      </c>
      <c r="F811" s="153">
        <v>9.0277777777777457E-3</v>
      </c>
      <c r="G811" s="152">
        <v>0.85277777777777775</v>
      </c>
      <c r="H811" s="153">
        <v>1.388888888888884E-2</v>
      </c>
      <c r="I811" s="67">
        <v>41721</v>
      </c>
      <c r="J811" s="174" t="s">
        <v>22</v>
      </c>
      <c r="K811" s="135">
        <v>8.8293650793650636E-3</v>
      </c>
      <c r="L811" s="135">
        <v>1.1111111111111127E-2</v>
      </c>
      <c r="M811" s="175">
        <v>1.9940476190476189E-2</v>
      </c>
      <c r="N811" s="90" t="s">
        <v>20</v>
      </c>
      <c r="O811" s="91">
        <v>50</v>
      </c>
      <c r="P811" s="92" t="s">
        <v>54</v>
      </c>
      <c r="R811">
        <v>797</v>
      </c>
      <c r="S811" s="36" t="str">
        <f t="shared" ref="S811:T838" si="270">S810</f>
        <v>MEXICO AEREO</v>
      </c>
      <c r="T811" s="36">
        <f t="shared" si="270"/>
        <v>120</v>
      </c>
      <c r="U811" s="73">
        <v>0.45277777777777778</v>
      </c>
      <c r="V811" s="74">
        <v>0.45833333333333331</v>
      </c>
      <c r="W811" s="75">
        <v>5.5555555555555358E-3</v>
      </c>
      <c r="X811" s="74">
        <v>0.46388888888888885</v>
      </c>
      <c r="Y811" s="75">
        <v>5.5555555555555358E-3</v>
      </c>
      <c r="Z811" s="76">
        <v>41742</v>
      </c>
      <c r="AA811" s="36" t="str">
        <f t="shared" si="268"/>
        <v>Nacional</v>
      </c>
      <c r="AB811" s="36">
        <f t="shared" si="268"/>
        <v>7.133838383838376E-3</v>
      </c>
      <c r="AC811" s="36">
        <f t="shared" si="268"/>
        <v>7.1654040404040475E-3</v>
      </c>
      <c r="AD811" s="36">
        <f t="shared" si="268"/>
        <v>1.4299242424242423E-2</v>
      </c>
      <c r="AE811" s="36" t="str">
        <f t="shared" si="268"/>
        <v>B737-800</v>
      </c>
      <c r="AF811" s="36">
        <f t="shared" si="268"/>
        <v>189</v>
      </c>
      <c r="AG811" s="36" t="str">
        <f t="shared" si="268"/>
        <v>SFO</v>
      </c>
      <c r="AI811">
        <v>797</v>
      </c>
      <c r="AJ811" s="63" t="s">
        <v>51</v>
      </c>
      <c r="AK811" s="77">
        <f t="shared" ref="AK811:AK829" si="271">AK810</f>
        <v>242</v>
      </c>
      <c r="AL811" s="78">
        <v>0.89583333333333337</v>
      </c>
      <c r="AM811" s="79">
        <v>0.90486111111111101</v>
      </c>
      <c r="AN811" s="80">
        <v>9.0277777777776347E-3</v>
      </c>
      <c r="AO811" s="79">
        <v>0.91527777777777775</v>
      </c>
      <c r="AP811" s="80">
        <v>1.0416666666666741E-2</v>
      </c>
      <c r="AQ811" s="81">
        <v>41800</v>
      </c>
      <c r="AR811" s="77" t="str">
        <f t="shared" si="269"/>
        <v>Internacional</v>
      </c>
      <c r="AS811" s="77">
        <f t="shared" si="269"/>
        <v>1.4861111111111117E-2</v>
      </c>
      <c r="AT811" s="77">
        <f t="shared" si="269"/>
        <v>2.2152777777777764E-2</v>
      </c>
      <c r="AU811" s="77">
        <f t="shared" si="269"/>
        <v>3.7013888888888881E-2</v>
      </c>
      <c r="AV811" s="77" t="str">
        <f t="shared" si="269"/>
        <v>B737-800</v>
      </c>
      <c r="AW811" s="77">
        <f t="shared" si="269"/>
        <v>189</v>
      </c>
      <c r="AX811" s="77" t="str">
        <f t="shared" si="269"/>
        <v>LAX</v>
      </c>
    </row>
    <row r="812" spans="1:50" x14ac:dyDescent="0.25">
      <c r="A812">
        <v>798</v>
      </c>
      <c r="B812" s="36" t="str">
        <f t="shared" si="266"/>
        <v>UNIDOS VOLAMOS</v>
      </c>
      <c r="C812" s="36">
        <f t="shared" si="266"/>
        <v>4394</v>
      </c>
      <c r="D812" s="118">
        <v>0.89236111111111116</v>
      </c>
      <c r="E812" s="118">
        <v>0.90069444444444446</v>
      </c>
      <c r="F812" s="119">
        <v>8.3333333333333037E-3</v>
      </c>
      <c r="G812" s="118">
        <v>0.90625</v>
      </c>
      <c r="H812" s="119">
        <v>5.5555555555555358E-3</v>
      </c>
      <c r="I812" s="81">
        <v>41724</v>
      </c>
      <c r="J812" s="36" t="str">
        <f t="shared" ref="J812:P824" si="272">J811</f>
        <v>Internacional</v>
      </c>
      <c r="K812" s="36">
        <f t="shared" si="272"/>
        <v>8.8293650793650636E-3</v>
      </c>
      <c r="L812" s="36">
        <f t="shared" si="272"/>
        <v>1.1111111111111127E-2</v>
      </c>
      <c r="M812" s="36">
        <f t="shared" si="272"/>
        <v>1.9940476190476189E-2</v>
      </c>
      <c r="N812" s="36" t="str">
        <f t="shared" si="272"/>
        <v>ER4</v>
      </c>
      <c r="O812" s="36">
        <f t="shared" si="272"/>
        <v>50</v>
      </c>
      <c r="P812" s="36" t="str">
        <f t="shared" si="272"/>
        <v>IAH</v>
      </c>
      <c r="R812">
        <v>798</v>
      </c>
      <c r="S812" s="36" t="str">
        <f t="shared" si="270"/>
        <v>MEXICO AEREO</v>
      </c>
      <c r="T812" s="36">
        <f t="shared" si="270"/>
        <v>120</v>
      </c>
      <c r="U812" s="73">
        <v>0.4201388888888889</v>
      </c>
      <c r="V812" s="74">
        <v>0.42499999999999999</v>
      </c>
      <c r="W812" s="75">
        <v>4.8611111111110938E-3</v>
      </c>
      <c r="X812" s="74">
        <v>0.43055555555555558</v>
      </c>
      <c r="Y812" s="75">
        <v>5.5555555555555913E-3</v>
      </c>
      <c r="Z812" s="76">
        <v>41743</v>
      </c>
      <c r="AA812" s="36" t="str">
        <f t="shared" si="268"/>
        <v>Nacional</v>
      </c>
      <c r="AB812" s="36">
        <f t="shared" si="268"/>
        <v>7.133838383838376E-3</v>
      </c>
      <c r="AC812" s="36">
        <f t="shared" si="268"/>
        <v>7.1654040404040475E-3</v>
      </c>
      <c r="AD812" s="36">
        <f t="shared" si="268"/>
        <v>1.4299242424242423E-2</v>
      </c>
      <c r="AE812" s="36" t="str">
        <f t="shared" si="268"/>
        <v>B737-800</v>
      </c>
      <c r="AF812" s="36">
        <f t="shared" si="268"/>
        <v>189</v>
      </c>
      <c r="AG812" s="36" t="str">
        <f t="shared" si="268"/>
        <v>SFO</v>
      </c>
      <c r="AI812">
        <v>798</v>
      </c>
      <c r="AJ812" s="77" t="str">
        <f t="shared" ref="AJ812:AK843" si="273">AJ811</f>
        <v>VUELOS AL NORTE</v>
      </c>
      <c r="AK812" s="77">
        <f t="shared" si="271"/>
        <v>242</v>
      </c>
      <c r="AL812" s="78">
        <v>0.22430555555555556</v>
      </c>
      <c r="AM812" s="79">
        <v>0.24583333333333335</v>
      </c>
      <c r="AN812" s="80">
        <v>2.1527777777777785E-2</v>
      </c>
      <c r="AO812" s="79">
        <v>0.26666666666666666</v>
      </c>
      <c r="AP812" s="80">
        <v>2.0833333333333315E-2</v>
      </c>
      <c r="AQ812" s="81">
        <v>41801</v>
      </c>
      <c r="AR812" s="77" t="str">
        <f t="shared" si="269"/>
        <v>Internacional</v>
      </c>
      <c r="AS812" s="77">
        <f t="shared" si="269"/>
        <v>1.4861111111111117E-2</v>
      </c>
      <c r="AT812" s="77">
        <f t="shared" si="269"/>
        <v>2.2152777777777764E-2</v>
      </c>
      <c r="AU812" s="77">
        <f t="shared" si="269"/>
        <v>3.7013888888888881E-2</v>
      </c>
      <c r="AV812" s="77" t="str">
        <f t="shared" si="269"/>
        <v>B737-800</v>
      </c>
      <c r="AW812" s="77">
        <f t="shared" si="269"/>
        <v>189</v>
      </c>
      <c r="AX812" s="77" t="str">
        <f t="shared" si="269"/>
        <v>LAX</v>
      </c>
    </row>
    <row r="813" spans="1:50" x14ac:dyDescent="0.25">
      <c r="A813">
        <v>799</v>
      </c>
      <c r="B813" s="36" t="str">
        <f t="shared" si="266"/>
        <v>UNIDOS VOLAMOS</v>
      </c>
      <c r="C813" s="36">
        <f t="shared" si="266"/>
        <v>4394</v>
      </c>
      <c r="D813" s="118">
        <v>0.89583333333333337</v>
      </c>
      <c r="E813" s="118">
        <v>0.90555555555555556</v>
      </c>
      <c r="F813" s="119">
        <v>9.7222222222221877E-3</v>
      </c>
      <c r="G813" s="118">
        <v>0.92152777777777783</v>
      </c>
      <c r="H813" s="119">
        <v>1.5972222222222276E-2</v>
      </c>
      <c r="I813" s="81">
        <v>41713</v>
      </c>
      <c r="J813" s="36" t="str">
        <f t="shared" si="272"/>
        <v>Internacional</v>
      </c>
      <c r="K813" s="36">
        <f t="shared" si="272"/>
        <v>8.8293650793650636E-3</v>
      </c>
      <c r="L813" s="36">
        <f t="shared" si="272"/>
        <v>1.1111111111111127E-2</v>
      </c>
      <c r="M813" s="36">
        <f t="shared" si="272"/>
        <v>1.9940476190476189E-2</v>
      </c>
      <c r="N813" s="36" t="str">
        <f t="shared" si="272"/>
        <v>ER4</v>
      </c>
      <c r="O813" s="36">
        <f t="shared" si="272"/>
        <v>50</v>
      </c>
      <c r="P813" s="36" t="str">
        <f t="shared" si="272"/>
        <v>IAH</v>
      </c>
      <c r="R813">
        <v>799</v>
      </c>
      <c r="S813" s="36" t="str">
        <f t="shared" si="270"/>
        <v>MEXICO AEREO</v>
      </c>
      <c r="T813" s="36">
        <f t="shared" si="270"/>
        <v>120</v>
      </c>
      <c r="U813" s="73">
        <v>0.42638888888888887</v>
      </c>
      <c r="V813" s="74">
        <v>0.43124999999999997</v>
      </c>
      <c r="W813" s="75">
        <v>4.8611111111110938E-3</v>
      </c>
      <c r="X813" s="74">
        <v>0.44097222222222227</v>
      </c>
      <c r="Y813" s="75">
        <v>9.7222222222222987E-3</v>
      </c>
      <c r="Z813" s="76">
        <v>41745</v>
      </c>
      <c r="AA813" s="36" t="str">
        <f t="shared" si="268"/>
        <v>Nacional</v>
      </c>
      <c r="AB813" s="36">
        <f t="shared" si="268"/>
        <v>7.133838383838376E-3</v>
      </c>
      <c r="AC813" s="36">
        <f t="shared" si="268"/>
        <v>7.1654040404040475E-3</v>
      </c>
      <c r="AD813" s="36">
        <f t="shared" si="268"/>
        <v>1.4299242424242423E-2</v>
      </c>
      <c r="AE813" s="36" t="str">
        <f t="shared" si="268"/>
        <v>B737-800</v>
      </c>
      <c r="AF813" s="36">
        <f t="shared" si="268"/>
        <v>189</v>
      </c>
      <c r="AG813" s="36" t="str">
        <f t="shared" si="268"/>
        <v>SFO</v>
      </c>
      <c r="AI813">
        <v>799</v>
      </c>
      <c r="AJ813" s="77" t="str">
        <f t="shared" si="273"/>
        <v>VUELOS AL NORTE</v>
      </c>
      <c r="AK813" s="77">
        <f t="shared" si="271"/>
        <v>242</v>
      </c>
      <c r="AL813" s="78">
        <v>0.52986111111111112</v>
      </c>
      <c r="AM813" s="79">
        <v>0.53680555555555554</v>
      </c>
      <c r="AN813" s="80">
        <v>6.9444444444444198E-3</v>
      </c>
      <c r="AO813" s="79">
        <v>0.5444444444444444</v>
      </c>
      <c r="AP813" s="80">
        <v>7.6388888888888618E-3</v>
      </c>
      <c r="AQ813" s="81">
        <v>41803</v>
      </c>
      <c r="AR813" s="77" t="str">
        <f t="shared" si="269"/>
        <v>Internacional</v>
      </c>
      <c r="AS813" s="77">
        <f t="shared" si="269"/>
        <v>1.4861111111111117E-2</v>
      </c>
      <c r="AT813" s="77">
        <f t="shared" si="269"/>
        <v>2.2152777777777764E-2</v>
      </c>
      <c r="AU813" s="77">
        <f t="shared" si="269"/>
        <v>3.7013888888888881E-2</v>
      </c>
      <c r="AV813" s="77" t="str">
        <f t="shared" si="269"/>
        <v>B737-800</v>
      </c>
      <c r="AW813" s="77">
        <f t="shared" si="269"/>
        <v>189</v>
      </c>
      <c r="AX813" s="77" t="str">
        <f t="shared" si="269"/>
        <v>LAX</v>
      </c>
    </row>
    <row r="814" spans="1:50" x14ac:dyDescent="0.25">
      <c r="A814">
        <v>800</v>
      </c>
      <c r="B814" s="36" t="str">
        <f t="shared" si="266"/>
        <v>UNIDOS VOLAMOS</v>
      </c>
      <c r="C814" s="36">
        <f t="shared" si="266"/>
        <v>4394</v>
      </c>
      <c r="D814" s="118">
        <v>0.87708333333333333</v>
      </c>
      <c r="E814" s="118">
        <v>0.8881944444444444</v>
      </c>
      <c r="F814" s="119">
        <v>1.1111111111111072E-2</v>
      </c>
      <c r="G814" s="118">
        <v>0.89236111111111116</v>
      </c>
      <c r="H814" s="119">
        <v>4.1666666666667629E-3</v>
      </c>
      <c r="I814" s="81">
        <v>41715</v>
      </c>
      <c r="J814" s="36" t="str">
        <f t="shared" si="272"/>
        <v>Internacional</v>
      </c>
      <c r="K814" s="36">
        <f t="shared" si="272"/>
        <v>8.8293650793650636E-3</v>
      </c>
      <c r="L814" s="36">
        <f t="shared" si="272"/>
        <v>1.1111111111111127E-2</v>
      </c>
      <c r="M814" s="36">
        <f t="shared" si="272"/>
        <v>1.9940476190476189E-2</v>
      </c>
      <c r="N814" s="36" t="str">
        <f t="shared" si="272"/>
        <v>ER4</v>
      </c>
      <c r="O814" s="36">
        <f t="shared" si="272"/>
        <v>50</v>
      </c>
      <c r="P814" s="36" t="str">
        <f t="shared" si="272"/>
        <v>IAH</v>
      </c>
      <c r="R814">
        <v>800</v>
      </c>
      <c r="S814" s="36" t="str">
        <f t="shared" si="270"/>
        <v>MEXICO AEREO</v>
      </c>
      <c r="T814" s="36">
        <f t="shared" si="270"/>
        <v>120</v>
      </c>
      <c r="U814" s="73">
        <v>0.42430555555555555</v>
      </c>
      <c r="V814" s="74">
        <v>0.43263888888888885</v>
      </c>
      <c r="W814" s="75">
        <v>8.3333333333333037E-3</v>
      </c>
      <c r="X814" s="74">
        <v>0.44236111111111115</v>
      </c>
      <c r="Y814" s="75">
        <v>9.7222222222222987E-3</v>
      </c>
      <c r="Z814" s="76">
        <v>41746</v>
      </c>
      <c r="AA814" s="36" t="str">
        <f t="shared" si="268"/>
        <v>Nacional</v>
      </c>
      <c r="AB814" s="36">
        <f t="shared" si="268"/>
        <v>7.133838383838376E-3</v>
      </c>
      <c r="AC814" s="36">
        <f t="shared" si="268"/>
        <v>7.1654040404040475E-3</v>
      </c>
      <c r="AD814" s="36">
        <f t="shared" si="268"/>
        <v>1.4299242424242423E-2</v>
      </c>
      <c r="AE814" s="36" t="str">
        <f t="shared" si="268"/>
        <v>B737-800</v>
      </c>
      <c r="AF814" s="36">
        <f t="shared" si="268"/>
        <v>189</v>
      </c>
      <c r="AG814" s="36" t="str">
        <f t="shared" si="268"/>
        <v>SFO</v>
      </c>
      <c r="AI814">
        <v>800</v>
      </c>
      <c r="AJ814" s="77" t="str">
        <f t="shared" si="273"/>
        <v>VUELOS AL NORTE</v>
      </c>
      <c r="AK814" s="77">
        <f t="shared" si="271"/>
        <v>242</v>
      </c>
      <c r="AL814" s="78">
        <v>0.89583333333333337</v>
      </c>
      <c r="AM814" s="79">
        <v>0.90555555555555556</v>
      </c>
      <c r="AN814" s="80">
        <v>9.7222222222221877E-3</v>
      </c>
      <c r="AO814" s="79">
        <v>0.92152777777777783</v>
      </c>
      <c r="AP814" s="80">
        <v>1.5972222222222276E-2</v>
      </c>
      <c r="AQ814" s="81">
        <v>41804</v>
      </c>
      <c r="AR814" s="77" t="str">
        <f t="shared" si="269"/>
        <v>Internacional</v>
      </c>
      <c r="AS814" s="77">
        <f t="shared" si="269"/>
        <v>1.4861111111111117E-2</v>
      </c>
      <c r="AT814" s="77">
        <f t="shared" si="269"/>
        <v>2.2152777777777764E-2</v>
      </c>
      <c r="AU814" s="77">
        <f t="shared" si="269"/>
        <v>3.7013888888888881E-2</v>
      </c>
      <c r="AV814" s="77" t="str">
        <f t="shared" si="269"/>
        <v>B737-800</v>
      </c>
      <c r="AW814" s="77">
        <f t="shared" si="269"/>
        <v>189</v>
      </c>
      <c r="AX814" s="77" t="str">
        <f t="shared" si="269"/>
        <v>LAX</v>
      </c>
    </row>
    <row r="815" spans="1:50" x14ac:dyDescent="0.25">
      <c r="A815">
        <v>801</v>
      </c>
      <c r="B815" s="36" t="str">
        <f t="shared" si="266"/>
        <v>UNIDOS VOLAMOS</v>
      </c>
      <c r="C815" s="36">
        <f t="shared" si="266"/>
        <v>4394</v>
      </c>
      <c r="D815" s="118">
        <v>0.88194444444444453</v>
      </c>
      <c r="E815" s="118">
        <v>0.8930555555555556</v>
      </c>
      <c r="F815" s="119">
        <v>1.1111111111111072E-2</v>
      </c>
      <c r="G815" s="118">
        <v>0.90138888888888891</v>
      </c>
      <c r="H815" s="119">
        <v>8.3333333333333037E-3</v>
      </c>
      <c r="I815" s="81">
        <v>41716</v>
      </c>
      <c r="J815" s="36" t="str">
        <f t="shared" si="272"/>
        <v>Internacional</v>
      </c>
      <c r="K815" s="36">
        <f t="shared" si="272"/>
        <v>8.8293650793650636E-3</v>
      </c>
      <c r="L815" s="36">
        <f t="shared" si="272"/>
        <v>1.1111111111111127E-2</v>
      </c>
      <c r="M815" s="36">
        <f t="shared" si="272"/>
        <v>1.9940476190476189E-2</v>
      </c>
      <c r="N815" s="36" t="str">
        <f t="shared" si="272"/>
        <v>ER4</v>
      </c>
      <c r="O815" s="36">
        <f t="shared" si="272"/>
        <v>50</v>
      </c>
      <c r="P815" s="36" t="str">
        <f t="shared" si="272"/>
        <v>IAH</v>
      </c>
      <c r="R815">
        <v>801</v>
      </c>
      <c r="S815" s="36" t="str">
        <f t="shared" si="270"/>
        <v>MEXICO AEREO</v>
      </c>
      <c r="T815" s="36">
        <f t="shared" si="270"/>
        <v>120</v>
      </c>
      <c r="U815" s="73">
        <v>0.40972222222222227</v>
      </c>
      <c r="V815" s="74">
        <v>0.41736111111111113</v>
      </c>
      <c r="W815" s="75">
        <v>7.6388888888888618E-3</v>
      </c>
      <c r="X815" s="74">
        <v>0.42569444444444443</v>
      </c>
      <c r="Y815" s="75">
        <v>8.3333333333333037E-3</v>
      </c>
      <c r="Z815" s="76">
        <v>41747</v>
      </c>
      <c r="AA815" s="36" t="str">
        <f t="shared" si="268"/>
        <v>Nacional</v>
      </c>
      <c r="AB815" s="36">
        <f t="shared" si="268"/>
        <v>7.133838383838376E-3</v>
      </c>
      <c r="AC815" s="36">
        <f t="shared" si="268"/>
        <v>7.1654040404040475E-3</v>
      </c>
      <c r="AD815" s="36">
        <f t="shared" si="268"/>
        <v>1.4299242424242423E-2</v>
      </c>
      <c r="AE815" s="36" t="str">
        <f t="shared" si="268"/>
        <v>B737-800</v>
      </c>
      <c r="AF815" s="36">
        <f t="shared" si="268"/>
        <v>189</v>
      </c>
      <c r="AG815" s="36" t="str">
        <f t="shared" si="268"/>
        <v>SFO</v>
      </c>
      <c r="AI815">
        <v>801</v>
      </c>
      <c r="AJ815" s="77" t="str">
        <f t="shared" si="273"/>
        <v>VUELOS AL NORTE</v>
      </c>
      <c r="AK815" s="77">
        <f t="shared" si="271"/>
        <v>242</v>
      </c>
      <c r="AL815" s="78">
        <v>0.94305555555555554</v>
      </c>
      <c r="AM815" s="79">
        <v>0.95000000000000007</v>
      </c>
      <c r="AN815" s="80">
        <v>6.9444444444445308E-3</v>
      </c>
      <c r="AO815" s="79">
        <v>0.96111111111111114</v>
      </c>
      <c r="AP815" s="80">
        <v>1.1111111111111072E-2</v>
      </c>
      <c r="AQ815" s="81">
        <v>41805</v>
      </c>
      <c r="AR815" s="77" t="str">
        <f t="shared" si="269"/>
        <v>Internacional</v>
      </c>
      <c r="AS815" s="77">
        <f t="shared" si="269"/>
        <v>1.4861111111111117E-2</v>
      </c>
      <c r="AT815" s="77">
        <f t="shared" si="269"/>
        <v>2.2152777777777764E-2</v>
      </c>
      <c r="AU815" s="77">
        <f t="shared" si="269"/>
        <v>3.7013888888888881E-2</v>
      </c>
      <c r="AV815" s="77" t="str">
        <f t="shared" si="269"/>
        <v>B737-800</v>
      </c>
      <c r="AW815" s="77">
        <f t="shared" si="269"/>
        <v>189</v>
      </c>
      <c r="AX815" s="77" t="str">
        <f t="shared" si="269"/>
        <v>LAX</v>
      </c>
    </row>
    <row r="816" spans="1:50" x14ac:dyDescent="0.25">
      <c r="A816">
        <v>802</v>
      </c>
      <c r="B816" s="36" t="str">
        <f t="shared" si="266"/>
        <v>UNIDOS VOLAMOS</v>
      </c>
      <c r="C816" s="36">
        <f t="shared" si="266"/>
        <v>4394</v>
      </c>
      <c r="D816" s="118">
        <v>0.88194444444444453</v>
      </c>
      <c r="E816" s="118">
        <v>0.89513888888888893</v>
      </c>
      <c r="F816" s="119">
        <v>1.3194444444444398E-2</v>
      </c>
      <c r="G816" s="118">
        <v>0.90972222222222221</v>
      </c>
      <c r="H816" s="119">
        <v>1.4583333333333282E-2</v>
      </c>
      <c r="I816" s="81">
        <v>41717</v>
      </c>
      <c r="J816" s="36" t="str">
        <f t="shared" si="272"/>
        <v>Internacional</v>
      </c>
      <c r="K816" s="36">
        <f t="shared" si="272"/>
        <v>8.8293650793650636E-3</v>
      </c>
      <c r="L816" s="36">
        <f t="shared" si="272"/>
        <v>1.1111111111111127E-2</v>
      </c>
      <c r="M816" s="36">
        <f t="shared" si="272"/>
        <v>1.9940476190476189E-2</v>
      </c>
      <c r="N816" s="36" t="str">
        <f t="shared" si="272"/>
        <v>ER4</v>
      </c>
      <c r="O816" s="36">
        <f t="shared" si="272"/>
        <v>50</v>
      </c>
      <c r="P816" s="36" t="str">
        <f t="shared" si="272"/>
        <v>IAH</v>
      </c>
      <c r="R816">
        <v>802</v>
      </c>
      <c r="S816" s="36" t="str">
        <f t="shared" si="270"/>
        <v>MEXICO AEREO</v>
      </c>
      <c r="T816" s="36">
        <f t="shared" si="270"/>
        <v>120</v>
      </c>
      <c r="U816" s="73">
        <v>0.41666666666666669</v>
      </c>
      <c r="V816" s="74">
        <v>0.42569444444444443</v>
      </c>
      <c r="W816" s="75">
        <v>9.0277777777777457E-3</v>
      </c>
      <c r="X816" s="74">
        <v>0.43194444444444446</v>
      </c>
      <c r="Y816" s="75">
        <v>6.2500000000000333E-3</v>
      </c>
      <c r="Z816" s="76">
        <v>41748</v>
      </c>
      <c r="AA816" s="36" t="str">
        <f t="shared" si="268"/>
        <v>Nacional</v>
      </c>
      <c r="AB816" s="36">
        <f t="shared" si="268"/>
        <v>7.133838383838376E-3</v>
      </c>
      <c r="AC816" s="36">
        <f t="shared" si="268"/>
        <v>7.1654040404040475E-3</v>
      </c>
      <c r="AD816" s="36">
        <f t="shared" si="268"/>
        <v>1.4299242424242423E-2</v>
      </c>
      <c r="AE816" s="36" t="str">
        <f t="shared" si="268"/>
        <v>B737-800</v>
      </c>
      <c r="AF816" s="36">
        <f t="shared" si="268"/>
        <v>189</v>
      </c>
      <c r="AG816" s="36" t="str">
        <f t="shared" si="268"/>
        <v>SFO</v>
      </c>
      <c r="AI816">
        <v>802</v>
      </c>
      <c r="AJ816" s="77" t="str">
        <f t="shared" si="273"/>
        <v>VUELOS AL NORTE</v>
      </c>
      <c r="AK816" s="77">
        <f t="shared" si="271"/>
        <v>242</v>
      </c>
      <c r="AL816" s="78">
        <v>0.24236111111111111</v>
      </c>
      <c r="AM816" s="79">
        <v>0.25277777777777777</v>
      </c>
      <c r="AN816" s="80">
        <v>1.0416666666666657E-2</v>
      </c>
      <c r="AO816" s="79">
        <v>0.27499999999999997</v>
      </c>
      <c r="AP816" s="80">
        <v>2.2222222222222199E-2</v>
      </c>
      <c r="AQ816" s="81">
        <v>41806</v>
      </c>
      <c r="AR816" s="77" t="str">
        <f t="shared" si="269"/>
        <v>Internacional</v>
      </c>
      <c r="AS816" s="77">
        <f t="shared" si="269"/>
        <v>1.4861111111111117E-2</v>
      </c>
      <c r="AT816" s="77">
        <f t="shared" si="269"/>
        <v>2.2152777777777764E-2</v>
      </c>
      <c r="AU816" s="77">
        <f t="shared" si="269"/>
        <v>3.7013888888888881E-2</v>
      </c>
      <c r="AV816" s="77" t="str">
        <f t="shared" si="269"/>
        <v>B737-800</v>
      </c>
      <c r="AW816" s="77">
        <f t="shared" si="269"/>
        <v>189</v>
      </c>
      <c r="AX816" s="77" t="str">
        <f t="shared" si="269"/>
        <v>LAX</v>
      </c>
    </row>
    <row r="817" spans="1:50" x14ac:dyDescent="0.25">
      <c r="A817">
        <v>803</v>
      </c>
      <c r="B817" s="36" t="str">
        <f t="shared" si="266"/>
        <v>UNIDOS VOLAMOS</v>
      </c>
      <c r="C817" s="36">
        <f t="shared" si="266"/>
        <v>4394</v>
      </c>
      <c r="D817" s="118">
        <v>0.88888888888888884</v>
      </c>
      <c r="E817" s="118">
        <v>0.89513888888888893</v>
      </c>
      <c r="F817" s="119">
        <v>6.2500000000000888E-3</v>
      </c>
      <c r="G817" s="118">
        <v>0.90347222222222223</v>
      </c>
      <c r="H817" s="119">
        <v>8.3333333333333037E-3</v>
      </c>
      <c r="I817" s="81">
        <v>41719</v>
      </c>
      <c r="J817" s="36" t="str">
        <f t="shared" si="272"/>
        <v>Internacional</v>
      </c>
      <c r="K817" s="36">
        <f t="shared" si="272"/>
        <v>8.8293650793650636E-3</v>
      </c>
      <c r="L817" s="36">
        <f t="shared" si="272"/>
        <v>1.1111111111111127E-2</v>
      </c>
      <c r="M817" s="36">
        <f t="shared" si="272"/>
        <v>1.9940476190476189E-2</v>
      </c>
      <c r="N817" s="36" t="str">
        <f t="shared" si="272"/>
        <v>ER4</v>
      </c>
      <c r="O817" s="36">
        <f t="shared" si="272"/>
        <v>50</v>
      </c>
      <c r="P817" s="36" t="str">
        <f t="shared" si="272"/>
        <v>IAH</v>
      </c>
      <c r="R817">
        <v>803</v>
      </c>
      <c r="S817" s="36" t="str">
        <f t="shared" si="270"/>
        <v>MEXICO AEREO</v>
      </c>
      <c r="T817" s="36">
        <f t="shared" si="270"/>
        <v>120</v>
      </c>
      <c r="U817" s="73">
        <v>0.42222222222222222</v>
      </c>
      <c r="V817" s="74">
        <v>0.42499999999999999</v>
      </c>
      <c r="W817" s="75">
        <v>2.7777777777777679E-3</v>
      </c>
      <c r="X817" s="74">
        <v>0.43333333333333335</v>
      </c>
      <c r="Y817" s="75">
        <v>8.3333333333333592E-3</v>
      </c>
      <c r="Z817" s="76">
        <v>41749</v>
      </c>
      <c r="AA817" s="36" t="str">
        <f t="shared" si="268"/>
        <v>Nacional</v>
      </c>
      <c r="AB817" s="36">
        <f t="shared" si="268"/>
        <v>7.133838383838376E-3</v>
      </c>
      <c r="AC817" s="36">
        <f t="shared" si="268"/>
        <v>7.1654040404040475E-3</v>
      </c>
      <c r="AD817" s="36">
        <f t="shared" si="268"/>
        <v>1.4299242424242423E-2</v>
      </c>
      <c r="AE817" s="36" t="str">
        <f t="shared" si="268"/>
        <v>B737-800</v>
      </c>
      <c r="AF817" s="36">
        <f t="shared" si="268"/>
        <v>189</v>
      </c>
      <c r="AG817" s="36" t="str">
        <f t="shared" si="268"/>
        <v>SFO</v>
      </c>
      <c r="AI817">
        <v>803</v>
      </c>
      <c r="AJ817" s="77" t="str">
        <f t="shared" si="273"/>
        <v>VUELOS AL NORTE</v>
      </c>
      <c r="AK817" s="77">
        <f t="shared" si="271"/>
        <v>242</v>
      </c>
      <c r="AL817" s="78">
        <v>0.43055555555555558</v>
      </c>
      <c r="AM817" s="79">
        <v>0.43958333333333338</v>
      </c>
      <c r="AN817" s="80">
        <v>9.0277777777778012E-3</v>
      </c>
      <c r="AO817" s="79">
        <v>0.44930555555555557</v>
      </c>
      <c r="AP817" s="80">
        <v>9.7222222222221877E-3</v>
      </c>
      <c r="AQ817" s="81">
        <v>41807</v>
      </c>
      <c r="AR817" s="77" t="str">
        <f t="shared" si="269"/>
        <v>Internacional</v>
      </c>
      <c r="AS817" s="77">
        <f t="shared" si="269"/>
        <v>1.4861111111111117E-2</v>
      </c>
      <c r="AT817" s="77">
        <f t="shared" si="269"/>
        <v>2.2152777777777764E-2</v>
      </c>
      <c r="AU817" s="77">
        <f t="shared" si="269"/>
        <v>3.7013888888888881E-2</v>
      </c>
      <c r="AV817" s="77" t="str">
        <f t="shared" si="269"/>
        <v>B737-800</v>
      </c>
      <c r="AW817" s="77">
        <f t="shared" si="269"/>
        <v>189</v>
      </c>
      <c r="AX817" s="77" t="str">
        <f t="shared" si="269"/>
        <v>LAX</v>
      </c>
    </row>
    <row r="818" spans="1:50" x14ac:dyDescent="0.25">
      <c r="A818">
        <v>804</v>
      </c>
      <c r="B818" s="36" t="str">
        <f t="shared" si="266"/>
        <v>UNIDOS VOLAMOS</v>
      </c>
      <c r="C818" s="36">
        <f t="shared" si="266"/>
        <v>4394</v>
      </c>
      <c r="D818" s="118">
        <v>0.87708333333333333</v>
      </c>
      <c r="E818" s="118">
        <v>0.88402777777777775</v>
      </c>
      <c r="F818" s="119">
        <v>6.9444444444444198E-3</v>
      </c>
      <c r="G818" s="118">
        <v>0.90763888888888899</v>
      </c>
      <c r="H818" s="119">
        <v>2.3611111111111249E-2</v>
      </c>
      <c r="I818" s="81">
        <v>41719</v>
      </c>
      <c r="J818" s="36" t="str">
        <f t="shared" si="272"/>
        <v>Internacional</v>
      </c>
      <c r="K818" s="36">
        <f t="shared" si="272"/>
        <v>8.8293650793650636E-3</v>
      </c>
      <c r="L818" s="36">
        <f t="shared" si="272"/>
        <v>1.1111111111111127E-2</v>
      </c>
      <c r="M818" s="36">
        <f t="shared" si="272"/>
        <v>1.9940476190476189E-2</v>
      </c>
      <c r="N818" s="36" t="str">
        <f t="shared" si="272"/>
        <v>ER4</v>
      </c>
      <c r="O818" s="36">
        <f t="shared" si="272"/>
        <v>50</v>
      </c>
      <c r="P818" s="36" t="str">
        <f t="shared" si="272"/>
        <v>IAH</v>
      </c>
      <c r="R818">
        <v>804</v>
      </c>
      <c r="S818" s="36" t="str">
        <f t="shared" si="270"/>
        <v>MEXICO AEREO</v>
      </c>
      <c r="T818" s="36">
        <f t="shared" si="270"/>
        <v>120</v>
      </c>
      <c r="U818" s="73">
        <v>0.4236111111111111</v>
      </c>
      <c r="V818" s="74">
        <v>0.43194444444444446</v>
      </c>
      <c r="W818" s="75">
        <v>8.3333333333333592E-3</v>
      </c>
      <c r="X818" s="74">
        <v>0.4375</v>
      </c>
      <c r="Y818" s="75">
        <v>5.5555555555555358E-3</v>
      </c>
      <c r="Z818" s="76">
        <v>41750</v>
      </c>
      <c r="AA818" s="36" t="str">
        <f t="shared" si="268"/>
        <v>Nacional</v>
      </c>
      <c r="AB818" s="36">
        <f t="shared" si="268"/>
        <v>7.133838383838376E-3</v>
      </c>
      <c r="AC818" s="36">
        <f t="shared" si="268"/>
        <v>7.1654040404040475E-3</v>
      </c>
      <c r="AD818" s="36">
        <f t="shared" si="268"/>
        <v>1.4299242424242423E-2</v>
      </c>
      <c r="AE818" s="36" t="str">
        <f t="shared" si="268"/>
        <v>B737-800</v>
      </c>
      <c r="AF818" s="36">
        <f t="shared" si="268"/>
        <v>189</v>
      </c>
      <c r="AG818" s="36" t="str">
        <f t="shared" si="268"/>
        <v>SFO</v>
      </c>
      <c r="AI818">
        <v>804</v>
      </c>
      <c r="AJ818" s="77" t="str">
        <f t="shared" si="273"/>
        <v>VUELOS AL NORTE</v>
      </c>
      <c r="AK818" s="77">
        <f t="shared" si="271"/>
        <v>242</v>
      </c>
      <c r="AL818" s="78">
        <v>0.23055555555555554</v>
      </c>
      <c r="AM818" s="79">
        <v>0.24374999999999999</v>
      </c>
      <c r="AN818" s="80">
        <v>1.3194444444444453E-2</v>
      </c>
      <c r="AO818" s="79">
        <v>0.27499999999999997</v>
      </c>
      <c r="AP818" s="80">
        <v>3.1249999999999972E-2</v>
      </c>
      <c r="AQ818" s="81">
        <v>41809</v>
      </c>
      <c r="AR818" s="77" t="str">
        <f t="shared" si="269"/>
        <v>Internacional</v>
      </c>
      <c r="AS818" s="77">
        <f t="shared" si="269"/>
        <v>1.4861111111111117E-2</v>
      </c>
      <c r="AT818" s="77">
        <f t="shared" si="269"/>
        <v>2.2152777777777764E-2</v>
      </c>
      <c r="AU818" s="77">
        <f t="shared" si="269"/>
        <v>3.7013888888888881E-2</v>
      </c>
      <c r="AV818" s="77" t="str">
        <f t="shared" si="269"/>
        <v>B737-800</v>
      </c>
      <c r="AW818" s="77">
        <f t="shared" si="269"/>
        <v>189</v>
      </c>
      <c r="AX818" s="77" t="str">
        <f t="shared" si="269"/>
        <v>LAX</v>
      </c>
    </row>
    <row r="819" spans="1:50" x14ac:dyDescent="0.25">
      <c r="A819">
        <v>805</v>
      </c>
      <c r="B819" s="36" t="str">
        <f t="shared" si="266"/>
        <v>UNIDOS VOLAMOS</v>
      </c>
      <c r="C819" s="36">
        <f t="shared" si="266"/>
        <v>4394</v>
      </c>
      <c r="D819" s="118">
        <v>0.87777777777777777</v>
      </c>
      <c r="E819" s="118">
        <v>0.89097222222222217</v>
      </c>
      <c r="F819" s="119">
        <v>1.3194444444444398E-2</v>
      </c>
      <c r="G819" s="118">
        <v>0.8965277777777777</v>
      </c>
      <c r="H819" s="119">
        <v>5.5555555555555358E-3</v>
      </c>
      <c r="I819" s="81">
        <v>41721</v>
      </c>
      <c r="J819" s="36" t="str">
        <f t="shared" si="272"/>
        <v>Internacional</v>
      </c>
      <c r="K819" s="36">
        <f t="shared" si="272"/>
        <v>8.8293650793650636E-3</v>
      </c>
      <c r="L819" s="36">
        <f t="shared" si="272"/>
        <v>1.1111111111111127E-2</v>
      </c>
      <c r="M819" s="36">
        <f t="shared" si="272"/>
        <v>1.9940476190476189E-2</v>
      </c>
      <c r="N819" s="36" t="str">
        <f t="shared" si="272"/>
        <v>ER4</v>
      </c>
      <c r="O819" s="36">
        <f t="shared" si="272"/>
        <v>50</v>
      </c>
      <c r="P819" s="36" t="str">
        <f t="shared" si="272"/>
        <v>IAH</v>
      </c>
      <c r="R819">
        <v>805</v>
      </c>
      <c r="S819" s="36" t="str">
        <f t="shared" si="270"/>
        <v>MEXICO AEREO</v>
      </c>
      <c r="T819" s="36">
        <f t="shared" si="270"/>
        <v>120</v>
      </c>
      <c r="U819" s="73">
        <v>0.4201388888888889</v>
      </c>
      <c r="V819" s="74">
        <v>0.42777777777777781</v>
      </c>
      <c r="W819" s="75">
        <v>7.6388888888889173E-3</v>
      </c>
      <c r="X819" s="74">
        <v>0.43611111111111112</v>
      </c>
      <c r="Y819" s="75">
        <v>8.3333333333333037E-3</v>
      </c>
      <c r="Z819" s="76">
        <v>41751</v>
      </c>
      <c r="AA819" s="36" t="str">
        <f t="shared" si="268"/>
        <v>Nacional</v>
      </c>
      <c r="AB819" s="36">
        <f t="shared" si="268"/>
        <v>7.133838383838376E-3</v>
      </c>
      <c r="AC819" s="36">
        <f t="shared" si="268"/>
        <v>7.1654040404040475E-3</v>
      </c>
      <c r="AD819" s="36">
        <f t="shared" si="268"/>
        <v>1.4299242424242423E-2</v>
      </c>
      <c r="AE819" s="36" t="str">
        <f t="shared" si="268"/>
        <v>B737-800</v>
      </c>
      <c r="AF819" s="36">
        <f t="shared" si="268"/>
        <v>189</v>
      </c>
      <c r="AG819" s="36" t="str">
        <f t="shared" si="268"/>
        <v>SFO</v>
      </c>
      <c r="AI819">
        <v>805</v>
      </c>
      <c r="AJ819" s="77" t="str">
        <f t="shared" si="273"/>
        <v>VUELOS AL NORTE</v>
      </c>
      <c r="AK819" s="77">
        <f t="shared" si="271"/>
        <v>242</v>
      </c>
      <c r="AL819" s="78">
        <v>0.23472222222222219</v>
      </c>
      <c r="AM819" s="79">
        <v>0.2590277777777778</v>
      </c>
      <c r="AN819" s="80">
        <v>2.4305555555555608E-2</v>
      </c>
      <c r="AO819" s="79">
        <v>0.2638888888888889</v>
      </c>
      <c r="AP819" s="80">
        <v>4.8611111111110938E-3</v>
      </c>
      <c r="AQ819" s="81">
        <v>41810</v>
      </c>
      <c r="AR819" s="77" t="str">
        <f t="shared" si="269"/>
        <v>Internacional</v>
      </c>
      <c r="AS819" s="77">
        <f t="shared" si="269"/>
        <v>1.4861111111111117E-2</v>
      </c>
      <c r="AT819" s="77">
        <f t="shared" si="269"/>
        <v>2.2152777777777764E-2</v>
      </c>
      <c r="AU819" s="77">
        <f t="shared" si="269"/>
        <v>3.7013888888888881E-2</v>
      </c>
      <c r="AV819" s="77" t="str">
        <f t="shared" si="269"/>
        <v>B737-800</v>
      </c>
      <c r="AW819" s="77">
        <f t="shared" si="269"/>
        <v>189</v>
      </c>
      <c r="AX819" s="77" t="str">
        <f t="shared" si="269"/>
        <v>LAX</v>
      </c>
    </row>
    <row r="820" spans="1:50" x14ac:dyDescent="0.25">
      <c r="A820">
        <v>806</v>
      </c>
      <c r="B820" s="36" t="str">
        <f t="shared" si="266"/>
        <v>UNIDOS VOLAMOS</v>
      </c>
      <c r="C820" s="36">
        <f t="shared" si="266"/>
        <v>4394</v>
      </c>
      <c r="D820" s="118">
        <v>0.87986111111111109</v>
      </c>
      <c r="E820" s="118">
        <v>0.88888888888888884</v>
      </c>
      <c r="F820" s="119">
        <v>9.0277777777777457E-3</v>
      </c>
      <c r="G820" s="118">
        <v>0.89236111111111116</v>
      </c>
      <c r="H820" s="119">
        <v>3.4722222222223209E-3</v>
      </c>
      <c r="I820" s="81">
        <v>41723</v>
      </c>
      <c r="J820" s="36" t="str">
        <f t="shared" si="272"/>
        <v>Internacional</v>
      </c>
      <c r="K820" s="36">
        <f t="shared" si="272"/>
        <v>8.8293650793650636E-3</v>
      </c>
      <c r="L820" s="36">
        <f t="shared" si="272"/>
        <v>1.1111111111111127E-2</v>
      </c>
      <c r="M820" s="36">
        <f t="shared" si="272"/>
        <v>1.9940476190476189E-2</v>
      </c>
      <c r="N820" s="36" t="str">
        <f t="shared" si="272"/>
        <v>ER4</v>
      </c>
      <c r="O820" s="36">
        <f t="shared" si="272"/>
        <v>50</v>
      </c>
      <c r="P820" s="36" t="str">
        <f t="shared" si="272"/>
        <v>IAH</v>
      </c>
      <c r="R820">
        <v>806</v>
      </c>
      <c r="S820" s="36" t="str">
        <f t="shared" si="270"/>
        <v>MEXICO AEREO</v>
      </c>
      <c r="T820" s="36">
        <f t="shared" si="270"/>
        <v>120</v>
      </c>
      <c r="U820" s="73">
        <v>0.41875000000000001</v>
      </c>
      <c r="V820" s="74">
        <v>0.42708333333333331</v>
      </c>
      <c r="W820" s="75">
        <v>8.3333333333333037E-3</v>
      </c>
      <c r="X820" s="74">
        <v>0.43194444444444446</v>
      </c>
      <c r="Y820" s="75">
        <v>4.8611111111111494E-3</v>
      </c>
      <c r="Z820" s="76">
        <v>41753</v>
      </c>
      <c r="AA820" s="36" t="str">
        <f t="shared" si="268"/>
        <v>Nacional</v>
      </c>
      <c r="AB820" s="36">
        <f t="shared" si="268"/>
        <v>7.133838383838376E-3</v>
      </c>
      <c r="AC820" s="36">
        <f t="shared" si="268"/>
        <v>7.1654040404040475E-3</v>
      </c>
      <c r="AD820" s="36">
        <f t="shared" si="268"/>
        <v>1.4299242424242423E-2</v>
      </c>
      <c r="AE820" s="36" t="str">
        <f t="shared" si="268"/>
        <v>B737-800</v>
      </c>
      <c r="AF820" s="36">
        <f t="shared" si="268"/>
        <v>189</v>
      </c>
      <c r="AG820" s="36" t="str">
        <f t="shared" si="268"/>
        <v>SFO</v>
      </c>
      <c r="AI820">
        <v>806</v>
      </c>
      <c r="AJ820" s="77" t="str">
        <f t="shared" si="273"/>
        <v>VUELOS AL NORTE</v>
      </c>
      <c r="AK820" s="77">
        <f t="shared" si="271"/>
        <v>242</v>
      </c>
      <c r="AL820" s="78">
        <v>0.25416666666666665</v>
      </c>
      <c r="AM820" s="79">
        <v>0.26527777777777778</v>
      </c>
      <c r="AN820" s="80">
        <v>1.1111111111111127E-2</v>
      </c>
      <c r="AO820" s="79">
        <v>0.28333333333333333</v>
      </c>
      <c r="AP820" s="80">
        <v>1.8055555555555547E-2</v>
      </c>
      <c r="AQ820" s="81">
        <v>41811</v>
      </c>
      <c r="AR820" s="77" t="str">
        <f t="shared" si="269"/>
        <v>Internacional</v>
      </c>
      <c r="AS820" s="77">
        <f t="shared" si="269"/>
        <v>1.4861111111111117E-2</v>
      </c>
      <c r="AT820" s="77">
        <f t="shared" si="269"/>
        <v>2.2152777777777764E-2</v>
      </c>
      <c r="AU820" s="77">
        <f t="shared" si="269"/>
        <v>3.7013888888888881E-2</v>
      </c>
      <c r="AV820" s="77" t="str">
        <f t="shared" si="269"/>
        <v>B737-800</v>
      </c>
      <c r="AW820" s="77">
        <f t="shared" si="269"/>
        <v>189</v>
      </c>
      <c r="AX820" s="77" t="str">
        <f t="shared" si="269"/>
        <v>LAX</v>
      </c>
    </row>
    <row r="821" spans="1:50" x14ac:dyDescent="0.25">
      <c r="A821">
        <v>807</v>
      </c>
      <c r="B821" s="36" t="str">
        <f t="shared" si="266"/>
        <v>UNIDOS VOLAMOS</v>
      </c>
      <c r="C821" s="36">
        <f t="shared" si="266"/>
        <v>4394</v>
      </c>
      <c r="D821" s="118">
        <v>0.88958333333333339</v>
      </c>
      <c r="E821" s="118">
        <v>0.90277777777777779</v>
      </c>
      <c r="F821" s="119">
        <v>1.3194444444444398E-2</v>
      </c>
      <c r="G821" s="118">
        <v>0.92361111111111116</v>
      </c>
      <c r="H821" s="119">
        <v>2.083333333333337E-2</v>
      </c>
      <c r="I821" s="81">
        <v>41724</v>
      </c>
      <c r="J821" s="36" t="str">
        <f t="shared" si="272"/>
        <v>Internacional</v>
      </c>
      <c r="K821" s="36">
        <f t="shared" si="272"/>
        <v>8.8293650793650636E-3</v>
      </c>
      <c r="L821" s="36">
        <f t="shared" si="272"/>
        <v>1.1111111111111127E-2</v>
      </c>
      <c r="M821" s="36">
        <f t="shared" si="272"/>
        <v>1.9940476190476189E-2</v>
      </c>
      <c r="N821" s="36" t="str">
        <f t="shared" si="272"/>
        <v>ER4</v>
      </c>
      <c r="O821" s="36">
        <f t="shared" si="272"/>
        <v>50</v>
      </c>
      <c r="P821" s="36" t="str">
        <f t="shared" si="272"/>
        <v>IAH</v>
      </c>
      <c r="R821">
        <v>807</v>
      </c>
      <c r="S821" s="36" t="str">
        <f t="shared" si="270"/>
        <v>MEXICO AEREO</v>
      </c>
      <c r="T821" s="36">
        <f t="shared" si="270"/>
        <v>120</v>
      </c>
      <c r="U821" s="73">
        <v>0.4284722222222222</v>
      </c>
      <c r="V821" s="74">
        <v>0.43194444444444446</v>
      </c>
      <c r="W821" s="75">
        <v>3.4722222222222654E-3</v>
      </c>
      <c r="X821" s="74">
        <v>0.44166666666666665</v>
      </c>
      <c r="Y821" s="75">
        <v>9.7222222222221877E-3</v>
      </c>
      <c r="Z821" s="76">
        <v>41756</v>
      </c>
      <c r="AA821" s="36" t="str">
        <f t="shared" si="268"/>
        <v>Nacional</v>
      </c>
      <c r="AB821" s="36">
        <f t="shared" si="268"/>
        <v>7.133838383838376E-3</v>
      </c>
      <c r="AC821" s="36">
        <f t="shared" si="268"/>
        <v>7.1654040404040475E-3</v>
      </c>
      <c r="AD821" s="36">
        <f t="shared" si="268"/>
        <v>1.4299242424242423E-2</v>
      </c>
      <c r="AE821" s="36" t="str">
        <f t="shared" si="268"/>
        <v>B737-800</v>
      </c>
      <c r="AF821" s="36">
        <f t="shared" si="268"/>
        <v>189</v>
      </c>
      <c r="AG821" s="36" t="str">
        <f t="shared" si="268"/>
        <v>SFO</v>
      </c>
      <c r="AI821">
        <v>807</v>
      </c>
      <c r="AJ821" s="77" t="str">
        <f t="shared" si="273"/>
        <v>VUELOS AL NORTE</v>
      </c>
      <c r="AK821" s="77">
        <f t="shared" si="271"/>
        <v>242</v>
      </c>
      <c r="AL821" s="78">
        <v>0.24305555555555555</v>
      </c>
      <c r="AM821" s="79">
        <v>0.26944444444444443</v>
      </c>
      <c r="AN821" s="80">
        <v>2.6388888888888878E-2</v>
      </c>
      <c r="AO821" s="79">
        <v>0.29583333333333334</v>
      </c>
      <c r="AP821" s="80">
        <v>2.6388888888888906E-2</v>
      </c>
      <c r="AQ821" s="81">
        <v>41812</v>
      </c>
      <c r="AR821" s="77" t="str">
        <f t="shared" si="269"/>
        <v>Internacional</v>
      </c>
      <c r="AS821" s="77">
        <f t="shared" si="269"/>
        <v>1.4861111111111117E-2</v>
      </c>
      <c r="AT821" s="77">
        <f t="shared" si="269"/>
        <v>2.2152777777777764E-2</v>
      </c>
      <c r="AU821" s="77">
        <f t="shared" si="269"/>
        <v>3.7013888888888881E-2</v>
      </c>
      <c r="AV821" s="77" t="str">
        <f t="shared" si="269"/>
        <v>B737-800</v>
      </c>
      <c r="AW821" s="77">
        <f t="shared" si="269"/>
        <v>189</v>
      </c>
      <c r="AX821" s="77" t="str">
        <f t="shared" si="269"/>
        <v>LAX</v>
      </c>
    </row>
    <row r="822" spans="1:50" ht="15.75" thickBot="1" x14ac:dyDescent="0.3">
      <c r="A822">
        <v>808</v>
      </c>
      <c r="B822" s="36" t="str">
        <f t="shared" si="266"/>
        <v>UNIDOS VOLAMOS</v>
      </c>
      <c r="C822" s="36">
        <f t="shared" si="266"/>
        <v>4394</v>
      </c>
      <c r="D822" s="118">
        <v>0.89374999999999993</v>
      </c>
      <c r="E822" s="118">
        <v>0.89722222222222225</v>
      </c>
      <c r="F822" s="119">
        <v>3.4722222222223209E-3</v>
      </c>
      <c r="G822" s="118">
        <v>0.90625</v>
      </c>
      <c r="H822" s="119">
        <v>9.0277777777777457E-3</v>
      </c>
      <c r="I822" s="81">
        <v>41725</v>
      </c>
      <c r="J822" s="36" t="str">
        <f t="shared" si="272"/>
        <v>Internacional</v>
      </c>
      <c r="K822" s="36">
        <f t="shared" si="272"/>
        <v>8.8293650793650636E-3</v>
      </c>
      <c r="L822" s="36">
        <f t="shared" si="272"/>
        <v>1.1111111111111127E-2</v>
      </c>
      <c r="M822" s="36">
        <f t="shared" si="272"/>
        <v>1.9940476190476189E-2</v>
      </c>
      <c r="N822" s="36" t="str">
        <f t="shared" si="272"/>
        <v>ER4</v>
      </c>
      <c r="O822" s="36">
        <f t="shared" si="272"/>
        <v>50</v>
      </c>
      <c r="P822" s="36" t="str">
        <f t="shared" si="272"/>
        <v>IAH</v>
      </c>
      <c r="R822">
        <v>808</v>
      </c>
      <c r="S822" s="36" t="str">
        <f t="shared" si="270"/>
        <v>MEXICO AEREO</v>
      </c>
      <c r="T822" s="36">
        <f t="shared" si="270"/>
        <v>120</v>
      </c>
      <c r="U822" s="73">
        <v>0.42777777777777781</v>
      </c>
      <c r="V822" s="74">
        <v>0.43263888888888885</v>
      </c>
      <c r="W822" s="75">
        <v>4.8611111111110383E-3</v>
      </c>
      <c r="X822" s="74">
        <v>0.44375000000000003</v>
      </c>
      <c r="Y822" s="75">
        <v>1.1111111111111183E-2</v>
      </c>
      <c r="Z822" s="76">
        <v>41758</v>
      </c>
      <c r="AA822" s="36" t="str">
        <f t="shared" si="268"/>
        <v>Nacional</v>
      </c>
      <c r="AB822" s="36">
        <f t="shared" si="268"/>
        <v>7.133838383838376E-3</v>
      </c>
      <c r="AC822" s="36">
        <f t="shared" si="268"/>
        <v>7.1654040404040475E-3</v>
      </c>
      <c r="AD822" s="36">
        <f t="shared" si="268"/>
        <v>1.4299242424242423E-2</v>
      </c>
      <c r="AE822" s="36" t="str">
        <f t="shared" si="268"/>
        <v>B737-800</v>
      </c>
      <c r="AF822" s="36">
        <f t="shared" si="268"/>
        <v>189</v>
      </c>
      <c r="AG822" s="36" t="str">
        <f t="shared" si="268"/>
        <v>SFO</v>
      </c>
      <c r="AI822">
        <v>808</v>
      </c>
      <c r="AJ822" s="77" t="str">
        <f t="shared" si="273"/>
        <v>VUELOS AL NORTE</v>
      </c>
      <c r="AK822" s="77">
        <f t="shared" si="271"/>
        <v>242</v>
      </c>
      <c r="AL822" s="94">
        <v>0.22708333333333333</v>
      </c>
      <c r="AM822" s="95">
        <v>0.24236111111111111</v>
      </c>
      <c r="AN822" s="96">
        <v>1.5277777777777779E-2</v>
      </c>
      <c r="AO822" s="95">
        <v>0.26944444444444443</v>
      </c>
      <c r="AP822" s="96">
        <v>2.708333333333332E-2</v>
      </c>
      <c r="AQ822" s="97">
        <v>41813</v>
      </c>
      <c r="AR822" s="77" t="str">
        <f t="shared" si="269"/>
        <v>Internacional</v>
      </c>
      <c r="AS822" s="77">
        <f t="shared" si="269"/>
        <v>1.4861111111111117E-2</v>
      </c>
      <c r="AT822" s="77">
        <f t="shared" si="269"/>
        <v>2.2152777777777764E-2</v>
      </c>
      <c r="AU822" s="77">
        <f t="shared" si="269"/>
        <v>3.7013888888888881E-2</v>
      </c>
      <c r="AV822" s="77" t="str">
        <f t="shared" si="269"/>
        <v>B737-800</v>
      </c>
      <c r="AW822" s="77">
        <f t="shared" si="269"/>
        <v>189</v>
      </c>
      <c r="AX822" s="77" t="str">
        <f t="shared" si="269"/>
        <v>LAX</v>
      </c>
    </row>
    <row r="823" spans="1:50" ht="15.75" thickBot="1" x14ac:dyDescent="0.3">
      <c r="A823">
        <v>809</v>
      </c>
      <c r="B823" s="36" t="str">
        <f t="shared" si="266"/>
        <v>UNIDOS VOLAMOS</v>
      </c>
      <c r="C823" s="36">
        <f t="shared" si="266"/>
        <v>4394</v>
      </c>
      <c r="D823" s="118">
        <v>0.87430555555555556</v>
      </c>
      <c r="E823" s="118">
        <v>0.875</v>
      </c>
      <c r="F823" s="119">
        <v>6.9444444444444198E-4</v>
      </c>
      <c r="G823" s="118">
        <v>0.89374999999999993</v>
      </c>
      <c r="H823" s="119">
        <v>1.8749999999999933E-2</v>
      </c>
      <c r="I823" s="81">
        <v>41727</v>
      </c>
      <c r="J823" s="36" t="str">
        <f t="shared" si="272"/>
        <v>Internacional</v>
      </c>
      <c r="K823" s="36">
        <f t="shared" si="272"/>
        <v>8.8293650793650636E-3</v>
      </c>
      <c r="L823" s="36">
        <f t="shared" si="272"/>
        <v>1.1111111111111127E-2</v>
      </c>
      <c r="M823" s="36">
        <f t="shared" si="272"/>
        <v>1.9940476190476189E-2</v>
      </c>
      <c r="N823" s="36" t="str">
        <f t="shared" si="272"/>
        <v>ER4</v>
      </c>
      <c r="O823" s="36">
        <f t="shared" si="272"/>
        <v>50</v>
      </c>
      <c r="P823" s="36" t="str">
        <f t="shared" si="272"/>
        <v>IAH</v>
      </c>
      <c r="R823">
        <v>809</v>
      </c>
      <c r="S823" s="36" t="str">
        <f t="shared" si="270"/>
        <v>MEXICO AEREO</v>
      </c>
      <c r="T823" s="36">
        <f t="shared" si="270"/>
        <v>120</v>
      </c>
      <c r="U823" s="83">
        <v>0.42152777777777778</v>
      </c>
      <c r="V823" s="84">
        <v>0.43055555555555558</v>
      </c>
      <c r="W823" s="85">
        <v>9.0277777777778012E-3</v>
      </c>
      <c r="X823" s="84">
        <v>0.44097222222222227</v>
      </c>
      <c r="Y823" s="85">
        <v>1.0416666666666685E-2</v>
      </c>
      <c r="Z823" s="86">
        <v>41759</v>
      </c>
      <c r="AA823" s="36" t="str">
        <f t="shared" si="268"/>
        <v>Nacional</v>
      </c>
      <c r="AB823" s="36">
        <f t="shared" si="268"/>
        <v>7.133838383838376E-3</v>
      </c>
      <c r="AC823" s="36">
        <f t="shared" si="268"/>
        <v>7.1654040404040475E-3</v>
      </c>
      <c r="AD823" s="36">
        <f t="shared" si="268"/>
        <v>1.4299242424242423E-2</v>
      </c>
      <c r="AE823" s="36" t="str">
        <f t="shared" si="268"/>
        <v>B737-800</v>
      </c>
      <c r="AF823" s="36">
        <f t="shared" si="268"/>
        <v>189</v>
      </c>
      <c r="AG823" s="36" t="str">
        <f t="shared" si="268"/>
        <v>SFO</v>
      </c>
      <c r="AI823">
        <v>809</v>
      </c>
      <c r="AJ823" s="77" t="str">
        <f t="shared" si="273"/>
        <v>VUELOS AL NORTE</v>
      </c>
      <c r="AK823" s="63">
        <v>226</v>
      </c>
      <c r="AL823" s="64">
        <v>0.18333333333333335</v>
      </c>
      <c r="AM823" s="65">
        <v>0.19791666666666666</v>
      </c>
      <c r="AN823" s="66">
        <v>1.4583333333333309E-2</v>
      </c>
      <c r="AO823" s="65">
        <v>0.22361111111111109</v>
      </c>
      <c r="AP823" s="66">
        <v>2.5694444444444436E-2</v>
      </c>
      <c r="AQ823" s="67">
        <v>41792</v>
      </c>
      <c r="AR823" s="68" t="s">
        <v>22</v>
      </c>
      <c r="AS823" s="69">
        <v>1.2929894179894172E-2</v>
      </c>
      <c r="AT823" s="70">
        <v>1.9411375661375661E-2</v>
      </c>
      <c r="AU823" s="70">
        <v>3.234126984126983E-2</v>
      </c>
      <c r="AV823" s="71" t="s">
        <v>39</v>
      </c>
      <c r="AW823" s="71">
        <v>189</v>
      </c>
      <c r="AX823" s="72" t="s">
        <v>52</v>
      </c>
    </row>
    <row r="824" spans="1:50" ht="15.75" thickBot="1" x14ac:dyDescent="0.3">
      <c r="A824">
        <v>810</v>
      </c>
      <c r="B824" s="36" t="str">
        <f t="shared" si="266"/>
        <v>UNIDOS VOLAMOS</v>
      </c>
      <c r="C824" s="36">
        <f t="shared" si="266"/>
        <v>4394</v>
      </c>
      <c r="D824" s="176">
        <v>0.94305555555555554</v>
      </c>
      <c r="E824" s="176">
        <v>0.95138888888888884</v>
      </c>
      <c r="F824" s="177">
        <v>8.3333333333333037E-3</v>
      </c>
      <c r="G824" s="176">
        <v>0.95486111111111116</v>
      </c>
      <c r="H824" s="177">
        <v>3.4722222222223209E-3</v>
      </c>
      <c r="I824" s="97">
        <v>41728</v>
      </c>
      <c r="J824" s="36" t="str">
        <f t="shared" si="272"/>
        <v>Internacional</v>
      </c>
      <c r="K824" s="36">
        <f t="shared" si="272"/>
        <v>8.8293650793650636E-3</v>
      </c>
      <c r="L824" s="36">
        <f t="shared" si="272"/>
        <v>1.1111111111111127E-2</v>
      </c>
      <c r="M824" s="36">
        <f t="shared" si="272"/>
        <v>1.9940476190476189E-2</v>
      </c>
      <c r="N824" s="36" t="str">
        <f t="shared" si="272"/>
        <v>ER4</v>
      </c>
      <c r="O824" s="36">
        <f t="shared" si="272"/>
        <v>50</v>
      </c>
      <c r="P824" s="36" t="str">
        <f t="shared" si="272"/>
        <v>IAH</v>
      </c>
      <c r="R824">
        <v>810</v>
      </c>
      <c r="S824" s="36" t="str">
        <f t="shared" si="270"/>
        <v>MEXICO AEREO</v>
      </c>
      <c r="T824" s="55">
        <v>108</v>
      </c>
      <c r="U824" s="56">
        <v>0.50208333333333333</v>
      </c>
      <c r="V824" s="57">
        <v>0.50763888888888886</v>
      </c>
      <c r="W824" s="58">
        <v>5.5555555555555358E-3</v>
      </c>
      <c r="X824" s="57">
        <v>0.51111111111111118</v>
      </c>
      <c r="Y824" s="58">
        <v>3.4722222222223209E-3</v>
      </c>
      <c r="Z824" s="59">
        <v>41730</v>
      </c>
      <c r="AA824" s="60" t="s">
        <v>19</v>
      </c>
      <c r="AB824" s="61">
        <v>6.8518518518518347E-3</v>
      </c>
      <c r="AC824" s="61">
        <v>5.9722222222222563E-3</v>
      </c>
      <c r="AD824" s="62">
        <v>1.2824074074074092E-2</v>
      </c>
      <c r="AE824" s="167" t="s">
        <v>45</v>
      </c>
      <c r="AF824" s="167">
        <v>126</v>
      </c>
      <c r="AG824" s="168" t="s">
        <v>21</v>
      </c>
      <c r="AI824">
        <v>810</v>
      </c>
      <c r="AJ824" s="77" t="str">
        <f t="shared" si="273"/>
        <v>VUELOS AL NORTE</v>
      </c>
      <c r="AK824" s="77">
        <f t="shared" si="273"/>
        <v>226</v>
      </c>
      <c r="AL824" s="78">
        <v>0.18055555555555555</v>
      </c>
      <c r="AM824" s="79">
        <v>0.19722222222222222</v>
      </c>
      <c r="AN824" s="80">
        <v>1.6666666666666663E-2</v>
      </c>
      <c r="AO824" s="79">
        <v>0.21597222222222223</v>
      </c>
      <c r="AP824" s="80">
        <v>1.8750000000000017E-2</v>
      </c>
      <c r="AQ824" s="81">
        <v>41795</v>
      </c>
      <c r="AR824" s="77" t="str">
        <f t="shared" ref="AR824:AX843" si="274">AR823</f>
        <v>Internacional</v>
      </c>
      <c r="AS824" s="77">
        <f t="shared" si="274"/>
        <v>1.2929894179894172E-2</v>
      </c>
      <c r="AT824" s="77">
        <f t="shared" si="274"/>
        <v>1.9411375661375661E-2</v>
      </c>
      <c r="AU824" s="77">
        <f t="shared" si="274"/>
        <v>3.234126984126983E-2</v>
      </c>
      <c r="AV824" s="77" t="str">
        <f t="shared" si="274"/>
        <v>B737-800</v>
      </c>
      <c r="AW824" s="77">
        <f t="shared" si="274"/>
        <v>189</v>
      </c>
      <c r="AX824" s="77" t="str">
        <f t="shared" si="274"/>
        <v>SEA</v>
      </c>
    </row>
    <row r="825" spans="1:50" x14ac:dyDescent="0.25">
      <c r="A825">
        <v>811</v>
      </c>
      <c r="B825" s="36" t="str">
        <f t="shared" si="266"/>
        <v>UNIDOS VOLAMOS</v>
      </c>
      <c r="C825" s="151">
        <v>4354</v>
      </c>
      <c r="D825" s="152">
        <v>0.45763888888888887</v>
      </c>
      <c r="E825" s="152">
        <v>0.4680555555555555</v>
      </c>
      <c r="F825" s="153">
        <v>1.041666666666663E-2</v>
      </c>
      <c r="G825" s="152">
        <v>0.47430555555555554</v>
      </c>
      <c r="H825" s="153">
        <v>6.2500000000000333E-3</v>
      </c>
      <c r="I825" s="67">
        <v>41714</v>
      </c>
      <c r="J825" s="174" t="s">
        <v>22</v>
      </c>
      <c r="K825" s="135">
        <v>1.1400462962962965E-2</v>
      </c>
      <c r="L825" s="135">
        <v>9.143518518518523E-3</v>
      </c>
      <c r="M825" s="175">
        <v>2.0543981481481489E-2</v>
      </c>
      <c r="N825" s="90" t="s">
        <v>20</v>
      </c>
      <c r="O825" s="91">
        <v>50</v>
      </c>
      <c r="P825" s="92" t="s">
        <v>54</v>
      </c>
      <c r="R825">
        <v>811</v>
      </c>
      <c r="S825" s="36" t="str">
        <f t="shared" si="270"/>
        <v>MEXICO AEREO</v>
      </c>
      <c r="T825" s="36">
        <f t="shared" si="270"/>
        <v>108</v>
      </c>
      <c r="U825" s="73">
        <v>0.52152777777777781</v>
      </c>
      <c r="V825" s="74">
        <v>0.52916666666666667</v>
      </c>
      <c r="W825" s="75">
        <v>7.6388888888888618E-3</v>
      </c>
      <c r="X825" s="74">
        <v>0.53472222222222221</v>
      </c>
      <c r="Y825" s="75">
        <v>5.5555555555555358E-3</v>
      </c>
      <c r="Z825" s="76">
        <v>41731</v>
      </c>
      <c r="AA825" s="36" t="str">
        <f t="shared" ref="AA825:AG838" si="275">AA824</f>
        <v>Nacional</v>
      </c>
      <c r="AB825" s="36">
        <f t="shared" si="275"/>
        <v>6.8518518518518347E-3</v>
      </c>
      <c r="AC825" s="36">
        <f t="shared" si="275"/>
        <v>5.9722222222222563E-3</v>
      </c>
      <c r="AD825" s="36">
        <f t="shared" si="275"/>
        <v>1.2824074074074092E-2</v>
      </c>
      <c r="AE825" s="36" t="str">
        <f t="shared" si="275"/>
        <v>B737-700</v>
      </c>
      <c r="AF825" s="36">
        <f t="shared" si="275"/>
        <v>126</v>
      </c>
      <c r="AG825" s="36" t="str">
        <f t="shared" si="275"/>
        <v>MEX</v>
      </c>
      <c r="AI825">
        <v>811</v>
      </c>
      <c r="AJ825" s="77" t="str">
        <f t="shared" si="273"/>
        <v>VUELOS AL NORTE</v>
      </c>
      <c r="AK825" s="77">
        <f t="shared" si="273"/>
        <v>226</v>
      </c>
      <c r="AL825" s="78">
        <v>0.18402777777777779</v>
      </c>
      <c r="AM825" s="79">
        <v>0.1986111111111111</v>
      </c>
      <c r="AN825" s="80">
        <v>1.4583333333333309E-2</v>
      </c>
      <c r="AO825" s="79">
        <v>0.21388888888888891</v>
      </c>
      <c r="AP825" s="80">
        <v>1.5277777777777807E-2</v>
      </c>
      <c r="AQ825" s="81">
        <v>41796</v>
      </c>
      <c r="AR825" s="77" t="str">
        <f t="shared" si="274"/>
        <v>Internacional</v>
      </c>
      <c r="AS825" s="77">
        <f t="shared" si="274"/>
        <v>1.2929894179894172E-2</v>
      </c>
      <c r="AT825" s="77">
        <f t="shared" si="274"/>
        <v>1.9411375661375661E-2</v>
      </c>
      <c r="AU825" s="77">
        <f t="shared" si="274"/>
        <v>3.234126984126983E-2</v>
      </c>
      <c r="AV825" s="77" t="str">
        <f t="shared" si="274"/>
        <v>B737-800</v>
      </c>
      <c r="AW825" s="77">
        <f t="shared" si="274"/>
        <v>189</v>
      </c>
      <c r="AX825" s="77" t="str">
        <f t="shared" si="274"/>
        <v>SEA</v>
      </c>
    </row>
    <row r="826" spans="1:50" x14ac:dyDescent="0.25">
      <c r="A826">
        <v>812</v>
      </c>
      <c r="B826" s="36" t="str">
        <f t="shared" si="266"/>
        <v>UNIDOS VOLAMOS</v>
      </c>
      <c r="C826" s="36">
        <f t="shared" si="266"/>
        <v>4354</v>
      </c>
      <c r="D826" s="118">
        <v>0.49791666666666662</v>
      </c>
      <c r="E826" s="118">
        <v>0.50069444444444444</v>
      </c>
      <c r="F826" s="119">
        <v>2.7777777777778234E-3</v>
      </c>
      <c r="G826" s="118">
        <v>0.51388888888888895</v>
      </c>
      <c r="H826" s="119">
        <v>1.3194444444444509E-2</v>
      </c>
      <c r="I826" s="81">
        <v>41715</v>
      </c>
      <c r="J826" s="36" t="str">
        <f t="shared" ref="J826:P836" si="276">J825</f>
        <v>Internacional</v>
      </c>
      <c r="K826" s="36">
        <f t="shared" si="276"/>
        <v>1.1400462962962965E-2</v>
      </c>
      <c r="L826" s="36">
        <f t="shared" si="276"/>
        <v>9.143518518518523E-3</v>
      </c>
      <c r="M826" s="36">
        <f t="shared" si="276"/>
        <v>2.0543981481481489E-2</v>
      </c>
      <c r="N826" s="36" t="str">
        <f t="shared" si="276"/>
        <v>ER4</v>
      </c>
      <c r="O826" s="36">
        <f t="shared" si="276"/>
        <v>50</v>
      </c>
      <c r="P826" s="36" t="str">
        <f t="shared" si="276"/>
        <v>IAH</v>
      </c>
      <c r="R826">
        <v>812</v>
      </c>
      <c r="S826" s="36" t="str">
        <f t="shared" si="270"/>
        <v>MEXICO AEREO</v>
      </c>
      <c r="T826" s="36">
        <f t="shared" si="270"/>
        <v>108</v>
      </c>
      <c r="U826" s="73">
        <v>0.51388888888888895</v>
      </c>
      <c r="V826" s="74">
        <v>0.5180555555555556</v>
      </c>
      <c r="W826" s="75">
        <v>4.1666666666666519E-3</v>
      </c>
      <c r="X826" s="74">
        <v>0.52430555555555558</v>
      </c>
      <c r="Y826" s="75">
        <v>6.2499999999999778E-3</v>
      </c>
      <c r="Z826" s="76">
        <v>41732</v>
      </c>
      <c r="AA826" s="36" t="str">
        <f t="shared" si="275"/>
        <v>Nacional</v>
      </c>
      <c r="AB826" s="36">
        <f t="shared" si="275"/>
        <v>6.8518518518518347E-3</v>
      </c>
      <c r="AC826" s="36">
        <f t="shared" si="275"/>
        <v>5.9722222222222563E-3</v>
      </c>
      <c r="AD826" s="36">
        <f t="shared" si="275"/>
        <v>1.2824074074074092E-2</v>
      </c>
      <c r="AE826" s="36" t="str">
        <f t="shared" si="275"/>
        <v>B737-700</v>
      </c>
      <c r="AF826" s="36">
        <f t="shared" si="275"/>
        <v>126</v>
      </c>
      <c r="AG826" s="36" t="str">
        <f t="shared" si="275"/>
        <v>MEX</v>
      </c>
      <c r="AI826">
        <v>812</v>
      </c>
      <c r="AJ826" s="77" t="str">
        <f t="shared" si="273"/>
        <v>VUELOS AL NORTE</v>
      </c>
      <c r="AK826" s="77">
        <f t="shared" si="273"/>
        <v>226</v>
      </c>
      <c r="AL826" s="78">
        <v>0.18194444444444444</v>
      </c>
      <c r="AM826" s="79">
        <v>0.19513888888888889</v>
      </c>
      <c r="AN826" s="80">
        <v>1.3194444444444453E-2</v>
      </c>
      <c r="AO826" s="79">
        <v>0.21527777777777779</v>
      </c>
      <c r="AP826" s="80">
        <v>2.0138888888888901E-2</v>
      </c>
      <c r="AQ826" s="81">
        <v>41797</v>
      </c>
      <c r="AR826" s="77" t="str">
        <f t="shared" si="274"/>
        <v>Internacional</v>
      </c>
      <c r="AS826" s="77">
        <f t="shared" si="274"/>
        <v>1.2929894179894172E-2</v>
      </c>
      <c r="AT826" s="77">
        <f t="shared" si="274"/>
        <v>1.9411375661375661E-2</v>
      </c>
      <c r="AU826" s="77">
        <f t="shared" si="274"/>
        <v>3.234126984126983E-2</v>
      </c>
      <c r="AV826" s="77" t="str">
        <f t="shared" si="274"/>
        <v>B737-800</v>
      </c>
      <c r="AW826" s="77">
        <f t="shared" si="274"/>
        <v>189</v>
      </c>
      <c r="AX826" s="77" t="str">
        <f t="shared" si="274"/>
        <v>SEA</v>
      </c>
    </row>
    <row r="827" spans="1:50" x14ac:dyDescent="0.25">
      <c r="A827">
        <v>813</v>
      </c>
      <c r="B827" s="36" t="str">
        <f t="shared" si="266"/>
        <v>UNIDOS VOLAMOS</v>
      </c>
      <c r="C827" s="36">
        <f t="shared" si="266"/>
        <v>4354</v>
      </c>
      <c r="D827" s="118">
        <v>0.43958333333333338</v>
      </c>
      <c r="E827" s="118">
        <v>0.45</v>
      </c>
      <c r="F827" s="119">
        <v>1.041666666666663E-2</v>
      </c>
      <c r="G827" s="118">
        <v>0.45694444444444443</v>
      </c>
      <c r="H827" s="119">
        <v>6.9444444444444198E-3</v>
      </c>
      <c r="I827" s="81">
        <v>41717</v>
      </c>
      <c r="J827" s="36" t="str">
        <f t="shared" si="276"/>
        <v>Internacional</v>
      </c>
      <c r="K827" s="36">
        <f t="shared" si="276"/>
        <v>1.1400462962962965E-2</v>
      </c>
      <c r="L827" s="36">
        <f t="shared" si="276"/>
        <v>9.143518518518523E-3</v>
      </c>
      <c r="M827" s="36">
        <f t="shared" si="276"/>
        <v>2.0543981481481489E-2</v>
      </c>
      <c r="N827" s="36" t="str">
        <f t="shared" si="276"/>
        <v>ER4</v>
      </c>
      <c r="O827" s="36">
        <f t="shared" si="276"/>
        <v>50</v>
      </c>
      <c r="P827" s="36" t="str">
        <f t="shared" si="276"/>
        <v>IAH</v>
      </c>
      <c r="R827">
        <v>813</v>
      </c>
      <c r="S827" s="36" t="str">
        <f t="shared" si="270"/>
        <v>MEXICO AEREO</v>
      </c>
      <c r="T827" s="36">
        <f t="shared" si="270"/>
        <v>108</v>
      </c>
      <c r="U827" s="73">
        <v>0.50347222222222221</v>
      </c>
      <c r="V827" s="74">
        <v>0.5083333333333333</v>
      </c>
      <c r="W827" s="75">
        <v>4.8611111111110938E-3</v>
      </c>
      <c r="X827" s="74">
        <v>0.51527777777777783</v>
      </c>
      <c r="Y827" s="75">
        <v>6.9444444444445308E-3</v>
      </c>
      <c r="Z827" s="76">
        <v>41733</v>
      </c>
      <c r="AA827" s="36" t="str">
        <f t="shared" si="275"/>
        <v>Nacional</v>
      </c>
      <c r="AB827" s="36">
        <f t="shared" si="275"/>
        <v>6.8518518518518347E-3</v>
      </c>
      <c r="AC827" s="36">
        <f t="shared" si="275"/>
        <v>5.9722222222222563E-3</v>
      </c>
      <c r="AD827" s="36">
        <f t="shared" si="275"/>
        <v>1.2824074074074092E-2</v>
      </c>
      <c r="AE827" s="36" t="str">
        <f t="shared" si="275"/>
        <v>B737-700</v>
      </c>
      <c r="AF827" s="36">
        <f t="shared" si="275"/>
        <v>126</v>
      </c>
      <c r="AG827" s="36" t="str">
        <f t="shared" si="275"/>
        <v>MEX</v>
      </c>
      <c r="AI827">
        <v>813</v>
      </c>
      <c r="AJ827" s="77" t="str">
        <f t="shared" si="273"/>
        <v>VUELOS AL NORTE</v>
      </c>
      <c r="AK827" s="77">
        <f t="shared" si="273"/>
        <v>226</v>
      </c>
      <c r="AL827" s="78">
        <v>0.18402777777777779</v>
      </c>
      <c r="AM827" s="79">
        <v>0.21041666666666667</v>
      </c>
      <c r="AN827" s="80">
        <v>2.6388888888888878E-2</v>
      </c>
      <c r="AO827" s="79">
        <v>0.23124999999999998</v>
      </c>
      <c r="AP827" s="80">
        <v>2.0833333333333315E-2</v>
      </c>
      <c r="AQ827" s="81">
        <v>41798</v>
      </c>
      <c r="AR827" s="77" t="str">
        <f t="shared" si="274"/>
        <v>Internacional</v>
      </c>
      <c r="AS827" s="77">
        <f t="shared" si="274"/>
        <v>1.2929894179894172E-2</v>
      </c>
      <c r="AT827" s="77">
        <f t="shared" si="274"/>
        <v>1.9411375661375661E-2</v>
      </c>
      <c r="AU827" s="77">
        <f t="shared" si="274"/>
        <v>3.234126984126983E-2</v>
      </c>
      <c r="AV827" s="77" t="str">
        <f t="shared" si="274"/>
        <v>B737-800</v>
      </c>
      <c r="AW827" s="77">
        <f t="shared" si="274"/>
        <v>189</v>
      </c>
      <c r="AX827" s="77" t="str">
        <f t="shared" si="274"/>
        <v>SEA</v>
      </c>
    </row>
    <row r="828" spans="1:50" x14ac:dyDescent="0.25">
      <c r="A828">
        <v>814</v>
      </c>
      <c r="B828" s="36" t="str">
        <f t="shared" si="266"/>
        <v>UNIDOS VOLAMOS</v>
      </c>
      <c r="C828" s="36">
        <f t="shared" si="266"/>
        <v>4354</v>
      </c>
      <c r="D828" s="118">
        <v>0.4513888888888889</v>
      </c>
      <c r="E828" s="118">
        <v>0.46319444444444446</v>
      </c>
      <c r="F828" s="119">
        <v>1.1805555555555569E-2</v>
      </c>
      <c r="G828" s="118">
        <v>0.4694444444444445</v>
      </c>
      <c r="H828" s="119">
        <v>6.2500000000000333E-3</v>
      </c>
      <c r="I828" s="81">
        <v>41720</v>
      </c>
      <c r="J828" s="36" t="str">
        <f t="shared" si="276"/>
        <v>Internacional</v>
      </c>
      <c r="K828" s="36">
        <f t="shared" si="276"/>
        <v>1.1400462962962965E-2</v>
      </c>
      <c r="L828" s="36">
        <f t="shared" si="276"/>
        <v>9.143518518518523E-3</v>
      </c>
      <c r="M828" s="36">
        <f t="shared" si="276"/>
        <v>2.0543981481481489E-2</v>
      </c>
      <c r="N828" s="36" t="str">
        <f t="shared" si="276"/>
        <v>ER4</v>
      </c>
      <c r="O828" s="36">
        <f t="shared" si="276"/>
        <v>50</v>
      </c>
      <c r="P828" s="36" t="str">
        <f t="shared" si="276"/>
        <v>IAH</v>
      </c>
      <c r="R828">
        <v>814</v>
      </c>
      <c r="S828" s="36" t="str">
        <f t="shared" si="270"/>
        <v>MEXICO AEREO</v>
      </c>
      <c r="T828" s="36">
        <f t="shared" si="270"/>
        <v>108</v>
      </c>
      <c r="U828" s="73">
        <v>0.51180555555555551</v>
      </c>
      <c r="V828" s="74">
        <v>0.51666666666666672</v>
      </c>
      <c r="W828" s="75">
        <v>4.8611111111112049E-3</v>
      </c>
      <c r="X828" s="74">
        <v>0.52222222222222225</v>
      </c>
      <c r="Y828" s="75">
        <v>5.5555555555555358E-3</v>
      </c>
      <c r="Z828" s="76">
        <v>41735</v>
      </c>
      <c r="AA828" s="36" t="str">
        <f t="shared" si="275"/>
        <v>Nacional</v>
      </c>
      <c r="AB828" s="36">
        <f t="shared" si="275"/>
        <v>6.8518518518518347E-3</v>
      </c>
      <c r="AC828" s="36">
        <f t="shared" si="275"/>
        <v>5.9722222222222563E-3</v>
      </c>
      <c r="AD828" s="36">
        <f t="shared" si="275"/>
        <v>1.2824074074074092E-2</v>
      </c>
      <c r="AE828" s="36" t="str">
        <f t="shared" si="275"/>
        <v>B737-700</v>
      </c>
      <c r="AF828" s="36">
        <f t="shared" si="275"/>
        <v>126</v>
      </c>
      <c r="AG828" s="36" t="str">
        <f t="shared" si="275"/>
        <v>MEX</v>
      </c>
      <c r="AI828">
        <v>814</v>
      </c>
      <c r="AJ828" s="77" t="str">
        <f t="shared" si="273"/>
        <v>VUELOS AL NORTE</v>
      </c>
      <c r="AK828" s="77">
        <f t="shared" si="273"/>
        <v>226</v>
      </c>
      <c r="AL828" s="78">
        <v>0.19236111111111112</v>
      </c>
      <c r="AM828" s="79">
        <v>0.20138888888888887</v>
      </c>
      <c r="AN828" s="80">
        <v>9.0277777777777457E-3</v>
      </c>
      <c r="AO828" s="79">
        <v>0.22777777777777777</v>
      </c>
      <c r="AP828" s="80">
        <v>2.6388888888888906E-2</v>
      </c>
      <c r="AQ828" s="81">
        <v>41800</v>
      </c>
      <c r="AR828" s="77" t="str">
        <f t="shared" si="274"/>
        <v>Internacional</v>
      </c>
      <c r="AS828" s="77">
        <f t="shared" si="274"/>
        <v>1.2929894179894172E-2</v>
      </c>
      <c r="AT828" s="77">
        <f t="shared" si="274"/>
        <v>1.9411375661375661E-2</v>
      </c>
      <c r="AU828" s="77">
        <f t="shared" si="274"/>
        <v>3.234126984126983E-2</v>
      </c>
      <c r="AV828" s="77" t="str">
        <f t="shared" si="274"/>
        <v>B737-800</v>
      </c>
      <c r="AW828" s="77">
        <f t="shared" si="274"/>
        <v>189</v>
      </c>
      <c r="AX828" s="77" t="str">
        <f t="shared" si="274"/>
        <v>SEA</v>
      </c>
    </row>
    <row r="829" spans="1:50" x14ac:dyDescent="0.25">
      <c r="A829">
        <v>815</v>
      </c>
      <c r="B829" s="36" t="str">
        <f t="shared" si="266"/>
        <v>UNIDOS VOLAMOS</v>
      </c>
      <c r="C829" s="36">
        <f t="shared" si="266"/>
        <v>4354</v>
      </c>
      <c r="D829" s="118">
        <v>0.45902777777777781</v>
      </c>
      <c r="E829" s="118">
        <v>0.47013888888888888</v>
      </c>
      <c r="F829" s="119">
        <v>1.1111111111111072E-2</v>
      </c>
      <c r="G829" s="118">
        <v>0.4777777777777778</v>
      </c>
      <c r="H829" s="119">
        <v>7.6388888888889173E-3</v>
      </c>
      <c r="I829" s="81">
        <v>41721</v>
      </c>
      <c r="J829" s="36" t="str">
        <f t="shared" si="276"/>
        <v>Internacional</v>
      </c>
      <c r="K829" s="36">
        <f t="shared" si="276"/>
        <v>1.1400462962962965E-2</v>
      </c>
      <c r="L829" s="36">
        <f t="shared" si="276"/>
        <v>9.143518518518523E-3</v>
      </c>
      <c r="M829" s="36">
        <f t="shared" si="276"/>
        <v>2.0543981481481489E-2</v>
      </c>
      <c r="N829" s="36" t="str">
        <f t="shared" si="276"/>
        <v>ER4</v>
      </c>
      <c r="O829" s="36">
        <f t="shared" si="276"/>
        <v>50</v>
      </c>
      <c r="P829" s="36" t="str">
        <f t="shared" si="276"/>
        <v>IAH</v>
      </c>
      <c r="R829">
        <v>815</v>
      </c>
      <c r="S829" s="36" t="str">
        <f t="shared" si="270"/>
        <v>MEXICO AEREO</v>
      </c>
      <c r="T829" s="36">
        <f t="shared" si="270"/>
        <v>108</v>
      </c>
      <c r="U829" s="73">
        <v>0.50416666666666665</v>
      </c>
      <c r="V829" s="74">
        <v>0.51041666666666663</v>
      </c>
      <c r="W829" s="75">
        <v>6.2499999999999778E-3</v>
      </c>
      <c r="X829" s="74">
        <v>0.51458333333333328</v>
      </c>
      <c r="Y829" s="75">
        <v>4.1666666666666519E-3</v>
      </c>
      <c r="Z829" s="76">
        <v>41737</v>
      </c>
      <c r="AA829" s="36" t="str">
        <f t="shared" si="275"/>
        <v>Nacional</v>
      </c>
      <c r="AB829" s="36">
        <f t="shared" si="275"/>
        <v>6.8518518518518347E-3</v>
      </c>
      <c r="AC829" s="36">
        <f t="shared" si="275"/>
        <v>5.9722222222222563E-3</v>
      </c>
      <c r="AD829" s="36">
        <f t="shared" si="275"/>
        <v>1.2824074074074092E-2</v>
      </c>
      <c r="AE829" s="36" t="str">
        <f t="shared" si="275"/>
        <v>B737-700</v>
      </c>
      <c r="AF829" s="36">
        <f t="shared" si="275"/>
        <v>126</v>
      </c>
      <c r="AG829" s="36" t="str">
        <f t="shared" si="275"/>
        <v>MEX</v>
      </c>
      <c r="AI829">
        <v>815</v>
      </c>
      <c r="AJ829" s="77" t="str">
        <f t="shared" si="273"/>
        <v>VUELOS AL NORTE</v>
      </c>
      <c r="AK829" s="77">
        <f t="shared" si="273"/>
        <v>226</v>
      </c>
      <c r="AL829" s="78">
        <v>0.4777777777777778</v>
      </c>
      <c r="AM829" s="79">
        <v>0.48541666666666666</v>
      </c>
      <c r="AN829" s="80">
        <v>7.6388888888888618E-3</v>
      </c>
      <c r="AO829" s="79">
        <v>0.49444444444444446</v>
      </c>
      <c r="AP829" s="80">
        <v>9.0277777777778012E-3</v>
      </c>
      <c r="AQ829" s="81">
        <v>41800</v>
      </c>
      <c r="AR829" s="77" t="str">
        <f t="shared" si="274"/>
        <v>Internacional</v>
      </c>
      <c r="AS829" s="77">
        <f t="shared" si="274"/>
        <v>1.2929894179894172E-2</v>
      </c>
      <c r="AT829" s="77">
        <f t="shared" si="274"/>
        <v>1.9411375661375661E-2</v>
      </c>
      <c r="AU829" s="77">
        <f t="shared" si="274"/>
        <v>3.234126984126983E-2</v>
      </c>
      <c r="AV829" s="77" t="str">
        <f t="shared" si="274"/>
        <v>B737-800</v>
      </c>
      <c r="AW829" s="77">
        <f t="shared" si="274"/>
        <v>189</v>
      </c>
      <c r="AX829" s="77" t="str">
        <f t="shared" si="274"/>
        <v>SEA</v>
      </c>
    </row>
    <row r="830" spans="1:50" x14ac:dyDescent="0.25">
      <c r="A830">
        <v>816</v>
      </c>
      <c r="B830" s="36" t="str">
        <f t="shared" si="266"/>
        <v>UNIDOS VOLAMOS</v>
      </c>
      <c r="C830" s="36">
        <f t="shared" si="266"/>
        <v>4354</v>
      </c>
      <c r="D830" s="118">
        <v>0.43958333333333338</v>
      </c>
      <c r="E830" s="118">
        <v>0.45069444444444445</v>
      </c>
      <c r="F830" s="119">
        <v>1.1111111111111072E-2</v>
      </c>
      <c r="G830" s="118">
        <v>0.45763888888888887</v>
      </c>
      <c r="H830" s="119">
        <v>6.9444444444444198E-3</v>
      </c>
      <c r="I830" s="81">
        <v>41722</v>
      </c>
      <c r="J830" s="36" t="str">
        <f t="shared" si="276"/>
        <v>Internacional</v>
      </c>
      <c r="K830" s="36">
        <f t="shared" si="276"/>
        <v>1.1400462962962965E-2</v>
      </c>
      <c r="L830" s="36">
        <f t="shared" si="276"/>
        <v>9.143518518518523E-3</v>
      </c>
      <c r="M830" s="36">
        <f t="shared" si="276"/>
        <v>2.0543981481481489E-2</v>
      </c>
      <c r="N830" s="36" t="str">
        <f t="shared" si="276"/>
        <v>ER4</v>
      </c>
      <c r="O830" s="36">
        <f t="shared" si="276"/>
        <v>50</v>
      </c>
      <c r="P830" s="36" t="str">
        <f t="shared" si="276"/>
        <v>IAH</v>
      </c>
      <c r="R830">
        <v>816</v>
      </c>
      <c r="S830" s="36" t="str">
        <f t="shared" si="270"/>
        <v>MEXICO AEREO</v>
      </c>
      <c r="T830" s="36">
        <f t="shared" si="270"/>
        <v>108</v>
      </c>
      <c r="U830" s="73">
        <v>0.5131944444444444</v>
      </c>
      <c r="V830" s="74">
        <v>0.51874999999999993</v>
      </c>
      <c r="W830" s="75">
        <v>5.5555555555555358E-3</v>
      </c>
      <c r="X830" s="74">
        <v>0.52222222222222225</v>
      </c>
      <c r="Y830" s="75">
        <v>3.4722222222223209E-3</v>
      </c>
      <c r="Z830" s="76">
        <v>41738</v>
      </c>
      <c r="AA830" s="36" t="str">
        <f t="shared" si="275"/>
        <v>Nacional</v>
      </c>
      <c r="AB830" s="36">
        <f t="shared" si="275"/>
        <v>6.8518518518518347E-3</v>
      </c>
      <c r="AC830" s="36">
        <f t="shared" si="275"/>
        <v>5.9722222222222563E-3</v>
      </c>
      <c r="AD830" s="36">
        <f t="shared" si="275"/>
        <v>1.2824074074074092E-2</v>
      </c>
      <c r="AE830" s="36" t="str">
        <f t="shared" si="275"/>
        <v>B737-700</v>
      </c>
      <c r="AF830" s="36">
        <f t="shared" si="275"/>
        <v>126</v>
      </c>
      <c r="AG830" s="36" t="str">
        <f t="shared" si="275"/>
        <v>MEX</v>
      </c>
      <c r="AI830">
        <v>816</v>
      </c>
      <c r="AJ830" s="77" t="str">
        <f t="shared" si="273"/>
        <v>VUELOS AL NORTE</v>
      </c>
      <c r="AK830" s="77">
        <f t="shared" si="273"/>
        <v>226</v>
      </c>
      <c r="AL830" s="78">
        <v>0.19930555555555554</v>
      </c>
      <c r="AM830" s="79">
        <v>0.21249999999999999</v>
      </c>
      <c r="AN830" s="80">
        <v>1.3194444444444453E-2</v>
      </c>
      <c r="AO830" s="79">
        <v>0.23680555555555557</v>
      </c>
      <c r="AP830" s="80">
        <v>2.430555555555558E-2</v>
      </c>
      <c r="AQ830" s="81">
        <v>41801</v>
      </c>
      <c r="AR830" s="77" t="str">
        <f t="shared" si="274"/>
        <v>Internacional</v>
      </c>
      <c r="AS830" s="77">
        <f t="shared" si="274"/>
        <v>1.2929894179894172E-2</v>
      </c>
      <c r="AT830" s="77">
        <f t="shared" si="274"/>
        <v>1.9411375661375661E-2</v>
      </c>
      <c r="AU830" s="77">
        <f t="shared" si="274"/>
        <v>3.234126984126983E-2</v>
      </c>
      <c r="AV830" s="77" t="str">
        <f t="shared" si="274"/>
        <v>B737-800</v>
      </c>
      <c r="AW830" s="77">
        <f t="shared" si="274"/>
        <v>189</v>
      </c>
      <c r="AX830" s="77" t="str">
        <f t="shared" si="274"/>
        <v>SEA</v>
      </c>
    </row>
    <row r="831" spans="1:50" x14ac:dyDescent="0.25">
      <c r="A831">
        <v>817</v>
      </c>
      <c r="B831" s="36" t="str">
        <f t="shared" si="266"/>
        <v>UNIDOS VOLAMOS</v>
      </c>
      <c r="C831" s="36">
        <f t="shared" si="266"/>
        <v>4354</v>
      </c>
      <c r="D831" s="118">
        <v>0.44166666666666665</v>
      </c>
      <c r="E831" s="118">
        <v>0.4548611111111111</v>
      </c>
      <c r="F831" s="119">
        <v>1.3194444444444453E-2</v>
      </c>
      <c r="G831" s="118">
        <v>0.45763888888888887</v>
      </c>
      <c r="H831" s="119">
        <v>2.7777777777777679E-3</v>
      </c>
      <c r="I831" s="81">
        <v>41723</v>
      </c>
      <c r="J831" s="36" t="str">
        <f t="shared" si="276"/>
        <v>Internacional</v>
      </c>
      <c r="K831" s="36">
        <f t="shared" si="276"/>
        <v>1.1400462962962965E-2</v>
      </c>
      <c r="L831" s="36">
        <f t="shared" si="276"/>
        <v>9.143518518518523E-3</v>
      </c>
      <c r="M831" s="36">
        <f t="shared" si="276"/>
        <v>2.0543981481481489E-2</v>
      </c>
      <c r="N831" s="36" t="str">
        <f t="shared" si="276"/>
        <v>ER4</v>
      </c>
      <c r="O831" s="36">
        <f t="shared" si="276"/>
        <v>50</v>
      </c>
      <c r="P831" s="36" t="str">
        <f t="shared" si="276"/>
        <v>IAH</v>
      </c>
      <c r="R831">
        <v>817</v>
      </c>
      <c r="S831" s="36" t="str">
        <f t="shared" si="270"/>
        <v>MEXICO AEREO</v>
      </c>
      <c r="T831" s="36">
        <f t="shared" si="270"/>
        <v>108</v>
      </c>
      <c r="U831" s="73">
        <v>0.51388888888888895</v>
      </c>
      <c r="V831" s="74">
        <v>0.51874999999999993</v>
      </c>
      <c r="W831" s="75">
        <v>4.8611111111109828E-3</v>
      </c>
      <c r="X831" s="74">
        <v>0.52638888888888891</v>
      </c>
      <c r="Y831" s="75">
        <v>7.6388888888889728E-3</v>
      </c>
      <c r="Z831" s="76">
        <v>41739</v>
      </c>
      <c r="AA831" s="36" t="str">
        <f t="shared" si="275"/>
        <v>Nacional</v>
      </c>
      <c r="AB831" s="36">
        <f t="shared" si="275"/>
        <v>6.8518518518518347E-3</v>
      </c>
      <c r="AC831" s="36">
        <f t="shared" si="275"/>
        <v>5.9722222222222563E-3</v>
      </c>
      <c r="AD831" s="36">
        <f t="shared" si="275"/>
        <v>1.2824074074074092E-2</v>
      </c>
      <c r="AE831" s="36" t="str">
        <f t="shared" si="275"/>
        <v>B737-700</v>
      </c>
      <c r="AF831" s="36">
        <f t="shared" si="275"/>
        <v>126</v>
      </c>
      <c r="AG831" s="36" t="str">
        <f t="shared" si="275"/>
        <v>MEX</v>
      </c>
      <c r="AI831">
        <v>817</v>
      </c>
      <c r="AJ831" s="77" t="str">
        <f t="shared" si="273"/>
        <v>VUELOS AL NORTE</v>
      </c>
      <c r="AK831" s="77">
        <f t="shared" si="273"/>
        <v>226</v>
      </c>
      <c r="AL831" s="78">
        <v>0.9277777777777777</v>
      </c>
      <c r="AM831" s="79">
        <v>0.93611111111111101</v>
      </c>
      <c r="AN831" s="80">
        <v>8.3333333333333037E-3</v>
      </c>
      <c r="AO831" s="79">
        <v>0.94791666666666663</v>
      </c>
      <c r="AP831" s="80">
        <v>1.1805555555555625E-2</v>
      </c>
      <c r="AQ831" s="81">
        <v>41802</v>
      </c>
      <c r="AR831" s="77" t="str">
        <f t="shared" si="274"/>
        <v>Internacional</v>
      </c>
      <c r="AS831" s="77">
        <f t="shared" si="274"/>
        <v>1.2929894179894172E-2</v>
      </c>
      <c r="AT831" s="77">
        <f t="shared" si="274"/>
        <v>1.9411375661375661E-2</v>
      </c>
      <c r="AU831" s="77">
        <f t="shared" si="274"/>
        <v>3.234126984126983E-2</v>
      </c>
      <c r="AV831" s="77" t="str">
        <f t="shared" si="274"/>
        <v>B737-800</v>
      </c>
      <c r="AW831" s="77">
        <f t="shared" si="274"/>
        <v>189</v>
      </c>
      <c r="AX831" s="77" t="str">
        <f t="shared" si="274"/>
        <v>SEA</v>
      </c>
    </row>
    <row r="832" spans="1:50" x14ac:dyDescent="0.25">
      <c r="A832">
        <v>818</v>
      </c>
      <c r="B832" s="36" t="str">
        <f t="shared" si="266"/>
        <v>UNIDOS VOLAMOS</v>
      </c>
      <c r="C832" s="36">
        <f t="shared" si="266"/>
        <v>4354</v>
      </c>
      <c r="D832" s="118">
        <v>0.4458333333333333</v>
      </c>
      <c r="E832" s="118">
        <v>0.46111111111111108</v>
      </c>
      <c r="F832" s="119">
        <v>1.5277777777777779E-2</v>
      </c>
      <c r="G832" s="118">
        <v>0.47638888888888892</v>
      </c>
      <c r="H832" s="119">
        <v>1.5277777777777835E-2</v>
      </c>
      <c r="I832" s="81">
        <v>41725</v>
      </c>
      <c r="J832" s="36" t="str">
        <f t="shared" si="276"/>
        <v>Internacional</v>
      </c>
      <c r="K832" s="36">
        <f t="shared" si="276"/>
        <v>1.1400462962962965E-2</v>
      </c>
      <c r="L832" s="36">
        <f t="shared" si="276"/>
        <v>9.143518518518523E-3</v>
      </c>
      <c r="M832" s="36">
        <f t="shared" si="276"/>
        <v>2.0543981481481489E-2</v>
      </c>
      <c r="N832" s="36" t="str">
        <f t="shared" si="276"/>
        <v>ER4</v>
      </c>
      <c r="O832" s="36">
        <f t="shared" si="276"/>
        <v>50</v>
      </c>
      <c r="P832" s="36" t="str">
        <f t="shared" si="276"/>
        <v>IAH</v>
      </c>
      <c r="R832">
        <v>818</v>
      </c>
      <c r="S832" s="36" t="str">
        <f t="shared" si="270"/>
        <v>MEXICO AEREO</v>
      </c>
      <c r="T832" s="36">
        <f t="shared" si="270"/>
        <v>108</v>
      </c>
      <c r="U832" s="73">
        <v>0.50208333333333333</v>
      </c>
      <c r="V832" s="74">
        <v>0.50763888888888886</v>
      </c>
      <c r="W832" s="75">
        <v>5.5555555555555358E-3</v>
      </c>
      <c r="X832" s="74">
        <v>0.51111111111111118</v>
      </c>
      <c r="Y832" s="75">
        <v>3.4722222222223209E-3</v>
      </c>
      <c r="Z832" s="76">
        <v>41742</v>
      </c>
      <c r="AA832" s="36" t="str">
        <f t="shared" si="275"/>
        <v>Nacional</v>
      </c>
      <c r="AB832" s="36">
        <f t="shared" si="275"/>
        <v>6.8518518518518347E-3</v>
      </c>
      <c r="AC832" s="36">
        <f t="shared" si="275"/>
        <v>5.9722222222222563E-3</v>
      </c>
      <c r="AD832" s="36">
        <f t="shared" si="275"/>
        <v>1.2824074074074092E-2</v>
      </c>
      <c r="AE832" s="36" t="str">
        <f t="shared" si="275"/>
        <v>B737-700</v>
      </c>
      <c r="AF832" s="36">
        <f t="shared" si="275"/>
        <v>126</v>
      </c>
      <c r="AG832" s="36" t="str">
        <f t="shared" si="275"/>
        <v>MEX</v>
      </c>
      <c r="AI832">
        <v>818</v>
      </c>
      <c r="AJ832" s="77" t="str">
        <f t="shared" si="273"/>
        <v>VUELOS AL NORTE</v>
      </c>
      <c r="AK832" s="77">
        <f t="shared" si="273"/>
        <v>226</v>
      </c>
      <c r="AL832" s="78">
        <v>0.53125</v>
      </c>
      <c r="AM832" s="79">
        <v>0.53819444444444442</v>
      </c>
      <c r="AN832" s="80">
        <v>6.9444444444444198E-3</v>
      </c>
      <c r="AO832" s="79">
        <v>0.55138888888888882</v>
      </c>
      <c r="AP832" s="80">
        <v>1.3194444444444398E-2</v>
      </c>
      <c r="AQ832" s="81">
        <v>41803</v>
      </c>
      <c r="AR832" s="77" t="str">
        <f t="shared" si="274"/>
        <v>Internacional</v>
      </c>
      <c r="AS832" s="77">
        <f t="shared" si="274"/>
        <v>1.2929894179894172E-2</v>
      </c>
      <c r="AT832" s="77">
        <f t="shared" si="274"/>
        <v>1.9411375661375661E-2</v>
      </c>
      <c r="AU832" s="77">
        <f t="shared" si="274"/>
        <v>3.234126984126983E-2</v>
      </c>
      <c r="AV832" s="77" t="str">
        <f t="shared" si="274"/>
        <v>B737-800</v>
      </c>
      <c r="AW832" s="77">
        <f t="shared" si="274"/>
        <v>189</v>
      </c>
      <c r="AX832" s="77" t="str">
        <f t="shared" si="274"/>
        <v>SEA</v>
      </c>
    </row>
    <row r="833" spans="1:50" x14ac:dyDescent="0.25">
      <c r="A833">
        <v>819</v>
      </c>
      <c r="B833" s="36" t="str">
        <f t="shared" si="266"/>
        <v>UNIDOS VOLAMOS</v>
      </c>
      <c r="C833" s="36">
        <f t="shared" si="266"/>
        <v>4354</v>
      </c>
      <c r="D833" s="118">
        <v>0.44305555555555554</v>
      </c>
      <c r="E833" s="118">
        <v>0.45069444444444445</v>
      </c>
      <c r="F833" s="119">
        <v>7.6388888888889173E-3</v>
      </c>
      <c r="G833" s="118">
        <v>0.4680555555555555</v>
      </c>
      <c r="H833" s="119">
        <v>1.7361111111111049E-2</v>
      </c>
      <c r="I833" s="81">
        <v>41726</v>
      </c>
      <c r="J833" s="36" t="str">
        <f t="shared" si="276"/>
        <v>Internacional</v>
      </c>
      <c r="K833" s="36">
        <f t="shared" si="276"/>
        <v>1.1400462962962965E-2</v>
      </c>
      <c r="L833" s="36">
        <f t="shared" si="276"/>
        <v>9.143518518518523E-3</v>
      </c>
      <c r="M833" s="36">
        <f t="shared" si="276"/>
        <v>2.0543981481481489E-2</v>
      </c>
      <c r="N833" s="36" t="str">
        <f t="shared" si="276"/>
        <v>ER4</v>
      </c>
      <c r="O833" s="36">
        <f t="shared" si="276"/>
        <v>50</v>
      </c>
      <c r="P833" s="36" t="str">
        <f t="shared" si="276"/>
        <v>IAH</v>
      </c>
      <c r="R833">
        <v>819</v>
      </c>
      <c r="S833" s="36" t="str">
        <f t="shared" si="270"/>
        <v>MEXICO AEREO</v>
      </c>
      <c r="T833" s="36">
        <f t="shared" si="270"/>
        <v>108</v>
      </c>
      <c r="U833" s="73">
        <v>0.50624999999999998</v>
      </c>
      <c r="V833" s="74">
        <v>0.51180555555555551</v>
      </c>
      <c r="W833" s="75">
        <v>5.5555555555555358E-3</v>
      </c>
      <c r="X833" s="74">
        <v>0.51527777777777783</v>
      </c>
      <c r="Y833" s="75">
        <v>3.4722222222223209E-3</v>
      </c>
      <c r="Z833" s="76">
        <v>41744</v>
      </c>
      <c r="AA833" s="36" t="str">
        <f t="shared" si="275"/>
        <v>Nacional</v>
      </c>
      <c r="AB833" s="36">
        <f t="shared" si="275"/>
        <v>6.8518518518518347E-3</v>
      </c>
      <c r="AC833" s="36">
        <f t="shared" si="275"/>
        <v>5.9722222222222563E-3</v>
      </c>
      <c r="AD833" s="36">
        <f t="shared" si="275"/>
        <v>1.2824074074074092E-2</v>
      </c>
      <c r="AE833" s="36" t="str">
        <f t="shared" si="275"/>
        <v>B737-700</v>
      </c>
      <c r="AF833" s="36">
        <f t="shared" si="275"/>
        <v>126</v>
      </c>
      <c r="AG833" s="36" t="str">
        <f t="shared" si="275"/>
        <v>MEX</v>
      </c>
      <c r="AI833">
        <v>819</v>
      </c>
      <c r="AJ833" s="77" t="str">
        <f t="shared" si="273"/>
        <v>VUELOS AL NORTE</v>
      </c>
      <c r="AK833" s="77">
        <f t="shared" si="273"/>
        <v>226</v>
      </c>
      <c r="AL833" s="78">
        <v>0.89236111111111116</v>
      </c>
      <c r="AM833" s="79">
        <v>0.90069444444444446</v>
      </c>
      <c r="AN833" s="80">
        <v>8.3333333333333037E-3</v>
      </c>
      <c r="AO833" s="79">
        <v>0.90625</v>
      </c>
      <c r="AP833" s="80">
        <v>5.5555555555555358E-3</v>
      </c>
      <c r="AQ833" s="81">
        <v>41804</v>
      </c>
      <c r="AR833" s="77" t="str">
        <f t="shared" si="274"/>
        <v>Internacional</v>
      </c>
      <c r="AS833" s="77">
        <f t="shared" si="274"/>
        <v>1.2929894179894172E-2</v>
      </c>
      <c r="AT833" s="77">
        <f t="shared" si="274"/>
        <v>1.9411375661375661E-2</v>
      </c>
      <c r="AU833" s="77">
        <f t="shared" si="274"/>
        <v>3.234126984126983E-2</v>
      </c>
      <c r="AV833" s="77" t="str">
        <f t="shared" si="274"/>
        <v>B737-800</v>
      </c>
      <c r="AW833" s="77">
        <f t="shared" si="274"/>
        <v>189</v>
      </c>
      <c r="AX833" s="77" t="str">
        <f t="shared" si="274"/>
        <v>SEA</v>
      </c>
    </row>
    <row r="834" spans="1:50" x14ac:dyDescent="0.25">
      <c r="A834">
        <v>820</v>
      </c>
      <c r="B834" s="36" t="str">
        <f t="shared" si="266"/>
        <v>UNIDOS VOLAMOS</v>
      </c>
      <c r="C834" s="36">
        <f t="shared" si="266"/>
        <v>4354</v>
      </c>
      <c r="D834" s="118">
        <v>0.46388888888888885</v>
      </c>
      <c r="E834" s="118">
        <v>0.47638888888888892</v>
      </c>
      <c r="F834" s="119">
        <v>1.2500000000000067E-2</v>
      </c>
      <c r="G834" s="118">
        <v>0.4916666666666667</v>
      </c>
      <c r="H834" s="119">
        <v>1.5277777777777779E-2</v>
      </c>
      <c r="I834" s="81">
        <v>41727</v>
      </c>
      <c r="J834" s="36" t="str">
        <f t="shared" si="276"/>
        <v>Internacional</v>
      </c>
      <c r="K834" s="36">
        <f t="shared" si="276"/>
        <v>1.1400462962962965E-2</v>
      </c>
      <c r="L834" s="36">
        <f t="shared" si="276"/>
        <v>9.143518518518523E-3</v>
      </c>
      <c r="M834" s="36">
        <f t="shared" si="276"/>
        <v>2.0543981481481489E-2</v>
      </c>
      <c r="N834" s="36" t="str">
        <f t="shared" si="276"/>
        <v>ER4</v>
      </c>
      <c r="O834" s="36">
        <f t="shared" si="276"/>
        <v>50</v>
      </c>
      <c r="P834" s="36" t="str">
        <f t="shared" si="276"/>
        <v>IAH</v>
      </c>
      <c r="R834">
        <v>820</v>
      </c>
      <c r="S834" s="36" t="str">
        <f t="shared" si="270"/>
        <v>MEXICO AEREO</v>
      </c>
      <c r="T834" s="36">
        <f t="shared" si="270"/>
        <v>108</v>
      </c>
      <c r="U834" s="73">
        <v>0.51388888888888895</v>
      </c>
      <c r="V834" s="74">
        <v>0.51944444444444449</v>
      </c>
      <c r="W834" s="75">
        <v>5.5555555555555358E-3</v>
      </c>
      <c r="X834" s="74">
        <v>0.52222222222222225</v>
      </c>
      <c r="Y834" s="75">
        <v>2.7777777777777679E-3</v>
      </c>
      <c r="Z834" s="76">
        <v>41745</v>
      </c>
      <c r="AA834" s="36" t="str">
        <f t="shared" si="275"/>
        <v>Nacional</v>
      </c>
      <c r="AB834" s="36">
        <f t="shared" si="275"/>
        <v>6.8518518518518347E-3</v>
      </c>
      <c r="AC834" s="36">
        <f t="shared" si="275"/>
        <v>5.9722222222222563E-3</v>
      </c>
      <c r="AD834" s="36">
        <f t="shared" si="275"/>
        <v>1.2824074074074092E-2</v>
      </c>
      <c r="AE834" s="36" t="str">
        <f t="shared" si="275"/>
        <v>B737-700</v>
      </c>
      <c r="AF834" s="36">
        <f t="shared" si="275"/>
        <v>126</v>
      </c>
      <c r="AG834" s="36" t="str">
        <f t="shared" si="275"/>
        <v>MEX</v>
      </c>
      <c r="AI834">
        <v>820</v>
      </c>
      <c r="AJ834" s="77" t="str">
        <f t="shared" si="273"/>
        <v>VUELOS AL NORTE</v>
      </c>
      <c r="AK834" s="77">
        <f t="shared" si="273"/>
        <v>226</v>
      </c>
      <c r="AL834" s="78">
        <v>0.68055555555555547</v>
      </c>
      <c r="AM834" s="79">
        <v>0.69305555555555554</v>
      </c>
      <c r="AN834" s="80">
        <v>1.2500000000000067E-2</v>
      </c>
      <c r="AO834" s="79">
        <v>0.69652777777777775</v>
      </c>
      <c r="AP834" s="80">
        <v>3.4722222222222099E-3</v>
      </c>
      <c r="AQ834" s="81">
        <v>41805</v>
      </c>
      <c r="AR834" s="77" t="str">
        <f t="shared" si="274"/>
        <v>Internacional</v>
      </c>
      <c r="AS834" s="77">
        <f t="shared" si="274"/>
        <v>1.2929894179894172E-2</v>
      </c>
      <c r="AT834" s="77">
        <f t="shared" si="274"/>
        <v>1.9411375661375661E-2</v>
      </c>
      <c r="AU834" s="77">
        <f t="shared" si="274"/>
        <v>3.234126984126983E-2</v>
      </c>
      <c r="AV834" s="77" t="str">
        <f t="shared" si="274"/>
        <v>B737-800</v>
      </c>
      <c r="AW834" s="77">
        <f t="shared" si="274"/>
        <v>189</v>
      </c>
      <c r="AX834" s="77" t="str">
        <f t="shared" si="274"/>
        <v>SEA</v>
      </c>
    </row>
    <row r="835" spans="1:50" x14ac:dyDescent="0.25">
      <c r="A835">
        <v>821</v>
      </c>
      <c r="B835" s="36" t="str">
        <f t="shared" si="266"/>
        <v>UNIDOS VOLAMOS</v>
      </c>
      <c r="C835" s="36">
        <f t="shared" si="266"/>
        <v>4354</v>
      </c>
      <c r="D835" s="118">
        <v>0.43611111111111112</v>
      </c>
      <c r="E835" s="118">
        <v>0.45763888888888887</v>
      </c>
      <c r="F835" s="119">
        <v>2.1527777777777757E-2</v>
      </c>
      <c r="G835" s="118">
        <v>0.4597222222222222</v>
      </c>
      <c r="H835" s="119">
        <v>2.0833333333333259E-3</v>
      </c>
      <c r="I835" s="81">
        <v>41728</v>
      </c>
      <c r="J835" s="36" t="str">
        <f t="shared" si="276"/>
        <v>Internacional</v>
      </c>
      <c r="K835" s="36">
        <f t="shared" si="276"/>
        <v>1.1400462962962965E-2</v>
      </c>
      <c r="L835" s="36">
        <f t="shared" si="276"/>
        <v>9.143518518518523E-3</v>
      </c>
      <c r="M835" s="36">
        <f t="shared" si="276"/>
        <v>2.0543981481481489E-2</v>
      </c>
      <c r="N835" s="36" t="str">
        <f t="shared" si="276"/>
        <v>ER4</v>
      </c>
      <c r="O835" s="36">
        <f t="shared" si="276"/>
        <v>50</v>
      </c>
      <c r="P835" s="36" t="str">
        <f t="shared" si="276"/>
        <v>IAH</v>
      </c>
      <c r="R835">
        <v>821</v>
      </c>
      <c r="S835" s="36" t="str">
        <f t="shared" si="270"/>
        <v>MEXICO AEREO</v>
      </c>
      <c r="T835" s="36">
        <f t="shared" si="270"/>
        <v>108</v>
      </c>
      <c r="U835" s="73">
        <v>0.51388888888888895</v>
      </c>
      <c r="V835" s="74">
        <v>0.5180555555555556</v>
      </c>
      <c r="W835" s="75">
        <v>4.1666666666666519E-3</v>
      </c>
      <c r="X835" s="74">
        <v>0.53194444444444444</v>
      </c>
      <c r="Y835" s="75">
        <v>1.388888888888884E-2</v>
      </c>
      <c r="Z835" s="76">
        <v>41746</v>
      </c>
      <c r="AA835" s="36" t="str">
        <f t="shared" si="275"/>
        <v>Nacional</v>
      </c>
      <c r="AB835" s="36">
        <f t="shared" si="275"/>
        <v>6.8518518518518347E-3</v>
      </c>
      <c r="AC835" s="36">
        <f t="shared" si="275"/>
        <v>5.9722222222222563E-3</v>
      </c>
      <c r="AD835" s="36">
        <f t="shared" si="275"/>
        <v>1.2824074074074092E-2</v>
      </c>
      <c r="AE835" s="36" t="str">
        <f t="shared" si="275"/>
        <v>B737-700</v>
      </c>
      <c r="AF835" s="36">
        <f t="shared" si="275"/>
        <v>126</v>
      </c>
      <c r="AG835" s="36" t="str">
        <f t="shared" si="275"/>
        <v>MEX</v>
      </c>
      <c r="AI835">
        <v>821</v>
      </c>
      <c r="AJ835" s="77" t="str">
        <f t="shared" si="273"/>
        <v>VUELOS AL NORTE</v>
      </c>
      <c r="AK835" s="77">
        <f t="shared" si="273"/>
        <v>226</v>
      </c>
      <c r="AL835" s="78">
        <v>0.7597222222222223</v>
      </c>
      <c r="AM835" s="79">
        <v>0.76874999999999993</v>
      </c>
      <c r="AN835" s="80">
        <v>9.0277777777776347E-3</v>
      </c>
      <c r="AO835" s="79">
        <v>0.78402777777777777</v>
      </c>
      <c r="AP835" s="80">
        <v>1.5277777777777835E-2</v>
      </c>
      <c r="AQ835" s="81">
        <v>41806</v>
      </c>
      <c r="AR835" s="77" t="str">
        <f t="shared" si="274"/>
        <v>Internacional</v>
      </c>
      <c r="AS835" s="77">
        <f t="shared" si="274"/>
        <v>1.2929894179894172E-2</v>
      </c>
      <c r="AT835" s="77">
        <f t="shared" si="274"/>
        <v>1.9411375661375661E-2</v>
      </c>
      <c r="AU835" s="77">
        <f t="shared" si="274"/>
        <v>3.234126984126983E-2</v>
      </c>
      <c r="AV835" s="77" t="str">
        <f t="shared" si="274"/>
        <v>B737-800</v>
      </c>
      <c r="AW835" s="77">
        <f t="shared" si="274"/>
        <v>189</v>
      </c>
      <c r="AX835" s="77" t="str">
        <f t="shared" si="274"/>
        <v>SEA</v>
      </c>
    </row>
    <row r="836" spans="1:50" ht="15.75" thickBot="1" x14ac:dyDescent="0.3">
      <c r="A836">
        <v>822</v>
      </c>
      <c r="B836" s="36" t="str">
        <f t="shared" si="266"/>
        <v>UNIDOS VOLAMOS</v>
      </c>
      <c r="C836" s="36">
        <f t="shared" si="266"/>
        <v>4354</v>
      </c>
      <c r="D836" s="176">
        <v>0.43055555555555558</v>
      </c>
      <c r="E836" s="176">
        <v>0.43958333333333338</v>
      </c>
      <c r="F836" s="177">
        <v>9.0277777777778012E-3</v>
      </c>
      <c r="G836" s="176">
        <v>0.44930555555555557</v>
      </c>
      <c r="H836" s="177">
        <v>9.7222222222221877E-3</v>
      </c>
      <c r="I836" s="97">
        <v>41729</v>
      </c>
      <c r="J836" s="36" t="str">
        <f t="shared" si="276"/>
        <v>Internacional</v>
      </c>
      <c r="K836" s="36">
        <f t="shared" si="276"/>
        <v>1.1400462962962965E-2</v>
      </c>
      <c r="L836" s="36">
        <f t="shared" si="276"/>
        <v>9.143518518518523E-3</v>
      </c>
      <c r="M836" s="36">
        <f t="shared" si="276"/>
        <v>2.0543981481481489E-2</v>
      </c>
      <c r="N836" s="36" t="str">
        <f t="shared" si="276"/>
        <v>ER4</v>
      </c>
      <c r="O836" s="36">
        <f t="shared" si="276"/>
        <v>50</v>
      </c>
      <c r="P836" s="36" t="str">
        <f t="shared" si="276"/>
        <v>IAH</v>
      </c>
      <c r="R836">
        <v>822</v>
      </c>
      <c r="S836" s="36" t="str">
        <f t="shared" si="270"/>
        <v>MEXICO AEREO</v>
      </c>
      <c r="T836" s="36">
        <f t="shared" si="270"/>
        <v>108</v>
      </c>
      <c r="U836" s="73">
        <v>0.50347222222222221</v>
      </c>
      <c r="V836" s="74">
        <v>0.51736111111111105</v>
      </c>
      <c r="W836" s="75">
        <v>1.388888888888884E-2</v>
      </c>
      <c r="X836" s="74">
        <v>0.52777777777777779</v>
      </c>
      <c r="Y836" s="75">
        <v>1.0416666666666741E-2</v>
      </c>
      <c r="Z836" s="76">
        <v>41750</v>
      </c>
      <c r="AA836" s="36" t="str">
        <f t="shared" si="275"/>
        <v>Nacional</v>
      </c>
      <c r="AB836" s="36">
        <f t="shared" si="275"/>
        <v>6.8518518518518347E-3</v>
      </c>
      <c r="AC836" s="36">
        <f t="shared" si="275"/>
        <v>5.9722222222222563E-3</v>
      </c>
      <c r="AD836" s="36">
        <f t="shared" si="275"/>
        <v>1.2824074074074092E-2</v>
      </c>
      <c r="AE836" s="36" t="str">
        <f t="shared" si="275"/>
        <v>B737-700</v>
      </c>
      <c r="AF836" s="36">
        <f t="shared" si="275"/>
        <v>126</v>
      </c>
      <c r="AG836" s="36" t="str">
        <f t="shared" si="275"/>
        <v>MEX</v>
      </c>
      <c r="AI836">
        <v>822</v>
      </c>
      <c r="AJ836" s="77" t="str">
        <f t="shared" si="273"/>
        <v>VUELOS AL NORTE</v>
      </c>
      <c r="AK836" s="77">
        <f t="shared" si="273"/>
        <v>226</v>
      </c>
      <c r="AL836" s="78">
        <v>0.23680555555555557</v>
      </c>
      <c r="AM836" s="79">
        <v>0.25625000000000003</v>
      </c>
      <c r="AN836" s="80">
        <v>1.9444444444444459E-2</v>
      </c>
      <c r="AO836" s="79">
        <v>0.28402777777777777</v>
      </c>
      <c r="AP836" s="80">
        <v>2.7777777777777735E-2</v>
      </c>
      <c r="AQ836" s="81">
        <v>41806</v>
      </c>
      <c r="AR836" s="77" t="str">
        <f t="shared" si="274"/>
        <v>Internacional</v>
      </c>
      <c r="AS836" s="77">
        <f t="shared" si="274"/>
        <v>1.2929894179894172E-2</v>
      </c>
      <c r="AT836" s="77">
        <f t="shared" si="274"/>
        <v>1.9411375661375661E-2</v>
      </c>
      <c r="AU836" s="77">
        <f t="shared" si="274"/>
        <v>3.234126984126983E-2</v>
      </c>
      <c r="AV836" s="77" t="str">
        <f t="shared" si="274"/>
        <v>B737-800</v>
      </c>
      <c r="AW836" s="77">
        <f t="shared" si="274"/>
        <v>189</v>
      </c>
      <c r="AX836" s="77" t="str">
        <f t="shared" si="274"/>
        <v>SEA</v>
      </c>
    </row>
    <row r="837" spans="1:50" x14ac:dyDescent="0.25">
      <c r="A837">
        <v>823</v>
      </c>
      <c r="B837" s="36" t="str">
        <f t="shared" si="266"/>
        <v>UNIDOS VOLAMOS</v>
      </c>
      <c r="C837" s="151">
        <v>4211</v>
      </c>
      <c r="D837" s="152">
        <v>0.99375000000000002</v>
      </c>
      <c r="E837" s="152">
        <v>1.0055555555555555</v>
      </c>
      <c r="F837" s="153">
        <v>1.1805555555555514E-2</v>
      </c>
      <c r="G837" s="152">
        <v>1.0111111111111111</v>
      </c>
      <c r="H837" s="153">
        <v>5.5555555555555358E-3</v>
      </c>
      <c r="I837" s="67">
        <v>41716</v>
      </c>
      <c r="J837" s="174" t="s">
        <v>22</v>
      </c>
      <c r="K837" s="135">
        <v>8.9583333333333234E-3</v>
      </c>
      <c r="L837" s="135">
        <v>1.298611111111111E-2</v>
      </c>
      <c r="M837" s="175">
        <v>2.1944444444444433E-2</v>
      </c>
      <c r="N837" s="90" t="s">
        <v>20</v>
      </c>
      <c r="O837" s="91">
        <v>50</v>
      </c>
      <c r="P837" s="92" t="s">
        <v>54</v>
      </c>
      <c r="R837">
        <v>823</v>
      </c>
      <c r="S837" s="36" t="str">
        <f t="shared" si="270"/>
        <v>MEXICO AEREO</v>
      </c>
      <c r="T837" s="36">
        <f t="shared" si="270"/>
        <v>108</v>
      </c>
      <c r="U837" s="73">
        <v>0.50416666666666665</v>
      </c>
      <c r="V837" s="74">
        <v>0.50972222222222219</v>
      </c>
      <c r="W837" s="75">
        <v>5.5555555555555358E-3</v>
      </c>
      <c r="X837" s="74">
        <v>0.5131944444444444</v>
      </c>
      <c r="Y837" s="75">
        <v>3.4722222222222099E-3</v>
      </c>
      <c r="Z837" s="76">
        <v>41758</v>
      </c>
      <c r="AA837" s="36" t="str">
        <f t="shared" si="275"/>
        <v>Nacional</v>
      </c>
      <c r="AB837" s="36">
        <f t="shared" si="275"/>
        <v>6.8518518518518347E-3</v>
      </c>
      <c r="AC837" s="36">
        <f t="shared" si="275"/>
        <v>5.9722222222222563E-3</v>
      </c>
      <c r="AD837" s="36">
        <f t="shared" si="275"/>
        <v>1.2824074074074092E-2</v>
      </c>
      <c r="AE837" s="36" t="str">
        <f t="shared" si="275"/>
        <v>B737-700</v>
      </c>
      <c r="AF837" s="36">
        <f t="shared" si="275"/>
        <v>126</v>
      </c>
      <c r="AG837" s="36" t="str">
        <f t="shared" si="275"/>
        <v>MEX</v>
      </c>
      <c r="AI837">
        <v>823</v>
      </c>
      <c r="AJ837" s="77" t="str">
        <f t="shared" si="273"/>
        <v>VUELOS AL NORTE</v>
      </c>
      <c r="AK837" s="77">
        <f t="shared" si="273"/>
        <v>226</v>
      </c>
      <c r="AL837" s="78">
        <v>0.87430555555555556</v>
      </c>
      <c r="AM837" s="79">
        <v>0.875</v>
      </c>
      <c r="AN837" s="80">
        <v>6.9444444444444198E-4</v>
      </c>
      <c r="AO837" s="79">
        <v>0.89374999999999993</v>
      </c>
      <c r="AP837" s="80">
        <v>1.8749999999999933E-2</v>
      </c>
      <c r="AQ837" s="81">
        <v>41807</v>
      </c>
      <c r="AR837" s="77" t="str">
        <f t="shared" si="274"/>
        <v>Internacional</v>
      </c>
      <c r="AS837" s="77">
        <f t="shared" si="274"/>
        <v>1.2929894179894172E-2</v>
      </c>
      <c r="AT837" s="77">
        <f t="shared" si="274"/>
        <v>1.9411375661375661E-2</v>
      </c>
      <c r="AU837" s="77">
        <f t="shared" si="274"/>
        <v>3.234126984126983E-2</v>
      </c>
      <c r="AV837" s="77" t="str">
        <f t="shared" si="274"/>
        <v>B737-800</v>
      </c>
      <c r="AW837" s="77">
        <f t="shared" si="274"/>
        <v>189</v>
      </c>
      <c r="AX837" s="77" t="str">
        <f t="shared" si="274"/>
        <v>SEA</v>
      </c>
    </row>
    <row r="838" spans="1:50" ht="15.75" thickBot="1" x14ac:dyDescent="0.3">
      <c r="A838">
        <v>824</v>
      </c>
      <c r="B838" s="36" t="str">
        <f t="shared" si="266"/>
        <v>UNIDOS VOLAMOS</v>
      </c>
      <c r="C838" s="36">
        <f t="shared" si="266"/>
        <v>4211</v>
      </c>
      <c r="D838" s="118">
        <v>0.95277777777777783</v>
      </c>
      <c r="E838" s="118">
        <v>0.96458333333333324</v>
      </c>
      <c r="F838" s="119">
        <v>1.1805555555555403E-2</v>
      </c>
      <c r="G838" s="118">
        <v>0.99722222222222223</v>
      </c>
      <c r="H838" s="119">
        <v>3.2638888888888995E-2</v>
      </c>
      <c r="I838" s="81">
        <v>41717</v>
      </c>
      <c r="J838" s="36" t="str">
        <f t="shared" ref="J838:P846" si="277">J837</f>
        <v>Internacional</v>
      </c>
      <c r="K838" s="36">
        <f t="shared" si="277"/>
        <v>8.9583333333333234E-3</v>
      </c>
      <c r="L838" s="36">
        <f t="shared" si="277"/>
        <v>1.298611111111111E-2</v>
      </c>
      <c r="M838" s="36">
        <f t="shared" si="277"/>
        <v>2.1944444444444433E-2</v>
      </c>
      <c r="N838" s="36" t="str">
        <f t="shared" si="277"/>
        <v>ER4</v>
      </c>
      <c r="O838" s="36">
        <f t="shared" si="277"/>
        <v>50</v>
      </c>
      <c r="P838" s="36" t="str">
        <f t="shared" si="277"/>
        <v>IAH</v>
      </c>
      <c r="R838">
        <v>824</v>
      </c>
      <c r="S838" s="36" t="str">
        <f t="shared" si="270"/>
        <v>MEXICO AEREO</v>
      </c>
      <c r="T838" s="36">
        <f t="shared" si="270"/>
        <v>108</v>
      </c>
      <c r="U838" s="83">
        <v>0.34027777777777773</v>
      </c>
      <c r="V838" s="84">
        <v>0.35902777777777778</v>
      </c>
      <c r="W838" s="85">
        <v>1.8750000000000044E-2</v>
      </c>
      <c r="X838" s="84">
        <v>0.36805555555555558</v>
      </c>
      <c r="Y838" s="85">
        <v>9.0277777777778012E-3</v>
      </c>
      <c r="Z838" s="86">
        <v>41737</v>
      </c>
      <c r="AA838" s="36" t="str">
        <f t="shared" si="275"/>
        <v>Nacional</v>
      </c>
      <c r="AB838" s="36">
        <f t="shared" si="275"/>
        <v>6.8518518518518347E-3</v>
      </c>
      <c r="AC838" s="36">
        <f t="shared" si="275"/>
        <v>5.9722222222222563E-3</v>
      </c>
      <c r="AD838" s="36">
        <f t="shared" si="275"/>
        <v>1.2824074074074092E-2</v>
      </c>
      <c r="AE838" s="36" t="str">
        <f t="shared" si="275"/>
        <v>B737-700</v>
      </c>
      <c r="AF838" s="36">
        <f t="shared" si="275"/>
        <v>126</v>
      </c>
      <c r="AG838" s="36" t="str">
        <f t="shared" si="275"/>
        <v>MEX</v>
      </c>
      <c r="AI838">
        <v>824</v>
      </c>
      <c r="AJ838" s="77" t="str">
        <f t="shared" si="273"/>
        <v>VUELOS AL NORTE</v>
      </c>
      <c r="AK838" s="77">
        <f t="shared" si="273"/>
        <v>226</v>
      </c>
      <c r="AL838" s="78">
        <v>0.18541666666666667</v>
      </c>
      <c r="AM838" s="79">
        <v>0.19305555555555554</v>
      </c>
      <c r="AN838" s="80">
        <v>7.6388888888888618E-3</v>
      </c>
      <c r="AO838" s="79">
        <v>0.22500000000000001</v>
      </c>
      <c r="AP838" s="80">
        <v>3.194444444444447E-2</v>
      </c>
      <c r="AQ838" s="81">
        <v>41808</v>
      </c>
      <c r="AR838" s="77" t="str">
        <f t="shared" si="274"/>
        <v>Internacional</v>
      </c>
      <c r="AS838" s="77">
        <f t="shared" si="274"/>
        <v>1.2929894179894172E-2</v>
      </c>
      <c r="AT838" s="77">
        <f t="shared" si="274"/>
        <v>1.9411375661375661E-2</v>
      </c>
      <c r="AU838" s="77">
        <f t="shared" si="274"/>
        <v>3.234126984126983E-2</v>
      </c>
      <c r="AV838" s="77" t="str">
        <f t="shared" si="274"/>
        <v>B737-800</v>
      </c>
      <c r="AW838" s="77">
        <f t="shared" si="274"/>
        <v>189</v>
      </c>
      <c r="AX838" s="77" t="str">
        <f t="shared" si="274"/>
        <v>SEA</v>
      </c>
    </row>
    <row r="839" spans="1:50" x14ac:dyDescent="0.25">
      <c r="A839">
        <v>825</v>
      </c>
      <c r="B839" s="36" t="str">
        <f t="shared" si="266"/>
        <v>UNIDOS VOLAMOS</v>
      </c>
      <c r="C839" s="36">
        <f t="shared" si="266"/>
        <v>4211</v>
      </c>
      <c r="D839" s="118">
        <v>0.94097222222222221</v>
      </c>
      <c r="E839" s="118">
        <v>0.94930555555555562</v>
      </c>
      <c r="F839" s="119">
        <v>8.3333333333334147E-3</v>
      </c>
      <c r="G839" s="118">
        <v>0.95833333333333337</v>
      </c>
      <c r="H839" s="119">
        <v>9.0277777777777457E-3</v>
      </c>
      <c r="I839" s="81">
        <v>41719</v>
      </c>
      <c r="J839" s="36" t="str">
        <f t="shared" si="277"/>
        <v>Internacional</v>
      </c>
      <c r="K839" s="36">
        <f t="shared" si="277"/>
        <v>8.9583333333333234E-3</v>
      </c>
      <c r="L839" s="36">
        <f t="shared" si="277"/>
        <v>1.298611111111111E-2</v>
      </c>
      <c r="M839" s="36">
        <f t="shared" si="277"/>
        <v>2.1944444444444433E-2</v>
      </c>
      <c r="N839" s="36" t="str">
        <f t="shared" si="277"/>
        <v>ER4</v>
      </c>
      <c r="O839" s="36">
        <f t="shared" si="277"/>
        <v>50</v>
      </c>
      <c r="P839" s="36" t="str">
        <f t="shared" si="277"/>
        <v>IAH</v>
      </c>
      <c r="R839">
        <v>825</v>
      </c>
      <c r="S839" s="45" t="s">
        <v>18</v>
      </c>
      <c r="T839" s="88">
        <v>104</v>
      </c>
      <c r="U839" s="56">
        <v>0.47291666666666665</v>
      </c>
      <c r="V839" s="57">
        <v>0.47916666666666669</v>
      </c>
      <c r="W839" s="58">
        <v>6.2500000000000333E-3</v>
      </c>
      <c r="X839" s="57">
        <v>0.48194444444444445</v>
      </c>
      <c r="Y839" s="58">
        <v>2.7777777777777679E-3</v>
      </c>
      <c r="Z839" s="59">
        <v>41730</v>
      </c>
      <c r="AA839" s="60" t="s">
        <v>19</v>
      </c>
      <c r="AB839" s="61">
        <v>6.0185185185185229E-3</v>
      </c>
      <c r="AC839" s="61">
        <v>5.3240740740740809E-3</v>
      </c>
      <c r="AD839" s="62">
        <v>1.1342592592592604E-2</v>
      </c>
      <c r="AE839" s="167" t="s">
        <v>50</v>
      </c>
      <c r="AF839" s="167">
        <v>99</v>
      </c>
      <c r="AG839" s="168" t="s">
        <v>21</v>
      </c>
      <c r="AI839">
        <v>825</v>
      </c>
      <c r="AJ839" s="77" t="str">
        <f t="shared" si="273"/>
        <v>VUELOS AL NORTE</v>
      </c>
      <c r="AK839" s="77">
        <f t="shared" si="273"/>
        <v>226</v>
      </c>
      <c r="AL839" s="78">
        <v>0.19930555555555554</v>
      </c>
      <c r="AM839" s="79">
        <v>0.22013888888888888</v>
      </c>
      <c r="AN839" s="80">
        <v>2.0833333333333343E-2</v>
      </c>
      <c r="AO839" s="79">
        <v>0.24791666666666667</v>
      </c>
      <c r="AP839" s="80">
        <v>2.777777777777779E-2</v>
      </c>
      <c r="AQ839" s="81">
        <v>41809</v>
      </c>
      <c r="AR839" s="77" t="str">
        <f t="shared" si="274"/>
        <v>Internacional</v>
      </c>
      <c r="AS839" s="77">
        <f t="shared" si="274"/>
        <v>1.2929894179894172E-2</v>
      </c>
      <c r="AT839" s="77">
        <f t="shared" si="274"/>
        <v>1.9411375661375661E-2</v>
      </c>
      <c r="AU839" s="77">
        <f t="shared" si="274"/>
        <v>3.234126984126983E-2</v>
      </c>
      <c r="AV839" s="77" t="str">
        <f t="shared" si="274"/>
        <v>B737-800</v>
      </c>
      <c r="AW839" s="77">
        <f t="shared" si="274"/>
        <v>189</v>
      </c>
      <c r="AX839" s="77" t="str">
        <f t="shared" si="274"/>
        <v>SEA</v>
      </c>
    </row>
    <row r="840" spans="1:50" x14ac:dyDescent="0.25">
      <c r="A840">
        <v>826</v>
      </c>
      <c r="B840" s="36" t="str">
        <f t="shared" si="266"/>
        <v>UNIDOS VOLAMOS</v>
      </c>
      <c r="C840" s="36">
        <f t="shared" si="266"/>
        <v>4211</v>
      </c>
      <c r="D840" s="118">
        <v>0.94930555555555562</v>
      </c>
      <c r="E840" s="118">
        <v>0.95833333333333337</v>
      </c>
      <c r="F840" s="119">
        <v>9.0277777777777457E-3</v>
      </c>
      <c r="G840" s="118">
        <v>0.96875</v>
      </c>
      <c r="H840" s="119">
        <v>1.041666666666663E-2</v>
      </c>
      <c r="I840" s="81">
        <v>41719</v>
      </c>
      <c r="J840" s="36" t="str">
        <f t="shared" si="277"/>
        <v>Internacional</v>
      </c>
      <c r="K840" s="36">
        <f t="shared" si="277"/>
        <v>8.9583333333333234E-3</v>
      </c>
      <c r="L840" s="36">
        <f t="shared" si="277"/>
        <v>1.298611111111111E-2</v>
      </c>
      <c r="M840" s="36">
        <f t="shared" si="277"/>
        <v>2.1944444444444433E-2</v>
      </c>
      <c r="N840" s="36" t="str">
        <f t="shared" si="277"/>
        <v>ER4</v>
      </c>
      <c r="O840" s="36">
        <f t="shared" si="277"/>
        <v>50</v>
      </c>
      <c r="P840" s="36" t="str">
        <f t="shared" si="277"/>
        <v>IAH</v>
      </c>
      <c r="R840">
        <v>826</v>
      </c>
      <c r="S840" s="36" t="str">
        <f t="shared" ref="S840:T875" si="278">S839</f>
        <v>MEXICO AEREO</v>
      </c>
      <c r="T840" s="36">
        <f t="shared" si="278"/>
        <v>104</v>
      </c>
      <c r="U840" s="73">
        <v>0.46666666666666662</v>
      </c>
      <c r="V840" s="74">
        <v>0.47291666666666665</v>
      </c>
      <c r="W840" s="75">
        <v>6.2500000000000333E-3</v>
      </c>
      <c r="X840" s="74">
        <v>0.47916666666666669</v>
      </c>
      <c r="Y840" s="75">
        <v>6.2500000000000333E-3</v>
      </c>
      <c r="Z840" s="76">
        <v>41731</v>
      </c>
      <c r="AA840" s="36" t="str">
        <f t="shared" ref="AA840:AG853" si="279">AA839</f>
        <v>Nacional</v>
      </c>
      <c r="AB840" s="36">
        <f t="shared" si="279"/>
        <v>6.0185185185185229E-3</v>
      </c>
      <c r="AC840" s="36">
        <f t="shared" si="279"/>
        <v>5.3240740740740809E-3</v>
      </c>
      <c r="AD840" s="36">
        <f t="shared" si="279"/>
        <v>1.1342592592592604E-2</v>
      </c>
      <c r="AE840" s="36" t="str">
        <f t="shared" si="279"/>
        <v>E90</v>
      </c>
      <c r="AF840" s="36">
        <f t="shared" si="279"/>
        <v>99</v>
      </c>
      <c r="AG840" s="36" t="str">
        <f t="shared" si="279"/>
        <v>MEX</v>
      </c>
      <c r="AI840">
        <v>826</v>
      </c>
      <c r="AJ840" s="77" t="str">
        <f t="shared" si="273"/>
        <v>VUELOS AL NORTE</v>
      </c>
      <c r="AK840" s="77">
        <f t="shared" si="273"/>
        <v>226</v>
      </c>
      <c r="AL840" s="78">
        <v>0.1875</v>
      </c>
      <c r="AM840" s="79">
        <v>0.20277777777777781</v>
      </c>
      <c r="AN840" s="80">
        <v>1.5277777777777807E-2</v>
      </c>
      <c r="AO840" s="79">
        <v>0.22361111111111109</v>
      </c>
      <c r="AP840" s="80">
        <v>2.0833333333333287E-2</v>
      </c>
      <c r="AQ840" s="81">
        <v>41810</v>
      </c>
      <c r="AR840" s="77" t="str">
        <f t="shared" si="274"/>
        <v>Internacional</v>
      </c>
      <c r="AS840" s="77">
        <f t="shared" si="274"/>
        <v>1.2929894179894172E-2</v>
      </c>
      <c r="AT840" s="77">
        <f t="shared" si="274"/>
        <v>1.9411375661375661E-2</v>
      </c>
      <c r="AU840" s="77">
        <f t="shared" si="274"/>
        <v>3.234126984126983E-2</v>
      </c>
      <c r="AV840" s="77" t="str">
        <f t="shared" si="274"/>
        <v>B737-800</v>
      </c>
      <c r="AW840" s="77">
        <f t="shared" si="274"/>
        <v>189</v>
      </c>
      <c r="AX840" s="77" t="str">
        <f t="shared" si="274"/>
        <v>SEA</v>
      </c>
    </row>
    <row r="841" spans="1:50" x14ac:dyDescent="0.25">
      <c r="A841">
        <v>827</v>
      </c>
      <c r="B841" s="36" t="str">
        <f t="shared" si="266"/>
        <v>UNIDOS VOLAMOS</v>
      </c>
      <c r="C841" s="36">
        <f t="shared" si="266"/>
        <v>4211</v>
      </c>
      <c r="D841" s="118">
        <v>0.95138888888888884</v>
      </c>
      <c r="E841" s="118">
        <v>0.95972222222222225</v>
      </c>
      <c r="F841" s="119">
        <v>8.3333333333334147E-3</v>
      </c>
      <c r="G841" s="118">
        <v>0.96597222222222223</v>
      </c>
      <c r="H841" s="119">
        <v>6.2499999999999778E-3</v>
      </c>
      <c r="I841" s="81">
        <v>41721</v>
      </c>
      <c r="J841" s="36" t="str">
        <f t="shared" si="277"/>
        <v>Internacional</v>
      </c>
      <c r="K841" s="36">
        <f t="shared" si="277"/>
        <v>8.9583333333333234E-3</v>
      </c>
      <c r="L841" s="36">
        <f t="shared" si="277"/>
        <v>1.298611111111111E-2</v>
      </c>
      <c r="M841" s="36">
        <f t="shared" si="277"/>
        <v>2.1944444444444433E-2</v>
      </c>
      <c r="N841" s="36" t="str">
        <f t="shared" si="277"/>
        <v>ER4</v>
      </c>
      <c r="O841" s="36">
        <f t="shared" si="277"/>
        <v>50</v>
      </c>
      <c r="P841" s="36" t="str">
        <f t="shared" si="277"/>
        <v>IAH</v>
      </c>
      <c r="R841">
        <v>827</v>
      </c>
      <c r="S841" s="36" t="str">
        <f t="shared" si="278"/>
        <v>MEXICO AEREO</v>
      </c>
      <c r="T841" s="36">
        <f t="shared" si="278"/>
        <v>104</v>
      </c>
      <c r="U841" s="73">
        <v>0.4680555555555555</v>
      </c>
      <c r="V841" s="74">
        <v>0.47222222222222227</v>
      </c>
      <c r="W841" s="75">
        <v>4.1666666666667629E-3</v>
      </c>
      <c r="X841" s="74">
        <v>0.47986111111111113</v>
      </c>
      <c r="Y841" s="75">
        <v>7.6388888888888618E-3</v>
      </c>
      <c r="Z841" s="76">
        <v>41733</v>
      </c>
      <c r="AA841" s="36" t="str">
        <f t="shared" si="279"/>
        <v>Nacional</v>
      </c>
      <c r="AB841" s="36">
        <f t="shared" si="279"/>
        <v>6.0185185185185229E-3</v>
      </c>
      <c r="AC841" s="36">
        <f t="shared" si="279"/>
        <v>5.3240740740740809E-3</v>
      </c>
      <c r="AD841" s="36">
        <f t="shared" si="279"/>
        <v>1.1342592592592604E-2</v>
      </c>
      <c r="AE841" s="36" t="str">
        <f t="shared" si="279"/>
        <v>E90</v>
      </c>
      <c r="AF841" s="36">
        <f t="shared" si="279"/>
        <v>99</v>
      </c>
      <c r="AG841" s="36" t="str">
        <f t="shared" si="279"/>
        <v>MEX</v>
      </c>
      <c r="AI841">
        <v>827</v>
      </c>
      <c r="AJ841" s="77" t="str">
        <f t="shared" si="273"/>
        <v>VUELOS AL NORTE</v>
      </c>
      <c r="AK841" s="77">
        <f t="shared" si="273"/>
        <v>226</v>
      </c>
      <c r="AL841" s="78">
        <v>0.19236111111111112</v>
      </c>
      <c r="AM841" s="79">
        <v>0.2076388888888889</v>
      </c>
      <c r="AN841" s="80">
        <v>1.5277777777777779E-2</v>
      </c>
      <c r="AO841" s="79">
        <v>0.22708333333333333</v>
      </c>
      <c r="AP841" s="80">
        <v>1.9444444444444431E-2</v>
      </c>
      <c r="AQ841" s="81">
        <v>41811</v>
      </c>
      <c r="AR841" s="77" t="str">
        <f t="shared" si="274"/>
        <v>Internacional</v>
      </c>
      <c r="AS841" s="77">
        <f t="shared" si="274"/>
        <v>1.2929894179894172E-2</v>
      </c>
      <c r="AT841" s="77">
        <f t="shared" si="274"/>
        <v>1.9411375661375661E-2</v>
      </c>
      <c r="AU841" s="77">
        <f t="shared" si="274"/>
        <v>3.234126984126983E-2</v>
      </c>
      <c r="AV841" s="77" t="str">
        <f t="shared" si="274"/>
        <v>B737-800</v>
      </c>
      <c r="AW841" s="77">
        <f t="shared" si="274"/>
        <v>189</v>
      </c>
      <c r="AX841" s="77" t="str">
        <f t="shared" si="274"/>
        <v>SEA</v>
      </c>
    </row>
    <row r="842" spans="1:50" x14ac:dyDescent="0.25">
      <c r="A842">
        <v>828</v>
      </c>
      <c r="B842" s="36" t="str">
        <f t="shared" si="266"/>
        <v>UNIDOS VOLAMOS</v>
      </c>
      <c r="C842" s="36">
        <f t="shared" si="266"/>
        <v>4211</v>
      </c>
      <c r="D842" s="118">
        <v>0.93819444444444444</v>
      </c>
      <c r="E842" s="118">
        <v>0.94236111111111109</v>
      </c>
      <c r="F842" s="119">
        <v>4.1666666666666519E-3</v>
      </c>
      <c r="G842" s="118">
        <v>0.95833333333333337</v>
      </c>
      <c r="H842" s="119">
        <v>1.5972222222222276E-2</v>
      </c>
      <c r="I842" s="81">
        <v>41723</v>
      </c>
      <c r="J842" s="36" t="str">
        <f t="shared" si="277"/>
        <v>Internacional</v>
      </c>
      <c r="K842" s="36">
        <f t="shared" si="277"/>
        <v>8.9583333333333234E-3</v>
      </c>
      <c r="L842" s="36">
        <f t="shared" si="277"/>
        <v>1.298611111111111E-2</v>
      </c>
      <c r="M842" s="36">
        <f t="shared" si="277"/>
        <v>2.1944444444444433E-2</v>
      </c>
      <c r="N842" s="36" t="str">
        <f t="shared" si="277"/>
        <v>ER4</v>
      </c>
      <c r="O842" s="36">
        <f t="shared" si="277"/>
        <v>50</v>
      </c>
      <c r="P842" s="36" t="str">
        <f t="shared" si="277"/>
        <v>IAH</v>
      </c>
      <c r="R842">
        <v>828</v>
      </c>
      <c r="S842" s="36" t="str">
        <f t="shared" si="278"/>
        <v>MEXICO AEREO</v>
      </c>
      <c r="T842" s="36">
        <f t="shared" si="278"/>
        <v>104</v>
      </c>
      <c r="U842" s="73">
        <v>0.46527777777777773</v>
      </c>
      <c r="V842" s="74">
        <v>0.47291666666666665</v>
      </c>
      <c r="W842" s="75">
        <v>7.6388888888889173E-3</v>
      </c>
      <c r="X842" s="74">
        <v>0.4777777777777778</v>
      </c>
      <c r="Y842" s="75">
        <v>4.8611111111111494E-3</v>
      </c>
      <c r="Z842" s="76">
        <v>41735</v>
      </c>
      <c r="AA842" s="36" t="str">
        <f t="shared" si="279"/>
        <v>Nacional</v>
      </c>
      <c r="AB842" s="36">
        <f t="shared" si="279"/>
        <v>6.0185185185185229E-3</v>
      </c>
      <c r="AC842" s="36">
        <f t="shared" si="279"/>
        <v>5.3240740740740809E-3</v>
      </c>
      <c r="AD842" s="36">
        <f t="shared" si="279"/>
        <v>1.1342592592592604E-2</v>
      </c>
      <c r="AE842" s="36" t="str">
        <f t="shared" si="279"/>
        <v>E90</v>
      </c>
      <c r="AF842" s="36">
        <f t="shared" si="279"/>
        <v>99</v>
      </c>
      <c r="AG842" s="36" t="str">
        <f t="shared" si="279"/>
        <v>MEX</v>
      </c>
      <c r="AI842">
        <v>828</v>
      </c>
      <c r="AJ842" s="77" t="str">
        <f t="shared" si="273"/>
        <v>VUELOS AL NORTE</v>
      </c>
      <c r="AK842" s="77">
        <f t="shared" si="273"/>
        <v>226</v>
      </c>
      <c r="AL842" s="78">
        <v>0.18958333333333333</v>
      </c>
      <c r="AM842" s="79">
        <v>0.20208333333333331</v>
      </c>
      <c r="AN842" s="80">
        <v>1.2499999999999983E-2</v>
      </c>
      <c r="AO842" s="79">
        <v>0.21805555555555556</v>
      </c>
      <c r="AP842" s="80">
        <v>1.5972222222222249E-2</v>
      </c>
      <c r="AQ842" s="81">
        <v>41812</v>
      </c>
      <c r="AR842" s="77" t="str">
        <f t="shared" si="274"/>
        <v>Internacional</v>
      </c>
      <c r="AS842" s="77">
        <f t="shared" si="274"/>
        <v>1.2929894179894172E-2</v>
      </c>
      <c r="AT842" s="77">
        <f t="shared" si="274"/>
        <v>1.9411375661375661E-2</v>
      </c>
      <c r="AU842" s="77">
        <f t="shared" si="274"/>
        <v>3.234126984126983E-2</v>
      </c>
      <c r="AV842" s="77" t="str">
        <f t="shared" si="274"/>
        <v>B737-800</v>
      </c>
      <c r="AW842" s="77">
        <f t="shared" si="274"/>
        <v>189</v>
      </c>
      <c r="AX842" s="77" t="str">
        <f t="shared" si="274"/>
        <v>SEA</v>
      </c>
    </row>
    <row r="843" spans="1:50" ht="15.75" thickBot="1" x14ac:dyDescent="0.3">
      <c r="A843">
        <v>829</v>
      </c>
      <c r="B843" s="36" t="str">
        <f t="shared" si="266"/>
        <v>UNIDOS VOLAMOS</v>
      </c>
      <c r="C843" s="36">
        <f t="shared" si="266"/>
        <v>4211</v>
      </c>
      <c r="D843" s="118">
        <v>0.96805555555555556</v>
      </c>
      <c r="E843" s="118">
        <v>0.97986111111111107</v>
      </c>
      <c r="F843" s="119">
        <v>1.1805555555555514E-2</v>
      </c>
      <c r="G843" s="118">
        <v>0.99513888888888891</v>
      </c>
      <c r="H843" s="119">
        <v>1.5277777777777835E-2</v>
      </c>
      <c r="I843" s="81">
        <v>41724</v>
      </c>
      <c r="J843" s="36" t="str">
        <f t="shared" si="277"/>
        <v>Internacional</v>
      </c>
      <c r="K843" s="36">
        <f t="shared" si="277"/>
        <v>8.9583333333333234E-3</v>
      </c>
      <c r="L843" s="36">
        <f t="shared" si="277"/>
        <v>1.298611111111111E-2</v>
      </c>
      <c r="M843" s="36">
        <f t="shared" si="277"/>
        <v>2.1944444444444433E-2</v>
      </c>
      <c r="N843" s="36" t="str">
        <f t="shared" si="277"/>
        <v>ER4</v>
      </c>
      <c r="O843" s="36">
        <f t="shared" si="277"/>
        <v>50</v>
      </c>
      <c r="P843" s="36" t="str">
        <f t="shared" si="277"/>
        <v>IAH</v>
      </c>
      <c r="R843">
        <v>829</v>
      </c>
      <c r="S843" s="36" t="str">
        <f t="shared" si="278"/>
        <v>MEXICO AEREO</v>
      </c>
      <c r="T843" s="36">
        <f t="shared" si="278"/>
        <v>104</v>
      </c>
      <c r="U843" s="73">
        <v>0.47430555555555554</v>
      </c>
      <c r="V843" s="74">
        <v>0.47916666666666669</v>
      </c>
      <c r="W843" s="75">
        <v>4.8611111111111494E-3</v>
      </c>
      <c r="X843" s="74">
        <v>0.4861111111111111</v>
      </c>
      <c r="Y843" s="75">
        <v>6.9444444444444198E-3</v>
      </c>
      <c r="Z843" s="76">
        <v>41737</v>
      </c>
      <c r="AA843" s="36" t="str">
        <f t="shared" si="279"/>
        <v>Nacional</v>
      </c>
      <c r="AB843" s="36">
        <f t="shared" si="279"/>
        <v>6.0185185185185229E-3</v>
      </c>
      <c r="AC843" s="36">
        <f t="shared" si="279"/>
        <v>5.3240740740740809E-3</v>
      </c>
      <c r="AD843" s="36">
        <f t="shared" si="279"/>
        <v>1.1342592592592604E-2</v>
      </c>
      <c r="AE843" s="36" t="str">
        <f t="shared" si="279"/>
        <v>E90</v>
      </c>
      <c r="AF843" s="36">
        <f t="shared" si="279"/>
        <v>99</v>
      </c>
      <c r="AG843" s="36" t="str">
        <f t="shared" si="279"/>
        <v>MEX</v>
      </c>
      <c r="AI843">
        <v>829</v>
      </c>
      <c r="AJ843" s="77" t="str">
        <f t="shared" si="273"/>
        <v>VUELOS AL NORTE</v>
      </c>
      <c r="AK843" s="77">
        <f t="shared" si="273"/>
        <v>226</v>
      </c>
      <c r="AL843" s="94">
        <v>0.18888888888888888</v>
      </c>
      <c r="AM843" s="95">
        <v>0.20833333333333334</v>
      </c>
      <c r="AN843" s="96">
        <v>1.9444444444444459E-2</v>
      </c>
      <c r="AO843" s="95">
        <v>0.24374999999999999</v>
      </c>
      <c r="AP843" s="96">
        <v>3.5416666666666652E-2</v>
      </c>
      <c r="AQ843" s="97">
        <v>41813</v>
      </c>
      <c r="AR843" s="77" t="str">
        <f t="shared" si="274"/>
        <v>Internacional</v>
      </c>
      <c r="AS843" s="77">
        <f t="shared" si="274"/>
        <v>1.2929894179894172E-2</v>
      </c>
      <c r="AT843" s="77">
        <f t="shared" si="274"/>
        <v>1.9411375661375661E-2</v>
      </c>
      <c r="AU843" s="77">
        <f t="shared" si="274"/>
        <v>3.234126984126983E-2</v>
      </c>
      <c r="AV843" s="77" t="str">
        <f t="shared" si="274"/>
        <v>B737-800</v>
      </c>
      <c r="AW843" s="77">
        <f t="shared" si="274"/>
        <v>189</v>
      </c>
      <c r="AX843" s="77" t="str">
        <f t="shared" si="274"/>
        <v>SEA</v>
      </c>
    </row>
    <row r="844" spans="1:50" x14ac:dyDescent="0.25">
      <c r="A844">
        <v>830</v>
      </c>
      <c r="B844" s="36" t="str">
        <f t="shared" si="266"/>
        <v>UNIDOS VOLAMOS</v>
      </c>
      <c r="C844" s="36">
        <f t="shared" si="266"/>
        <v>4211</v>
      </c>
      <c r="D844" s="118">
        <v>0.95138888888888884</v>
      </c>
      <c r="E844" s="118">
        <v>0.95833333333333337</v>
      </c>
      <c r="F844" s="119">
        <v>6.9444444444445308E-3</v>
      </c>
      <c r="G844" s="118">
        <v>0.97222222222222221</v>
      </c>
      <c r="H844" s="119">
        <v>1.388888888888884E-2</v>
      </c>
      <c r="I844" s="81">
        <v>41725</v>
      </c>
      <c r="J844" s="36" t="str">
        <f t="shared" si="277"/>
        <v>Internacional</v>
      </c>
      <c r="K844" s="36">
        <f t="shared" si="277"/>
        <v>8.9583333333333234E-3</v>
      </c>
      <c r="L844" s="36">
        <f t="shared" si="277"/>
        <v>1.298611111111111E-2</v>
      </c>
      <c r="M844" s="36">
        <f t="shared" si="277"/>
        <v>2.1944444444444433E-2</v>
      </c>
      <c r="N844" s="36" t="str">
        <f t="shared" si="277"/>
        <v>ER4</v>
      </c>
      <c r="O844" s="36">
        <f t="shared" si="277"/>
        <v>50</v>
      </c>
      <c r="P844" s="36" t="str">
        <f t="shared" si="277"/>
        <v>IAH</v>
      </c>
      <c r="R844">
        <v>830</v>
      </c>
      <c r="S844" s="36" t="str">
        <f t="shared" si="278"/>
        <v>MEXICO AEREO</v>
      </c>
      <c r="T844" s="36">
        <f t="shared" si="278"/>
        <v>104</v>
      </c>
      <c r="U844" s="73">
        <v>0.47500000000000003</v>
      </c>
      <c r="V844" s="74">
        <v>0.47847222222222219</v>
      </c>
      <c r="W844" s="75">
        <v>3.4722222222221544E-3</v>
      </c>
      <c r="X844" s="74">
        <v>0.4826388888888889</v>
      </c>
      <c r="Y844" s="75">
        <v>4.1666666666667074E-3</v>
      </c>
      <c r="Z844" s="76">
        <v>41738</v>
      </c>
      <c r="AA844" s="36" t="str">
        <f t="shared" si="279"/>
        <v>Nacional</v>
      </c>
      <c r="AB844" s="36">
        <f t="shared" si="279"/>
        <v>6.0185185185185229E-3</v>
      </c>
      <c r="AC844" s="36">
        <f t="shared" si="279"/>
        <v>5.3240740740740809E-3</v>
      </c>
      <c r="AD844" s="36">
        <f t="shared" si="279"/>
        <v>1.1342592592592604E-2</v>
      </c>
      <c r="AE844" s="36" t="str">
        <f t="shared" si="279"/>
        <v>E90</v>
      </c>
      <c r="AF844" s="36">
        <f t="shared" si="279"/>
        <v>99</v>
      </c>
      <c r="AG844" s="36" t="str">
        <f t="shared" si="279"/>
        <v>MEX</v>
      </c>
      <c r="AI844">
        <v>830</v>
      </c>
      <c r="AJ844" s="63" t="s">
        <v>53</v>
      </c>
      <c r="AK844" s="63">
        <v>3275</v>
      </c>
      <c r="AL844" s="64">
        <v>0.47847222222222219</v>
      </c>
      <c r="AM844" s="65">
        <v>0.48680555555555555</v>
      </c>
      <c r="AN844" s="66">
        <v>8.3333333333333592E-3</v>
      </c>
      <c r="AO844" s="65">
        <v>0.49305555555555558</v>
      </c>
      <c r="AP844" s="66">
        <v>6.2500000000000333E-3</v>
      </c>
      <c r="AQ844" s="67">
        <v>41791</v>
      </c>
      <c r="AR844" s="68" t="s">
        <v>22</v>
      </c>
      <c r="AS844" s="69">
        <v>1.3159722222222234E-2</v>
      </c>
      <c r="AT844" s="70">
        <v>1.1354166666666674E-2</v>
      </c>
      <c r="AU844" s="70">
        <v>2.4513888888888908E-2</v>
      </c>
      <c r="AV844" s="71" t="s">
        <v>20</v>
      </c>
      <c r="AW844" s="71">
        <v>50</v>
      </c>
      <c r="AX844" s="72" t="s">
        <v>23</v>
      </c>
    </row>
    <row r="845" spans="1:50" x14ac:dyDescent="0.25">
      <c r="A845">
        <v>831</v>
      </c>
      <c r="B845" s="36" t="str">
        <f t="shared" si="266"/>
        <v>UNIDOS VOLAMOS</v>
      </c>
      <c r="C845" s="36">
        <f t="shared" si="266"/>
        <v>4211</v>
      </c>
      <c r="D845" s="118">
        <v>0.98402777777777783</v>
      </c>
      <c r="E845" s="118">
        <v>0.99097222222222225</v>
      </c>
      <c r="F845" s="119">
        <v>6.9444444444444198E-3</v>
      </c>
      <c r="G845" s="118">
        <v>1.0048611111111112</v>
      </c>
      <c r="H845" s="119">
        <v>1.3888888888888951E-2</v>
      </c>
      <c r="I845" s="81">
        <v>41727</v>
      </c>
      <c r="J845" s="36" t="str">
        <f t="shared" si="277"/>
        <v>Internacional</v>
      </c>
      <c r="K845" s="36">
        <f t="shared" si="277"/>
        <v>8.9583333333333234E-3</v>
      </c>
      <c r="L845" s="36">
        <f t="shared" si="277"/>
        <v>1.298611111111111E-2</v>
      </c>
      <c r="M845" s="36">
        <f t="shared" si="277"/>
        <v>2.1944444444444433E-2</v>
      </c>
      <c r="N845" s="36" t="str">
        <f t="shared" si="277"/>
        <v>ER4</v>
      </c>
      <c r="O845" s="36">
        <f t="shared" si="277"/>
        <v>50</v>
      </c>
      <c r="P845" s="36" t="str">
        <f t="shared" si="277"/>
        <v>IAH</v>
      </c>
      <c r="R845">
        <v>831</v>
      </c>
      <c r="S845" s="36" t="str">
        <f t="shared" si="278"/>
        <v>MEXICO AEREO</v>
      </c>
      <c r="T845" s="36">
        <f t="shared" si="278"/>
        <v>104</v>
      </c>
      <c r="U845" s="73">
        <v>0.47291666666666665</v>
      </c>
      <c r="V845" s="74">
        <v>0.47916666666666669</v>
      </c>
      <c r="W845" s="75">
        <v>6.2500000000000333E-3</v>
      </c>
      <c r="X845" s="74">
        <v>0.48194444444444445</v>
      </c>
      <c r="Y845" s="75">
        <v>2.7777777777777679E-3</v>
      </c>
      <c r="Z845" s="76">
        <v>41742</v>
      </c>
      <c r="AA845" s="36" t="str">
        <f t="shared" si="279"/>
        <v>Nacional</v>
      </c>
      <c r="AB845" s="36">
        <f t="shared" si="279"/>
        <v>6.0185185185185229E-3</v>
      </c>
      <c r="AC845" s="36">
        <f t="shared" si="279"/>
        <v>5.3240740740740809E-3</v>
      </c>
      <c r="AD845" s="36">
        <f t="shared" si="279"/>
        <v>1.1342592592592604E-2</v>
      </c>
      <c r="AE845" s="36" t="str">
        <f t="shared" si="279"/>
        <v>E90</v>
      </c>
      <c r="AF845" s="36">
        <f t="shared" si="279"/>
        <v>99</v>
      </c>
      <c r="AG845" s="36" t="str">
        <f t="shared" si="279"/>
        <v>MEX</v>
      </c>
      <c r="AI845">
        <v>831</v>
      </c>
      <c r="AJ845" s="77" t="str">
        <f t="shared" ref="AJ845:AK874" si="280">AJ844</f>
        <v>AEROLINEAS DE AMERICA</v>
      </c>
      <c r="AK845" s="77">
        <f t="shared" si="280"/>
        <v>3275</v>
      </c>
      <c r="AL845" s="78">
        <v>0.4777777777777778</v>
      </c>
      <c r="AM845" s="79">
        <v>0.48888888888888887</v>
      </c>
      <c r="AN845" s="80">
        <v>1.1111111111111072E-2</v>
      </c>
      <c r="AO845" s="79">
        <v>0.49652777777777773</v>
      </c>
      <c r="AP845" s="80">
        <v>7.6388888888888618E-3</v>
      </c>
      <c r="AQ845" s="81">
        <v>41792</v>
      </c>
      <c r="AR845" s="77" t="str">
        <f t="shared" ref="AR845:AX863" si="281">AR844</f>
        <v>Internacional</v>
      </c>
      <c r="AS845" s="77">
        <f t="shared" si="281"/>
        <v>1.3159722222222234E-2</v>
      </c>
      <c r="AT845" s="77">
        <f t="shared" si="281"/>
        <v>1.1354166666666674E-2</v>
      </c>
      <c r="AU845" s="77">
        <f t="shared" si="281"/>
        <v>2.4513888888888908E-2</v>
      </c>
      <c r="AV845" s="77" t="str">
        <f t="shared" si="281"/>
        <v>ER4</v>
      </c>
      <c r="AW845" s="77">
        <f t="shared" si="281"/>
        <v>50</v>
      </c>
      <c r="AX845" s="77" t="str">
        <f t="shared" si="281"/>
        <v>DFW</v>
      </c>
    </row>
    <row r="846" spans="1:50" ht="15.75" thickBot="1" x14ac:dyDescent="0.3">
      <c r="A846">
        <v>832</v>
      </c>
      <c r="B846" s="36" t="str">
        <f t="shared" si="266"/>
        <v>UNIDOS VOLAMOS</v>
      </c>
      <c r="C846" s="36">
        <f t="shared" si="266"/>
        <v>4211</v>
      </c>
      <c r="D846" s="176">
        <v>0.94444444444444453</v>
      </c>
      <c r="E846" s="176">
        <v>0.95486111111111116</v>
      </c>
      <c r="F846" s="177">
        <v>1.041666666666663E-2</v>
      </c>
      <c r="G846" s="176">
        <v>0.96180555555555547</v>
      </c>
      <c r="H846" s="177">
        <v>6.9444444444443088E-3</v>
      </c>
      <c r="I846" s="97">
        <v>41728</v>
      </c>
      <c r="J846" s="36" t="str">
        <f t="shared" si="277"/>
        <v>Internacional</v>
      </c>
      <c r="K846" s="36">
        <f t="shared" si="277"/>
        <v>8.9583333333333234E-3</v>
      </c>
      <c r="L846" s="36">
        <f t="shared" si="277"/>
        <v>1.298611111111111E-2</v>
      </c>
      <c r="M846" s="36">
        <f t="shared" si="277"/>
        <v>2.1944444444444433E-2</v>
      </c>
      <c r="N846" s="36" t="str">
        <f t="shared" si="277"/>
        <v>ER4</v>
      </c>
      <c r="O846" s="36">
        <f t="shared" si="277"/>
        <v>50</v>
      </c>
      <c r="P846" s="36" t="str">
        <f t="shared" si="277"/>
        <v>IAH</v>
      </c>
      <c r="R846">
        <v>832</v>
      </c>
      <c r="S846" s="36" t="str">
        <f t="shared" si="278"/>
        <v>MEXICO AEREO</v>
      </c>
      <c r="T846" s="36">
        <f t="shared" si="278"/>
        <v>104</v>
      </c>
      <c r="U846" s="73">
        <v>0.48055555555555557</v>
      </c>
      <c r="V846" s="74">
        <v>0.48680555555555555</v>
      </c>
      <c r="W846" s="75">
        <v>6.2499999999999778E-3</v>
      </c>
      <c r="X846" s="74">
        <v>0.49374999999999997</v>
      </c>
      <c r="Y846" s="75">
        <v>6.9444444444444198E-3</v>
      </c>
      <c r="Z846" s="76">
        <v>41743</v>
      </c>
      <c r="AA846" s="36" t="str">
        <f t="shared" si="279"/>
        <v>Nacional</v>
      </c>
      <c r="AB846" s="36">
        <f t="shared" si="279"/>
        <v>6.0185185185185229E-3</v>
      </c>
      <c r="AC846" s="36">
        <f t="shared" si="279"/>
        <v>5.3240740740740809E-3</v>
      </c>
      <c r="AD846" s="36">
        <f t="shared" si="279"/>
        <v>1.1342592592592604E-2</v>
      </c>
      <c r="AE846" s="36" t="str">
        <f t="shared" si="279"/>
        <v>E90</v>
      </c>
      <c r="AF846" s="36">
        <f t="shared" si="279"/>
        <v>99</v>
      </c>
      <c r="AG846" s="36" t="str">
        <f t="shared" si="279"/>
        <v>MEX</v>
      </c>
      <c r="AI846">
        <v>832</v>
      </c>
      <c r="AJ846" s="77" t="str">
        <f t="shared" si="280"/>
        <v>AEROLINEAS DE AMERICA</v>
      </c>
      <c r="AK846" s="77">
        <f t="shared" si="280"/>
        <v>3275</v>
      </c>
      <c r="AL846" s="78">
        <v>0.48125000000000001</v>
      </c>
      <c r="AM846" s="79">
        <v>0.49444444444444446</v>
      </c>
      <c r="AN846" s="80">
        <v>1.3194444444444453E-2</v>
      </c>
      <c r="AO846" s="79">
        <v>0.49861111111111112</v>
      </c>
      <c r="AP846" s="80">
        <v>4.1666666666666519E-3</v>
      </c>
      <c r="AQ846" s="81">
        <v>41793</v>
      </c>
      <c r="AR846" s="77" t="str">
        <f t="shared" si="281"/>
        <v>Internacional</v>
      </c>
      <c r="AS846" s="77">
        <f t="shared" si="281"/>
        <v>1.3159722222222234E-2</v>
      </c>
      <c r="AT846" s="77">
        <f t="shared" si="281"/>
        <v>1.1354166666666674E-2</v>
      </c>
      <c r="AU846" s="77">
        <f t="shared" si="281"/>
        <v>2.4513888888888908E-2</v>
      </c>
      <c r="AV846" s="77" t="str">
        <f t="shared" si="281"/>
        <v>ER4</v>
      </c>
      <c r="AW846" s="77">
        <f t="shared" si="281"/>
        <v>50</v>
      </c>
      <c r="AX846" s="77" t="str">
        <f t="shared" si="281"/>
        <v>DFW</v>
      </c>
    </row>
    <row r="847" spans="1:50" x14ac:dyDescent="0.25">
      <c r="A847">
        <v>833</v>
      </c>
      <c r="B847" s="36" t="str">
        <f t="shared" si="266"/>
        <v>UNIDOS VOLAMOS</v>
      </c>
      <c r="C847" s="151">
        <v>1590</v>
      </c>
      <c r="D847" s="152">
        <v>0.18819444444444444</v>
      </c>
      <c r="E847" s="152">
        <v>0.20486111111111113</v>
      </c>
      <c r="F847" s="153">
        <v>1.6666666666666691E-2</v>
      </c>
      <c r="G847" s="152">
        <v>0.22569444444444445</v>
      </c>
      <c r="H847" s="153">
        <v>2.0833333333333315E-2</v>
      </c>
      <c r="I847" s="67">
        <v>41713</v>
      </c>
      <c r="J847" s="174" t="s">
        <v>22</v>
      </c>
      <c r="K847" s="135">
        <v>1.7592592592592594E-2</v>
      </c>
      <c r="L847" s="135">
        <v>2.1990740740740745E-2</v>
      </c>
      <c r="M847" s="175">
        <v>3.9583333333333338E-2</v>
      </c>
      <c r="N847" s="90" t="s">
        <v>45</v>
      </c>
      <c r="O847" s="91">
        <v>126</v>
      </c>
      <c r="P847" s="92" t="s">
        <v>43</v>
      </c>
      <c r="R847">
        <v>833</v>
      </c>
      <c r="S847" s="36" t="str">
        <f t="shared" si="278"/>
        <v>MEXICO AEREO</v>
      </c>
      <c r="T847" s="36">
        <f t="shared" si="278"/>
        <v>104</v>
      </c>
      <c r="U847" s="73">
        <v>0.45763888888888887</v>
      </c>
      <c r="V847" s="74">
        <v>0.46180555555555558</v>
      </c>
      <c r="W847" s="75">
        <v>4.1666666666667074E-3</v>
      </c>
      <c r="X847" s="74">
        <v>0.4694444444444445</v>
      </c>
      <c r="Y847" s="75">
        <v>7.6388888888889173E-3</v>
      </c>
      <c r="Z847" s="76">
        <v>41744</v>
      </c>
      <c r="AA847" s="36" t="str">
        <f t="shared" si="279"/>
        <v>Nacional</v>
      </c>
      <c r="AB847" s="36">
        <f t="shared" si="279"/>
        <v>6.0185185185185229E-3</v>
      </c>
      <c r="AC847" s="36">
        <f t="shared" si="279"/>
        <v>5.3240740740740809E-3</v>
      </c>
      <c r="AD847" s="36">
        <f t="shared" si="279"/>
        <v>1.1342592592592604E-2</v>
      </c>
      <c r="AE847" s="36" t="str">
        <f t="shared" si="279"/>
        <v>E90</v>
      </c>
      <c r="AF847" s="36">
        <f t="shared" si="279"/>
        <v>99</v>
      </c>
      <c r="AG847" s="36" t="str">
        <f t="shared" si="279"/>
        <v>MEX</v>
      </c>
      <c r="AI847">
        <v>833</v>
      </c>
      <c r="AJ847" s="77" t="str">
        <f t="shared" si="280"/>
        <v>AEROLINEAS DE AMERICA</v>
      </c>
      <c r="AK847" s="77">
        <f t="shared" si="280"/>
        <v>3275</v>
      </c>
      <c r="AL847" s="78">
        <v>0.48749999999999999</v>
      </c>
      <c r="AM847" s="79">
        <v>0.50347222222222221</v>
      </c>
      <c r="AN847" s="80">
        <v>1.5972222222222221E-2</v>
      </c>
      <c r="AO847" s="79">
        <v>0.51111111111111118</v>
      </c>
      <c r="AP847" s="80">
        <v>7.6388888888889728E-3</v>
      </c>
      <c r="AQ847" s="81">
        <v>41794</v>
      </c>
      <c r="AR847" s="77" t="str">
        <f t="shared" si="281"/>
        <v>Internacional</v>
      </c>
      <c r="AS847" s="77">
        <f t="shared" si="281"/>
        <v>1.3159722222222234E-2</v>
      </c>
      <c r="AT847" s="77">
        <f t="shared" si="281"/>
        <v>1.1354166666666674E-2</v>
      </c>
      <c r="AU847" s="77">
        <f t="shared" si="281"/>
        <v>2.4513888888888908E-2</v>
      </c>
      <c r="AV847" s="77" t="str">
        <f t="shared" si="281"/>
        <v>ER4</v>
      </c>
      <c r="AW847" s="77">
        <f t="shared" si="281"/>
        <v>50</v>
      </c>
      <c r="AX847" s="77" t="str">
        <f t="shared" si="281"/>
        <v>DFW</v>
      </c>
    </row>
    <row r="848" spans="1:50" x14ac:dyDescent="0.25">
      <c r="A848">
        <v>834</v>
      </c>
      <c r="B848" s="36" t="str">
        <f t="shared" si="266"/>
        <v>UNIDOS VOLAMOS</v>
      </c>
      <c r="C848" s="36">
        <f t="shared" si="266"/>
        <v>1590</v>
      </c>
      <c r="D848" s="118">
        <v>0.19583333333333333</v>
      </c>
      <c r="E848" s="118">
        <v>0.21388888888888891</v>
      </c>
      <c r="F848" s="119">
        <v>1.8055555555555575E-2</v>
      </c>
      <c r="G848" s="118">
        <v>0.23611111111111113</v>
      </c>
      <c r="H848" s="119">
        <v>2.2222222222222227E-2</v>
      </c>
      <c r="I848" s="81">
        <v>41721</v>
      </c>
      <c r="J848" s="36" t="str">
        <f t="shared" ref="J848:P849" si="282">J847</f>
        <v>Internacional</v>
      </c>
      <c r="K848" s="36">
        <f t="shared" si="282"/>
        <v>1.7592592592592594E-2</v>
      </c>
      <c r="L848" s="36">
        <f t="shared" si="282"/>
        <v>2.1990740740740745E-2</v>
      </c>
      <c r="M848" s="36">
        <f t="shared" si="282"/>
        <v>3.9583333333333338E-2</v>
      </c>
      <c r="N848" s="36" t="str">
        <f t="shared" si="282"/>
        <v>B737-700</v>
      </c>
      <c r="O848" s="36">
        <f t="shared" si="282"/>
        <v>126</v>
      </c>
      <c r="P848" s="36" t="str">
        <f t="shared" si="282"/>
        <v>SFO</v>
      </c>
      <c r="R848">
        <v>834</v>
      </c>
      <c r="S848" s="36" t="str">
        <f t="shared" si="278"/>
        <v>MEXICO AEREO</v>
      </c>
      <c r="T848" s="36">
        <f t="shared" si="278"/>
        <v>104</v>
      </c>
      <c r="U848" s="73">
        <v>0.47916666666666669</v>
      </c>
      <c r="V848" s="74">
        <v>0.48541666666666666</v>
      </c>
      <c r="W848" s="75">
        <v>6.2499999999999778E-3</v>
      </c>
      <c r="X848" s="74">
        <v>0.48819444444444443</v>
      </c>
      <c r="Y848" s="75">
        <v>2.7777777777777679E-3</v>
      </c>
      <c r="Z848" s="76">
        <v>41745</v>
      </c>
      <c r="AA848" s="36" t="str">
        <f t="shared" si="279"/>
        <v>Nacional</v>
      </c>
      <c r="AB848" s="36">
        <f t="shared" si="279"/>
        <v>6.0185185185185229E-3</v>
      </c>
      <c r="AC848" s="36">
        <f t="shared" si="279"/>
        <v>5.3240740740740809E-3</v>
      </c>
      <c r="AD848" s="36">
        <f t="shared" si="279"/>
        <v>1.1342592592592604E-2</v>
      </c>
      <c r="AE848" s="36" t="str">
        <f t="shared" si="279"/>
        <v>E90</v>
      </c>
      <c r="AF848" s="36">
        <f t="shared" si="279"/>
        <v>99</v>
      </c>
      <c r="AG848" s="36" t="str">
        <f t="shared" si="279"/>
        <v>MEX</v>
      </c>
      <c r="AI848">
        <v>834</v>
      </c>
      <c r="AJ848" s="77" t="str">
        <f t="shared" si="280"/>
        <v>AEROLINEAS DE AMERICA</v>
      </c>
      <c r="AK848" s="77">
        <f t="shared" si="280"/>
        <v>3275</v>
      </c>
      <c r="AL848" s="78">
        <v>0.49305555555555558</v>
      </c>
      <c r="AM848" s="79">
        <v>0.50694444444444442</v>
      </c>
      <c r="AN848" s="80">
        <v>1.388888888888884E-2</v>
      </c>
      <c r="AO848" s="79">
        <v>0.51388888888888895</v>
      </c>
      <c r="AP848" s="80">
        <v>6.9444444444445308E-3</v>
      </c>
      <c r="AQ848" s="81">
        <v>41795</v>
      </c>
      <c r="AR848" s="77" t="str">
        <f t="shared" si="281"/>
        <v>Internacional</v>
      </c>
      <c r="AS848" s="77">
        <f t="shared" si="281"/>
        <v>1.3159722222222234E-2</v>
      </c>
      <c r="AT848" s="77">
        <f t="shared" si="281"/>
        <v>1.1354166666666674E-2</v>
      </c>
      <c r="AU848" s="77">
        <f t="shared" si="281"/>
        <v>2.4513888888888908E-2</v>
      </c>
      <c r="AV848" s="77" t="str">
        <f t="shared" si="281"/>
        <v>ER4</v>
      </c>
      <c r="AW848" s="77">
        <f t="shared" si="281"/>
        <v>50</v>
      </c>
      <c r="AX848" s="77" t="str">
        <f t="shared" si="281"/>
        <v>DFW</v>
      </c>
    </row>
    <row r="849" spans="1:50" ht="15.75" thickBot="1" x14ac:dyDescent="0.3">
      <c r="A849">
        <v>835</v>
      </c>
      <c r="B849" s="36" t="str">
        <f t="shared" si="266"/>
        <v>UNIDOS VOLAMOS</v>
      </c>
      <c r="C849" s="36">
        <f t="shared" si="266"/>
        <v>1590</v>
      </c>
      <c r="D849" s="176">
        <v>0.17361111111111113</v>
      </c>
      <c r="E849" s="176">
        <v>0.19166666666666665</v>
      </c>
      <c r="F849" s="177">
        <v>1.8055555555555519E-2</v>
      </c>
      <c r="G849" s="176">
        <v>0.21458333333333335</v>
      </c>
      <c r="H849" s="177">
        <v>2.2916666666666696E-2</v>
      </c>
      <c r="I849" s="97">
        <v>41727</v>
      </c>
      <c r="J849" s="36" t="str">
        <f t="shared" si="282"/>
        <v>Internacional</v>
      </c>
      <c r="K849" s="36">
        <f t="shared" si="282"/>
        <v>1.7592592592592594E-2</v>
      </c>
      <c r="L849" s="36">
        <f t="shared" si="282"/>
        <v>2.1990740740740745E-2</v>
      </c>
      <c r="M849" s="36">
        <f t="shared" si="282"/>
        <v>3.9583333333333338E-2</v>
      </c>
      <c r="N849" s="36" t="str">
        <f t="shared" si="282"/>
        <v>B737-700</v>
      </c>
      <c r="O849" s="36">
        <f t="shared" si="282"/>
        <v>126</v>
      </c>
      <c r="P849" s="36" t="str">
        <f t="shared" si="282"/>
        <v>SFO</v>
      </c>
      <c r="R849">
        <v>835</v>
      </c>
      <c r="S849" s="36" t="str">
        <f t="shared" si="278"/>
        <v>MEXICO AEREO</v>
      </c>
      <c r="T849" s="36">
        <f t="shared" si="278"/>
        <v>104</v>
      </c>
      <c r="U849" s="73">
        <v>0.46180555555555558</v>
      </c>
      <c r="V849" s="74">
        <v>0.46875</v>
      </c>
      <c r="W849" s="75">
        <v>6.9444444444444198E-3</v>
      </c>
      <c r="X849" s="74">
        <v>0.47222222222222227</v>
      </c>
      <c r="Y849" s="75">
        <v>3.4722222222222654E-3</v>
      </c>
      <c r="Z849" s="76">
        <v>41750</v>
      </c>
      <c r="AA849" s="36" t="str">
        <f t="shared" si="279"/>
        <v>Nacional</v>
      </c>
      <c r="AB849" s="36">
        <f t="shared" si="279"/>
        <v>6.0185185185185229E-3</v>
      </c>
      <c r="AC849" s="36">
        <f t="shared" si="279"/>
        <v>5.3240740740740809E-3</v>
      </c>
      <c r="AD849" s="36">
        <f t="shared" si="279"/>
        <v>1.1342592592592604E-2</v>
      </c>
      <c r="AE849" s="36" t="str">
        <f t="shared" si="279"/>
        <v>E90</v>
      </c>
      <c r="AF849" s="36">
        <f t="shared" si="279"/>
        <v>99</v>
      </c>
      <c r="AG849" s="36" t="str">
        <f t="shared" si="279"/>
        <v>MEX</v>
      </c>
      <c r="AI849">
        <v>835</v>
      </c>
      <c r="AJ849" s="77" t="str">
        <f t="shared" si="280"/>
        <v>AEROLINEAS DE AMERICA</v>
      </c>
      <c r="AK849" s="77">
        <f t="shared" si="280"/>
        <v>3275</v>
      </c>
      <c r="AL849" s="78">
        <v>0.48958333333333331</v>
      </c>
      <c r="AM849" s="79">
        <v>0.50347222222222221</v>
      </c>
      <c r="AN849" s="80">
        <v>1.3888888888888895E-2</v>
      </c>
      <c r="AO849" s="79">
        <v>0.51041666666666663</v>
      </c>
      <c r="AP849" s="80">
        <v>6.9444444444444198E-3</v>
      </c>
      <c r="AQ849" s="81">
        <v>41796</v>
      </c>
      <c r="AR849" s="77" t="str">
        <f t="shared" si="281"/>
        <v>Internacional</v>
      </c>
      <c r="AS849" s="77">
        <f t="shared" si="281"/>
        <v>1.3159722222222234E-2</v>
      </c>
      <c r="AT849" s="77">
        <f t="shared" si="281"/>
        <v>1.1354166666666674E-2</v>
      </c>
      <c r="AU849" s="77">
        <f t="shared" si="281"/>
        <v>2.4513888888888908E-2</v>
      </c>
      <c r="AV849" s="77" t="str">
        <f t="shared" si="281"/>
        <v>ER4</v>
      </c>
      <c r="AW849" s="77">
        <f t="shared" si="281"/>
        <v>50</v>
      </c>
      <c r="AX849" s="77" t="str">
        <f t="shared" si="281"/>
        <v>DFW</v>
      </c>
    </row>
    <row r="850" spans="1:50" x14ac:dyDescent="0.25">
      <c r="A850">
        <v>836</v>
      </c>
      <c r="B850" s="36" t="str">
        <f t="shared" si="266"/>
        <v>UNIDOS VOLAMOS</v>
      </c>
      <c r="C850" s="151">
        <v>480</v>
      </c>
      <c r="D850" s="152">
        <v>0.20277777777777781</v>
      </c>
      <c r="E850" s="152">
        <v>0.21875</v>
      </c>
      <c r="F850" s="153">
        <v>1.5972222222222193E-2</v>
      </c>
      <c r="G850" s="152">
        <v>0.22708333333333333</v>
      </c>
      <c r="H850" s="153">
        <v>8.3333333333333315E-3</v>
      </c>
      <c r="I850" s="67">
        <v>41715</v>
      </c>
      <c r="J850" s="174" t="s">
        <v>22</v>
      </c>
      <c r="K850" s="135">
        <v>1.4043209876543212E-2</v>
      </c>
      <c r="L850" s="135">
        <v>2.0910493827160502E-2</v>
      </c>
      <c r="M850" s="175">
        <v>3.4953703703703716E-2</v>
      </c>
      <c r="N850" s="90">
        <v>320</v>
      </c>
      <c r="O850" s="91">
        <v>179</v>
      </c>
      <c r="P850" s="92" t="s">
        <v>43</v>
      </c>
      <c r="R850">
        <v>836</v>
      </c>
      <c r="S850" s="36" t="str">
        <f t="shared" si="278"/>
        <v>MEXICO AEREO</v>
      </c>
      <c r="T850" s="36">
        <f t="shared" si="278"/>
        <v>104</v>
      </c>
      <c r="U850" s="73">
        <v>0.46597222222222223</v>
      </c>
      <c r="V850" s="74">
        <v>0.47291666666666665</v>
      </c>
      <c r="W850" s="75">
        <v>6.9444444444444198E-3</v>
      </c>
      <c r="X850" s="74">
        <v>0.47916666666666669</v>
      </c>
      <c r="Y850" s="75">
        <v>6.2500000000000333E-3</v>
      </c>
      <c r="Z850" s="76">
        <v>41753</v>
      </c>
      <c r="AA850" s="36" t="str">
        <f t="shared" si="279"/>
        <v>Nacional</v>
      </c>
      <c r="AB850" s="36">
        <f t="shared" si="279"/>
        <v>6.0185185185185229E-3</v>
      </c>
      <c r="AC850" s="36">
        <f t="shared" si="279"/>
        <v>5.3240740740740809E-3</v>
      </c>
      <c r="AD850" s="36">
        <f t="shared" si="279"/>
        <v>1.1342592592592604E-2</v>
      </c>
      <c r="AE850" s="36" t="str">
        <f t="shared" si="279"/>
        <v>E90</v>
      </c>
      <c r="AF850" s="36">
        <f t="shared" si="279"/>
        <v>99</v>
      </c>
      <c r="AG850" s="36" t="str">
        <f t="shared" si="279"/>
        <v>MEX</v>
      </c>
      <c r="AI850">
        <v>836</v>
      </c>
      <c r="AJ850" s="77" t="str">
        <f t="shared" si="280"/>
        <v>AEROLINEAS DE AMERICA</v>
      </c>
      <c r="AK850" s="77">
        <f t="shared" si="280"/>
        <v>3275</v>
      </c>
      <c r="AL850" s="78">
        <v>0.48819444444444443</v>
      </c>
      <c r="AM850" s="79">
        <v>0.50277777777777777</v>
      </c>
      <c r="AN850" s="80">
        <v>1.4583333333333337E-2</v>
      </c>
      <c r="AO850" s="79">
        <v>0.51388888888888895</v>
      </c>
      <c r="AP850" s="80">
        <v>1.1111111111111183E-2</v>
      </c>
      <c r="AQ850" s="81">
        <v>41797</v>
      </c>
      <c r="AR850" s="77" t="str">
        <f t="shared" si="281"/>
        <v>Internacional</v>
      </c>
      <c r="AS850" s="77">
        <f t="shared" si="281"/>
        <v>1.3159722222222234E-2</v>
      </c>
      <c r="AT850" s="77">
        <f t="shared" si="281"/>
        <v>1.1354166666666674E-2</v>
      </c>
      <c r="AU850" s="77">
        <f t="shared" si="281"/>
        <v>2.4513888888888908E-2</v>
      </c>
      <c r="AV850" s="77" t="str">
        <f t="shared" si="281"/>
        <v>ER4</v>
      </c>
      <c r="AW850" s="77">
        <f t="shared" si="281"/>
        <v>50</v>
      </c>
      <c r="AX850" s="77" t="str">
        <f t="shared" si="281"/>
        <v>DFW</v>
      </c>
    </row>
    <row r="851" spans="1:50" x14ac:dyDescent="0.25">
      <c r="A851">
        <v>837</v>
      </c>
      <c r="B851" s="36" t="str">
        <f t="shared" si="266"/>
        <v>UNIDOS VOLAMOS</v>
      </c>
      <c r="C851" s="36">
        <f t="shared" si="266"/>
        <v>480</v>
      </c>
      <c r="D851" s="118">
        <v>0.20208333333333331</v>
      </c>
      <c r="E851" s="118">
        <v>0.21527777777777779</v>
      </c>
      <c r="F851" s="119">
        <v>1.3194444444444481E-2</v>
      </c>
      <c r="G851" s="118">
        <v>0.22500000000000001</v>
      </c>
      <c r="H851" s="119">
        <v>9.7222222222222154E-3</v>
      </c>
      <c r="I851" s="81">
        <v>41716</v>
      </c>
      <c r="J851" s="36" t="str">
        <f t="shared" ref="J851:P858" si="283">J850</f>
        <v>Internacional</v>
      </c>
      <c r="K851" s="36">
        <f t="shared" si="283"/>
        <v>1.4043209876543212E-2</v>
      </c>
      <c r="L851" s="36">
        <f t="shared" si="283"/>
        <v>2.0910493827160502E-2</v>
      </c>
      <c r="M851" s="36">
        <f t="shared" si="283"/>
        <v>3.4953703703703716E-2</v>
      </c>
      <c r="N851" s="36">
        <f t="shared" si="283"/>
        <v>320</v>
      </c>
      <c r="O851" s="36">
        <f t="shared" si="283"/>
        <v>179</v>
      </c>
      <c r="P851" s="36" t="str">
        <f t="shared" si="283"/>
        <v>SFO</v>
      </c>
      <c r="R851">
        <v>837</v>
      </c>
      <c r="S851" s="36" t="str">
        <f t="shared" si="278"/>
        <v>MEXICO AEREO</v>
      </c>
      <c r="T851" s="36">
        <f t="shared" si="278"/>
        <v>104</v>
      </c>
      <c r="U851" s="73">
        <v>0.48125000000000001</v>
      </c>
      <c r="V851" s="74">
        <v>0.48958333333333331</v>
      </c>
      <c r="W851" s="75">
        <v>8.3333333333333037E-3</v>
      </c>
      <c r="X851" s="74">
        <v>0.49305555555555558</v>
      </c>
      <c r="Y851" s="75">
        <v>3.4722222222222654E-3</v>
      </c>
      <c r="Z851" s="76">
        <v>41754</v>
      </c>
      <c r="AA851" s="36" t="str">
        <f t="shared" si="279"/>
        <v>Nacional</v>
      </c>
      <c r="AB851" s="36">
        <f t="shared" si="279"/>
        <v>6.0185185185185229E-3</v>
      </c>
      <c r="AC851" s="36">
        <f t="shared" si="279"/>
        <v>5.3240740740740809E-3</v>
      </c>
      <c r="AD851" s="36">
        <f t="shared" si="279"/>
        <v>1.1342592592592604E-2</v>
      </c>
      <c r="AE851" s="36" t="str">
        <f t="shared" si="279"/>
        <v>E90</v>
      </c>
      <c r="AF851" s="36">
        <f t="shared" si="279"/>
        <v>99</v>
      </c>
      <c r="AG851" s="36" t="str">
        <f t="shared" si="279"/>
        <v>MEX</v>
      </c>
      <c r="AI851">
        <v>837</v>
      </c>
      <c r="AJ851" s="77" t="str">
        <f t="shared" si="280"/>
        <v>AEROLINEAS DE AMERICA</v>
      </c>
      <c r="AK851" s="77">
        <f t="shared" si="280"/>
        <v>3275</v>
      </c>
      <c r="AL851" s="78">
        <v>0.52430555555555558</v>
      </c>
      <c r="AM851" s="79">
        <v>0.53541666666666665</v>
      </c>
      <c r="AN851" s="80">
        <v>1.1111111111111072E-2</v>
      </c>
      <c r="AO851" s="79">
        <v>0.54513888888888895</v>
      </c>
      <c r="AP851" s="80">
        <v>9.7222222222222987E-3</v>
      </c>
      <c r="AQ851" s="81">
        <v>41798</v>
      </c>
      <c r="AR851" s="77" t="str">
        <f t="shared" si="281"/>
        <v>Internacional</v>
      </c>
      <c r="AS851" s="77">
        <f t="shared" si="281"/>
        <v>1.3159722222222234E-2</v>
      </c>
      <c r="AT851" s="77">
        <f t="shared" si="281"/>
        <v>1.1354166666666674E-2</v>
      </c>
      <c r="AU851" s="77">
        <f t="shared" si="281"/>
        <v>2.4513888888888908E-2</v>
      </c>
      <c r="AV851" s="77" t="str">
        <f t="shared" si="281"/>
        <v>ER4</v>
      </c>
      <c r="AW851" s="77">
        <f t="shared" si="281"/>
        <v>50</v>
      </c>
      <c r="AX851" s="77" t="str">
        <f t="shared" si="281"/>
        <v>DFW</v>
      </c>
    </row>
    <row r="852" spans="1:50" x14ac:dyDescent="0.25">
      <c r="A852">
        <v>838</v>
      </c>
      <c r="B852" s="36" t="str">
        <f t="shared" si="266"/>
        <v>UNIDOS VOLAMOS</v>
      </c>
      <c r="C852" s="36">
        <f t="shared" si="266"/>
        <v>480</v>
      </c>
      <c r="D852" s="118">
        <v>0.18680555555555556</v>
      </c>
      <c r="E852" s="118">
        <v>0.20208333333333331</v>
      </c>
      <c r="F852" s="119">
        <v>1.5277777777777751E-2</v>
      </c>
      <c r="G852" s="118">
        <v>0.22916666666666666</v>
      </c>
      <c r="H852" s="119">
        <v>2.7083333333333348E-2</v>
      </c>
      <c r="I852" s="81">
        <v>41717</v>
      </c>
      <c r="J852" s="36" t="str">
        <f t="shared" si="283"/>
        <v>Internacional</v>
      </c>
      <c r="K852" s="36">
        <f t="shared" si="283"/>
        <v>1.4043209876543212E-2</v>
      </c>
      <c r="L852" s="36">
        <f t="shared" si="283"/>
        <v>2.0910493827160502E-2</v>
      </c>
      <c r="M852" s="36">
        <f t="shared" si="283"/>
        <v>3.4953703703703716E-2</v>
      </c>
      <c r="N852" s="36">
        <f t="shared" si="283"/>
        <v>320</v>
      </c>
      <c r="O852" s="36">
        <f t="shared" si="283"/>
        <v>179</v>
      </c>
      <c r="P852" s="36" t="str">
        <f t="shared" si="283"/>
        <v>SFO</v>
      </c>
      <c r="R852">
        <v>838</v>
      </c>
      <c r="S852" s="36" t="str">
        <f t="shared" si="278"/>
        <v>MEXICO AEREO</v>
      </c>
      <c r="T852" s="36">
        <f t="shared" si="278"/>
        <v>104</v>
      </c>
      <c r="U852" s="73">
        <v>0.46319444444444446</v>
      </c>
      <c r="V852" s="74">
        <v>0.46875</v>
      </c>
      <c r="W852" s="75">
        <v>5.5555555555555358E-3</v>
      </c>
      <c r="X852" s="74">
        <v>0.47847222222222219</v>
      </c>
      <c r="Y852" s="75">
        <v>9.7222222222221877E-3</v>
      </c>
      <c r="Z852" s="76">
        <v>41758</v>
      </c>
      <c r="AA852" s="36" t="str">
        <f t="shared" si="279"/>
        <v>Nacional</v>
      </c>
      <c r="AB852" s="36">
        <f t="shared" si="279"/>
        <v>6.0185185185185229E-3</v>
      </c>
      <c r="AC852" s="36">
        <f t="shared" si="279"/>
        <v>5.3240740740740809E-3</v>
      </c>
      <c r="AD852" s="36">
        <f t="shared" si="279"/>
        <v>1.1342592592592604E-2</v>
      </c>
      <c r="AE852" s="36" t="str">
        <f t="shared" si="279"/>
        <v>E90</v>
      </c>
      <c r="AF852" s="36">
        <f t="shared" si="279"/>
        <v>99</v>
      </c>
      <c r="AG852" s="36" t="str">
        <f t="shared" si="279"/>
        <v>MEX</v>
      </c>
      <c r="AI852">
        <v>838</v>
      </c>
      <c r="AJ852" s="77" t="str">
        <f t="shared" si="280"/>
        <v>AEROLINEAS DE AMERICA</v>
      </c>
      <c r="AK852" s="77">
        <f t="shared" si="280"/>
        <v>3275</v>
      </c>
      <c r="AL852" s="78">
        <v>0.53819444444444442</v>
      </c>
      <c r="AM852" s="79">
        <v>0.54375000000000007</v>
      </c>
      <c r="AN852" s="80">
        <v>5.5555555555556468E-3</v>
      </c>
      <c r="AO852" s="79">
        <v>0.55138888888888882</v>
      </c>
      <c r="AP852" s="80">
        <v>7.6388888888887507E-3</v>
      </c>
      <c r="AQ852" s="81">
        <v>41801</v>
      </c>
      <c r="AR852" s="77" t="str">
        <f t="shared" si="281"/>
        <v>Internacional</v>
      </c>
      <c r="AS852" s="77">
        <f t="shared" si="281"/>
        <v>1.3159722222222234E-2</v>
      </c>
      <c r="AT852" s="77">
        <f t="shared" si="281"/>
        <v>1.1354166666666674E-2</v>
      </c>
      <c r="AU852" s="77">
        <f t="shared" si="281"/>
        <v>2.4513888888888908E-2</v>
      </c>
      <c r="AV852" s="77" t="str">
        <f t="shared" si="281"/>
        <v>ER4</v>
      </c>
      <c r="AW852" s="77">
        <f t="shared" si="281"/>
        <v>50</v>
      </c>
      <c r="AX852" s="77" t="str">
        <f t="shared" si="281"/>
        <v>DFW</v>
      </c>
    </row>
    <row r="853" spans="1:50" ht="15.75" thickBot="1" x14ac:dyDescent="0.3">
      <c r="A853">
        <v>839</v>
      </c>
      <c r="B853" s="36" t="str">
        <f t="shared" si="266"/>
        <v>UNIDOS VOLAMOS</v>
      </c>
      <c r="C853" s="36">
        <f t="shared" si="266"/>
        <v>480</v>
      </c>
      <c r="D853" s="118">
        <v>0.23194444444444443</v>
      </c>
      <c r="E853" s="118">
        <v>0.23750000000000002</v>
      </c>
      <c r="F853" s="119">
        <v>5.5555555555555913E-3</v>
      </c>
      <c r="G853" s="118">
        <v>0.24791666666666667</v>
      </c>
      <c r="H853" s="119">
        <v>1.0416666666666657E-2</v>
      </c>
      <c r="I853" s="81">
        <v>41719</v>
      </c>
      <c r="J853" s="36" t="str">
        <f t="shared" si="283"/>
        <v>Internacional</v>
      </c>
      <c r="K853" s="36">
        <f t="shared" si="283"/>
        <v>1.4043209876543212E-2</v>
      </c>
      <c r="L853" s="36">
        <f t="shared" si="283"/>
        <v>2.0910493827160502E-2</v>
      </c>
      <c r="M853" s="36">
        <f t="shared" si="283"/>
        <v>3.4953703703703716E-2</v>
      </c>
      <c r="N853" s="36">
        <f t="shared" si="283"/>
        <v>320</v>
      </c>
      <c r="O853" s="36">
        <f t="shared" si="283"/>
        <v>179</v>
      </c>
      <c r="P853" s="36" t="str">
        <f t="shared" si="283"/>
        <v>SFO</v>
      </c>
      <c r="R853">
        <v>839</v>
      </c>
      <c r="S853" s="36" t="str">
        <f t="shared" si="278"/>
        <v>MEXICO AEREO</v>
      </c>
      <c r="T853" s="36">
        <f t="shared" si="278"/>
        <v>104</v>
      </c>
      <c r="U853" s="83">
        <v>0.47222222222222227</v>
      </c>
      <c r="V853" s="84">
        <v>0.47916666666666669</v>
      </c>
      <c r="W853" s="85">
        <v>6.9444444444444198E-3</v>
      </c>
      <c r="X853" s="84">
        <v>0.48333333333333334</v>
      </c>
      <c r="Y853" s="85">
        <v>4.1666666666666519E-3</v>
      </c>
      <c r="Z853" s="86">
        <v>41759</v>
      </c>
      <c r="AA853" s="36" t="str">
        <f t="shared" si="279"/>
        <v>Nacional</v>
      </c>
      <c r="AB853" s="36">
        <f t="shared" si="279"/>
        <v>6.0185185185185229E-3</v>
      </c>
      <c r="AC853" s="36">
        <f t="shared" si="279"/>
        <v>5.3240740740740809E-3</v>
      </c>
      <c r="AD853" s="36">
        <f t="shared" si="279"/>
        <v>1.1342592592592604E-2</v>
      </c>
      <c r="AE853" s="36" t="str">
        <f t="shared" si="279"/>
        <v>E90</v>
      </c>
      <c r="AF853" s="36">
        <f t="shared" si="279"/>
        <v>99</v>
      </c>
      <c r="AG853" s="36" t="str">
        <f t="shared" si="279"/>
        <v>MEX</v>
      </c>
      <c r="AI853">
        <v>839</v>
      </c>
      <c r="AJ853" s="77" t="str">
        <f t="shared" si="280"/>
        <v>AEROLINEAS DE AMERICA</v>
      </c>
      <c r="AK853" s="77">
        <f t="shared" si="280"/>
        <v>3275</v>
      </c>
      <c r="AL853" s="78">
        <v>0.84166666666666667</v>
      </c>
      <c r="AM853" s="79">
        <v>0.85277777777777775</v>
      </c>
      <c r="AN853" s="80">
        <v>1.1111111111111072E-2</v>
      </c>
      <c r="AO853" s="79">
        <v>0.86388888888888893</v>
      </c>
      <c r="AP853" s="80">
        <v>1.1111111111111183E-2</v>
      </c>
      <c r="AQ853" s="81">
        <v>41802</v>
      </c>
      <c r="AR853" s="77" t="str">
        <f t="shared" si="281"/>
        <v>Internacional</v>
      </c>
      <c r="AS853" s="77">
        <f t="shared" si="281"/>
        <v>1.3159722222222234E-2</v>
      </c>
      <c r="AT853" s="77">
        <f t="shared" si="281"/>
        <v>1.1354166666666674E-2</v>
      </c>
      <c r="AU853" s="77">
        <f t="shared" si="281"/>
        <v>2.4513888888888908E-2</v>
      </c>
      <c r="AV853" s="77" t="str">
        <f t="shared" si="281"/>
        <v>ER4</v>
      </c>
      <c r="AW853" s="77">
        <f t="shared" si="281"/>
        <v>50</v>
      </c>
      <c r="AX853" s="77" t="str">
        <f t="shared" si="281"/>
        <v>DFW</v>
      </c>
    </row>
    <row r="854" spans="1:50" x14ac:dyDescent="0.25">
      <c r="A854">
        <v>840</v>
      </c>
      <c r="B854" s="36" t="str">
        <f t="shared" si="266"/>
        <v>UNIDOS VOLAMOS</v>
      </c>
      <c r="C854" s="36">
        <f t="shared" si="266"/>
        <v>480</v>
      </c>
      <c r="D854" s="118">
        <v>0.1986111111111111</v>
      </c>
      <c r="E854" s="118">
        <v>0.21319444444444444</v>
      </c>
      <c r="F854" s="119">
        <v>1.4583333333333337E-2</v>
      </c>
      <c r="G854" s="118">
        <v>0.25694444444444448</v>
      </c>
      <c r="H854" s="119">
        <v>4.3750000000000039E-2</v>
      </c>
      <c r="I854" s="81">
        <v>41719</v>
      </c>
      <c r="J854" s="36" t="str">
        <f t="shared" si="283"/>
        <v>Internacional</v>
      </c>
      <c r="K854" s="36">
        <f t="shared" si="283"/>
        <v>1.4043209876543212E-2</v>
      </c>
      <c r="L854" s="36">
        <f t="shared" si="283"/>
        <v>2.0910493827160502E-2</v>
      </c>
      <c r="M854" s="36">
        <f t="shared" si="283"/>
        <v>3.4953703703703716E-2</v>
      </c>
      <c r="N854" s="36">
        <f t="shared" si="283"/>
        <v>320</v>
      </c>
      <c r="O854" s="36">
        <f t="shared" si="283"/>
        <v>179</v>
      </c>
      <c r="P854" s="36" t="str">
        <f t="shared" si="283"/>
        <v>SFO</v>
      </c>
      <c r="R854">
        <v>840</v>
      </c>
      <c r="S854" s="36" t="str">
        <f t="shared" si="278"/>
        <v>MEXICO AEREO</v>
      </c>
      <c r="T854" s="88">
        <v>102</v>
      </c>
      <c r="U854" s="56">
        <v>0.3298611111111111</v>
      </c>
      <c r="V854" s="57">
        <v>0.3347222222222222</v>
      </c>
      <c r="W854" s="58">
        <v>4.8611111111110938E-3</v>
      </c>
      <c r="X854" s="57">
        <v>0.33819444444444446</v>
      </c>
      <c r="Y854" s="58">
        <v>3.4722222222222654E-3</v>
      </c>
      <c r="Z854" s="59">
        <v>41731</v>
      </c>
      <c r="AA854" s="60" t="s">
        <v>19</v>
      </c>
      <c r="AB854" s="61">
        <v>4.5138888888888729E-3</v>
      </c>
      <c r="AC854" s="61">
        <v>3.4722222222222099E-3</v>
      </c>
      <c r="AD854" s="62">
        <v>7.9861111111110827E-3</v>
      </c>
      <c r="AE854" s="167" t="s">
        <v>20</v>
      </c>
      <c r="AF854" s="167">
        <v>50</v>
      </c>
      <c r="AG854" s="168" t="s">
        <v>21</v>
      </c>
      <c r="AI854">
        <v>840</v>
      </c>
      <c r="AJ854" s="77" t="str">
        <f t="shared" si="280"/>
        <v>AEROLINEAS DE AMERICA</v>
      </c>
      <c r="AK854" s="77">
        <f t="shared" si="280"/>
        <v>3275</v>
      </c>
      <c r="AL854" s="78">
        <v>0.85486111111111107</v>
      </c>
      <c r="AM854" s="79">
        <v>0.90625</v>
      </c>
      <c r="AN854" s="80">
        <v>5.1388888888888928E-2</v>
      </c>
      <c r="AO854" s="79">
        <v>0.9277777777777777</v>
      </c>
      <c r="AP854" s="80">
        <v>2.1527777777777701E-2</v>
      </c>
      <c r="AQ854" s="81">
        <v>41803</v>
      </c>
      <c r="AR854" s="77" t="str">
        <f t="shared" si="281"/>
        <v>Internacional</v>
      </c>
      <c r="AS854" s="77">
        <f t="shared" si="281"/>
        <v>1.3159722222222234E-2</v>
      </c>
      <c r="AT854" s="77">
        <f t="shared" si="281"/>
        <v>1.1354166666666674E-2</v>
      </c>
      <c r="AU854" s="77">
        <f t="shared" si="281"/>
        <v>2.4513888888888908E-2</v>
      </c>
      <c r="AV854" s="77" t="str">
        <f t="shared" si="281"/>
        <v>ER4</v>
      </c>
      <c r="AW854" s="77">
        <f t="shared" si="281"/>
        <v>50</v>
      </c>
      <c r="AX854" s="77" t="str">
        <f t="shared" si="281"/>
        <v>DFW</v>
      </c>
    </row>
    <row r="855" spans="1:50" ht="15.75" thickBot="1" x14ac:dyDescent="0.3">
      <c r="A855">
        <v>841</v>
      </c>
      <c r="B855" s="36" t="str">
        <f t="shared" si="266"/>
        <v>UNIDOS VOLAMOS</v>
      </c>
      <c r="C855" s="36">
        <f t="shared" si="266"/>
        <v>480</v>
      </c>
      <c r="D855" s="118">
        <v>0.19999999999999998</v>
      </c>
      <c r="E855" s="118">
        <v>0.21597222222222223</v>
      </c>
      <c r="F855" s="119">
        <v>1.5972222222222249E-2</v>
      </c>
      <c r="G855" s="118">
        <v>0.22638888888888889</v>
      </c>
      <c r="H855" s="119">
        <v>1.0416666666666657E-2</v>
      </c>
      <c r="I855" s="81">
        <v>41723</v>
      </c>
      <c r="J855" s="36" t="str">
        <f t="shared" si="283"/>
        <v>Internacional</v>
      </c>
      <c r="K855" s="36">
        <f t="shared" si="283"/>
        <v>1.4043209876543212E-2</v>
      </c>
      <c r="L855" s="36">
        <f t="shared" si="283"/>
        <v>2.0910493827160502E-2</v>
      </c>
      <c r="M855" s="36">
        <f t="shared" si="283"/>
        <v>3.4953703703703716E-2</v>
      </c>
      <c r="N855" s="36">
        <f t="shared" si="283"/>
        <v>320</v>
      </c>
      <c r="O855" s="36">
        <f t="shared" si="283"/>
        <v>179</v>
      </c>
      <c r="P855" s="36" t="str">
        <f t="shared" si="283"/>
        <v>SFO</v>
      </c>
      <c r="R855">
        <v>841</v>
      </c>
      <c r="S855" s="36" t="str">
        <f t="shared" si="278"/>
        <v>MEXICO AEREO</v>
      </c>
      <c r="T855" s="36">
        <f>T854</f>
        <v>102</v>
      </c>
      <c r="U855" s="83">
        <v>0.3666666666666667</v>
      </c>
      <c r="V855" s="84">
        <v>0.37083333333333335</v>
      </c>
      <c r="W855" s="85">
        <v>4.1666666666666519E-3</v>
      </c>
      <c r="X855" s="84">
        <v>0.3743055555555555</v>
      </c>
      <c r="Y855" s="85">
        <v>3.4722222222221544E-3</v>
      </c>
      <c r="Z855" s="86">
        <v>41733</v>
      </c>
      <c r="AA855" s="36" t="str">
        <f t="shared" ref="AA855:AG855" si="284">AA854</f>
        <v>Nacional</v>
      </c>
      <c r="AB855" s="36">
        <f t="shared" si="284"/>
        <v>4.5138888888888729E-3</v>
      </c>
      <c r="AC855" s="36">
        <f t="shared" si="284"/>
        <v>3.4722222222222099E-3</v>
      </c>
      <c r="AD855" s="36">
        <f t="shared" si="284"/>
        <v>7.9861111111110827E-3</v>
      </c>
      <c r="AE855" s="36" t="str">
        <f t="shared" si="284"/>
        <v>ER4</v>
      </c>
      <c r="AF855" s="36">
        <f t="shared" si="284"/>
        <v>50</v>
      </c>
      <c r="AG855" s="36" t="str">
        <f t="shared" si="284"/>
        <v>MEX</v>
      </c>
      <c r="AI855">
        <v>841</v>
      </c>
      <c r="AJ855" s="77" t="str">
        <f t="shared" si="280"/>
        <v>AEROLINEAS DE AMERICA</v>
      </c>
      <c r="AK855" s="77">
        <f t="shared" si="280"/>
        <v>3275</v>
      </c>
      <c r="AL855" s="78">
        <v>0.92499999999999993</v>
      </c>
      <c r="AM855" s="79">
        <v>0.93263888888888891</v>
      </c>
      <c r="AN855" s="80">
        <v>7.6388888888889728E-3</v>
      </c>
      <c r="AO855" s="79">
        <v>0.9555555555555556</v>
      </c>
      <c r="AP855" s="80">
        <v>2.2916666666666696E-2</v>
      </c>
      <c r="AQ855" s="81">
        <v>41804</v>
      </c>
      <c r="AR855" s="77" t="str">
        <f t="shared" si="281"/>
        <v>Internacional</v>
      </c>
      <c r="AS855" s="77">
        <f t="shared" si="281"/>
        <v>1.3159722222222234E-2</v>
      </c>
      <c r="AT855" s="77">
        <f t="shared" si="281"/>
        <v>1.1354166666666674E-2</v>
      </c>
      <c r="AU855" s="77">
        <f t="shared" si="281"/>
        <v>2.4513888888888908E-2</v>
      </c>
      <c r="AV855" s="77" t="str">
        <f t="shared" si="281"/>
        <v>ER4</v>
      </c>
      <c r="AW855" s="77">
        <f t="shared" si="281"/>
        <v>50</v>
      </c>
      <c r="AX855" s="77" t="str">
        <f t="shared" si="281"/>
        <v>DFW</v>
      </c>
    </row>
    <row r="856" spans="1:50" x14ac:dyDescent="0.25">
      <c r="A856">
        <v>842</v>
      </c>
      <c r="B856" s="36" t="str">
        <f t="shared" si="266"/>
        <v>UNIDOS VOLAMOS</v>
      </c>
      <c r="C856" s="36">
        <f t="shared" si="266"/>
        <v>480</v>
      </c>
      <c r="D856" s="118">
        <v>0.18611111111111112</v>
      </c>
      <c r="E856" s="118">
        <v>0.19791666666666666</v>
      </c>
      <c r="F856" s="119">
        <v>1.1805555555555541E-2</v>
      </c>
      <c r="G856" s="118">
        <v>0.22013888888888888</v>
      </c>
      <c r="H856" s="119">
        <v>2.2222222222222227E-2</v>
      </c>
      <c r="I856" s="81">
        <v>41724</v>
      </c>
      <c r="J856" s="36" t="str">
        <f t="shared" si="283"/>
        <v>Internacional</v>
      </c>
      <c r="K856" s="36">
        <f t="shared" si="283"/>
        <v>1.4043209876543212E-2</v>
      </c>
      <c r="L856" s="36">
        <f t="shared" si="283"/>
        <v>2.0910493827160502E-2</v>
      </c>
      <c r="M856" s="36">
        <f t="shared" si="283"/>
        <v>3.4953703703703716E-2</v>
      </c>
      <c r="N856" s="36">
        <f t="shared" si="283"/>
        <v>320</v>
      </c>
      <c r="O856" s="36">
        <f t="shared" si="283"/>
        <v>179</v>
      </c>
      <c r="P856" s="36" t="str">
        <f t="shared" si="283"/>
        <v>SFO</v>
      </c>
      <c r="R856">
        <v>842</v>
      </c>
      <c r="S856" s="36" t="str">
        <f t="shared" si="278"/>
        <v>MEXICO AEREO</v>
      </c>
      <c r="T856" s="88">
        <v>100</v>
      </c>
      <c r="U856" s="56">
        <v>0.34375</v>
      </c>
      <c r="V856" s="57">
        <v>0.34722222222222227</v>
      </c>
      <c r="W856" s="58">
        <v>3.4722222222222654E-3</v>
      </c>
      <c r="X856" s="57">
        <v>0.35416666666666669</v>
      </c>
      <c r="Y856" s="58">
        <v>6.9444444444444198E-3</v>
      </c>
      <c r="Z856" s="59">
        <v>41730</v>
      </c>
      <c r="AA856" s="60" t="s">
        <v>19</v>
      </c>
      <c r="AB856" s="61">
        <v>5.7291666666666741E-3</v>
      </c>
      <c r="AC856" s="61">
        <v>8.4027777777777764E-3</v>
      </c>
      <c r="AD856" s="62">
        <v>1.413194444444445E-2</v>
      </c>
      <c r="AE856" s="167" t="s">
        <v>45</v>
      </c>
      <c r="AF856" s="167">
        <v>126</v>
      </c>
      <c r="AG856" s="168" t="s">
        <v>21</v>
      </c>
      <c r="AI856">
        <v>842</v>
      </c>
      <c r="AJ856" s="77" t="str">
        <f t="shared" si="280"/>
        <v>AEROLINEAS DE AMERICA</v>
      </c>
      <c r="AK856" s="77">
        <f t="shared" si="280"/>
        <v>3275</v>
      </c>
      <c r="AL856" s="78">
        <v>0.46736111111111112</v>
      </c>
      <c r="AM856" s="79">
        <v>0.47083333333333338</v>
      </c>
      <c r="AN856" s="80">
        <v>3.4722222222222654E-3</v>
      </c>
      <c r="AO856" s="79">
        <v>0.48472222222222222</v>
      </c>
      <c r="AP856" s="80">
        <v>1.388888888888884E-2</v>
      </c>
      <c r="AQ856" s="81">
        <v>41805</v>
      </c>
      <c r="AR856" s="77" t="str">
        <f t="shared" si="281"/>
        <v>Internacional</v>
      </c>
      <c r="AS856" s="77">
        <f t="shared" si="281"/>
        <v>1.3159722222222234E-2</v>
      </c>
      <c r="AT856" s="77">
        <f t="shared" si="281"/>
        <v>1.1354166666666674E-2</v>
      </c>
      <c r="AU856" s="77">
        <f t="shared" si="281"/>
        <v>2.4513888888888908E-2</v>
      </c>
      <c r="AV856" s="77" t="str">
        <f t="shared" si="281"/>
        <v>ER4</v>
      </c>
      <c r="AW856" s="77">
        <f t="shared" si="281"/>
        <v>50</v>
      </c>
      <c r="AX856" s="77" t="str">
        <f t="shared" si="281"/>
        <v>DFW</v>
      </c>
    </row>
    <row r="857" spans="1:50" x14ac:dyDescent="0.25">
      <c r="A857">
        <v>843</v>
      </c>
      <c r="B857" s="36" t="str">
        <f t="shared" si="266"/>
        <v>UNIDOS VOLAMOS</v>
      </c>
      <c r="C857" s="36">
        <f t="shared" si="266"/>
        <v>480</v>
      </c>
      <c r="D857" s="118">
        <v>0.20138888888888887</v>
      </c>
      <c r="E857" s="118">
        <v>0.21944444444444444</v>
      </c>
      <c r="F857" s="119">
        <v>1.8055555555555575E-2</v>
      </c>
      <c r="G857" s="118">
        <v>0.23402777777777781</v>
      </c>
      <c r="H857" s="119">
        <v>1.4583333333333365E-2</v>
      </c>
      <c r="I857" s="81">
        <v>41724</v>
      </c>
      <c r="J857" s="36" t="str">
        <f t="shared" si="283"/>
        <v>Internacional</v>
      </c>
      <c r="K857" s="36">
        <f t="shared" si="283"/>
        <v>1.4043209876543212E-2</v>
      </c>
      <c r="L857" s="36">
        <f t="shared" si="283"/>
        <v>2.0910493827160502E-2</v>
      </c>
      <c r="M857" s="36">
        <f t="shared" si="283"/>
        <v>3.4953703703703716E-2</v>
      </c>
      <c r="N857" s="36">
        <f t="shared" si="283"/>
        <v>320</v>
      </c>
      <c r="O857" s="36">
        <f t="shared" si="283"/>
        <v>179</v>
      </c>
      <c r="P857" s="36" t="str">
        <f t="shared" si="283"/>
        <v>SFO</v>
      </c>
      <c r="R857">
        <v>843</v>
      </c>
      <c r="S857" s="36" t="str">
        <f t="shared" si="278"/>
        <v>MEXICO AEREO</v>
      </c>
      <c r="T857" s="36">
        <f t="shared" si="278"/>
        <v>100</v>
      </c>
      <c r="U857" s="73">
        <v>0.3430555555555555</v>
      </c>
      <c r="V857" s="74">
        <v>0.35000000000000003</v>
      </c>
      <c r="W857" s="75">
        <v>6.9444444444445308E-3</v>
      </c>
      <c r="X857" s="74">
        <v>0.35902777777777778</v>
      </c>
      <c r="Y857" s="75">
        <v>9.0277777777777457E-3</v>
      </c>
      <c r="Z857" s="76">
        <v>41731</v>
      </c>
      <c r="AA857" s="36" t="str">
        <f t="shared" ref="AA857:AG875" si="285">AA856</f>
        <v>Nacional</v>
      </c>
      <c r="AB857" s="36">
        <f t="shared" si="285"/>
        <v>5.7291666666666741E-3</v>
      </c>
      <c r="AC857" s="36">
        <f t="shared" si="285"/>
        <v>8.4027777777777764E-3</v>
      </c>
      <c r="AD857" s="36">
        <f t="shared" si="285"/>
        <v>1.413194444444445E-2</v>
      </c>
      <c r="AE857" s="36" t="str">
        <f t="shared" si="285"/>
        <v>B737-700</v>
      </c>
      <c r="AF857" s="36">
        <f t="shared" si="285"/>
        <v>126</v>
      </c>
      <c r="AG857" s="36" t="str">
        <f t="shared" si="285"/>
        <v>MEX</v>
      </c>
      <c r="AI857">
        <v>843</v>
      </c>
      <c r="AJ857" s="77" t="str">
        <f t="shared" si="280"/>
        <v>AEROLINEAS DE AMERICA</v>
      </c>
      <c r="AK857" s="77">
        <f t="shared" si="280"/>
        <v>3275</v>
      </c>
      <c r="AL857" s="78">
        <v>0.27708333333333335</v>
      </c>
      <c r="AM857" s="79">
        <v>0.28888888888888892</v>
      </c>
      <c r="AN857" s="80">
        <v>1.1805555555555569E-2</v>
      </c>
      <c r="AO857" s="79">
        <v>0.30555555555555552</v>
      </c>
      <c r="AP857" s="80">
        <v>1.6666666666666607E-2</v>
      </c>
      <c r="AQ857" s="81">
        <v>41806</v>
      </c>
      <c r="AR857" s="77" t="str">
        <f t="shared" si="281"/>
        <v>Internacional</v>
      </c>
      <c r="AS857" s="77">
        <f t="shared" si="281"/>
        <v>1.3159722222222234E-2</v>
      </c>
      <c r="AT857" s="77">
        <f t="shared" si="281"/>
        <v>1.1354166666666674E-2</v>
      </c>
      <c r="AU857" s="77">
        <f t="shared" si="281"/>
        <v>2.4513888888888908E-2</v>
      </c>
      <c r="AV857" s="77" t="str">
        <f t="shared" si="281"/>
        <v>ER4</v>
      </c>
      <c r="AW857" s="77">
        <f t="shared" si="281"/>
        <v>50</v>
      </c>
      <c r="AX857" s="77" t="str">
        <f t="shared" si="281"/>
        <v>DFW</v>
      </c>
    </row>
    <row r="858" spans="1:50" ht="15.75" thickBot="1" x14ac:dyDescent="0.3">
      <c r="A858">
        <v>844</v>
      </c>
      <c r="B858" s="36" t="str">
        <f t="shared" si="266"/>
        <v>UNIDOS VOLAMOS</v>
      </c>
      <c r="C858" s="36">
        <f t="shared" si="266"/>
        <v>480</v>
      </c>
      <c r="D858" s="176">
        <v>0.20416666666666669</v>
      </c>
      <c r="E858" s="176">
        <v>0.22013888888888888</v>
      </c>
      <c r="F858" s="177">
        <v>1.5972222222222193E-2</v>
      </c>
      <c r="G858" s="176">
        <v>0.26180555555555557</v>
      </c>
      <c r="H858" s="177">
        <v>4.1666666666666685E-2</v>
      </c>
      <c r="I858" s="97">
        <v>41725</v>
      </c>
      <c r="J858" s="36" t="str">
        <f t="shared" si="283"/>
        <v>Internacional</v>
      </c>
      <c r="K858" s="36">
        <f t="shared" si="283"/>
        <v>1.4043209876543212E-2</v>
      </c>
      <c r="L858" s="36">
        <f t="shared" si="283"/>
        <v>2.0910493827160502E-2</v>
      </c>
      <c r="M858" s="36">
        <f t="shared" si="283"/>
        <v>3.4953703703703716E-2</v>
      </c>
      <c r="N858" s="36">
        <f t="shared" si="283"/>
        <v>320</v>
      </c>
      <c r="O858" s="36">
        <f t="shared" si="283"/>
        <v>179</v>
      </c>
      <c r="P858" s="36" t="str">
        <f t="shared" si="283"/>
        <v>SFO</v>
      </c>
      <c r="R858">
        <v>844</v>
      </c>
      <c r="S858" s="36" t="str">
        <f t="shared" si="278"/>
        <v>MEXICO AEREO</v>
      </c>
      <c r="T858" s="36">
        <f t="shared" si="278"/>
        <v>100</v>
      </c>
      <c r="U858" s="73">
        <v>0.34027777777777773</v>
      </c>
      <c r="V858" s="74">
        <v>0.34652777777777777</v>
      </c>
      <c r="W858" s="75">
        <v>6.2500000000000333E-3</v>
      </c>
      <c r="X858" s="74">
        <v>0.3527777777777778</v>
      </c>
      <c r="Y858" s="75">
        <v>6.2500000000000333E-3</v>
      </c>
      <c r="Z858" s="76">
        <v>41732</v>
      </c>
      <c r="AA858" s="36" t="str">
        <f t="shared" si="285"/>
        <v>Nacional</v>
      </c>
      <c r="AB858" s="36">
        <f t="shared" si="285"/>
        <v>5.7291666666666741E-3</v>
      </c>
      <c r="AC858" s="36">
        <f t="shared" si="285"/>
        <v>8.4027777777777764E-3</v>
      </c>
      <c r="AD858" s="36">
        <f t="shared" si="285"/>
        <v>1.413194444444445E-2</v>
      </c>
      <c r="AE858" s="36" t="str">
        <f t="shared" si="285"/>
        <v>B737-700</v>
      </c>
      <c r="AF858" s="36">
        <f t="shared" si="285"/>
        <v>126</v>
      </c>
      <c r="AG858" s="36" t="str">
        <f t="shared" si="285"/>
        <v>MEX</v>
      </c>
      <c r="AI858">
        <v>844</v>
      </c>
      <c r="AJ858" s="77" t="str">
        <f t="shared" si="280"/>
        <v>AEROLINEAS DE AMERICA</v>
      </c>
      <c r="AK858" s="77">
        <f t="shared" si="280"/>
        <v>3275</v>
      </c>
      <c r="AL858" s="78">
        <v>0.85555555555555562</v>
      </c>
      <c r="AM858" s="79">
        <v>0.86875000000000002</v>
      </c>
      <c r="AN858" s="80">
        <v>1.3194444444444398E-2</v>
      </c>
      <c r="AO858" s="79">
        <v>0.88611111111111107</v>
      </c>
      <c r="AP858" s="80">
        <v>1.7361111111111049E-2</v>
      </c>
      <c r="AQ858" s="81">
        <v>41807</v>
      </c>
      <c r="AR858" s="77" t="str">
        <f t="shared" si="281"/>
        <v>Internacional</v>
      </c>
      <c r="AS858" s="77">
        <f t="shared" si="281"/>
        <v>1.3159722222222234E-2</v>
      </c>
      <c r="AT858" s="77">
        <f t="shared" si="281"/>
        <v>1.1354166666666674E-2</v>
      </c>
      <c r="AU858" s="77">
        <f t="shared" si="281"/>
        <v>2.4513888888888908E-2</v>
      </c>
      <c r="AV858" s="77" t="str">
        <f t="shared" si="281"/>
        <v>ER4</v>
      </c>
      <c r="AW858" s="77">
        <f t="shared" si="281"/>
        <v>50</v>
      </c>
      <c r="AX858" s="77" t="str">
        <f t="shared" si="281"/>
        <v>DFW</v>
      </c>
    </row>
    <row r="859" spans="1:50" x14ac:dyDescent="0.25">
      <c r="A859">
        <v>845</v>
      </c>
      <c r="B859" s="36" t="str">
        <f t="shared" si="266"/>
        <v>UNIDOS VOLAMOS</v>
      </c>
      <c r="C859" s="151">
        <v>332</v>
      </c>
      <c r="D859" s="152">
        <v>0.56180555555555556</v>
      </c>
      <c r="E859" s="152">
        <v>0.58194444444444449</v>
      </c>
      <c r="F859" s="153">
        <v>2.0138888888888928E-2</v>
      </c>
      <c r="G859" s="152">
        <v>0.58819444444444446</v>
      </c>
      <c r="H859" s="153">
        <v>6.2499999999999778E-3</v>
      </c>
      <c r="I859" s="67">
        <v>41714</v>
      </c>
      <c r="J859" s="174" t="s">
        <v>22</v>
      </c>
      <c r="K859" s="135">
        <v>1.5782828282828287E-2</v>
      </c>
      <c r="L859" s="135">
        <v>7.7651515151515174E-3</v>
      </c>
      <c r="M859" s="175">
        <v>2.3547979797979804E-2</v>
      </c>
      <c r="N859" s="90">
        <v>320</v>
      </c>
      <c r="O859" s="91">
        <v>179</v>
      </c>
      <c r="P859" s="92" t="s">
        <v>54</v>
      </c>
      <c r="R859">
        <v>845</v>
      </c>
      <c r="S859" s="36" t="str">
        <f t="shared" si="278"/>
        <v>MEXICO AEREO</v>
      </c>
      <c r="T859" s="36">
        <f t="shared" si="278"/>
        <v>100</v>
      </c>
      <c r="U859" s="73">
        <v>0.35000000000000003</v>
      </c>
      <c r="V859" s="74">
        <v>0.35416666666666669</v>
      </c>
      <c r="W859" s="75">
        <v>4.1666666666666519E-3</v>
      </c>
      <c r="X859" s="74">
        <v>0.36319444444444443</v>
      </c>
      <c r="Y859" s="75">
        <v>9.0277777777777457E-3</v>
      </c>
      <c r="Z859" s="76">
        <v>41733</v>
      </c>
      <c r="AA859" s="36" t="str">
        <f t="shared" si="285"/>
        <v>Nacional</v>
      </c>
      <c r="AB859" s="36">
        <f t="shared" si="285"/>
        <v>5.7291666666666741E-3</v>
      </c>
      <c r="AC859" s="36">
        <f t="shared" si="285"/>
        <v>8.4027777777777764E-3</v>
      </c>
      <c r="AD859" s="36">
        <f t="shared" si="285"/>
        <v>1.413194444444445E-2</v>
      </c>
      <c r="AE859" s="36" t="str">
        <f t="shared" si="285"/>
        <v>B737-700</v>
      </c>
      <c r="AF859" s="36">
        <f t="shared" si="285"/>
        <v>126</v>
      </c>
      <c r="AG859" s="36" t="str">
        <f t="shared" si="285"/>
        <v>MEX</v>
      </c>
      <c r="AI859">
        <v>845</v>
      </c>
      <c r="AJ859" s="77" t="str">
        <f t="shared" si="280"/>
        <v>AEROLINEAS DE AMERICA</v>
      </c>
      <c r="AK859" s="77">
        <f t="shared" si="280"/>
        <v>3275</v>
      </c>
      <c r="AL859" s="78">
        <v>0.66041666666666665</v>
      </c>
      <c r="AM859" s="79">
        <v>0.67222222222222217</v>
      </c>
      <c r="AN859" s="80">
        <v>1.1805555555555514E-2</v>
      </c>
      <c r="AO859" s="79">
        <v>0.67847222222222225</v>
      </c>
      <c r="AP859" s="80">
        <v>6.2500000000000888E-3</v>
      </c>
      <c r="AQ859" s="81">
        <v>41808</v>
      </c>
      <c r="AR859" s="77" t="str">
        <f t="shared" si="281"/>
        <v>Internacional</v>
      </c>
      <c r="AS859" s="77">
        <f t="shared" si="281"/>
        <v>1.3159722222222234E-2</v>
      </c>
      <c r="AT859" s="77">
        <f t="shared" si="281"/>
        <v>1.1354166666666674E-2</v>
      </c>
      <c r="AU859" s="77">
        <f t="shared" si="281"/>
        <v>2.4513888888888908E-2</v>
      </c>
      <c r="AV859" s="77" t="str">
        <f t="shared" si="281"/>
        <v>ER4</v>
      </c>
      <c r="AW859" s="77">
        <f t="shared" si="281"/>
        <v>50</v>
      </c>
      <c r="AX859" s="77" t="str">
        <f t="shared" si="281"/>
        <v>DFW</v>
      </c>
    </row>
    <row r="860" spans="1:50" x14ac:dyDescent="0.25">
      <c r="A860">
        <v>846</v>
      </c>
      <c r="B860" s="36" t="str">
        <f t="shared" si="266"/>
        <v>UNIDOS VOLAMOS</v>
      </c>
      <c r="C860" s="36">
        <f t="shared" si="266"/>
        <v>332</v>
      </c>
      <c r="D860" s="118">
        <v>0.56041666666666667</v>
      </c>
      <c r="E860" s="118">
        <v>0.57291666666666663</v>
      </c>
      <c r="F860" s="119">
        <v>1.2499999999999956E-2</v>
      </c>
      <c r="G860" s="118">
        <v>0.58611111111111114</v>
      </c>
      <c r="H860" s="119">
        <v>1.3194444444444509E-2</v>
      </c>
      <c r="I860" s="81">
        <v>41715</v>
      </c>
      <c r="J860" s="36" t="str">
        <f t="shared" ref="J860:P869" si="286">J859</f>
        <v>Internacional</v>
      </c>
      <c r="K860" s="36">
        <f t="shared" si="286"/>
        <v>1.5782828282828287E-2</v>
      </c>
      <c r="L860" s="36">
        <f t="shared" si="286"/>
        <v>7.7651515151515174E-3</v>
      </c>
      <c r="M860" s="36">
        <f t="shared" si="286"/>
        <v>2.3547979797979804E-2</v>
      </c>
      <c r="N860" s="36">
        <f t="shared" si="286"/>
        <v>320</v>
      </c>
      <c r="O860" s="36">
        <f t="shared" si="286"/>
        <v>179</v>
      </c>
      <c r="P860" s="36" t="str">
        <f t="shared" si="286"/>
        <v>IAH</v>
      </c>
      <c r="R860">
        <v>846</v>
      </c>
      <c r="S860" s="36" t="str">
        <f t="shared" si="278"/>
        <v>MEXICO AEREO</v>
      </c>
      <c r="T860" s="36">
        <f t="shared" si="278"/>
        <v>100</v>
      </c>
      <c r="U860" s="73">
        <v>0.35416666666666669</v>
      </c>
      <c r="V860" s="74">
        <v>0.35972222222222222</v>
      </c>
      <c r="W860" s="75">
        <v>5.5555555555555358E-3</v>
      </c>
      <c r="X860" s="74">
        <v>0.36458333333333331</v>
      </c>
      <c r="Y860" s="75">
        <v>4.8611111111110938E-3</v>
      </c>
      <c r="Z860" s="76">
        <v>41738</v>
      </c>
      <c r="AA860" s="36" t="str">
        <f t="shared" si="285"/>
        <v>Nacional</v>
      </c>
      <c r="AB860" s="36">
        <f t="shared" si="285"/>
        <v>5.7291666666666741E-3</v>
      </c>
      <c r="AC860" s="36">
        <f t="shared" si="285"/>
        <v>8.4027777777777764E-3</v>
      </c>
      <c r="AD860" s="36">
        <f t="shared" si="285"/>
        <v>1.413194444444445E-2</v>
      </c>
      <c r="AE860" s="36" t="str">
        <f t="shared" si="285"/>
        <v>B737-700</v>
      </c>
      <c r="AF860" s="36">
        <f t="shared" si="285"/>
        <v>126</v>
      </c>
      <c r="AG860" s="36" t="str">
        <f t="shared" si="285"/>
        <v>MEX</v>
      </c>
      <c r="AI860">
        <v>846</v>
      </c>
      <c r="AJ860" s="77" t="str">
        <f t="shared" si="280"/>
        <v>AEROLINEAS DE AMERICA</v>
      </c>
      <c r="AK860" s="77">
        <f t="shared" si="280"/>
        <v>3275</v>
      </c>
      <c r="AL860" s="78">
        <v>0.65763888888888888</v>
      </c>
      <c r="AM860" s="79">
        <v>0.67083333333333339</v>
      </c>
      <c r="AN860" s="80">
        <v>1.3194444444444509E-2</v>
      </c>
      <c r="AO860" s="79">
        <v>0.67708333333333337</v>
      </c>
      <c r="AP860" s="80">
        <v>6.2499999999999778E-3</v>
      </c>
      <c r="AQ860" s="81">
        <v>41809</v>
      </c>
      <c r="AR860" s="77" t="str">
        <f t="shared" si="281"/>
        <v>Internacional</v>
      </c>
      <c r="AS860" s="77">
        <f t="shared" si="281"/>
        <v>1.3159722222222234E-2</v>
      </c>
      <c r="AT860" s="77">
        <f t="shared" si="281"/>
        <v>1.1354166666666674E-2</v>
      </c>
      <c r="AU860" s="77">
        <f t="shared" si="281"/>
        <v>2.4513888888888908E-2</v>
      </c>
      <c r="AV860" s="77" t="str">
        <f t="shared" si="281"/>
        <v>ER4</v>
      </c>
      <c r="AW860" s="77">
        <f t="shared" si="281"/>
        <v>50</v>
      </c>
      <c r="AX860" s="77" t="str">
        <f t="shared" si="281"/>
        <v>DFW</v>
      </c>
    </row>
    <row r="861" spans="1:50" x14ac:dyDescent="0.25">
      <c r="A861">
        <v>847</v>
      </c>
      <c r="B861" s="36" t="str">
        <f t="shared" si="266"/>
        <v>UNIDOS VOLAMOS</v>
      </c>
      <c r="C861" s="36">
        <f t="shared" si="266"/>
        <v>332</v>
      </c>
      <c r="D861" s="118">
        <v>0.54791666666666672</v>
      </c>
      <c r="E861" s="118">
        <v>0.5625</v>
      </c>
      <c r="F861" s="119">
        <v>1.4583333333333282E-2</v>
      </c>
      <c r="G861" s="118">
        <v>0.56805555555555554</v>
      </c>
      <c r="H861" s="119">
        <v>5.5555555555555358E-3</v>
      </c>
      <c r="I861" s="81">
        <v>41717</v>
      </c>
      <c r="J861" s="36" t="str">
        <f t="shared" si="286"/>
        <v>Internacional</v>
      </c>
      <c r="K861" s="36">
        <f t="shared" si="286"/>
        <v>1.5782828282828287E-2</v>
      </c>
      <c r="L861" s="36">
        <f t="shared" si="286"/>
        <v>7.7651515151515174E-3</v>
      </c>
      <c r="M861" s="36">
        <f t="shared" si="286"/>
        <v>2.3547979797979804E-2</v>
      </c>
      <c r="N861" s="36">
        <f t="shared" si="286"/>
        <v>320</v>
      </c>
      <c r="O861" s="36">
        <f t="shared" si="286"/>
        <v>179</v>
      </c>
      <c r="P861" s="36" t="str">
        <f t="shared" si="286"/>
        <v>IAH</v>
      </c>
      <c r="R861">
        <v>847</v>
      </c>
      <c r="S861" s="36" t="str">
        <f t="shared" si="278"/>
        <v>MEXICO AEREO</v>
      </c>
      <c r="T861" s="36">
        <f t="shared" si="278"/>
        <v>100</v>
      </c>
      <c r="U861" s="73">
        <v>0.3520833333333333</v>
      </c>
      <c r="V861" s="74">
        <v>0.35347222222222219</v>
      </c>
      <c r="W861" s="75">
        <v>1.388888888888884E-3</v>
      </c>
      <c r="X861" s="74">
        <v>0.3611111111111111</v>
      </c>
      <c r="Y861" s="75">
        <v>7.6388888888889173E-3</v>
      </c>
      <c r="Z861" s="76">
        <v>41739</v>
      </c>
      <c r="AA861" s="36" t="str">
        <f t="shared" si="285"/>
        <v>Nacional</v>
      </c>
      <c r="AB861" s="36">
        <f t="shared" si="285"/>
        <v>5.7291666666666741E-3</v>
      </c>
      <c r="AC861" s="36">
        <f t="shared" si="285"/>
        <v>8.4027777777777764E-3</v>
      </c>
      <c r="AD861" s="36">
        <f t="shared" si="285"/>
        <v>1.413194444444445E-2</v>
      </c>
      <c r="AE861" s="36" t="str">
        <f t="shared" si="285"/>
        <v>B737-700</v>
      </c>
      <c r="AF861" s="36">
        <f t="shared" si="285"/>
        <v>126</v>
      </c>
      <c r="AG861" s="36" t="str">
        <f t="shared" si="285"/>
        <v>MEX</v>
      </c>
      <c r="AI861">
        <v>847</v>
      </c>
      <c r="AJ861" s="77" t="str">
        <f t="shared" si="280"/>
        <v>AEROLINEAS DE AMERICA</v>
      </c>
      <c r="AK861" s="77">
        <f t="shared" si="280"/>
        <v>3275</v>
      </c>
      <c r="AL861" s="78">
        <v>0.65277777777777779</v>
      </c>
      <c r="AM861" s="79">
        <v>0.66041666666666665</v>
      </c>
      <c r="AN861" s="80">
        <v>7.6388888888888618E-3</v>
      </c>
      <c r="AO861" s="79">
        <v>0.67152777777777783</v>
      </c>
      <c r="AP861" s="80">
        <v>1.1111111111111183E-2</v>
      </c>
      <c r="AQ861" s="81">
        <v>41810</v>
      </c>
      <c r="AR861" s="77" t="str">
        <f t="shared" si="281"/>
        <v>Internacional</v>
      </c>
      <c r="AS861" s="77">
        <f t="shared" si="281"/>
        <v>1.3159722222222234E-2</v>
      </c>
      <c r="AT861" s="77">
        <f t="shared" si="281"/>
        <v>1.1354166666666674E-2</v>
      </c>
      <c r="AU861" s="77">
        <f t="shared" si="281"/>
        <v>2.4513888888888908E-2</v>
      </c>
      <c r="AV861" s="77" t="str">
        <f t="shared" si="281"/>
        <v>ER4</v>
      </c>
      <c r="AW861" s="77">
        <f t="shared" si="281"/>
        <v>50</v>
      </c>
      <c r="AX861" s="77" t="str">
        <f t="shared" si="281"/>
        <v>DFW</v>
      </c>
    </row>
    <row r="862" spans="1:50" x14ac:dyDescent="0.25">
      <c r="A862">
        <v>848</v>
      </c>
      <c r="B862" s="36" t="str">
        <f t="shared" si="266"/>
        <v>UNIDOS VOLAMOS</v>
      </c>
      <c r="C862" s="36">
        <f t="shared" si="266"/>
        <v>332</v>
      </c>
      <c r="D862" s="118">
        <v>0.56597222222222221</v>
      </c>
      <c r="E862" s="118">
        <v>0.57847222222222217</v>
      </c>
      <c r="F862" s="119">
        <v>1.2499999999999956E-2</v>
      </c>
      <c r="G862" s="118">
        <v>0.5854166666666667</v>
      </c>
      <c r="H862" s="119">
        <v>6.9444444444445308E-3</v>
      </c>
      <c r="I862" s="81">
        <v>41720</v>
      </c>
      <c r="J862" s="36" t="str">
        <f t="shared" si="286"/>
        <v>Internacional</v>
      </c>
      <c r="K862" s="36">
        <f t="shared" si="286"/>
        <v>1.5782828282828287E-2</v>
      </c>
      <c r="L862" s="36">
        <f t="shared" si="286"/>
        <v>7.7651515151515174E-3</v>
      </c>
      <c r="M862" s="36">
        <f t="shared" si="286"/>
        <v>2.3547979797979804E-2</v>
      </c>
      <c r="N862" s="36">
        <f t="shared" si="286"/>
        <v>320</v>
      </c>
      <c r="O862" s="36">
        <f t="shared" si="286"/>
        <v>179</v>
      </c>
      <c r="P862" s="36" t="str">
        <f t="shared" si="286"/>
        <v>IAH</v>
      </c>
      <c r="R862">
        <v>848</v>
      </c>
      <c r="S862" s="36" t="str">
        <f t="shared" si="278"/>
        <v>MEXICO AEREO</v>
      </c>
      <c r="T862" s="36">
        <f t="shared" si="278"/>
        <v>100</v>
      </c>
      <c r="U862" s="73">
        <v>0.3354166666666667</v>
      </c>
      <c r="V862" s="74">
        <v>0.34097222222222223</v>
      </c>
      <c r="W862" s="75">
        <v>5.5555555555555358E-3</v>
      </c>
      <c r="X862" s="74">
        <v>0.34722222222222227</v>
      </c>
      <c r="Y862" s="75">
        <v>6.2500000000000333E-3</v>
      </c>
      <c r="Z862" s="76">
        <v>41741</v>
      </c>
      <c r="AA862" s="36" t="str">
        <f t="shared" si="285"/>
        <v>Nacional</v>
      </c>
      <c r="AB862" s="36">
        <f t="shared" si="285"/>
        <v>5.7291666666666741E-3</v>
      </c>
      <c r="AC862" s="36">
        <f t="shared" si="285"/>
        <v>8.4027777777777764E-3</v>
      </c>
      <c r="AD862" s="36">
        <f t="shared" si="285"/>
        <v>1.413194444444445E-2</v>
      </c>
      <c r="AE862" s="36" t="str">
        <f t="shared" si="285"/>
        <v>B737-700</v>
      </c>
      <c r="AF862" s="36">
        <f t="shared" si="285"/>
        <v>126</v>
      </c>
      <c r="AG862" s="36" t="str">
        <f t="shared" si="285"/>
        <v>MEX</v>
      </c>
      <c r="AI862">
        <v>848</v>
      </c>
      <c r="AJ862" s="77" t="str">
        <f t="shared" si="280"/>
        <v>AEROLINEAS DE AMERICA</v>
      </c>
      <c r="AK862" s="77">
        <f t="shared" si="280"/>
        <v>3275</v>
      </c>
      <c r="AL862" s="78">
        <v>0.65555555555555556</v>
      </c>
      <c r="AM862" s="79">
        <v>0.67083333333333339</v>
      </c>
      <c r="AN862" s="80">
        <v>1.5277777777777835E-2</v>
      </c>
      <c r="AO862" s="79">
        <v>0.67847222222222225</v>
      </c>
      <c r="AP862" s="80">
        <v>7.6388888888888618E-3</v>
      </c>
      <c r="AQ862" s="81">
        <v>41811</v>
      </c>
      <c r="AR862" s="77" t="str">
        <f t="shared" si="281"/>
        <v>Internacional</v>
      </c>
      <c r="AS862" s="77">
        <f t="shared" si="281"/>
        <v>1.3159722222222234E-2</v>
      </c>
      <c r="AT862" s="77">
        <f t="shared" si="281"/>
        <v>1.1354166666666674E-2</v>
      </c>
      <c r="AU862" s="77">
        <f t="shared" si="281"/>
        <v>2.4513888888888908E-2</v>
      </c>
      <c r="AV862" s="77" t="str">
        <f t="shared" si="281"/>
        <v>ER4</v>
      </c>
      <c r="AW862" s="77">
        <f t="shared" si="281"/>
        <v>50</v>
      </c>
      <c r="AX862" s="77" t="str">
        <f t="shared" si="281"/>
        <v>DFW</v>
      </c>
    </row>
    <row r="863" spans="1:50" ht="15.75" thickBot="1" x14ac:dyDescent="0.3">
      <c r="A863">
        <v>849</v>
      </c>
      <c r="B863" s="36" t="str">
        <f t="shared" si="266"/>
        <v>UNIDOS VOLAMOS</v>
      </c>
      <c r="C863" s="36">
        <f t="shared" si="266"/>
        <v>332</v>
      </c>
      <c r="D863" s="118">
        <v>0.5541666666666667</v>
      </c>
      <c r="E863" s="118">
        <v>0.57291666666666663</v>
      </c>
      <c r="F863" s="119">
        <v>1.8749999999999933E-2</v>
      </c>
      <c r="G863" s="118">
        <v>0.58124999999999993</v>
      </c>
      <c r="H863" s="119">
        <v>8.3333333333333037E-3</v>
      </c>
      <c r="I863" s="81">
        <v>41721</v>
      </c>
      <c r="J863" s="36" t="str">
        <f t="shared" si="286"/>
        <v>Internacional</v>
      </c>
      <c r="K863" s="36">
        <f t="shared" si="286"/>
        <v>1.5782828282828287E-2</v>
      </c>
      <c r="L863" s="36">
        <f t="shared" si="286"/>
        <v>7.7651515151515174E-3</v>
      </c>
      <c r="M863" s="36">
        <f t="shared" si="286"/>
        <v>2.3547979797979804E-2</v>
      </c>
      <c r="N863" s="36">
        <f t="shared" si="286"/>
        <v>320</v>
      </c>
      <c r="O863" s="36">
        <f t="shared" si="286"/>
        <v>179</v>
      </c>
      <c r="P863" s="36" t="str">
        <f t="shared" si="286"/>
        <v>IAH</v>
      </c>
      <c r="R863">
        <v>849</v>
      </c>
      <c r="S863" s="36" t="str">
        <f t="shared" si="278"/>
        <v>MEXICO AEREO</v>
      </c>
      <c r="T863" s="36">
        <f t="shared" si="278"/>
        <v>100</v>
      </c>
      <c r="U863" s="73">
        <v>0.34375</v>
      </c>
      <c r="V863" s="74">
        <v>0.34722222222222227</v>
      </c>
      <c r="W863" s="75">
        <v>3.4722222222222654E-3</v>
      </c>
      <c r="X863" s="74">
        <v>0.35416666666666669</v>
      </c>
      <c r="Y863" s="75">
        <v>6.9444444444444198E-3</v>
      </c>
      <c r="Z863" s="76">
        <v>41742</v>
      </c>
      <c r="AA863" s="36" t="str">
        <f t="shared" si="285"/>
        <v>Nacional</v>
      </c>
      <c r="AB863" s="36">
        <f t="shared" si="285"/>
        <v>5.7291666666666741E-3</v>
      </c>
      <c r="AC863" s="36">
        <f t="shared" si="285"/>
        <v>8.4027777777777764E-3</v>
      </c>
      <c r="AD863" s="36">
        <f t="shared" si="285"/>
        <v>1.413194444444445E-2</v>
      </c>
      <c r="AE863" s="36" t="str">
        <f t="shared" si="285"/>
        <v>B737-700</v>
      </c>
      <c r="AF863" s="36">
        <f t="shared" si="285"/>
        <v>126</v>
      </c>
      <c r="AG863" s="36" t="str">
        <f t="shared" si="285"/>
        <v>MEX</v>
      </c>
      <c r="AI863">
        <v>849</v>
      </c>
      <c r="AJ863" s="77" t="str">
        <f t="shared" si="280"/>
        <v>AEROLINEAS DE AMERICA</v>
      </c>
      <c r="AK863" s="77">
        <f t="shared" si="280"/>
        <v>3275</v>
      </c>
      <c r="AL863" s="94">
        <v>0.64374999999999993</v>
      </c>
      <c r="AM863" s="95">
        <v>0.65277777777777779</v>
      </c>
      <c r="AN863" s="96">
        <v>9.0277777777778567E-3</v>
      </c>
      <c r="AO863" s="95">
        <v>0.67708333333333337</v>
      </c>
      <c r="AP863" s="96">
        <v>2.430555555555558E-2</v>
      </c>
      <c r="AQ863" s="97">
        <v>41813</v>
      </c>
      <c r="AR863" s="77" t="str">
        <f t="shared" si="281"/>
        <v>Internacional</v>
      </c>
      <c r="AS863" s="77">
        <f t="shared" si="281"/>
        <v>1.3159722222222234E-2</v>
      </c>
      <c r="AT863" s="77">
        <f t="shared" si="281"/>
        <v>1.1354166666666674E-2</v>
      </c>
      <c r="AU863" s="77">
        <f t="shared" si="281"/>
        <v>2.4513888888888908E-2</v>
      </c>
      <c r="AV863" s="77" t="str">
        <f t="shared" si="281"/>
        <v>ER4</v>
      </c>
      <c r="AW863" s="77">
        <f t="shared" si="281"/>
        <v>50</v>
      </c>
      <c r="AX863" s="77" t="str">
        <f t="shared" si="281"/>
        <v>DFW</v>
      </c>
    </row>
    <row r="864" spans="1:50" x14ac:dyDescent="0.25">
      <c r="A864">
        <v>850</v>
      </c>
      <c r="B864" s="36" t="str">
        <f t="shared" si="266"/>
        <v>UNIDOS VOLAMOS</v>
      </c>
      <c r="C864" s="36">
        <f t="shared" si="266"/>
        <v>332</v>
      </c>
      <c r="D864" s="118">
        <v>0.5625</v>
      </c>
      <c r="E864" s="118">
        <v>0.57638888888888895</v>
      </c>
      <c r="F864" s="119">
        <v>1.3888888888888951E-2</v>
      </c>
      <c r="G864" s="118">
        <v>0.58750000000000002</v>
      </c>
      <c r="H864" s="119">
        <v>1.1111111111111072E-2</v>
      </c>
      <c r="I864" s="81">
        <v>41722</v>
      </c>
      <c r="J864" s="36" t="str">
        <f t="shared" si="286"/>
        <v>Internacional</v>
      </c>
      <c r="K864" s="36">
        <f t="shared" si="286"/>
        <v>1.5782828282828287E-2</v>
      </c>
      <c r="L864" s="36">
        <f t="shared" si="286"/>
        <v>7.7651515151515174E-3</v>
      </c>
      <c r="M864" s="36">
        <f t="shared" si="286"/>
        <v>2.3547979797979804E-2</v>
      </c>
      <c r="N864" s="36">
        <f t="shared" si="286"/>
        <v>320</v>
      </c>
      <c r="O864" s="36">
        <f t="shared" si="286"/>
        <v>179</v>
      </c>
      <c r="P864" s="36" t="str">
        <f t="shared" si="286"/>
        <v>IAH</v>
      </c>
      <c r="R864">
        <v>850</v>
      </c>
      <c r="S864" s="36" t="str">
        <f t="shared" si="278"/>
        <v>MEXICO AEREO</v>
      </c>
      <c r="T864" s="36">
        <f t="shared" si="278"/>
        <v>100</v>
      </c>
      <c r="U864" s="73">
        <v>0.3576388888888889</v>
      </c>
      <c r="V864" s="74">
        <v>0.36180555555555555</v>
      </c>
      <c r="W864" s="75">
        <v>4.1666666666666519E-3</v>
      </c>
      <c r="X864" s="74">
        <v>0.36388888888888887</v>
      </c>
      <c r="Y864" s="75">
        <v>2.0833333333333259E-3</v>
      </c>
      <c r="Z864" s="76">
        <v>41743</v>
      </c>
      <c r="AA864" s="36" t="str">
        <f t="shared" si="285"/>
        <v>Nacional</v>
      </c>
      <c r="AB864" s="36">
        <f t="shared" si="285"/>
        <v>5.7291666666666741E-3</v>
      </c>
      <c r="AC864" s="36">
        <f t="shared" si="285"/>
        <v>8.4027777777777764E-3</v>
      </c>
      <c r="AD864" s="36">
        <f t="shared" si="285"/>
        <v>1.413194444444445E-2</v>
      </c>
      <c r="AE864" s="36" t="str">
        <f t="shared" si="285"/>
        <v>B737-700</v>
      </c>
      <c r="AF864" s="36">
        <f t="shared" si="285"/>
        <v>126</v>
      </c>
      <c r="AG864" s="36" t="str">
        <f t="shared" si="285"/>
        <v>MEX</v>
      </c>
      <c r="AI864">
        <v>850</v>
      </c>
      <c r="AJ864" s="77" t="str">
        <f t="shared" si="280"/>
        <v>AEROLINEAS DE AMERICA</v>
      </c>
      <c r="AK864" s="63">
        <v>2313</v>
      </c>
      <c r="AL864" s="64">
        <v>0.8340277777777777</v>
      </c>
      <c r="AM864" s="65">
        <v>0.85972222222222217</v>
      </c>
      <c r="AN864" s="66">
        <v>2.5694444444444464E-2</v>
      </c>
      <c r="AO864" s="65">
        <v>0.87361111111111101</v>
      </c>
      <c r="AP864" s="66">
        <v>1.388888888888884E-2</v>
      </c>
      <c r="AQ864" s="67">
        <v>41792</v>
      </c>
      <c r="AR864" s="68" t="s">
        <v>22</v>
      </c>
      <c r="AS864" s="69">
        <v>1.5310846560846549E-2</v>
      </c>
      <c r="AT864" s="70">
        <v>1.1970899470899481E-2</v>
      </c>
      <c r="AU864" s="70">
        <v>2.7281746031746032E-2</v>
      </c>
      <c r="AV864" s="71" t="s">
        <v>56</v>
      </c>
      <c r="AW864" s="71">
        <v>182</v>
      </c>
      <c r="AX864" s="72" t="s">
        <v>23</v>
      </c>
    </row>
    <row r="865" spans="1:50" x14ac:dyDescent="0.25">
      <c r="A865">
        <v>851</v>
      </c>
      <c r="B865" s="36" t="str">
        <f t="shared" ref="B865:C880" si="287">B864</f>
        <v>UNIDOS VOLAMOS</v>
      </c>
      <c r="C865" s="36">
        <f t="shared" si="287"/>
        <v>332</v>
      </c>
      <c r="D865" s="118">
        <v>0.54722222222222217</v>
      </c>
      <c r="E865" s="118">
        <v>0.56319444444444444</v>
      </c>
      <c r="F865" s="119">
        <v>1.5972222222222276E-2</v>
      </c>
      <c r="G865" s="118">
        <v>0.56666666666666665</v>
      </c>
      <c r="H865" s="119">
        <v>3.4722222222222099E-3</v>
      </c>
      <c r="I865" s="81">
        <v>41723</v>
      </c>
      <c r="J865" s="36" t="str">
        <f t="shared" si="286"/>
        <v>Internacional</v>
      </c>
      <c r="K865" s="36">
        <f t="shared" si="286"/>
        <v>1.5782828282828287E-2</v>
      </c>
      <c r="L865" s="36">
        <f t="shared" si="286"/>
        <v>7.7651515151515174E-3</v>
      </c>
      <c r="M865" s="36">
        <f t="shared" si="286"/>
        <v>2.3547979797979804E-2</v>
      </c>
      <c r="N865" s="36">
        <f t="shared" si="286"/>
        <v>320</v>
      </c>
      <c r="O865" s="36">
        <f t="shared" si="286"/>
        <v>179</v>
      </c>
      <c r="P865" s="36" t="str">
        <f t="shared" si="286"/>
        <v>IAH</v>
      </c>
      <c r="R865">
        <v>851</v>
      </c>
      <c r="S865" s="36" t="str">
        <f t="shared" si="278"/>
        <v>MEXICO AEREO</v>
      </c>
      <c r="T865" s="36">
        <f t="shared" si="278"/>
        <v>100</v>
      </c>
      <c r="U865" s="73">
        <v>0.34861111111111115</v>
      </c>
      <c r="V865" s="74">
        <v>0.3520833333333333</v>
      </c>
      <c r="W865" s="75">
        <v>3.4722222222221544E-3</v>
      </c>
      <c r="X865" s="74">
        <v>0.35902777777777778</v>
      </c>
      <c r="Y865" s="75">
        <v>6.9444444444444753E-3</v>
      </c>
      <c r="Z865" s="76">
        <v>41744</v>
      </c>
      <c r="AA865" s="36" t="str">
        <f t="shared" si="285"/>
        <v>Nacional</v>
      </c>
      <c r="AB865" s="36">
        <f t="shared" si="285"/>
        <v>5.7291666666666741E-3</v>
      </c>
      <c r="AC865" s="36">
        <f t="shared" si="285"/>
        <v>8.4027777777777764E-3</v>
      </c>
      <c r="AD865" s="36">
        <f t="shared" si="285"/>
        <v>1.413194444444445E-2</v>
      </c>
      <c r="AE865" s="36" t="str">
        <f t="shared" si="285"/>
        <v>B737-700</v>
      </c>
      <c r="AF865" s="36">
        <f t="shared" si="285"/>
        <v>126</v>
      </c>
      <c r="AG865" s="36" t="str">
        <f t="shared" si="285"/>
        <v>MEX</v>
      </c>
      <c r="AI865">
        <v>851</v>
      </c>
      <c r="AJ865" s="77" t="str">
        <f t="shared" si="280"/>
        <v>AEROLINEAS DE AMERICA</v>
      </c>
      <c r="AK865" s="77">
        <f t="shared" si="280"/>
        <v>2313</v>
      </c>
      <c r="AL865" s="78">
        <v>0.8305555555555556</v>
      </c>
      <c r="AM865" s="79">
        <v>0.84375</v>
      </c>
      <c r="AN865" s="80">
        <v>1.3194444444444398E-2</v>
      </c>
      <c r="AO865" s="79">
        <v>0.8520833333333333</v>
      </c>
      <c r="AP865" s="80">
        <v>8.3333333333333037E-3</v>
      </c>
      <c r="AQ865" s="81">
        <v>41793</v>
      </c>
      <c r="AR865" s="77" t="str">
        <f t="shared" ref="AR865:AX884" si="288">AR864</f>
        <v>Internacional</v>
      </c>
      <c r="AS865" s="77">
        <f t="shared" si="288"/>
        <v>1.5310846560846549E-2</v>
      </c>
      <c r="AT865" s="77">
        <f t="shared" si="288"/>
        <v>1.1970899470899481E-2</v>
      </c>
      <c r="AU865" s="77">
        <f t="shared" si="288"/>
        <v>2.7281746031746032E-2</v>
      </c>
      <c r="AV865" s="77" t="str">
        <f t="shared" si="288"/>
        <v>M80</v>
      </c>
      <c r="AW865" s="77">
        <f t="shared" si="288"/>
        <v>182</v>
      </c>
      <c r="AX865" s="77" t="str">
        <f t="shared" si="288"/>
        <v>DFW</v>
      </c>
    </row>
    <row r="866" spans="1:50" x14ac:dyDescent="0.25">
      <c r="A866">
        <v>852</v>
      </c>
      <c r="B866" s="36" t="str">
        <f t="shared" si="287"/>
        <v>UNIDOS VOLAMOS</v>
      </c>
      <c r="C866" s="36">
        <f t="shared" si="287"/>
        <v>332</v>
      </c>
      <c r="D866" s="118">
        <v>0.54652777777777783</v>
      </c>
      <c r="E866" s="118">
        <v>0.56597222222222221</v>
      </c>
      <c r="F866" s="119">
        <v>1.9444444444444375E-2</v>
      </c>
      <c r="G866" s="118">
        <v>0.57916666666666672</v>
      </c>
      <c r="H866" s="119">
        <v>1.3194444444444509E-2</v>
      </c>
      <c r="I866" s="81">
        <v>41725</v>
      </c>
      <c r="J866" s="36" t="str">
        <f t="shared" si="286"/>
        <v>Internacional</v>
      </c>
      <c r="K866" s="36">
        <f t="shared" si="286"/>
        <v>1.5782828282828287E-2</v>
      </c>
      <c r="L866" s="36">
        <f t="shared" si="286"/>
        <v>7.7651515151515174E-3</v>
      </c>
      <c r="M866" s="36">
        <f t="shared" si="286"/>
        <v>2.3547979797979804E-2</v>
      </c>
      <c r="N866" s="36">
        <f t="shared" si="286"/>
        <v>320</v>
      </c>
      <c r="O866" s="36">
        <f t="shared" si="286"/>
        <v>179</v>
      </c>
      <c r="P866" s="36" t="str">
        <f t="shared" si="286"/>
        <v>IAH</v>
      </c>
      <c r="R866">
        <v>852</v>
      </c>
      <c r="S866" s="36" t="str">
        <f t="shared" si="278"/>
        <v>MEXICO AEREO</v>
      </c>
      <c r="T866" s="36">
        <f t="shared" si="278"/>
        <v>100</v>
      </c>
      <c r="U866" s="73">
        <v>0.3527777777777778</v>
      </c>
      <c r="V866" s="74">
        <v>0.35833333333333334</v>
      </c>
      <c r="W866" s="75">
        <v>5.5555555555555358E-3</v>
      </c>
      <c r="X866" s="74">
        <v>0.36527777777777781</v>
      </c>
      <c r="Y866" s="75">
        <v>6.9444444444444753E-3</v>
      </c>
      <c r="Z866" s="76">
        <v>41745</v>
      </c>
      <c r="AA866" s="36" t="str">
        <f t="shared" si="285"/>
        <v>Nacional</v>
      </c>
      <c r="AB866" s="36">
        <f t="shared" si="285"/>
        <v>5.7291666666666741E-3</v>
      </c>
      <c r="AC866" s="36">
        <f t="shared" si="285"/>
        <v>8.4027777777777764E-3</v>
      </c>
      <c r="AD866" s="36">
        <f t="shared" si="285"/>
        <v>1.413194444444445E-2</v>
      </c>
      <c r="AE866" s="36" t="str">
        <f t="shared" si="285"/>
        <v>B737-700</v>
      </c>
      <c r="AF866" s="36">
        <f t="shared" si="285"/>
        <v>126</v>
      </c>
      <c r="AG866" s="36" t="str">
        <f t="shared" si="285"/>
        <v>MEX</v>
      </c>
      <c r="AI866">
        <v>852</v>
      </c>
      <c r="AJ866" s="77" t="str">
        <f t="shared" si="280"/>
        <v>AEROLINEAS DE AMERICA</v>
      </c>
      <c r="AK866" s="77">
        <f t="shared" si="280"/>
        <v>2313</v>
      </c>
      <c r="AL866" s="78">
        <v>0.83888888888888891</v>
      </c>
      <c r="AM866" s="79">
        <v>0.85763888888888884</v>
      </c>
      <c r="AN866" s="80">
        <v>1.8749999999999933E-2</v>
      </c>
      <c r="AO866" s="79">
        <v>0.86944444444444446</v>
      </c>
      <c r="AP866" s="80">
        <v>1.1805555555555625E-2</v>
      </c>
      <c r="AQ866" s="81">
        <v>41794</v>
      </c>
      <c r="AR866" s="77" t="str">
        <f t="shared" si="288"/>
        <v>Internacional</v>
      </c>
      <c r="AS866" s="77">
        <f t="shared" si="288"/>
        <v>1.5310846560846549E-2</v>
      </c>
      <c r="AT866" s="77">
        <f t="shared" si="288"/>
        <v>1.1970899470899481E-2</v>
      </c>
      <c r="AU866" s="77">
        <f t="shared" si="288"/>
        <v>2.7281746031746032E-2</v>
      </c>
      <c r="AV866" s="77" t="str">
        <f t="shared" si="288"/>
        <v>M80</v>
      </c>
      <c r="AW866" s="77">
        <f t="shared" si="288"/>
        <v>182</v>
      </c>
      <c r="AX866" s="77" t="str">
        <f t="shared" si="288"/>
        <v>DFW</v>
      </c>
    </row>
    <row r="867" spans="1:50" x14ac:dyDescent="0.25">
      <c r="A867">
        <v>853</v>
      </c>
      <c r="B867" s="36" t="str">
        <f t="shared" si="287"/>
        <v>UNIDOS VOLAMOS</v>
      </c>
      <c r="C867" s="36">
        <f t="shared" si="287"/>
        <v>332</v>
      </c>
      <c r="D867" s="118">
        <v>0.54861111111111105</v>
      </c>
      <c r="E867" s="118">
        <v>0.55833333333333335</v>
      </c>
      <c r="F867" s="119">
        <v>9.7222222222222987E-3</v>
      </c>
      <c r="G867" s="118">
        <v>0.5625</v>
      </c>
      <c r="H867" s="119">
        <v>4.1666666666666519E-3</v>
      </c>
      <c r="I867" s="81">
        <v>41726</v>
      </c>
      <c r="J867" s="36" t="str">
        <f t="shared" si="286"/>
        <v>Internacional</v>
      </c>
      <c r="K867" s="36">
        <f t="shared" si="286"/>
        <v>1.5782828282828287E-2</v>
      </c>
      <c r="L867" s="36">
        <f t="shared" si="286"/>
        <v>7.7651515151515174E-3</v>
      </c>
      <c r="M867" s="36">
        <f t="shared" si="286"/>
        <v>2.3547979797979804E-2</v>
      </c>
      <c r="N867" s="36">
        <f t="shared" si="286"/>
        <v>320</v>
      </c>
      <c r="O867" s="36">
        <f t="shared" si="286"/>
        <v>179</v>
      </c>
      <c r="P867" s="36" t="str">
        <f t="shared" si="286"/>
        <v>IAH</v>
      </c>
      <c r="R867">
        <v>853</v>
      </c>
      <c r="S867" s="36" t="str">
        <f t="shared" si="278"/>
        <v>MEXICO AEREO</v>
      </c>
      <c r="T867" s="36">
        <f t="shared" si="278"/>
        <v>100</v>
      </c>
      <c r="U867" s="73">
        <v>0.33333333333333331</v>
      </c>
      <c r="V867" s="74">
        <v>0.34513888888888888</v>
      </c>
      <c r="W867" s="75">
        <v>1.1805555555555569E-2</v>
      </c>
      <c r="X867" s="74">
        <v>0.35486111111111113</v>
      </c>
      <c r="Y867" s="75">
        <v>9.7222222222222432E-3</v>
      </c>
      <c r="Z867" s="76">
        <v>41747</v>
      </c>
      <c r="AA867" s="36" t="str">
        <f t="shared" si="285"/>
        <v>Nacional</v>
      </c>
      <c r="AB867" s="36">
        <f t="shared" si="285"/>
        <v>5.7291666666666741E-3</v>
      </c>
      <c r="AC867" s="36">
        <f t="shared" si="285"/>
        <v>8.4027777777777764E-3</v>
      </c>
      <c r="AD867" s="36">
        <f t="shared" si="285"/>
        <v>1.413194444444445E-2</v>
      </c>
      <c r="AE867" s="36" t="str">
        <f t="shared" si="285"/>
        <v>B737-700</v>
      </c>
      <c r="AF867" s="36">
        <f t="shared" si="285"/>
        <v>126</v>
      </c>
      <c r="AG867" s="36" t="str">
        <f t="shared" si="285"/>
        <v>MEX</v>
      </c>
      <c r="AI867">
        <v>853</v>
      </c>
      <c r="AJ867" s="77" t="str">
        <f t="shared" si="280"/>
        <v>AEROLINEAS DE AMERICA</v>
      </c>
      <c r="AK867" s="77">
        <f t="shared" si="280"/>
        <v>2313</v>
      </c>
      <c r="AL867" s="78">
        <v>0.88750000000000007</v>
      </c>
      <c r="AM867" s="79">
        <v>0.90902777777777777</v>
      </c>
      <c r="AN867" s="80">
        <v>2.1527777777777701E-2</v>
      </c>
      <c r="AO867" s="79">
        <v>0.92152777777777783</v>
      </c>
      <c r="AP867" s="80">
        <v>1.2500000000000067E-2</v>
      </c>
      <c r="AQ867" s="81">
        <v>41795</v>
      </c>
      <c r="AR867" s="77" t="str">
        <f t="shared" si="288"/>
        <v>Internacional</v>
      </c>
      <c r="AS867" s="77">
        <f t="shared" si="288"/>
        <v>1.5310846560846549E-2</v>
      </c>
      <c r="AT867" s="77">
        <f t="shared" si="288"/>
        <v>1.1970899470899481E-2</v>
      </c>
      <c r="AU867" s="77">
        <f t="shared" si="288"/>
        <v>2.7281746031746032E-2</v>
      </c>
      <c r="AV867" s="77" t="str">
        <f t="shared" si="288"/>
        <v>M80</v>
      </c>
      <c r="AW867" s="77">
        <f t="shared" si="288"/>
        <v>182</v>
      </c>
      <c r="AX867" s="77" t="str">
        <f t="shared" si="288"/>
        <v>DFW</v>
      </c>
    </row>
    <row r="868" spans="1:50" x14ac:dyDescent="0.25">
      <c r="A868">
        <v>854</v>
      </c>
      <c r="B868" s="36" t="str">
        <f t="shared" si="287"/>
        <v>UNIDOS VOLAMOS</v>
      </c>
      <c r="C868" s="36">
        <f t="shared" si="287"/>
        <v>332</v>
      </c>
      <c r="D868" s="118">
        <v>0.57222222222222219</v>
      </c>
      <c r="E868" s="118">
        <v>0.58888888888888891</v>
      </c>
      <c r="F868" s="119">
        <v>1.6666666666666718E-2</v>
      </c>
      <c r="G868" s="118">
        <v>0.59375</v>
      </c>
      <c r="H868" s="119">
        <v>4.8611111111110938E-3</v>
      </c>
      <c r="I868" s="81">
        <v>41727</v>
      </c>
      <c r="J868" s="36" t="str">
        <f t="shared" si="286"/>
        <v>Internacional</v>
      </c>
      <c r="K868" s="36">
        <f t="shared" si="286"/>
        <v>1.5782828282828287E-2</v>
      </c>
      <c r="L868" s="36">
        <f t="shared" si="286"/>
        <v>7.7651515151515174E-3</v>
      </c>
      <c r="M868" s="36">
        <f t="shared" si="286"/>
        <v>2.3547979797979804E-2</v>
      </c>
      <c r="N868" s="36">
        <f t="shared" si="286"/>
        <v>320</v>
      </c>
      <c r="O868" s="36">
        <f t="shared" si="286"/>
        <v>179</v>
      </c>
      <c r="P868" s="36" t="str">
        <f t="shared" si="286"/>
        <v>IAH</v>
      </c>
      <c r="R868">
        <v>854</v>
      </c>
      <c r="S868" s="36" t="str">
        <f t="shared" si="278"/>
        <v>MEXICO AEREO</v>
      </c>
      <c r="T868" s="36">
        <f t="shared" si="278"/>
        <v>100</v>
      </c>
      <c r="U868" s="73">
        <v>0.34513888888888888</v>
      </c>
      <c r="V868" s="74">
        <v>0.35138888888888892</v>
      </c>
      <c r="W868" s="75">
        <v>6.2500000000000333E-3</v>
      </c>
      <c r="X868" s="74">
        <v>0.35902777777777778</v>
      </c>
      <c r="Y868" s="75">
        <v>7.6388888888888618E-3</v>
      </c>
      <c r="Z868" s="76">
        <v>41748</v>
      </c>
      <c r="AA868" s="36" t="str">
        <f t="shared" si="285"/>
        <v>Nacional</v>
      </c>
      <c r="AB868" s="36">
        <f t="shared" si="285"/>
        <v>5.7291666666666741E-3</v>
      </c>
      <c r="AC868" s="36">
        <f t="shared" si="285"/>
        <v>8.4027777777777764E-3</v>
      </c>
      <c r="AD868" s="36">
        <f t="shared" si="285"/>
        <v>1.413194444444445E-2</v>
      </c>
      <c r="AE868" s="36" t="str">
        <f t="shared" si="285"/>
        <v>B737-700</v>
      </c>
      <c r="AF868" s="36">
        <f t="shared" si="285"/>
        <v>126</v>
      </c>
      <c r="AG868" s="36" t="str">
        <f t="shared" si="285"/>
        <v>MEX</v>
      </c>
      <c r="AI868">
        <v>854</v>
      </c>
      <c r="AJ868" s="77" t="str">
        <f t="shared" si="280"/>
        <v>AEROLINEAS DE AMERICA</v>
      </c>
      <c r="AK868" s="77">
        <f t="shared" si="280"/>
        <v>2313</v>
      </c>
      <c r="AL868" s="78">
        <v>0.83333333333333337</v>
      </c>
      <c r="AM868" s="79">
        <v>0.85416666666666663</v>
      </c>
      <c r="AN868" s="80">
        <v>2.0833333333333259E-2</v>
      </c>
      <c r="AO868" s="79">
        <v>0.86736111111111114</v>
      </c>
      <c r="AP868" s="80">
        <v>1.3194444444444509E-2</v>
      </c>
      <c r="AQ868" s="81">
        <v>41796</v>
      </c>
      <c r="AR868" s="77" t="str">
        <f t="shared" si="288"/>
        <v>Internacional</v>
      </c>
      <c r="AS868" s="77">
        <f t="shared" si="288"/>
        <v>1.5310846560846549E-2</v>
      </c>
      <c r="AT868" s="77">
        <f t="shared" si="288"/>
        <v>1.1970899470899481E-2</v>
      </c>
      <c r="AU868" s="77">
        <f t="shared" si="288"/>
        <v>2.7281746031746032E-2</v>
      </c>
      <c r="AV868" s="77" t="str">
        <f t="shared" si="288"/>
        <v>M80</v>
      </c>
      <c r="AW868" s="77">
        <f t="shared" si="288"/>
        <v>182</v>
      </c>
      <c r="AX868" s="77" t="str">
        <f t="shared" si="288"/>
        <v>DFW</v>
      </c>
    </row>
    <row r="869" spans="1:50" ht="15.75" thickBot="1" x14ac:dyDescent="0.3">
      <c r="A869">
        <v>855</v>
      </c>
      <c r="B869" s="36" t="str">
        <f t="shared" si="287"/>
        <v>UNIDOS VOLAMOS</v>
      </c>
      <c r="C869" s="36">
        <f t="shared" si="287"/>
        <v>332</v>
      </c>
      <c r="D869" s="178">
        <v>0.54097222222222219</v>
      </c>
      <c r="E869" s="178">
        <v>0.56041666666666667</v>
      </c>
      <c r="F869" s="179">
        <v>1.9444444444444486E-2</v>
      </c>
      <c r="G869" s="178">
        <v>0.56874999999999998</v>
      </c>
      <c r="H869" s="179">
        <v>8.3333333333333037E-3</v>
      </c>
      <c r="I869" s="164">
        <v>41729</v>
      </c>
      <c r="J869" s="36" t="str">
        <f t="shared" si="286"/>
        <v>Internacional</v>
      </c>
      <c r="K869" s="36">
        <f t="shared" si="286"/>
        <v>1.5782828282828287E-2</v>
      </c>
      <c r="L869" s="36">
        <f t="shared" si="286"/>
        <v>7.7651515151515174E-3</v>
      </c>
      <c r="M869" s="36">
        <f t="shared" si="286"/>
        <v>2.3547979797979804E-2</v>
      </c>
      <c r="N869" s="36">
        <f t="shared" si="286"/>
        <v>320</v>
      </c>
      <c r="O869" s="36">
        <f t="shared" si="286"/>
        <v>179</v>
      </c>
      <c r="P869" s="36" t="str">
        <f t="shared" si="286"/>
        <v>IAH</v>
      </c>
      <c r="R869">
        <v>855</v>
      </c>
      <c r="S869" s="36" t="str">
        <f t="shared" si="278"/>
        <v>MEXICO AEREO</v>
      </c>
      <c r="T869" s="36">
        <f t="shared" si="278"/>
        <v>100</v>
      </c>
      <c r="U869" s="73">
        <v>0.33680555555555558</v>
      </c>
      <c r="V869" s="74">
        <v>0.34722222222222227</v>
      </c>
      <c r="W869" s="75">
        <v>1.0416666666666685E-2</v>
      </c>
      <c r="X869" s="74">
        <v>0.35416666666666669</v>
      </c>
      <c r="Y869" s="75">
        <v>6.9444444444444198E-3</v>
      </c>
      <c r="Z869" s="76">
        <v>41750</v>
      </c>
      <c r="AA869" s="36" t="str">
        <f t="shared" si="285"/>
        <v>Nacional</v>
      </c>
      <c r="AB869" s="36">
        <f t="shared" si="285"/>
        <v>5.7291666666666741E-3</v>
      </c>
      <c r="AC869" s="36">
        <f t="shared" si="285"/>
        <v>8.4027777777777764E-3</v>
      </c>
      <c r="AD869" s="36">
        <f t="shared" si="285"/>
        <v>1.413194444444445E-2</v>
      </c>
      <c r="AE869" s="36" t="str">
        <f t="shared" si="285"/>
        <v>B737-700</v>
      </c>
      <c r="AF869" s="36">
        <f t="shared" si="285"/>
        <v>126</v>
      </c>
      <c r="AG869" s="36" t="str">
        <f t="shared" si="285"/>
        <v>MEX</v>
      </c>
      <c r="AI869">
        <v>855</v>
      </c>
      <c r="AJ869" s="77" t="str">
        <f t="shared" si="280"/>
        <v>AEROLINEAS DE AMERICA</v>
      </c>
      <c r="AK869" s="77">
        <f t="shared" si="280"/>
        <v>2313</v>
      </c>
      <c r="AL869" s="78">
        <v>0.84027777777777779</v>
      </c>
      <c r="AM869" s="79">
        <v>0.8569444444444444</v>
      </c>
      <c r="AN869" s="80">
        <v>1.6666666666666607E-2</v>
      </c>
      <c r="AO869" s="79">
        <v>0.88194444444444453</v>
      </c>
      <c r="AP869" s="80">
        <v>2.5000000000000133E-2</v>
      </c>
      <c r="AQ869" s="81">
        <v>41797</v>
      </c>
      <c r="AR869" s="77" t="str">
        <f t="shared" si="288"/>
        <v>Internacional</v>
      </c>
      <c r="AS869" s="77">
        <f t="shared" si="288"/>
        <v>1.5310846560846549E-2</v>
      </c>
      <c r="AT869" s="77">
        <f t="shared" si="288"/>
        <v>1.1970899470899481E-2</v>
      </c>
      <c r="AU869" s="77">
        <f t="shared" si="288"/>
        <v>2.7281746031746032E-2</v>
      </c>
      <c r="AV869" s="77" t="str">
        <f t="shared" si="288"/>
        <v>M80</v>
      </c>
      <c r="AW869" s="77">
        <f t="shared" si="288"/>
        <v>182</v>
      </c>
      <c r="AX869" s="77" t="str">
        <f t="shared" si="288"/>
        <v>DFW</v>
      </c>
    </row>
    <row r="870" spans="1:50" x14ac:dyDescent="0.25">
      <c r="A870">
        <v>856</v>
      </c>
      <c r="B870" s="36" t="str">
        <f t="shared" si="287"/>
        <v>UNIDOS VOLAMOS</v>
      </c>
      <c r="C870" s="180">
        <v>221</v>
      </c>
      <c r="D870" s="152">
        <v>0.4826388888888889</v>
      </c>
      <c r="E870" s="152">
        <v>0.4993055555555555</v>
      </c>
      <c r="F870" s="153">
        <v>1.6666666666666607E-2</v>
      </c>
      <c r="G870" s="152">
        <v>0.52638888888888891</v>
      </c>
      <c r="H870" s="153">
        <v>2.7083333333333404E-2</v>
      </c>
      <c r="I870" s="67">
        <v>41715</v>
      </c>
      <c r="J870" s="67" t="s">
        <v>22</v>
      </c>
      <c r="K870" s="152">
        <v>1.4267676767676757E-2</v>
      </c>
      <c r="L870" s="152">
        <v>9.0909090909090991E-3</v>
      </c>
      <c r="M870" s="181">
        <v>2.3358585858585856E-2</v>
      </c>
      <c r="N870" s="110">
        <v>320</v>
      </c>
      <c r="O870" s="110">
        <v>179</v>
      </c>
      <c r="P870" s="167" t="s">
        <v>40</v>
      </c>
      <c r="R870">
        <v>856</v>
      </c>
      <c r="S870" s="36" t="str">
        <f t="shared" si="278"/>
        <v>MEXICO AEREO</v>
      </c>
      <c r="T870" s="36">
        <f t="shared" si="278"/>
        <v>100</v>
      </c>
      <c r="U870" s="73">
        <v>0.35416666666666669</v>
      </c>
      <c r="V870" s="74">
        <v>0.3576388888888889</v>
      </c>
      <c r="W870" s="75">
        <v>3.4722222222222099E-3</v>
      </c>
      <c r="X870" s="74">
        <v>0.36527777777777781</v>
      </c>
      <c r="Y870" s="75">
        <v>7.6388888888889173E-3</v>
      </c>
      <c r="Z870" s="76">
        <v>41751</v>
      </c>
      <c r="AA870" s="36" t="str">
        <f t="shared" si="285"/>
        <v>Nacional</v>
      </c>
      <c r="AB870" s="36">
        <f t="shared" si="285"/>
        <v>5.7291666666666741E-3</v>
      </c>
      <c r="AC870" s="36">
        <f t="shared" si="285"/>
        <v>8.4027777777777764E-3</v>
      </c>
      <c r="AD870" s="36">
        <f t="shared" si="285"/>
        <v>1.413194444444445E-2</v>
      </c>
      <c r="AE870" s="36" t="str">
        <f t="shared" si="285"/>
        <v>B737-700</v>
      </c>
      <c r="AF870" s="36">
        <f t="shared" si="285"/>
        <v>126</v>
      </c>
      <c r="AG870" s="36" t="str">
        <f t="shared" si="285"/>
        <v>MEX</v>
      </c>
      <c r="AI870">
        <v>856</v>
      </c>
      <c r="AJ870" s="77" t="str">
        <f t="shared" si="280"/>
        <v>AEROLINEAS DE AMERICA</v>
      </c>
      <c r="AK870" s="77">
        <f t="shared" si="280"/>
        <v>2313</v>
      </c>
      <c r="AL870" s="78">
        <v>0.83819444444444446</v>
      </c>
      <c r="AM870" s="79">
        <v>0.86111111111111116</v>
      </c>
      <c r="AN870" s="80">
        <v>2.2916666666666696E-2</v>
      </c>
      <c r="AO870" s="79">
        <v>0.88541666666666663</v>
      </c>
      <c r="AP870" s="80">
        <v>2.4305555555555469E-2</v>
      </c>
      <c r="AQ870" s="81">
        <v>41798</v>
      </c>
      <c r="AR870" s="77" t="str">
        <f t="shared" si="288"/>
        <v>Internacional</v>
      </c>
      <c r="AS870" s="77">
        <f t="shared" si="288"/>
        <v>1.5310846560846549E-2</v>
      </c>
      <c r="AT870" s="77">
        <f t="shared" si="288"/>
        <v>1.1970899470899481E-2</v>
      </c>
      <c r="AU870" s="77">
        <f t="shared" si="288"/>
        <v>2.7281746031746032E-2</v>
      </c>
      <c r="AV870" s="77" t="str">
        <f t="shared" si="288"/>
        <v>M80</v>
      </c>
      <c r="AW870" s="77">
        <f t="shared" si="288"/>
        <v>182</v>
      </c>
      <c r="AX870" s="77" t="str">
        <f t="shared" si="288"/>
        <v>DFW</v>
      </c>
    </row>
    <row r="871" spans="1:50" x14ac:dyDescent="0.25">
      <c r="A871">
        <v>857</v>
      </c>
      <c r="B871" s="36" t="str">
        <f t="shared" si="287"/>
        <v>UNIDOS VOLAMOS</v>
      </c>
      <c r="C871" s="36">
        <f t="shared" si="287"/>
        <v>221</v>
      </c>
      <c r="D871" s="118">
        <v>0.48888888888888887</v>
      </c>
      <c r="E871" s="118">
        <v>0.50277777777777777</v>
      </c>
      <c r="F871" s="119">
        <v>1.3888888888888895E-2</v>
      </c>
      <c r="G871" s="118">
        <v>0.51597222222222217</v>
      </c>
      <c r="H871" s="119">
        <v>1.3194444444444398E-2</v>
      </c>
      <c r="I871" s="81">
        <v>41714</v>
      </c>
      <c r="J871" s="36" t="str">
        <f t="shared" ref="J871:P880" si="289">J870</f>
        <v>Internacional</v>
      </c>
      <c r="K871" s="36">
        <f t="shared" si="289"/>
        <v>1.4267676767676757E-2</v>
      </c>
      <c r="L871" s="36">
        <f t="shared" si="289"/>
        <v>9.0909090909090991E-3</v>
      </c>
      <c r="M871" s="36">
        <f t="shared" si="289"/>
        <v>2.3358585858585856E-2</v>
      </c>
      <c r="N871" s="36">
        <f t="shared" si="289"/>
        <v>320</v>
      </c>
      <c r="O871" s="36">
        <f t="shared" si="289"/>
        <v>179</v>
      </c>
      <c r="P871" s="36" t="str">
        <f t="shared" si="289"/>
        <v>LAX</v>
      </c>
      <c r="R871">
        <v>857</v>
      </c>
      <c r="S871" s="36" t="str">
        <f t="shared" si="278"/>
        <v>MEXICO AEREO</v>
      </c>
      <c r="T871" s="36">
        <f t="shared" si="278"/>
        <v>100</v>
      </c>
      <c r="U871" s="73">
        <v>0.34652777777777777</v>
      </c>
      <c r="V871" s="74">
        <v>0.3611111111111111</v>
      </c>
      <c r="W871" s="75">
        <v>1.4583333333333337E-2</v>
      </c>
      <c r="X871" s="74">
        <v>0.36736111111111108</v>
      </c>
      <c r="Y871" s="75">
        <v>6.2499999999999778E-3</v>
      </c>
      <c r="Z871" s="76">
        <v>41753</v>
      </c>
      <c r="AA871" s="36" t="str">
        <f t="shared" si="285"/>
        <v>Nacional</v>
      </c>
      <c r="AB871" s="36">
        <f t="shared" si="285"/>
        <v>5.7291666666666741E-3</v>
      </c>
      <c r="AC871" s="36">
        <f t="shared" si="285"/>
        <v>8.4027777777777764E-3</v>
      </c>
      <c r="AD871" s="36">
        <f t="shared" si="285"/>
        <v>1.413194444444445E-2</v>
      </c>
      <c r="AE871" s="36" t="str">
        <f t="shared" si="285"/>
        <v>B737-700</v>
      </c>
      <c r="AF871" s="36">
        <f t="shared" si="285"/>
        <v>126</v>
      </c>
      <c r="AG871" s="36" t="str">
        <f t="shared" si="285"/>
        <v>MEX</v>
      </c>
      <c r="AI871">
        <v>857</v>
      </c>
      <c r="AJ871" s="77" t="str">
        <f t="shared" si="280"/>
        <v>AEROLINEAS DE AMERICA</v>
      </c>
      <c r="AK871" s="77">
        <f t="shared" si="280"/>
        <v>2313</v>
      </c>
      <c r="AL871" s="78">
        <v>0.93194444444444446</v>
      </c>
      <c r="AM871" s="79">
        <v>0.95138888888888884</v>
      </c>
      <c r="AN871" s="80">
        <v>1.9444444444444375E-2</v>
      </c>
      <c r="AO871" s="79">
        <v>0.96180555555555547</v>
      </c>
      <c r="AP871" s="80">
        <v>1.041666666666663E-2</v>
      </c>
      <c r="AQ871" s="81">
        <v>41800</v>
      </c>
      <c r="AR871" s="77" t="str">
        <f t="shared" si="288"/>
        <v>Internacional</v>
      </c>
      <c r="AS871" s="77">
        <f t="shared" si="288"/>
        <v>1.5310846560846549E-2</v>
      </c>
      <c r="AT871" s="77">
        <f t="shared" si="288"/>
        <v>1.1970899470899481E-2</v>
      </c>
      <c r="AU871" s="77">
        <f t="shared" si="288"/>
        <v>2.7281746031746032E-2</v>
      </c>
      <c r="AV871" s="77" t="str">
        <f t="shared" si="288"/>
        <v>M80</v>
      </c>
      <c r="AW871" s="77">
        <f t="shared" si="288"/>
        <v>182</v>
      </c>
      <c r="AX871" s="77" t="str">
        <f t="shared" si="288"/>
        <v>DFW</v>
      </c>
    </row>
    <row r="872" spans="1:50" x14ac:dyDescent="0.25">
      <c r="A872">
        <v>858</v>
      </c>
      <c r="B872" s="36" t="str">
        <f t="shared" si="287"/>
        <v>UNIDOS VOLAMOS</v>
      </c>
      <c r="C872" s="36">
        <f t="shared" si="287"/>
        <v>221</v>
      </c>
      <c r="D872" s="118">
        <v>0.49791666666666662</v>
      </c>
      <c r="E872" s="118">
        <v>0.51041666666666663</v>
      </c>
      <c r="F872" s="119">
        <v>1.2500000000000011E-2</v>
      </c>
      <c r="G872" s="118">
        <v>0.51388888888888895</v>
      </c>
      <c r="H872" s="119">
        <v>3.4722222222223209E-3</v>
      </c>
      <c r="I872" s="81">
        <v>41717</v>
      </c>
      <c r="J872" s="36" t="str">
        <f t="shared" si="289"/>
        <v>Internacional</v>
      </c>
      <c r="K872" s="36">
        <f t="shared" si="289"/>
        <v>1.4267676767676757E-2</v>
      </c>
      <c r="L872" s="36">
        <f t="shared" si="289"/>
        <v>9.0909090909090991E-3</v>
      </c>
      <c r="M872" s="36">
        <f t="shared" si="289"/>
        <v>2.3358585858585856E-2</v>
      </c>
      <c r="N872" s="36">
        <f t="shared" si="289"/>
        <v>320</v>
      </c>
      <c r="O872" s="36">
        <f t="shared" si="289"/>
        <v>179</v>
      </c>
      <c r="P872" s="36" t="str">
        <f t="shared" si="289"/>
        <v>LAX</v>
      </c>
      <c r="R872">
        <v>858</v>
      </c>
      <c r="S872" s="36" t="str">
        <f t="shared" si="278"/>
        <v>MEXICO AEREO</v>
      </c>
      <c r="T872" s="36">
        <f t="shared" si="278"/>
        <v>100</v>
      </c>
      <c r="U872" s="73">
        <v>0.35694444444444445</v>
      </c>
      <c r="V872" s="74">
        <v>0.36249999999999999</v>
      </c>
      <c r="W872" s="75">
        <v>5.5555555555555358E-3</v>
      </c>
      <c r="X872" s="74">
        <v>0.37083333333333335</v>
      </c>
      <c r="Y872" s="75">
        <v>8.3333333333333592E-3</v>
      </c>
      <c r="Z872" s="76">
        <v>41754</v>
      </c>
      <c r="AA872" s="36" t="str">
        <f t="shared" si="285"/>
        <v>Nacional</v>
      </c>
      <c r="AB872" s="36">
        <f t="shared" si="285"/>
        <v>5.7291666666666741E-3</v>
      </c>
      <c r="AC872" s="36">
        <f t="shared" si="285"/>
        <v>8.4027777777777764E-3</v>
      </c>
      <c r="AD872" s="36">
        <f t="shared" si="285"/>
        <v>1.413194444444445E-2</v>
      </c>
      <c r="AE872" s="36" t="str">
        <f t="shared" si="285"/>
        <v>B737-700</v>
      </c>
      <c r="AF872" s="36">
        <f t="shared" si="285"/>
        <v>126</v>
      </c>
      <c r="AG872" s="36" t="str">
        <f t="shared" si="285"/>
        <v>MEX</v>
      </c>
      <c r="AI872">
        <v>858</v>
      </c>
      <c r="AJ872" s="77" t="str">
        <f t="shared" si="280"/>
        <v>AEROLINEAS DE AMERICA</v>
      </c>
      <c r="AK872" s="77">
        <f t="shared" si="280"/>
        <v>2313</v>
      </c>
      <c r="AL872" s="78">
        <v>0.21527777777777779</v>
      </c>
      <c r="AM872" s="79">
        <v>0.2298611111111111</v>
      </c>
      <c r="AN872" s="80">
        <v>1.4583333333333309E-2</v>
      </c>
      <c r="AO872" s="79">
        <v>0.23958333333333334</v>
      </c>
      <c r="AP872" s="80">
        <v>9.7222222222222432E-3</v>
      </c>
      <c r="AQ872" s="81">
        <v>41801</v>
      </c>
      <c r="AR872" s="77" t="str">
        <f t="shared" si="288"/>
        <v>Internacional</v>
      </c>
      <c r="AS872" s="77">
        <f t="shared" si="288"/>
        <v>1.5310846560846549E-2</v>
      </c>
      <c r="AT872" s="77">
        <f t="shared" si="288"/>
        <v>1.1970899470899481E-2</v>
      </c>
      <c r="AU872" s="77">
        <f t="shared" si="288"/>
        <v>2.7281746031746032E-2</v>
      </c>
      <c r="AV872" s="77" t="str">
        <f t="shared" si="288"/>
        <v>M80</v>
      </c>
      <c r="AW872" s="77">
        <f t="shared" si="288"/>
        <v>182</v>
      </c>
      <c r="AX872" s="77" t="str">
        <f t="shared" si="288"/>
        <v>DFW</v>
      </c>
    </row>
    <row r="873" spans="1:50" x14ac:dyDescent="0.25">
      <c r="A873">
        <v>859</v>
      </c>
      <c r="B873" s="36" t="str">
        <f t="shared" si="287"/>
        <v>UNIDOS VOLAMOS</v>
      </c>
      <c r="C873" s="36">
        <f t="shared" si="287"/>
        <v>221</v>
      </c>
      <c r="D873" s="118">
        <v>0.48958333333333331</v>
      </c>
      <c r="E873" s="118">
        <v>0.50624999999999998</v>
      </c>
      <c r="F873" s="119">
        <v>1.6666666666666663E-2</v>
      </c>
      <c r="G873" s="118">
        <v>0.51597222222222217</v>
      </c>
      <c r="H873" s="119">
        <v>9.7222222222221877E-3</v>
      </c>
      <c r="I873" s="81">
        <v>41720</v>
      </c>
      <c r="J873" s="36" t="str">
        <f t="shared" si="289"/>
        <v>Internacional</v>
      </c>
      <c r="K873" s="36">
        <f t="shared" si="289"/>
        <v>1.4267676767676757E-2</v>
      </c>
      <c r="L873" s="36">
        <f t="shared" si="289"/>
        <v>9.0909090909090991E-3</v>
      </c>
      <c r="M873" s="36">
        <f t="shared" si="289"/>
        <v>2.3358585858585856E-2</v>
      </c>
      <c r="N873" s="36">
        <f t="shared" si="289"/>
        <v>320</v>
      </c>
      <c r="O873" s="36">
        <f t="shared" si="289"/>
        <v>179</v>
      </c>
      <c r="P873" s="36" t="str">
        <f t="shared" si="289"/>
        <v>LAX</v>
      </c>
      <c r="R873">
        <v>859</v>
      </c>
      <c r="S873" s="36" t="str">
        <f t="shared" si="278"/>
        <v>MEXICO AEREO</v>
      </c>
      <c r="T873" s="36">
        <f t="shared" si="278"/>
        <v>100</v>
      </c>
      <c r="U873" s="73">
        <v>0.3527777777777778</v>
      </c>
      <c r="V873" s="74">
        <v>0.35694444444444445</v>
      </c>
      <c r="W873" s="75">
        <v>4.1666666666666519E-3</v>
      </c>
      <c r="X873" s="74">
        <v>0.3666666666666667</v>
      </c>
      <c r="Y873" s="75">
        <v>9.7222222222222432E-3</v>
      </c>
      <c r="Z873" s="76">
        <v>41757</v>
      </c>
      <c r="AA873" s="36" t="str">
        <f t="shared" si="285"/>
        <v>Nacional</v>
      </c>
      <c r="AB873" s="36">
        <f t="shared" si="285"/>
        <v>5.7291666666666741E-3</v>
      </c>
      <c r="AC873" s="36">
        <f t="shared" si="285"/>
        <v>8.4027777777777764E-3</v>
      </c>
      <c r="AD873" s="36">
        <f t="shared" si="285"/>
        <v>1.413194444444445E-2</v>
      </c>
      <c r="AE873" s="36" t="str">
        <f t="shared" si="285"/>
        <v>B737-700</v>
      </c>
      <c r="AF873" s="36">
        <f t="shared" si="285"/>
        <v>126</v>
      </c>
      <c r="AG873" s="36" t="str">
        <f t="shared" si="285"/>
        <v>MEX</v>
      </c>
      <c r="AI873">
        <v>859</v>
      </c>
      <c r="AJ873" s="77" t="str">
        <f t="shared" si="280"/>
        <v>AEROLINEAS DE AMERICA</v>
      </c>
      <c r="AK873" s="77">
        <f t="shared" si="280"/>
        <v>2313</v>
      </c>
      <c r="AL873" s="78">
        <v>0.92361111111111116</v>
      </c>
      <c r="AM873" s="79">
        <v>0.93819444444444444</v>
      </c>
      <c r="AN873" s="80">
        <v>1.4583333333333282E-2</v>
      </c>
      <c r="AO873" s="79">
        <v>0.94513888888888886</v>
      </c>
      <c r="AP873" s="80">
        <v>6.9444444444444198E-3</v>
      </c>
      <c r="AQ873" s="81">
        <v>41802</v>
      </c>
      <c r="AR873" s="77" t="str">
        <f t="shared" si="288"/>
        <v>Internacional</v>
      </c>
      <c r="AS873" s="77">
        <f t="shared" si="288"/>
        <v>1.5310846560846549E-2</v>
      </c>
      <c r="AT873" s="77">
        <f t="shared" si="288"/>
        <v>1.1970899470899481E-2</v>
      </c>
      <c r="AU873" s="77">
        <f t="shared" si="288"/>
        <v>2.7281746031746032E-2</v>
      </c>
      <c r="AV873" s="77" t="str">
        <f t="shared" si="288"/>
        <v>M80</v>
      </c>
      <c r="AW873" s="77">
        <f t="shared" si="288"/>
        <v>182</v>
      </c>
      <c r="AX873" s="77" t="str">
        <f t="shared" si="288"/>
        <v>DFW</v>
      </c>
    </row>
    <row r="874" spans="1:50" ht="15.75" thickBot="1" x14ac:dyDescent="0.3">
      <c r="A874">
        <v>860</v>
      </c>
      <c r="B874" s="36" t="str">
        <f t="shared" si="287"/>
        <v>UNIDOS VOLAMOS</v>
      </c>
      <c r="C874" s="36">
        <f t="shared" si="287"/>
        <v>221</v>
      </c>
      <c r="D874" s="118">
        <v>0.49652777777777773</v>
      </c>
      <c r="E874" s="118">
        <v>0.51041666666666663</v>
      </c>
      <c r="F874" s="119">
        <v>1.3888888888888895E-2</v>
      </c>
      <c r="G874" s="118">
        <v>0.51458333333333328</v>
      </c>
      <c r="H874" s="119">
        <v>4.1666666666666519E-3</v>
      </c>
      <c r="I874" s="81">
        <v>41722</v>
      </c>
      <c r="J874" s="36" t="str">
        <f t="shared" si="289"/>
        <v>Internacional</v>
      </c>
      <c r="K874" s="36">
        <f t="shared" si="289"/>
        <v>1.4267676767676757E-2</v>
      </c>
      <c r="L874" s="36">
        <f t="shared" si="289"/>
        <v>9.0909090909090991E-3</v>
      </c>
      <c r="M874" s="36">
        <f t="shared" si="289"/>
        <v>2.3358585858585856E-2</v>
      </c>
      <c r="N874" s="36">
        <f t="shared" si="289"/>
        <v>320</v>
      </c>
      <c r="O874" s="36">
        <f t="shared" si="289"/>
        <v>179</v>
      </c>
      <c r="P874" s="36" t="str">
        <f t="shared" si="289"/>
        <v>LAX</v>
      </c>
      <c r="R874">
        <v>860</v>
      </c>
      <c r="S874" s="36" t="str">
        <f t="shared" si="278"/>
        <v>MEXICO AEREO</v>
      </c>
      <c r="T874" s="36">
        <f t="shared" si="278"/>
        <v>100</v>
      </c>
      <c r="U874" s="73">
        <v>0.36458333333333331</v>
      </c>
      <c r="V874" s="74">
        <v>0.36805555555555558</v>
      </c>
      <c r="W874" s="75">
        <v>3.4722222222222654E-3</v>
      </c>
      <c r="X874" s="74">
        <v>0.38055555555555554</v>
      </c>
      <c r="Y874" s="75">
        <v>1.2499999999999956E-2</v>
      </c>
      <c r="Z874" s="76">
        <v>41758</v>
      </c>
      <c r="AA874" s="36" t="str">
        <f t="shared" si="285"/>
        <v>Nacional</v>
      </c>
      <c r="AB874" s="36">
        <f t="shared" si="285"/>
        <v>5.7291666666666741E-3</v>
      </c>
      <c r="AC874" s="36">
        <f t="shared" si="285"/>
        <v>8.4027777777777764E-3</v>
      </c>
      <c r="AD874" s="36">
        <f t="shared" si="285"/>
        <v>1.413194444444445E-2</v>
      </c>
      <c r="AE874" s="36" t="str">
        <f t="shared" si="285"/>
        <v>B737-700</v>
      </c>
      <c r="AF874" s="36">
        <f t="shared" si="285"/>
        <v>126</v>
      </c>
      <c r="AG874" s="36" t="str">
        <f t="shared" si="285"/>
        <v>MEX</v>
      </c>
      <c r="AI874">
        <v>860</v>
      </c>
      <c r="AJ874" s="77" t="str">
        <f t="shared" si="280"/>
        <v>AEROLINEAS DE AMERICA</v>
      </c>
      <c r="AK874" s="77">
        <f t="shared" si="280"/>
        <v>2313</v>
      </c>
      <c r="AL874" s="78">
        <v>0.625</v>
      </c>
      <c r="AM874" s="79">
        <v>0.62847222222222221</v>
      </c>
      <c r="AN874" s="80">
        <v>3.4722222222222099E-3</v>
      </c>
      <c r="AO874" s="79">
        <v>0.63611111111111118</v>
      </c>
      <c r="AP874" s="80">
        <v>7.6388888888889728E-3</v>
      </c>
      <c r="AQ874" s="81">
        <v>41803</v>
      </c>
      <c r="AR874" s="77" t="str">
        <f t="shared" si="288"/>
        <v>Internacional</v>
      </c>
      <c r="AS874" s="77">
        <f t="shared" si="288"/>
        <v>1.5310846560846549E-2</v>
      </c>
      <c r="AT874" s="77">
        <f t="shared" si="288"/>
        <v>1.1970899470899481E-2</v>
      </c>
      <c r="AU874" s="77">
        <f t="shared" si="288"/>
        <v>2.7281746031746032E-2</v>
      </c>
      <c r="AV874" s="77" t="str">
        <f t="shared" si="288"/>
        <v>M80</v>
      </c>
      <c r="AW874" s="77">
        <f t="shared" si="288"/>
        <v>182</v>
      </c>
      <c r="AX874" s="77" t="str">
        <f t="shared" si="288"/>
        <v>DFW</v>
      </c>
    </row>
    <row r="875" spans="1:50" ht="15.75" thickBot="1" x14ac:dyDescent="0.3">
      <c r="A875">
        <v>861</v>
      </c>
      <c r="B875" s="36" t="str">
        <f t="shared" si="287"/>
        <v>UNIDOS VOLAMOS</v>
      </c>
      <c r="C875" s="36">
        <f t="shared" si="287"/>
        <v>221</v>
      </c>
      <c r="D875" s="118">
        <v>0.48888888888888887</v>
      </c>
      <c r="E875" s="118">
        <v>0.4993055555555555</v>
      </c>
      <c r="F875" s="119">
        <v>1.041666666666663E-2</v>
      </c>
      <c r="G875" s="118">
        <v>0.50138888888888888</v>
      </c>
      <c r="H875" s="119">
        <v>2.0833333333333814E-3</v>
      </c>
      <c r="I875" s="81">
        <v>41723</v>
      </c>
      <c r="J875" s="36" t="str">
        <f t="shared" si="289"/>
        <v>Internacional</v>
      </c>
      <c r="K875" s="36">
        <f t="shared" si="289"/>
        <v>1.4267676767676757E-2</v>
      </c>
      <c r="L875" s="36">
        <f t="shared" si="289"/>
        <v>9.0909090909090991E-3</v>
      </c>
      <c r="M875" s="36">
        <f t="shared" si="289"/>
        <v>2.3358585858585856E-2</v>
      </c>
      <c r="N875" s="36">
        <f t="shared" si="289"/>
        <v>320</v>
      </c>
      <c r="O875" s="36">
        <f t="shared" si="289"/>
        <v>179</v>
      </c>
      <c r="P875" s="36" t="str">
        <f t="shared" si="289"/>
        <v>LAX</v>
      </c>
      <c r="R875">
        <v>861</v>
      </c>
      <c r="S875" s="36" t="str">
        <f t="shared" si="278"/>
        <v>MEXICO AEREO</v>
      </c>
      <c r="T875" s="36">
        <f t="shared" si="278"/>
        <v>100</v>
      </c>
      <c r="U875" s="83">
        <v>0.35069444444444442</v>
      </c>
      <c r="V875" s="84">
        <v>0.35555555555555557</v>
      </c>
      <c r="W875" s="85">
        <v>4.8611111111111494E-3</v>
      </c>
      <c r="X875" s="84">
        <v>0.38194444444444442</v>
      </c>
      <c r="Y875" s="85">
        <v>2.6388888888888851E-2</v>
      </c>
      <c r="Z875" s="86">
        <v>41759</v>
      </c>
      <c r="AA875" s="36" t="str">
        <f t="shared" si="285"/>
        <v>Nacional</v>
      </c>
      <c r="AB875" s="36">
        <f t="shared" si="285"/>
        <v>5.7291666666666741E-3</v>
      </c>
      <c r="AC875" s="36">
        <f t="shared" si="285"/>
        <v>8.4027777777777764E-3</v>
      </c>
      <c r="AD875" s="36">
        <f t="shared" si="285"/>
        <v>1.413194444444445E-2</v>
      </c>
      <c r="AE875" s="36" t="str">
        <f t="shared" si="285"/>
        <v>B737-700</v>
      </c>
      <c r="AF875" s="36">
        <f t="shared" si="285"/>
        <v>126</v>
      </c>
      <c r="AG875" s="36" t="str">
        <f t="shared" si="285"/>
        <v>MEX</v>
      </c>
      <c r="AI875">
        <v>861</v>
      </c>
      <c r="AJ875" s="63" t="s">
        <v>53</v>
      </c>
      <c r="AK875" s="77">
        <f t="shared" ref="AK875:AK894" si="290">AK874</f>
        <v>2313</v>
      </c>
      <c r="AL875" s="78">
        <v>0.87430555555555556</v>
      </c>
      <c r="AM875" s="79">
        <v>0.875</v>
      </c>
      <c r="AN875" s="80">
        <v>6.9444444444444198E-4</v>
      </c>
      <c r="AO875" s="79">
        <v>0.89374999999999993</v>
      </c>
      <c r="AP875" s="80">
        <v>1.8749999999999933E-2</v>
      </c>
      <c r="AQ875" s="81">
        <v>41804</v>
      </c>
      <c r="AR875" s="77" t="str">
        <f t="shared" si="288"/>
        <v>Internacional</v>
      </c>
      <c r="AS875" s="77">
        <f t="shared" si="288"/>
        <v>1.5310846560846549E-2</v>
      </c>
      <c r="AT875" s="77">
        <f t="shared" si="288"/>
        <v>1.1970899470899481E-2</v>
      </c>
      <c r="AU875" s="77">
        <f t="shared" si="288"/>
        <v>2.7281746031746032E-2</v>
      </c>
      <c r="AV875" s="77" t="str">
        <f t="shared" si="288"/>
        <v>M80</v>
      </c>
      <c r="AW875" s="77">
        <f t="shared" si="288"/>
        <v>182</v>
      </c>
      <c r="AX875" s="77" t="str">
        <f t="shared" si="288"/>
        <v>DFW</v>
      </c>
    </row>
    <row r="876" spans="1:50" x14ac:dyDescent="0.25">
      <c r="A876">
        <v>862</v>
      </c>
      <c r="B876" s="36" t="str">
        <f t="shared" si="287"/>
        <v>UNIDOS VOLAMOS</v>
      </c>
      <c r="C876" s="36">
        <f t="shared" si="287"/>
        <v>221</v>
      </c>
      <c r="D876" s="118">
        <v>0.49374999999999997</v>
      </c>
      <c r="E876" s="118">
        <v>0.5083333333333333</v>
      </c>
      <c r="F876" s="119">
        <v>1.4583333333333337E-2</v>
      </c>
      <c r="G876" s="118">
        <v>0.51458333333333328</v>
      </c>
      <c r="H876" s="119">
        <v>6.2499999999999778E-3</v>
      </c>
      <c r="I876" s="81">
        <v>41725</v>
      </c>
      <c r="J876" s="36" t="str">
        <f t="shared" si="289"/>
        <v>Internacional</v>
      </c>
      <c r="K876" s="36">
        <f t="shared" si="289"/>
        <v>1.4267676767676757E-2</v>
      </c>
      <c r="L876" s="36">
        <f t="shared" si="289"/>
        <v>9.0909090909090991E-3</v>
      </c>
      <c r="M876" s="36">
        <f t="shared" si="289"/>
        <v>2.3358585858585856E-2</v>
      </c>
      <c r="N876" s="36">
        <f t="shared" si="289"/>
        <v>320</v>
      </c>
      <c r="O876" s="36">
        <f t="shared" si="289"/>
        <v>179</v>
      </c>
      <c r="P876" s="36" t="str">
        <f t="shared" si="289"/>
        <v>LAX</v>
      </c>
      <c r="R876">
        <v>862</v>
      </c>
      <c r="S876" s="45" t="s">
        <v>72</v>
      </c>
      <c r="T876" s="55">
        <v>280</v>
      </c>
      <c r="U876" s="56">
        <v>0.57152777777777775</v>
      </c>
      <c r="V876" s="57">
        <v>0.58611111111111114</v>
      </c>
      <c r="W876" s="58">
        <v>1.4583333333333393E-2</v>
      </c>
      <c r="X876" s="57">
        <v>0.61597222222222225</v>
      </c>
      <c r="Y876" s="58">
        <v>2.9861111111111116E-2</v>
      </c>
      <c r="Z876" s="59">
        <v>41731</v>
      </c>
      <c r="AA876" s="60" t="s">
        <v>22</v>
      </c>
      <c r="AB876" s="61">
        <v>1.4583333333333393E-2</v>
      </c>
      <c r="AC876" s="61">
        <v>2.9861111111111116E-2</v>
      </c>
      <c r="AD876" s="62">
        <v>4.4444444444444509E-2</v>
      </c>
      <c r="AE876" s="167">
        <v>738</v>
      </c>
      <c r="AF876" s="167">
        <v>189</v>
      </c>
      <c r="AG876" s="168" t="s">
        <v>73</v>
      </c>
      <c r="AI876">
        <v>862</v>
      </c>
      <c r="AJ876" s="77" t="str">
        <f t="shared" ref="AJ876:AK909" si="291">AJ875</f>
        <v>AEROLINEAS DE AMERICA</v>
      </c>
      <c r="AK876" s="77">
        <f t="shared" si="290"/>
        <v>2313</v>
      </c>
      <c r="AL876" s="78">
        <v>0.68125000000000002</v>
      </c>
      <c r="AM876" s="79">
        <v>0.68958333333333333</v>
      </c>
      <c r="AN876" s="80">
        <v>8.3333333333333037E-3</v>
      </c>
      <c r="AO876" s="79">
        <v>0.6958333333333333</v>
      </c>
      <c r="AP876" s="80">
        <v>6.2499999999999778E-3</v>
      </c>
      <c r="AQ876" s="81">
        <v>41805</v>
      </c>
      <c r="AR876" s="77" t="str">
        <f t="shared" si="288"/>
        <v>Internacional</v>
      </c>
      <c r="AS876" s="77">
        <f t="shared" si="288"/>
        <v>1.5310846560846549E-2</v>
      </c>
      <c r="AT876" s="77">
        <f t="shared" si="288"/>
        <v>1.1970899470899481E-2</v>
      </c>
      <c r="AU876" s="77">
        <f t="shared" si="288"/>
        <v>2.7281746031746032E-2</v>
      </c>
      <c r="AV876" s="77" t="str">
        <f t="shared" si="288"/>
        <v>M80</v>
      </c>
      <c r="AW876" s="77">
        <f t="shared" si="288"/>
        <v>182</v>
      </c>
      <c r="AX876" s="77" t="str">
        <f t="shared" si="288"/>
        <v>DFW</v>
      </c>
    </row>
    <row r="877" spans="1:50" ht="15.75" thickBot="1" x14ac:dyDescent="0.3">
      <c r="A877">
        <v>863</v>
      </c>
      <c r="B877" s="36" t="str">
        <f t="shared" si="287"/>
        <v>UNIDOS VOLAMOS</v>
      </c>
      <c r="C877" s="36">
        <f t="shared" si="287"/>
        <v>221</v>
      </c>
      <c r="D877" s="118">
        <v>0.48402777777777778</v>
      </c>
      <c r="E877" s="118">
        <v>0.5</v>
      </c>
      <c r="F877" s="119">
        <v>1.5972222222222221E-2</v>
      </c>
      <c r="G877" s="118">
        <v>0.5131944444444444</v>
      </c>
      <c r="H877" s="119">
        <v>1.3194444444444398E-2</v>
      </c>
      <c r="I877" s="81">
        <v>41726</v>
      </c>
      <c r="J877" s="36" t="str">
        <f t="shared" si="289"/>
        <v>Internacional</v>
      </c>
      <c r="K877" s="36">
        <f t="shared" si="289"/>
        <v>1.4267676767676757E-2</v>
      </c>
      <c r="L877" s="36">
        <f t="shared" si="289"/>
        <v>9.0909090909090991E-3</v>
      </c>
      <c r="M877" s="36">
        <f t="shared" si="289"/>
        <v>2.3358585858585856E-2</v>
      </c>
      <c r="N877" s="36">
        <f t="shared" si="289"/>
        <v>320</v>
      </c>
      <c r="O877" s="36">
        <f t="shared" si="289"/>
        <v>179</v>
      </c>
      <c r="P877" s="36" t="str">
        <f t="shared" si="289"/>
        <v>LAX</v>
      </c>
      <c r="R877">
        <v>863</v>
      </c>
      <c r="S877" s="36" t="str">
        <f t="shared" ref="S877:T940" si="292">S876</f>
        <v>VUELOS AL NORTE AIRLINES</v>
      </c>
      <c r="T877" s="36">
        <f>T876</f>
        <v>280</v>
      </c>
      <c r="U877" s="83">
        <v>0.57152777777777775</v>
      </c>
      <c r="V877" s="84">
        <v>0.58611111111111114</v>
      </c>
      <c r="W877" s="85">
        <v>1.4583333333333393E-2</v>
      </c>
      <c r="X877" s="84">
        <v>0.61597222222222225</v>
      </c>
      <c r="Y877" s="85">
        <v>2.9861111111111116E-2</v>
      </c>
      <c r="Z877" s="86">
        <v>41731</v>
      </c>
      <c r="AA877" s="36" t="str">
        <f t="shared" ref="AA877:AG877" si="293">AA876</f>
        <v>Internacional</v>
      </c>
      <c r="AB877" s="36">
        <f t="shared" si="293"/>
        <v>1.4583333333333393E-2</v>
      </c>
      <c r="AC877" s="36">
        <f t="shared" si="293"/>
        <v>2.9861111111111116E-2</v>
      </c>
      <c r="AD877" s="36">
        <f t="shared" si="293"/>
        <v>4.4444444444444509E-2</v>
      </c>
      <c r="AE877" s="36">
        <f t="shared" si="293"/>
        <v>738</v>
      </c>
      <c r="AF877" s="36">
        <f t="shared" si="293"/>
        <v>189</v>
      </c>
      <c r="AG877" s="36" t="str">
        <f t="shared" si="293"/>
        <v>SJC</v>
      </c>
      <c r="AI877">
        <v>863</v>
      </c>
      <c r="AJ877" s="77" t="str">
        <f t="shared" si="291"/>
        <v>AEROLINEAS DE AMERICA</v>
      </c>
      <c r="AK877" s="77">
        <f t="shared" si="290"/>
        <v>2313</v>
      </c>
      <c r="AL877" s="78">
        <v>0.22708333333333333</v>
      </c>
      <c r="AM877" s="79">
        <v>0.24652777777777779</v>
      </c>
      <c r="AN877" s="80">
        <v>1.9444444444444459E-2</v>
      </c>
      <c r="AO877" s="79">
        <v>0.25694444444444448</v>
      </c>
      <c r="AP877" s="80">
        <v>1.0416666666666685E-2</v>
      </c>
      <c r="AQ877" s="81">
        <v>41806</v>
      </c>
      <c r="AR877" s="77" t="str">
        <f t="shared" si="288"/>
        <v>Internacional</v>
      </c>
      <c r="AS877" s="77">
        <f t="shared" si="288"/>
        <v>1.5310846560846549E-2</v>
      </c>
      <c r="AT877" s="77">
        <f t="shared" si="288"/>
        <v>1.1970899470899481E-2</v>
      </c>
      <c r="AU877" s="77">
        <f t="shared" si="288"/>
        <v>2.7281746031746032E-2</v>
      </c>
      <c r="AV877" s="77" t="str">
        <f t="shared" si="288"/>
        <v>M80</v>
      </c>
      <c r="AW877" s="77">
        <f t="shared" si="288"/>
        <v>182</v>
      </c>
      <c r="AX877" s="77" t="str">
        <f t="shared" si="288"/>
        <v>DFW</v>
      </c>
    </row>
    <row r="878" spans="1:50" x14ac:dyDescent="0.25">
      <c r="A878">
        <v>864</v>
      </c>
      <c r="B878" s="36" t="str">
        <f t="shared" si="287"/>
        <v>UNIDOS VOLAMOS</v>
      </c>
      <c r="C878" s="36">
        <f t="shared" si="287"/>
        <v>221</v>
      </c>
      <c r="D878" s="118">
        <v>0.49236111111111108</v>
      </c>
      <c r="E878" s="118">
        <v>0.51180555555555551</v>
      </c>
      <c r="F878" s="119">
        <v>1.9444444444444431E-2</v>
      </c>
      <c r="G878" s="118">
        <v>0.51944444444444449</v>
      </c>
      <c r="H878" s="119">
        <v>7.6388888888889728E-3</v>
      </c>
      <c r="I878" s="81">
        <v>41727</v>
      </c>
      <c r="J878" s="36" t="str">
        <f t="shared" si="289"/>
        <v>Internacional</v>
      </c>
      <c r="K878" s="36">
        <f t="shared" si="289"/>
        <v>1.4267676767676757E-2</v>
      </c>
      <c r="L878" s="36">
        <f t="shared" si="289"/>
        <v>9.0909090909090991E-3</v>
      </c>
      <c r="M878" s="36">
        <f t="shared" si="289"/>
        <v>2.3358585858585856E-2</v>
      </c>
      <c r="N878" s="36">
        <f t="shared" si="289"/>
        <v>320</v>
      </c>
      <c r="O878" s="36">
        <f t="shared" si="289"/>
        <v>179</v>
      </c>
      <c r="P878" s="36" t="str">
        <f t="shared" si="289"/>
        <v>LAX</v>
      </c>
      <c r="R878">
        <v>864</v>
      </c>
      <c r="S878" s="36" t="str">
        <f t="shared" si="292"/>
        <v>VUELOS AL NORTE AIRLINES</v>
      </c>
      <c r="T878" s="55">
        <v>248</v>
      </c>
      <c r="U878" s="56">
        <v>0.4694444444444445</v>
      </c>
      <c r="V878" s="57">
        <v>0.4826388888888889</v>
      </c>
      <c r="W878" s="58">
        <v>1.3194444444444398E-2</v>
      </c>
      <c r="X878" s="57">
        <v>0.50277777777777777</v>
      </c>
      <c r="Y878" s="58">
        <v>2.0138888888888873E-2</v>
      </c>
      <c r="Z878" s="59">
        <v>41731</v>
      </c>
      <c r="AA878" s="60" t="s">
        <v>22</v>
      </c>
      <c r="AB878" s="61">
        <v>1.2686965811965829E-2</v>
      </c>
      <c r="AC878" s="61">
        <v>7.9861111111111122E-3</v>
      </c>
      <c r="AD878" s="61">
        <v>2.0671296296296295E-2</v>
      </c>
      <c r="AE878" s="167" t="s">
        <v>39</v>
      </c>
      <c r="AF878" s="167">
        <v>189</v>
      </c>
      <c r="AG878" s="182" t="s">
        <v>40</v>
      </c>
      <c r="AI878">
        <v>864</v>
      </c>
      <c r="AJ878" s="77" t="str">
        <f t="shared" si="291"/>
        <v>AEROLINEAS DE AMERICA</v>
      </c>
      <c r="AK878" s="77">
        <f t="shared" si="290"/>
        <v>2313</v>
      </c>
      <c r="AL878" s="78">
        <v>0.94305555555555554</v>
      </c>
      <c r="AM878" s="79">
        <v>0.95138888888888884</v>
      </c>
      <c r="AN878" s="80">
        <v>8.3333333333333037E-3</v>
      </c>
      <c r="AO878" s="79">
        <v>0.95486111111111116</v>
      </c>
      <c r="AP878" s="80">
        <v>3.4722222222223209E-3</v>
      </c>
      <c r="AQ878" s="81">
        <v>41807</v>
      </c>
      <c r="AR878" s="77" t="str">
        <f t="shared" si="288"/>
        <v>Internacional</v>
      </c>
      <c r="AS878" s="77">
        <f t="shared" si="288"/>
        <v>1.5310846560846549E-2</v>
      </c>
      <c r="AT878" s="77">
        <f t="shared" si="288"/>
        <v>1.1970899470899481E-2</v>
      </c>
      <c r="AU878" s="77">
        <f t="shared" si="288"/>
        <v>2.7281746031746032E-2</v>
      </c>
      <c r="AV878" s="77" t="str">
        <f t="shared" si="288"/>
        <v>M80</v>
      </c>
      <c r="AW878" s="77">
        <f t="shared" si="288"/>
        <v>182</v>
      </c>
      <c r="AX878" s="77" t="str">
        <f t="shared" si="288"/>
        <v>DFW</v>
      </c>
    </row>
    <row r="879" spans="1:50" x14ac:dyDescent="0.25">
      <c r="A879">
        <v>865</v>
      </c>
      <c r="B879" s="36" t="str">
        <f t="shared" si="287"/>
        <v>UNIDOS VOLAMOS</v>
      </c>
      <c r="C879" s="36">
        <f t="shared" si="287"/>
        <v>221</v>
      </c>
      <c r="D879" s="118">
        <v>0.48680555555555555</v>
      </c>
      <c r="E879" s="118">
        <v>0.5</v>
      </c>
      <c r="F879" s="119">
        <v>1.3194444444444453E-2</v>
      </c>
      <c r="G879" s="118">
        <v>0.50416666666666665</v>
      </c>
      <c r="H879" s="119">
        <v>4.1666666666666519E-3</v>
      </c>
      <c r="I879" s="81">
        <v>41728</v>
      </c>
      <c r="J879" s="36" t="str">
        <f t="shared" si="289"/>
        <v>Internacional</v>
      </c>
      <c r="K879" s="36">
        <f t="shared" si="289"/>
        <v>1.4267676767676757E-2</v>
      </c>
      <c r="L879" s="36">
        <f t="shared" si="289"/>
        <v>9.0909090909090991E-3</v>
      </c>
      <c r="M879" s="36">
        <f t="shared" si="289"/>
        <v>2.3358585858585856E-2</v>
      </c>
      <c r="N879" s="36">
        <f t="shared" si="289"/>
        <v>320</v>
      </c>
      <c r="O879" s="36">
        <f t="shared" si="289"/>
        <v>179</v>
      </c>
      <c r="P879" s="36" t="str">
        <f t="shared" si="289"/>
        <v>LAX</v>
      </c>
      <c r="R879">
        <v>865</v>
      </c>
      <c r="S879" s="36" t="str">
        <f t="shared" si="292"/>
        <v>VUELOS AL NORTE AIRLINES</v>
      </c>
      <c r="T879" s="36">
        <f t="shared" si="292"/>
        <v>248</v>
      </c>
      <c r="U879" s="73">
        <v>0.4694444444444445</v>
      </c>
      <c r="V879" s="74">
        <v>0.4826388888888889</v>
      </c>
      <c r="W879" s="75">
        <v>1.3194444444444398E-2</v>
      </c>
      <c r="X879" s="74">
        <v>0.50277777777777777</v>
      </c>
      <c r="Y879" s="75">
        <v>2.0138888888888873E-2</v>
      </c>
      <c r="Z879" s="76">
        <v>41731</v>
      </c>
      <c r="AA879" s="36" t="str">
        <f t="shared" ref="AA879:AG903" si="294">AA878</f>
        <v>Internacional</v>
      </c>
      <c r="AB879" s="36">
        <f t="shared" si="294"/>
        <v>1.2686965811965829E-2</v>
      </c>
      <c r="AC879" s="36">
        <f t="shared" si="294"/>
        <v>7.9861111111111122E-3</v>
      </c>
      <c r="AD879" s="36">
        <f t="shared" si="294"/>
        <v>2.0671296296296295E-2</v>
      </c>
      <c r="AE879" s="36" t="str">
        <f t="shared" si="294"/>
        <v>B737-800</v>
      </c>
      <c r="AF879" s="36">
        <f t="shared" si="294"/>
        <v>189</v>
      </c>
      <c r="AG879" s="36" t="str">
        <f t="shared" si="294"/>
        <v>LAX</v>
      </c>
      <c r="AI879">
        <v>865</v>
      </c>
      <c r="AJ879" s="77" t="str">
        <f t="shared" si="291"/>
        <v>AEROLINEAS DE AMERICA</v>
      </c>
      <c r="AK879" s="77">
        <f t="shared" si="290"/>
        <v>2313</v>
      </c>
      <c r="AL879" s="78">
        <v>0.93611111111111101</v>
      </c>
      <c r="AM879" s="79">
        <v>0.95833333333333337</v>
      </c>
      <c r="AN879" s="80">
        <v>2.2222222222222365E-2</v>
      </c>
      <c r="AO879" s="79">
        <v>0.97291666666666676</v>
      </c>
      <c r="AP879" s="80">
        <v>1.4583333333333393E-2</v>
      </c>
      <c r="AQ879" s="81">
        <v>41808</v>
      </c>
      <c r="AR879" s="77" t="str">
        <f t="shared" si="288"/>
        <v>Internacional</v>
      </c>
      <c r="AS879" s="77">
        <f t="shared" si="288"/>
        <v>1.5310846560846549E-2</v>
      </c>
      <c r="AT879" s="77">
        <f t="shared" si="288"/>
        <v>1.1970899470899481E-2</v>
      </c>
      <c r="AU879" s="77">
        <f t="shared" si="288"/>
        <v>2.7281746031746032E-2</v>
      </c>
      <c r="AV879" s="77" t="str">
        <f t="shared" si="288"/>
        <v>M80</v>
      </c>
      <c r="AW879" s="77">
        <f t="shared" si="288"/>
        <v>182</v>
      </c>
      <c r="AX879" s="77" t="str">
        <f t="shared" si="288"/>
        <v>DFW</v>
      </c>
    </row>
    <row r="880" spans="1:50" ht="15.75" thickBot="1" x14ac:dyDescent="0.3">
      <c r="A880">
        <v>866</v>
      </c>
      <c r="B880" s="36" t="str">
        <f t="shared" si="287"/>
        <v>UNIDOS VOLAMOS</v>
      </c>
      <c r="C880" s="36">
        <f t="shared" si="287"/>
        <v>221</v>
      </c>
      <c r="D880" s="176">
        <v>0.4916666666666667</v>
      </c>
      <c r="E880" s="176">
        <v>0.50138888888888888</v>
      </c>
      <c r="F880" s="177">
        <v>9.7222222222221877E-3</v>
      </c>
      <c r="G880" s="176">
        <v>0.51041666666666663</v>
      </c>
      <c r="H880" s="177">
        <v>9.0277777777777457E-3</v>
      </c>
      <c r="I880" s="97">
        <v>41729</v>
      </c>
      <c r="J880" s="36" t="str">
        <f t="shared" si="289"/>
        <v>Internacional</v>
      </c>
      <c r="K880" s="36">
        <f t="shared" si="289"/>
        <v>1.4267676767676757E-2</v>
      </c>
      <c r="L880" s="36">
        <f t="shared" si="289"/>
        <v>9.0909090909090991E-3</v>
      </c>
      <c r="M880" s="36">
        <f t="shared" si="289"/>
        <v>2.3358585858585856E-2</v>
      </c>
      <c r="N880" s="36">
        <f t="shared" si="289"/>
        <v>320</v>
      </c>
      <c r="O880" s="36">
        <f t="shared" si="289"/>
        <v>179</v>
      </c>
      <c r="P880" s="36" t="str">
        <f t="shared" si="289"/>
        <v>LAX</v>
      </c>
      <c r="R880">
        <v>866</v>
      </c>
      <c r="S880" s="36" t="str">
        <f t="shared" si="292"/>
        <v>VUELOS AL NORTE AIRLINES</v>
      </c>
      <c r="T880" s="36">
        <f t="shared" si="292"/>
        <v>248</v>
      </c>
      <c r="U880" s="73">
        <v>0.45902777777777781</v>
      </c>
      <c r="V880" s="74">
        <v>0.46875</v>
      </c>
      <c r="W880" s="75">
        <v>9.7222222222221877E-3</v>
      </c>
      <c r="X880" s="74">
        <v>0.49652777777777773</v>
      </c>
      <c r="Y880" s="75">
        <v>2.7777777777777735E-2</v>
      </c>
      <c r="Z880" s="76">
        <v>41732</v>
      </c>
      <c r="AA880" s="36" t="str">
        <f t="shared" si="294"/>
        <v>Internacional</v>
      </c>
      <c r="AB880" s="36">
        <f t="shared" si="294"/>
        <v>1.2686965811965829E-2</v>
      </c>
      <c r="AC880" s="36">
        <f t="shared" si="294"/>
        <v>7.9861111111111122E-3</v>
      </c>
      <c r="AD880" s="36">
        <f t="shared" si="294"/>
        <v>2.0671296296296295E-2</v>
      </c>
      <c r="AE880" s="36" t="str">
        <f t="shared" si="294"/>
        <v>B737-800</v>
      </c>
      <c r="AF880" s="36">
        <f t="shared" si="294"/>
        <v>189</v>
      </c>
      <c r="AG880" s="36" t="str">
        <f t="shared" si="294"/>
        <v>LAX</v>
      </c>
      <c r="AI880">
        <v>866</v>
      </c>
      <c r="AJ880" s="77" t="str">
        <f t="shared" si="291"/>
        <v>AEROLINEAS DE AMERICA</v>
      </c>
      <c r="AK880" s="77">
        <f t="shared" si="290"/>
        <v>2313</v>
      </c>
      <c r="AL880" s="78">
        <v>0.8881944444444444</v>
      </c>
      <c r="AM880" s="79">
        <v>0.90347222222222223</v>
      </c>
      <c r="AN880" s="80">
        <v>1.5277777777777835E-2</v>
      </c>
      <c r="AO880" s="79">
        <v>0.92083333333333339</v>
      </c>
      <c r="AP880" s="80">
        <v>1.736111111111116E-2</v>
      </c>
      <c r="AQ880" s="81">
        <v>41809</v>
      </c>
      <c r="AR880" s="77" t="str">
        <f t="shared" si="288"/>
        <v>Internacional</v>
      </c>
      <c r="AS880" s="77">
        <f t="shared" si="288"/>
        <v>1.5310846560846549E-2</v>
      </c>
      <c r="AT880" s="77">
        <f t="shared" si="288"/>
        <v>1.1970899470899481E-2</v>
      </c>
      <c r="AU880" s="77">
        <f t="shared" si="288"/>
        <v>2.7281746031746032E-2</v>
      </c>
      <c r="AV880" s="77" t="str">
        <f t="shared" si="288"/>
        <v>M80</v>
      </c>
      <c r="AW880" s="77">
        <f t="shared" si="288"/>
        <v>182</v>
      </c>
      <c r="AX880" s="77" t="str">
        <f t="shared" si="288"/>
        <v>DFW</v>
      </c>
    </row>
    <row r="881" spans="1:50" x14ac:dyDescent="0.25">
      <c r="A881">
        <v>867</v>
      </c>
      <c r="B881" s="36" t="s">
        <v>74</v>
      </c>
      <c r="C881" s="125">
        <v>2879</v>
      </c>
      <c r="D881" s="112">
        <v>0.9243055555555556</v>
      </c>
      <c r="E881" s="112">
        <v>0.93194444444444446</v>
      </c>
      <c r="F881" s="113">
        <v>7.6388888888888618E-3</v>
      </c>
      <c r="G881" s="112">
        <v>0.95763888888888893</v>
      </c>
      <c r="H881" s="113">
        <v>2.5694444444444464E-2</v>
      </c>
      <c r="I881" s="114">
        <v>41713</v>
      </c>
      <c r="J881" s="115" t="s">
        <v>22</v>
      </c>
      <c r="K881" s="116">
        <v>9.1346153846153869E-3</v>
      </c>
      <c r="L881" s="116">
        <v>1.2446581196581211E-2</v>
      </c>
      <c r="M881" s="117">
        <v>2.1581196581196598E-2</v>
      </c>
      <c r="N881" s="109" t="s">
        <v>75</v>
      </c>
      <c r="O881" s="110">
        <v>78</v>
      </c>
      <c r="P881" s="167" t="s">
        <v>76</v>
      </c>
      <c r="R881">
        <v>867</v>
      </c>
      <c r="S881" s="36" t="str">
        <f t="shared" si="292"/>
        <v>VUELOS AL NORTE AIRLINES</v>
      </c>
      <c r="T881" s="36">
        <f t="shared" si="292"/>
        <v>248</v>
      </c>
      <c r="U881" s="73">
        <v>0.4597222222222222</v>
      </c>
      <c r="V881" s="74">
        <v>0.47569444444444442</v>
      </c>
      <c r="W881" s="75">
        <v>1.5972222222222221E-2</v>
      </c>
      <c r="X881" s="74">
        <v>0.4861111111111111</v>
      </c>
      <c r="Y881" s="75">
        <v>1.0416666666666685E-2</v>
      </c>
      <c r="Z881" s="76">
        <v>41733</v>
      </c>
      <c r="AA881" s="36" t="str">
        <f t="shared" si="294"/>
        <v>Internacional</v>
      </c>
      <c r="AB881" s="36">
        <f t="shared" si="294"/>
        <v>1.2686965811965829E-2</v>
      </c>
      <c r="AC881" s="36">
        <f t="shared" si="294"/>
        <v>7.9861111111111122E-3</v>
      </c>
      <c r="AD881" s="36">
        <f t="shared" si="294"/>
        <v>2.0671296296296295E-2</v>
      </c>
      <c r="AE881" s="36" t="str">
        <f t="shared" si="294"/>
        <v>B737-800</v>
      </c>
      <c r="AF881" s="36">
        <f t="shared" si="294"/>
        <v>189</v>
      </c>
      <c r="AG881" s="36" t="str">
        <f t="shared" si="294"/>
        <v>LAX</v>
      </c>
      <c r="AI881">
        <v>867</v>
      </c>
      <c r="AJ881" s="77" t="str">
        <f t="shared" si="291"/>
        <v>AEROLINEAS DE AMERICA</v>
      </c>
      <c r="AK881" s="77">
        <f t="shared" si="290"/>
        <v>2313</v>
      </c>
      <c r="AL881" s="78">
        <v>0.875</v>
      </c>
      <c r="AM881" s="79">
        <v>0.89583333333333337</v>
      </c>
      <c r="AN881" s="80">
        <v>2.083333333333337E-2</v>
      </c>
      <c r="AO881" s="79">
        <v>0.90972222222222221</v>
      </c>
      <c r="AP881" s="80">
        <v>1.388888888888884E-2</v>
      </c>
      <c r="AQ881" s="81">
        <v>41810</v>
      </c>
      <c r="AR881" s="77" t="str">
        <f t="shared" si="288"/>
        <v>Internacional</v>
      </c>
      <c r="AS881" s="77">
        <f t="shared" si="288"/>
        <v>1.5310846560846549E-2</v>
      </c>
      <c r="AT881" s="77">
        <f t="shared" si="288"/>
        <v>1.1970899470899481E-2</v>
      </c>
      <c r="AU881" s="77">
        <f t="shared" si="288"/>
        <v>2.7281746031746032E-2</v>
      </c>
      <c r="AV881" s="77" t="str">
        <f t="shared" si="288"/>
        <v>M80</v>
      </c>
      <c r="AW881" s="77">
        <f t="shared" si="288"/>
        <v>182</v>
      </c>
      <c r="AX881" s="77" t="str">
        <f t="shared" si="288"/>
        <v>DFW</v>
      </c>
    </row>
    <row r="882" spans="1:50" x14ac:dyDescent="0.25">
      <c r="A882">
        <v>868</v>
      </c>
      <c r="B882" s="36" t="str">
        <f t="shared" ref="B882:C907" si="295">B881</f>
        <v>VIAS AÉREAS DE USA</v>
      </c>
      <c r="C882" s="36">
        <f t="shared" si="295"/>
        <v>2879</v>
      </c>
      <c r="D882" s="74">
        <v>0.94027777777777777</v>
      </c>
      <c r="E882" s="74">
        <v>0.95138888888888884</v>
      </c>
      <c r="F882" s="75">
        <v>1.1111111111111072E-2</v>
      </c>
      <c r="G882" s="74">
        <v>0.96180555555555547</v>
      </c>
      <c r="H882" s="75">
        <v>1.041666666666663E-2</v>
      </c>
      <c r="I882" s="76">
        <v>41719</v>
      </c>
      <c r="J882" s="36" t="str">
        <f t="shared" ref="J882:P893" si="296">J881</f>
        <v>Internacional</v>
      </c>
      <c r="K882" s="36">
        <f t="shared" si="296"/>
        <v>9.1346153846153869E-3</v>
      </c>
      <c r="L882" s="36">
        <f t="shared" si="296"/>
        <v>1.2446581196581211E-2</v>
      </c>
      <c r="M882" s="36">
        <f t="shared" si="296"/>
        <v>2.1581196581196598E-2</v>
      </c>
      <c r="N882" s="36" t="str">
        <f t="shared" si="296"/>
        <v>CRJ 700</v>
      </c>
      <c r="O882" s="36">
        <f t="shared" si="296"/>
        <v>78</v>
      </c>
      <c r="P882" s="36" t="str">
        <f t="shared" si="296"/>
        <v>PHX</v>
      </c>
      <c r="R882">
        <v>868</v>
      </c>
      <c r="S882" s="36" t="str">
        <f t="shared" si="292"/>
        <v>VUELOS AL NORTE AIRLINES</v>
      </c>
      <c r="T882" s="36">
        <f t="shared" si="292"/>
        <v>248</v>
      </c>
      <c r="U882" s="73">
        <v>0.46111111111111108</v>
      </c>
      <c r="V882" s="74">
        <v>0.47569444444444442</v>
      </c>
      <c r="W882" s="75">
        <v>1.4583333333333337E-2</v>
      </c>
      <c r="X882" s="74">
        <v>0.49027777777777781</v>
      </c>
      <c r="Y882" s="75">
        <v>1.4583333333333393E-2</v>
      </c>
      <c r="Z882" s="76">
        <v>41734</v>
      </c>
      <c r="AA882" s="36" t="str">
        <f t="shared" si="294"/>
        <v>Internacional</v>
      </c>
      <c r="AB882" s="36">
        <f t="shared" si="294"/>
        <v>1.2686965811965829E-2</v>
      </c>
      <c r="AC882" s="36">
        <f t="shared" si="294"/>
        <v>7.9861111111111122E-3</v>
      </c>
      <c r="AD882" s="36">
        <f t="shared" si="294"/>
        <v>2.0671296296296295E-2</v>
      </c>
      <c r="AE882" s="36" t="str">
        <f t="shared" si="294"/>
        <v>B737-800</v>
      </c>
      <c r="AF882" s="36">
        <f t="shared" si="294"/>
        <v>189</v>
      </c>
      <c r="AG882" s="36" t="str">
        <f t="shared" si="294"/>
        <v>LAX</v>
      </c>
      <c r="AI882">
        <v>868</v>
      </c>
      <c r="AJ882" s="77" t="str">
        <f t="shared" si="291"/>
        <v>AEROLINEAS DE AMERICA</v>
      </c>
      <c r="AK882" s="77">
        <f t="shared" si="290"/>
        <v>2313</v>
      </c>
      <c r="AL882" s="78">
        <v>0.84652777777777777</v>
      </c>
      <c r="AM882" s="79">
        <v>0.85416666666666663</v>
      </c>
      <c r="AN882" s="80">
        <v>7.6388888888888618E-3</v>
      </c>
      <c r="AO882" s="79">
        <v>0.8652777777777777</v>
      </c>
      <c r="AP882" s="80">
        <v>1.1111111111111072E-2</v>
      </c>
      <c r="AQ882" s="81">
        <v>41811</v>
      </c>
      <c r="AR882" s="77" t="str">
        <f t="shared" si="288"/>
        <v>Internacional</v>
      </c>
      <c r="AS882" s="77">
        <f t="shared" si="288"/>
        <v>1.5310846560846549E-2</v>
      </c>
      <c r="AT882" s="77">
        <f t="shared" si="288"/>
        <v>1.1970899470899481E-2</v>
      </c>
      <c r="AU882" s="77">
        <f t="shared" si="288"/>
        <v>2.7281746031746032E-2</v>
      </c>
      <c r="AV882" s="77" t="str">
        <f t="shared" si="288"/>
        <v>M80</v>
      </c>
      <c r="AW882" s="77">
        <f t="shared" si="288"/>
        <v>182</v>
      </c>
      <c r="AX882" s="77" t="str">
        <f t="shared" si="288"/>
        <v>DFW</v>
      </c>
    </row>
    <row r="883" spans="1:50" x14ac:dyDescent="0.25">
      <c r="A883">
        <v>869</v>
      </c>
      <c r="B883" s="36" t="str">
        <f t="shared" si="295"/>
        <v>VIAS AÉREAS DE USA</v>
      </c>
      <c r="C883" s="36">
        <f t="shared" si="295"/>
        <v>2879</v>
      </c>
      <c r="D883" s="74">
        <v>0.93333333333333324</v>
      </c>
      <c r="E883" s="74">
        <v>0.94444444444444453</v>
      </c>
      <c r="F883" s="75">
        <v>1.1111111111111294E-2</v>
      </c>
      <c r="G883" s="74">
        <v>0.95763888888888893</v>
      </c>
      <c r="H883" s="75">
        <v>1.3194444444444398E-2</v>
      </c>
      <c r="I883" s="76">
        <v>41719</v>
      </c>
      <c r="J883" s="36" t="str">
        <f t="shared" si="296"/>
        <v>Internacional</v>
      </c>
      <c r="K883" s="36">
        <f t="shared" si="296"/>
        <v>9.1346153846153869E-3</v>
      </c>
      <c r="L883" s="36">
        <f t="shared" si="296"/>
        <v>1.2446581196581211E-2</v>
      </c>
      <c r="M883" s="36">
        <f t="shared" si="296"/>
        <v>2.1581196581196598E-2</v>
      </c>
      <c r="N883" s="36" t="str">
        <f t="shared" si="296"/>
        <v>CRJ 700</v>
      </c>
      <c r="O883" s="36">
        <f t="shared" si="296"/>
        <v>78</v>
      </c>
      <c r="P883" s="36" t="str">
        <f t="shared" si="296"/>
        <v>PHX</v>
      </c>
      <c r="R883">
        <v>869</v>
      </c>
      <c r="S883" s="36" t="str">
        <f t="shared" si="292"/>
        <v>VUELOS AL NORTE AIRLINES</v>
      </c>
      <c r="T883" s="36">
        <f t="shared" si="292"/>
        <v>248</v>
      </c>
      <c r="U883" s="73">
        <v>0.49791666666666662</v>
      </c>
      <c r="V883" s="74">
        <v>0.50902777777777775</v>
      </c>
      <c r="W883" s="75">
        <v>1.1111111111111127E-2</v>
      </c>
      <c r="X883" s="74">
        <v>0.53125</v>
      </c>
      <c r="Y883" s="75">
        <v>2.2222222222222254E-2</v>
      </c>
      <c r="Z883" s="76">
        <v>41735</v>
      </c>
      <c r="AA883" s="36" t="str">
        <f t="shared" si="294"/>
        <v>Internacional</v>
      </c>
      <c r="AB883" s="36">
        <f t="shared" si="294"/>
        <v>1.2686965811965829E-2</v>
      </c>
      <c r="AC883" s="36">
        <f t="shared" si="294"/>
        <v>7.9861111111111122E-3</v>
      </c>
      <c r="AD883" s="36">
        <f t="shared" si="294"/>
        <v>2.0671296296296295E-2</v>
      </c>
      <c r="AE883" s="36" t="str">
        <f t="shared" si="294"/>
        <v>B737-800</v>
      </c>
      <c r="AF883" s="36">
        <f t="shared" si="294"/>
        <v>189</v>
      </c>
      <c r="AG883" s="36" t="str">
        <f t="shared" si="294"/>
        <v>LAX</v>
      </c>
      <c r="AI883">
        <v>869</v>
      </c>
      <c r="AJ883" s="77" t="str">
        <f t="shared" si="291"/>
        <v>AEROLINEAS DE AMERICA</v>
      </c>
      <c r="AK883" s="77">
        <f t="shared" si="290"/>
        <v>2313</v>
      </c>
      <c r="AL883" s="78">
        <v>0.85972222222222217</v>
      </c>
      <c r="AM883" s="79">
        <v>0.88055555555555554</v>
      </c>
      <c r="AN883" s="80">
        <v>2.083333333333337E-2</v>
      </c>
      <c r="AO883" s="79">
        <v>0.89097222222222217</v>
      </c>
      <c r="AP883" s="80">
        <v>1.041666666666663E-2</v>
      </c>
      <c r="AQ883" s="81">
        <v>41812</v>
      </c>
      <c r="AR883" s="77" t="str">
        <f t="shared" si="288"/>
        <v>Internacional</v>
      </c>
      <c r="AS883" s="77">
        <f t="shared" si="288"/>
        <v>1.5310846560846549E-2</v>
      </c>
      <c r="AT883" s="77">
        <f t="shared" si="288"/>
        <v>1.1970899470899481E-2</v>
      </c>
      <c r="AU883" s="77">
        <f t="shared" si="288"/>
        <v>2.7281746031746032E-2</v>
      </c>
      <c r="AV883" s="77" t="str">
        <f t="shared" si="288"/>
        <v>M80</v>
      </c>
      <c r="AW883" s="77">
        <f t="shared" si="288"/>
        <v>182</v>
      </c>
      <c r="AX883" s="77" t="str">
        <f t="shared" si="288"/>
        <v>DFW</v>
      </c>
    </row>
    <row r="884" spans="1:50" ht="15.75" thickBot="1" x14ac:dyDescent="0.3">
      <c r="A884">
        <v>870</v>
      </c>
      <c r="B884" s="36" t="str">
        <f t="shared" si="295"/>
        <v>VIAS AÉREAS DE USA</v>
      </c>
      <c r="C884" s="36">
        <f t="shared" si="295"/>
        <v>2879</v>
      </c>
      <c r="D884" s="74">
        <v>0.92708333333333337</v>
      </c>
      <c r="E884" s="74">
        <v>0.93611111111111101</v>
      </c>
      <c r="F884" s="75">
        <v>9.0277777777776347E-3</v>
      </c>
      <c r="G884" s="74">
        <v>0.94374999999999998</v>
      </c>
      <c r="H884" s="75">
        <v>7.6388888888889728E-3</v>
      </c>
      <c r="I884" s="76">
        <v>41721</v>
      </c>
      <c r="J884" s="36" t="str">
        <f t="shared" si="296"/>
        <v>Internacional</v>
      </c>
      <c r="K884" s="36">
        <f t="shared" si="296"/>
        <v>9.1346153846153869E-3</v>
      </c>
      <c r="L884" s="36">
        <f t="shared" si="296"/>
        <v>1.2446581196581211E-2</v>
      </c>
      <c r="M884" s="36">
        <f t="shared" si="296"/>
        <v>2.1581196581196598E-2</v>
      </c>
      <c r="N884" s="36" t="str">
        <f t="shared" si="296"/>
        <v>CRJ 700</v>
      </c>
      <c r="O884" s="36">
        <f t="shared" si="296"/>
        <v>78</v>
      </c>
      <c r="P884" s="36" t="str">
        <f t="shared" si="296"/>
        <v>PHX</v>
      </c>
      <c r="R884">
        <v>870</v>
      </c>
      <c r="S884" s="36" t="str">
        <f t="shared" si="292"/>
        <v>VUELOS AL NORTE AIRLINES</v>
      </c>
      <c r="T884" s="36">
        <f t="shared" si="292"/>
        <v>248</v>
      </c>
      <c r="U884" s="73">
        <v>0.49861111111111112</v>
      </c>
      <c r="V884" s="74">
        <v>0.5083333333333333</v>
      </c>
      <c r="W884" s="75">
        <v>9.7222222222221877E-3</v>
      </c>
      <c r="X884" s="74">
        <v>0.52847222222222223</v>
      </c>
      <c r="Y884" s="75">
        <v>2.0138888888888928E-2</v>
      </c>
      <c r="Z884" s="76">
        <v>41736</v>
      </c>
      <c r="AA884" s="36" t="str">
        <f t="shared" si="294"/>
        <v>Internacional</v>
      </c>
      <c r="AB884" s="36">
        <f t="shared" si="294"/>
        <v>1.2686965811965829E-2</v>
      </c>
      <c r="AC884" s="36">
        <f t="shared" si="294"/>
        <v>7.9861111111111122E-3</v>
      </c>
      <c r="AD884" s="36">
        <f t="shared" si="294"/>
        <v>2.0671296296296295E-2</v>
      </c>
      <c r="AE884" s="36" t="str">
        <f t="shared" si="294"/>
        <v>B737-800</v>
      </c>
      <c r="AF884" s="36">
        <f t="shared" si="294"/>
        <v>189</v>
      </c>
      <c r="AG884" s="36" t="str">
        <f t="shared" si="294"/>
        <v>LAX</v>
      </c>
      <c r="AI884">
        <v>870</v>
      </c>
      <c r="AJ884" s="77" t="str">
        <f t="shared" si="291"/>
        <v>AEROLINEAS DE AMERICA</v>
      </c>
      <c r="AK884" s="77">
        <f t="shared" si="290"/>
        <v>2313</v>
      </c>
      <c r="AL884" s="94">
        <v>0.92361111111111116</v>
      </c>
      <c r="AM884" s="95">
        <v>0.92986111111111114</v>
      </c>
      <c r="AN884" s="96">
        <v>6.2499999999999778E-3</v>
      </c>
      <c r="AO884" s="95">
        <v>0.93125000000000002</v>
      </c>
      <c r="AP884" s="96">
        <v>1.388888888888884E-3</v>
      </c>
      <c r="AQ884" s="97">
        <v>41813</v>
      </c>
      <c r="AR884" s="77" t="str">
        <f t="shared" si="288"/>
        <v>Internacional</v>
      </c>
      <c r="AS884" s="77">
        <f t="shared" si="288"/>
        <v>1.5310846560846549E-2</v>
      </c>
      <c r="AT884" s="77">
        <f t="shared" si="288"/>
        <v>1.1970899470899481E-2</v>
      </c>
      <c r="AU884" s="77">
        <f t="shared" si="288"/>
        <v>2.7281746031746032E-2</v>
      </c>
      <c r="AV884" s="77" t="str">
        <f t="shared" si="288"/>
        <v>M80</v>
      </c>
      <c r="AW884" s="77">
        <f t="shared" si="288"/>
        <v>182</v>
      </c>
      <c r="AX884" s="77" t="str">
        <f t="shared" si="288"/>
        <v>DFW</v>
      </c>
    </row>
    <row r="885" spans="1:50" x14ac:dyDescent="0.25">
      <c r="A885">
        <v>871</v>
      </c>
      <c r="B885" s="36" t="str">
        <f t="shared" si="295"/>
        <v>VIAS AÉREAS DE USA</v>
      </c>
      <c r="C885" s="36">
        <f t="shared" si="295"/>
        <v>2879</v>
      </c>
      <c r="D885" s="74">
        <v>0.93333333333333324</v>
      </c>
      <c r="E885" s="74">
        <v>0.94305555555555554</v>
      </c>
      <c r="F885" s="75">
        <v>9.7222222222222987E-3</v>
      </c>
      <c r="G885" s="74">
        <v>0.9472222222222223</v>
      </c>
      <c r="H885" s="75">
        <v>4.1666666666667629E-3</v>
      </c>
      <c r="I885" s="76">
        <v>41723</v>
      </c>
      <c r="J885" s="36" t="str">
        <f t="shared" si="296"/>
        <v>Internacional</v>
      </c>
      <c r="K885" s="36">
        <f t="shared" si="296"/>
        <v>9.1346153846153869E-3</v>
      </c>
      <c r="L885" s="36">
        <f t="shared" si="296"/>
        <v>1.2446581196581211E-2</v>
      </c>
      <c r="M885" s="36">
        <f t="shared" si="296"/>
        <v>2.1581196581196598E-2</v>
      </c>
      <c r="N885" s="36" t="str">
        <f t="shared" si="296"/>
        <v>CRJ 700</v>
      </c>
      <c r="O885" s="36">
        <f t="shared" si="296"/>
        <v>78</v>
      </c>
      <c r="P885" s="36" t="str">
        <f t="shared" si="296"/>
        <v>PHX</v>
      </c>
      <c r="R885">
        <v>871</v>
      </c>
      <c r="S885" s="36" t="str">
        <f t="shared" si="292"/>
        <v>VUELOS AL NORTE AIRLINES</v>
      </c>
      <c r="T885" s="36">
        <f t="shared" si="292"/>
        <v>248</v>
      </c>
      <c r="U885" s="73">
        <v>0.5131944444444444</v>
      </c>
      <c r="V885" s="74">
        <v>0.52361111111111114</v>
      </c>
      <c r="W885" s="75">
        <v>1.0416666666666741E-2</v>
      </c>
      <c r="X885" s="74">
        <v>12.56</v>
      </c>
      <c r="Y885" s="75">
        <v>12.03638888888889</v>
      </c>
      <c r="Z885" s="76">
        <v>41739</v>
      </c>
      <c r="AA885" s="36" t="str">
        <f t="shared" si="294"/>
        <v>Internacional</v>
      </c>
      <c r="AB885" s="36">
        <f t="shared" si="294"/>
        <v>1.2686965811965829E-2</v>
      </c>
      <c r="AC885" s="36">
        <f t="shared" si="294"/>
        <v>7.9861111111111122E-3</v>
      </c>
      <c r="AD885" s="36">
        <f t="shared" si="294"/>
        <v>2.0671296296296295E-2</v>
      </c>
      <c r="AE885" s="36" t="str">
        <f t="shared" si="294"/>
        <v>B737-800</v>
      </c>
      <c r="AF885" s="36">
        <f t="shared" si="294"/>
        <v>189</v>
      </c>
      <c r="AG885" s="36" t="str">
        <f t="shared" si="294"/>
        <v>LAX</v>
      </c>
      <c r="AI885">
        <v>871</v>
      </c>
      <c r="AJ885" s="77" t="str">
        <f t="shared" si="291"/>
        <v>AEROLINEAS DE AMERICA</v>
      </c>
      <c r="AK885" s="63">
        <v>1429</v>
      </c>
      <c r="AL885" s="64">
        <v>0.92361111111111116</v>
      </c>
      <c r="AM885" s="65">
        <v>0.92708333333333337</v>
      </c>
      <c r="AN885" s="66">
        <v>3.4722222222222099E-3</v>
      </c>
      <c r="AO885" s="65">
        <v>0.94027777777777777</v>
      </c>
      <c r="AP885" s="66">
        <v>1.3194444444444398E-2</v>
      </c>
      <c r="AQ885" s="67">
        <v>41804</v>
      </c>
      <c r="AR885" s="68" t="s">
        <v>22</v>
      </c>
      <c r="AS885" s="69">
        <v>9.3750000000000222E-3</v>
      </c>
      <c r="AT885" s="70">
        <v>1.388888888888884E-2</v>
      </c>
      <c r="AU885" s="70">
        <v>2.3263888888888862E-2</v>
      </c>
      <c r="AV885" s="71" t="s">
        <v>56</v>
      </c>
      <c r="AW885" s="183">
        <v>182</v>
      </c>
      <c r="AX885" s="72" t="s">
        <v>23</v>
      </c>
    </row>
    <row r="886" spans="1:50" ht="15.75" thickBot="1" x14ac:dyDescent="0.3">
      <c r="A886">
        <v>872</v>
      </c>
      <c r="B886" s="36" t="str">
        <f t="shared" si="295"/>
        <v>VIAS AÉREAS DE USA</v>
      </c>
      <c r="C886" s="36">
        <f t="shared" si="295"/>
        <v>2879</v>
      </c>
      <c r="D886" s="74">
        <v>0.92361111111111116</v>
      </c>
      <c r="E886" s="74">
        <v>0.93819444444444444</v>
      </c>
      <c r="F886" s="75">
        <v>1.4583333333333282E-2</v>
      </c>
      <c r="G886" s="74">
        <v>0.94513888888888886</v>
      </c>
      <c r="H886" s="75">
        <v>6.9444444444444198E-3</v>
      </c>
      <c r="I886" s="76">
        <v>41715</v>
      </c>
      <c r="J886" s="36" t="str">
        <f t="shared" si="296"/>
        <v>Internacional</v>
      </c>
      <c r="K886" s="36">
        <f t="shared" si="296"/>
        <v>9.1346153846153869E-3</v>
      </c>
      <c r="L886" s="36">
        <f t="shared" si="296"/>
        <v>1.2446581196581211E-2</v>
      </c>
      <c r="M886" s="36">
        <f t="shared" si="296"/>
        <v>2.1581196581196598E-2</v>
      </c>
      <c r="N886" s="36" t="str">
        <f t="shared" si="296"/>
        <v>CRJ 700</v>
      </c>
      <c r="O886" s="36">
        <f t="shared" si="296"/>
        <v>78</v>
      </c>
      <c r="P886" s="36" t="str">
        <f t="shared" si="296"/>
        <v>PHX</v>
      </c>
      <c r="R886">
        <v>872</v>
      </c>
      <c r="S886" s="36" t="str">
        <f t="shared" si="292"/>
        <v>VUELOS AL NORTE AIRLINES</v>
      </c>
      <c r="T886" s="36">
        <f t="shared" si="292"/>
        <v>248</v>
      </c>
      <c r="U886" s="73">
        <v>0.50069444444444444</v>
      </c>
      <c r="V886" s="74">
        <v>0.51527777777777783</v>
      </c>
      <c r="W886" s="75">
        <v>1.4583333333333393E-2</v>
      </c>
      <c r="X886" s="74">
        <v>0.52986111111111112</v>
      </c>
      <c r="Y886" s="75">
        <v>1.4583333333333282E-2</v>
      </c>
      <c r="Z886" s="76">
        <v>41741</v>
      </c>
      <c r="AA886" s="36" t="str">
        <f t="shared" si="294"/>
        <v>Internacional</v>
      </c>
      <c r="AB886" s="36">
        <f t="shared" si="294"/>
        <v>1.2686965811965829E-2</v>
      </c>
      <c r="AC886" s="36">
        <f t="shared" si="294"/>
        <v>7.9861111111111122E-3</v>
      </c>
      <c r="AD886" s="36">
        <f t="shared" si="294"/>
        <v>2.0671296296296295E-2</v>
      </c>
      <c r="AE886" s="36" t="str">
        <f t="shared" si="294"/>
        <v>B737-800</v>
      </c>
      <c r="AF886" s="36">
        <f t="shared" si="294"/>
        <v>189</v>
      </c>
      <c r="AG886" s="36" t="str">
        <f t="shared" si="294"/>
        <v>LAX</v>
      </c>
      <c r="AI886">
        <v>872</v>
      </c>
      <c r="AJ886" s="77" t="str">
        <f t="shared" si="291"/>
        <v>AEROLINEAS DE AMERICA</v>
      </c>
      <c r="AK886" s="77">
        <f>AK885</f>
        <v>1429</v>
      </c>
      <c r="AL886" s="94">
        <v>0.57430555555555551</v>
      </c>
      <c r="AM886" s="95">
        <v>0.58958333333333335</v>
      </c>
      <c r="AN886" s="96">
        <v>1.5277777777777835E-2</v>
      </c>
      <c r="AO886" s="95">
        <v>0.60416666666666663</v>
      </c>
      <c r="AP886" s="96">
        <v>1.4583333333333282E-2</v>
      </c>
      <c r="AQ886" s="97">
        <v>41811</v>
      </c>
      <c r="AR886" s="77" t="str">
        <f t="shared" ref="AR886:AX886" si="297">AR885</f>
        <v>Internacional</v>
      </c>
      <c r="AS886" s="77">
        <f t="shared" si="297"/>
        <v>9.3750000000000222E-3</v>
      </c>
      <c r="AT886" s="77">
        <f t="shared" si="297"/>
        <v>1.388888888888884E-2</v>
      </c>
      <c r="AU886" s="77">
        <f t="shared" si="297"/>
        <v>2.3263888888888862E-2</v>
      </c>
      <c r="AV886" s="77" t="str">
        <f t="shared" si="297"/>
        <v>M80</v>
      </c>
      <c r="AW886" s="77">
        <f t="shared" si="297"/>
        <v>182</v>
      </c>
      <c r="AX886" s="77" t="str">
        <f t="shared" si="297"/>
        <v>DFW</v>
      </c>
    </row>
    <row r="887" spans="1:50" x14ac:dyDescent="0.25">
      <c r="A887">
        <v>873</v>
      </c>
      <c r="B887" s="36" t="str">
        <f t="shared" si="295"/>
        <v>VIAS AÉREAS DE USA</v>
      </c>
      <c r="C887" s="36">
        <f t="shared" si="295"/>
        <v>2879</v>
      </c>
      <c r="D887" s="74">
        <v>0.93611111111111101</v>
      </c>
      <c r="E887" s="74">
        <v>0.9472222222222223</v>
      </c>
      <c r="F887" s="75">
        <v>1.1111111111111294E-2</v>
      </c>
      <c r="G887" s="74">
        <v>0.95486111111111116</v>
      </c>
      <c r="H887" s="75">
        <v>7.6388888888888618E-3</v>
      </c>
      <c r="I887" s="76">
        <v>41716</v>
      </c>
      <c r="J887" s="36" t="str">
        <f t="shared" si="296"/>
        <v>Internacional</v>
      </c>
      <c r="K887" s="36">
        <f t="shared" si="296"/>
        <v>9.1346153846153869E-3</v>
      </c>
      <c r="L887" s="36">
        <f t="shared" si="296"/>
        <v>1.2446581196581211E-2</v>
      </c>
      <c r="M887" s="36">
        <f t="shared" si="296"/>
        <v>2.1581196581196598E-2</v>
      </c>
      <c r="N887" s="36" t="str">
        <f t="shared" si="296"/>
        <v>CRJ 700</v>
      </c>
      <c r="O887" s="36">
        <f t="shared" si="296"/>
        <v>78</v>
      </c>
      <c r="P887" s="36" t="str">
        <f t="shared" si="296"/>
        <v>PHX</v>
      </c>
      <c r="R887">
        <v>873</v>
      </c>
      <c r="S887" s="36" t="str">
        <f t="shared" si="292"/>
        <v>VUELOS AL NORTE AIRLINES</v>
      </c>
      <c r="T887" s="36">
        <f t="shared" si="292"/>
        <v>248</v>
      </c>
      <c r="U887" s="73">
        <v>0.50208333333333333</v>
      </c>
      <c r="V887" s="74">
        <v>0.51736111111111105</v>
      </c>
      <c r="W887" s="75">
        <v>1.5277777777777724E-2</v>
      </c>
      <c r="X887" s="74">
        <v>0.53749999999999998</v>
      </c>
      <c r="Y887" s="75">
        <v>2.0138888888888928E-2</v>
      </c>
      <c r="Z887" s="76">
        <v>41743</v>
      </c>
      <c r="AA887" s="36" t="str">
        <f t="shared" si="294"/>
        <v>Internacional</v>
      </c>
      <c r="AB887" s="36">
        <f t="shared" si="294"/>
        <v>1.2686965811965829E-2</v>
      </c>
      <c r="AC887" s="36">
        <f t="shared" si="294"/>
        <v>7.9861111111111122E-3</v>
      </c>
      <c r="AD887" s="36">
        <f t="shared" si="294"/>
        <v>2.0671296296296295E-2</v>
      </c>
      <c r="AE887" s="36" t="str">
        <f t="shared" si="294"/>
        <v>B737-800</v>
      </c>
      <c r="AF887" s="36">
        <f t="shared" si="294"/>
        <v>189</v>
      </c>
      <c r="AG887" s="36" t="str">
        <f t="shared" si="294"/>
        <v>LAX</v>
      </c>
      <c r="AI887">
        <v>873</v>
      </c>
      <c r="AJ887" s="77" t="str">
        <f t="shared" si="291"/>
        <v>AEROLINEAS DE AMERICA</v>
      </c>
      <c r="AK887" s="63">
        <v>1026</v>
      </c>
      <c r="AL887" s="64">
        <v>0.83819444444444446</v>
      </c>
      <c r="AM887" s="65">
        <v>0.84861111111111109</v>
      </c>
      <c r="AN887" s="66">
        <v>1.041666666666663E-2</v>
      </c>
      <c r="AO887" s="65">
        <v>0.87083333333333324</v>
      </c>
      <c r="AP887" s="66">
        <v>2.2222222222222143E-2</v>
      </c>
      <c r="AQ887" s="67">
        <v>41802</v>
      </c>
      <c r="AR887" s="68" t="s">
        <v>22</v>
      </c>
      <c r="AS887" s="69">
        <v>1.1631944444444453E-2</v>
      </c>
      <c r="AT887" s="70">
        <v>1.4467592592592593E-2</v>
      </c>
      <c r="AU887" s="70">
        <v>2.6099537037037046E-2</v>
      </c>
      <c r="AV887" s="71" t="s">
        <v>56</v>
      </c>
      <c r="AW887" s="71">
        <v>182</v>
      </c>
      <c r="AX887" s="72" t="s">
        <v>23</v>
      </c>
    </row>
    <row r="888" spans="1:50" x14ac:dyDescent="0.25">
      <c r="A888">
        <v>874</v>
      </c>
      <c r="B888" s="36" t="str">
        <f t="shared" si="295"/>
        <v>VIAS AÉREAS DE USA</v>
      </c>
      <c r="C888" s="36">
        <f t="shared" si="295"/>
        <v>2879</v>
      </c>
      <c r="D888" s="74">
        <v>0.95000000000000007</v>
      </c>
      <c r="E888" s="74">
        <v>0.95694444444444438</v>
      </c>
      <c r="F888" s="75">
        <v>6.9444444444443088E-3</v>
      </c>
      <c r="G888" s="74">
        <v>0.97777777777777775</v>
      </c>
      <c r="H888" s="75">
        <v>2.083333333333337E-2</v>
      </c>
      <c r="I888" s="76">
        <v>41717</v>
      </c>
      <c r="J888" s="36" t="str">
        <f t="shared" si="296"/>
        <v>Internacional</v>
      </c>
      <c r="K888" s="36">
        <f t="shared" si="296"/>
        <v>9.1346153846153869E-3</v>
      </c>
      <c r="L888" s="36">
        <f t="shared" si="296"/>
        <v>1.2446581196581211E-2</v>
      </c>
      <c r="M888" s="36">
        <f t="shared" si="296"/>
        <v>2.1581196581196598E-2</v>
      </c>
      <c r="N888" s="36" t="str">
        <f t="shared" si="296"/>
        <v>CRJ 700</v>
      </c>
      <c r="O888" s="36">
        <f t="shared" si="296"/>
        <v>78</v>
      </c>
      <c r="P888" s="36" t="str">
        <f t="shared" si="296"/>
        <v>PHX</v>
      </c>
      <c r="R888">
        <v>874</v>
      </c>
      <c r="S888" s="36" t="str">
        <f t="shared" si="292"/>
        <v>VUELOS AL NORTE AIRLINES</v>
      </c>
      <c r="T888" s="36">
        <f t="shared" si="292"/>
        <v>248</v>
      </c>
      <c r="U888" s="73">
        <v>0.50972222222222219</v>
      </c>
      <c r="V888" s="74">
        <v>0.52083333333333337</v>
      </c>
      <c r="W888" s="75">
        <v>1.1111111111111183E-2</v>
      </c>
      <c r="X888" s="74">
        <v>0.53749999999999998</v>
      </c>
      <c r="Y888" s="75">
        <v>1.6666666666666607E-2</v>
      </c>
      <c r="Z888" s="76">
        <v>41744</v>
      </c>
      <c r="AA888" s="36" t="str">
        <f t="shared" si="294"/>
        <v>Internacional</v>
      </c>
      <c r="AB888" s="36">
        <f t="shared" si="294"/>
        <v>1.2686965811965829E-2</v>
      </c>
      <c r="AC888" s="36">
        <f t="shared" si="294"/>
        <v>7.9861111111111122E-3</v>
      </c>
      <c r="AD888" s="36">
        <f t="shared" si="294"/>
        <v>2.0671296296296295E-2</v>
      </c>
      <c r="AE888" s="36" t="str">
        <f t="shared" si="294"/>
        <v>B737-800</v>
      </c>
      <c r="AF888" s="36">
        <f t="shared" si="294"/>
        <v>189</v>
      </c>
      <c r="AG888" s="36" t="str">
        <f t="shared" si="294"/>
        <v>LAX</v>
      </c>
      <c r="AI888">
        <v>874</v>
      </c>
      <c r="AJ888" s="77" t="str">
        <f t="shared" si="291"/>
        <v>AEROLINEAS DE AMERICA</v>
      </c>
      <c r="AK888" s="77">
        <f t="shared" si="291"/>
        <v>1026</v>
      </c>
      <c r="AL888" s="78">
        <v>0.85763888888888884</v>
      </c>
      <c r="AM888" s="79">
        <v>0.8666666666666667</v>
      </c>
      <c r="AN888" s="80">
        <v>9.0277777777778567E-3</v>
      </c>
      <c r="AO888" s="79">
        <v>0.89166666666666661</v>
      </c>
      <c r="AP888" s="80">
        <v>2.4999999999999911E-2</v>
      </c>
      <c r="AQ888" s="81">
        <v>41803</v>
      </c>
      <c r="AR888" s="77" t="str">
        <f t="shared" ref="AR888:AX898" si="298">AR887</f>
        <v>Internacional</v>
      </c>
      <c r="AS888" s="77">
        <f t="shared" si="298"/>
        <v>1.1631944444444453E-2</v>
      </c>
      <c r="AT888" s="77">
        <f t="shared" si="298"/>
        <v>1.4467592592592593E-2</v>
      </c>
      <c r="AU888" s="77">
        <f t="shared" si="298"/>
        <v>2.6099537037037046E-2</v>
      </c>
      <c r="AV888" s="77" t="str">
        <f t="shared" si="298"/>
        <v>M80</v>
      </c>
      <c r="AW888" s="77">
        <f t="shared" si="298"/>
        <v>182</v>
      </c>
      <c r="AX888" s="77" t="str">
        <f t="shared" si="298"/>
        <v>DFW</v>
      </c>
    </row>
    <row r="889" spans="1:50" x14ac:dyDescent="0.25">
      <c r="A889">
        <v>875</v>
      </c>
      <c r="B889" s="36" t="str">
        <f t="shared" si="295"/>
        <v>VIAS AÉREAS DE USA</v>
      </c>
      <c r="C889" s="36">
        <f t="shared" si="295"/>
        <v>2879</v>
      </c>
      <c r="D889" s="74">
        <v>0.92361111111111116</v>
      </c>
      <c r="E889" s="74">
        <v>0.92708333333333337</v>
      </c>
      <c r="F889" s="75">
        <v>3.4722222222222099E-3</v>
      </c>
      <c r="G889" s="74">
        <v>0.94027777777777777</v>
      </c>
      <c r="H889" s="75">
        <v>1.3194444444444398E-2</v>
      </c>
      <c r="I889" s="76">
        <v>41724</v>
      </c>
      <c r="J889" s="36" t="str">
        <f t="shared" si="296"/>
        <v>Internacional</v>
      </c>
      <c r="K889" s="36">
        <f t="shared" si="296"/>
        <v>9.1346153846153869E-3</v>
      </c>
      <c r="L889" s="36">
        <f t="shared" si="296"/>
        <v>1.2446581196581211E-2</v>
      </c>
      <c r="M889" s="36">
        <f t="shared" si="296"/>
        <v>2.1581196581196598E-2</v>
      </c>
      <c r="N889" s="36" t="str">
        <f t="shared" si="296"/>
        <v>CRJ 700</v>
      </c>
      <c r="O889" s="36">
        <f t="shared" si="296"/>
        <v>78</v>
      </c>
      <c r="P889" s="36" t="str">
        <f t="shared" si="296"/>
        <v>PHX</v>
      </c>
      <c r="R889">
        <v>875</v>
      </c>
      <c r="S889" s="36" t="str">
        <f t="shared" si="292"/>
        <v>VUELOS AL NORTE AIRLINES</v>
      </c>
      <c r="T889" s="36">
        <f t="shared" si="292"/>
        <v>248</v>
      </c>
      <c r="U889" s="73">
        <v>0.49513888888888885</v>
      </c>
      <c r="V889" s="74">
        <v>0.5083333333333333</v>
      </c>
      <c r="W889" s="75">
        <v>1.3194444444444453E-2</v>
      </c>
      <c r="X889" s="74">
        <v>0.52500000000000002</v>
      </c>
      <c r="Y889" s="75">
        <v>1.6666666666666718E-2</v>
      </c>
      <c r="Z889" s="76">
        <v>41745</v>
      </c>
      <c r="AA889" s="36" t="str">
        <f t="shared" si="294"/>
        <v>Internacional</v>
      </c>
      <c r="AB889" s="36">
        <f t="shared" si="294"/>
        <v>1.2686965811965829E-2</v>
      </c>
      <c r="AC889" s="36">
        <f t="shared" si="294"/>
        <v>7.9861111111111122E-3</v>
      </c>
      <c r="AD889" s="36">
        <f t="shared" si="294"/>
        <v>2.0671296296296295E-2</v>
      </c>
      <c r="AE889" s="36" t="str">
        <f t="shared" si="294"/>
        <v>B737-800</v>
      </c>
      <c r="AF889" s="36">
        <f t="shared" si="294"/>
        <v>189</v>
      </c>
      <c r="AG889" s="36" t="str">
        <f t="shared" si="294"/>
        <v>LAX</v>
      </c>
      <c r="AI889">
        <v>875</v>
      </c>
      <c r="AJ889" s="77" t="str">
        <f t="shared" si="291"/>
        <v>AEROLINEAS DE AMERICA</v>
      </c>
      <c r="AK889" s="77">
        <f t="shared" si="291"/>
        <v>1026</v>
      </c>
      <c r="AL889" s="78">
        <v>0.93333333333333324</v>
      </c>
      <c r="AM889" s="79">
        <v>0.94305555555555554</v>
      </c>
      <c r="AN889" s="80">
        <v>9.7222222222222987E-3</v>
      </c>
      <c r="AO889" s="79">
        <v>0.9472222222222223</v>
      </c>
      <c r="AP889" s="80">
        <v>4.1666666666667629E-3</v>
      </c>
      <c r="AQ889" s="81">
        <v>41804</v>
      </c>
      <c r="AR889" s="77" t="str">
        <f t="shared" si="298"/>
        <v>Internacional</v>
      </c>
      <c r="AS889" s="77">
        <f t="shared" si="298"/>
        <v>1.1631944444444453E-2</v>
      </c>
      <c r="AT889" s="77">
        <f t="shared" si="298"/>
        <v>1.4467592592592593E-2</v>
      </c>
      <c r="AU889" s="77">
        <f t="shared" si="298"/>
        <v>2.6099537037037046E-2</v>
      </c>
      <c r="AV889" s="77" t="str">
        <f t="shared" si="298"/>
        <v>M80</v>
      </c>
      <c r="AW889" s="77">
        <f t="shared" si="298"/>
        <v>182</v>
      </c>
      <c r="AX889" s="77" t="str">
        <f t="shared" si="298"/>
        <v>DFW</v>
      </c>
    </row>
    <row r="890" spans="1:50" x14ac:dyDescent="0.25">
      <c r="A890">
        <v>876</v>
      </c>
      <c r="B890" s="36" t="str">
        <f t="shared" si="295"/>
        <v>VIAS AÉREAS DE USA</v>
      </c>
      <c r="C890" s="36">
        <f t="shared" si="295"/>
        <v>2879</v>
      </c>
      <c r="D890" s="74">
        <v>0.92499999999999993</v>
      </c>
      <c r="E890" s="74">
        <v>0.93263888888888891</v>
      </c>
      <c r="F890" s="75">
        <v>7.6388888888889728E-3</v>
      </c>
      <c r="G890" s="74">
        <v>0.9555555555555556</v>
      </c>
      <c r="H890" s="75">
        <v>2.2916666666666696E-2</v>
      </c>
      <c r="I890" s="76">
        <v>41724</v>
      </c>
      <c r="J890" s="36" t="str">
        <f t="shared" si="296"/>
        <v>Internacional</v>
      </c>
      <c r="K890" s="36">
        <f t="shared" si="296"/>
        <v>9.1346153846153869E-3</v>
      </c>
      <c r="L890" s="36">
        <f t="shared" si="296"/>
        <v>1.2446581196581211E-2</v>
      </c>
      <c r="M890" s="36">
        <f t="shared" si="296"/>
        <v>2.1581196581196598E-2</v>
      </c>
      <c r="N890" s="36" t="str">
        <f t="shared" si="296"/>
        <v>CRJ 700</v>
      </c>
      <c r="O890" s="36">
        <f t="shared" si="296"/>
        <v>78</v>
      </c>
      <c r="P890" s="36" t="str">
        <f t="shared" si="296"/>
        <v>PHX</v>
      </c>
      <c r="R890">
        <v>876</v>
      </c>
      <c r="S890" s="36" t="str">
        <f t="shared" si="292"/>
        <v>VUELOS AL NORTE AIRLINES</v>
      </c>
      <c r="T890" s="36">
        <f t="shared" si="292"/>
        <v>248</v>
      </c>
      <c r="U890" s="73">
        <v>0.5</v>
      </c>
      <c r="V890" s="74">
        <v>0.51458333333333328</v>
      </c>
      <c r="W890" s="75">
        <v>1.4583333333333282E-2</v>
      </c>
      <c r="X890" s="74">
        <v>0.52777777777777779</v>
      </c>
      <c r="Y890" s="75">
        <v>1.3194444444444509E-2</v>
      </c>
      <c r="Z890" s="76">
        <v>41746</v>
      </c>
      <c r="AA890" s="36" t="str">
        <f t="shared" si="294"/>
        <v>Internacional</v>
      </c>
      <c r="AB890" s="36">
        <f t="shared" si="294"/>
        <v>1.2686965811965829E-2</v>
      </c>
      <c r="AC890" s="36">
        <f t="shared" si="294"/>
        <v>7.9861111111111122E-3</v>
      </c>
      <c r="AD890" s="36">
        <f t="shared" si="294"/>
        <v>2.0671296296296295E-2</v>
      </c>
      <c r="AE890" s="36" t="str">
        <f t="shared" si="294"/>
        <v>B737-800</v>
      </c>
      <c r="AF890" s="36">
        <f t="shared" si="294"/>
        <v>189</v>
      </c>
      <c r="AG890" s="36" t="str">
        <f t="shared" si="294"/>
        <v>LAX</v>
      </c>
      <c r="AI890">
        <v>876</v>
      </c>
      <c r="AJ890" s="77" t="str">
        <f t="shared" si="291"/>
        <v>AEROLINEAS DE AMERICA</v>
      </c>
      <c r="AK890" s="77">
        <f t="shared" si="291"/>
        <v>1026</v>
      </c>
      <c r="AL890" s="78">
        <v>0.45833333333333331</v>
      </c>
      <c r="AM890" s="79">
        <v>0.46527777777777773</v>
      </c>
      <c r="AN890" s="80">
        <v>6.9444444444444198E-3</v>
      </c>
      <c r="AO890" s="79">
        <v>0.47222222222222227</v>
      </c>
      <c r="AP890" s="80">
        <v>6.9444444444445308E-3</v>
      </c>
      <c r="AQ890" s="81">
        <v>41805</v>
      </c>
      <c r="AR890" s="77" t="str">
        <f t="shared" si="298"/>
        <v>Internacional</v>
      </c>
      <c r="AS890" s="77">
        <f t="shared" si="298"/>
        <v>1.1631944444444453E-2</v>
      </c>
      <c r="AT890" s="77">
        <f t="shared" si="298"/>
        <v>1.4467592592592593E-2</v>
      </c>
      <c r="AU890" s="77">
        <f t="shared" si="298"/>
        <v>2.6099537037037046E-2</v>
      </c>
      <c r="AV890" s="77" t="str">
        <f t="shared" si="298"/>
        <v>M80</v>
      </c>
      <c r="AW890" s="77">
        <f t="shared" si="298"/>
        <v>182</v>
      </c>
      <c r="AX890" s="77" t="str">
        <f t="shared" si="298"/>
        <v>DFW</v>
      </c>
    </row>
    <row r="891" spans="1:50" x14ac:dyDescent="0.25">
      <c r="A891">
        <v>877</v>
      </c>
      <c r="B891" s="36" t="str">
        <f t="shared" si="295"/>
        <v>VIAS AÉREAS DE USA</v>
      </c>
      <c r="C891" s="36">
        <f t="shared" si="295"/>
        <v>2879</v>
      </c>
      <c r="D891" s="74">
        <v>0.93125000000000002</v>
      </c>
      <c r="E891" s="74">
        <v>0.9458333333333333</v>
      </c>
      <c r="F891" s="75">
        <v>1.4583333333333282E-2</v>
      </c>
      <c r="G891" s="74">
        <v>0.95138888888888884</v>
      </c>
      <c r="H891" s="75">
        <v>5.5555555555555358E-3</v>
      </c>
      <c r="I891" s="76">
        <v>41725</v>
      </c>
      <c r="J891" s="36" t="str">
        <f t="shared" si="296"/>
        <v>Internacional</v>
      </c>
      <c r="K891" s="36">
        <f t="shared" si="296"/>
        <v>9.1346153846153869E-3</v>
      </c>
      <c r="L891" s="36">
        <f t="shared" si="296"/>
        <v>1.2446581196581211E-2</v>
      </c>
      <c r="M891" s="36">
        <f t="shared" si="296"/>
        <v>2.1581196581196598E-2</v>
      </c>
      <c r="N891" s="36" t="str">
        <f t="shared" si="296"/>
        <v>CRJ 700</v>
      </c>
      <c r="O891" s="36">
        <f t="shared" si="296"/>
        <v>78</v>
      </c>
      <c r="P891" s="36" t="str">
        <f t="shared" si="296"/>
        <v>PHX</v>
      </c>
      <c r="R891">
        <v>877</v>
      </c>
      <c r="S891" s="36" t="str">
        <f t="shared" si="292"/>
        <v>VUELOS AL NORTE AIRLINES</v>
      </c>
      <c r="T891" s="36">
        <f t="shared" si="292"/>
        <v>248</v>
      </c>
      <c r="U891" s="73">
        <v>0.50624999999999998</v>
      </c>
      <c r="V891" s="74">
        <v>0.5180555555555556</v>
      </c>
      <c r="W891" s="75">
        <v>1.1805555555555625E-2</v>
      </c>
      <c r="X891" s="74">
        <v>0.53333333333333333</v>
      </c>
      <c r="Y891" s="75">
        <v>1.5277777777777724E-2</v>
      </c>
      <c r="Z891" s="76">
        <v>41747</v>
      </c>
      <c r="AA891" s="36" t="str">
        <f t="shared" si="294"/>
        <v>Internacional</v>
      </c>
      <c r="AB891" s="36">
        <f t="shared" si="294"/>
        <v>1.2686965811965829E-2</v>
      </c>
      <c r="AC891" s="36">
        <f t="shared" si="294"/>
        <v>7.9861111111111122E-3</v>
      </c>
      <c r="AD891" s="36">
        <f t="shared" si="294"/>
        <v>2.0671296296296295E-2</v>
      </c>
      <c r="AE891" s="36" t="str">
        <f t="shared" si="294"/>
        <v>B737-800</v>
      </c>
      <c r="AF891" s="36">
        <f t="shared" si="294"/>
        <v>189</v>
      </c>
      <c r="AG891" s="36" t="str">
        <f t="shared" si="294"/>
        <v>LAX</v>
      </c>
      <c r="AI891">
        <v>877</v>
      </c>
      <c r="AJ891" s="77" t="str">
        <f t="shared" si="291"/>
        <v>AEROLINEAS DE AMERICA</v>
      </c>
      <c r="AK891" s="77">
        <f t="shared" si="291"/>
        <v>1026</v>
      </c>
      <c r="AL891" s="78">
        <v>0.27152777777777776</v>
      </c>
      <c r="AM891" s="79">
        <v>0.27777777777777779</v>
      </c>
      <c r="AN891" s="80">
        <v>6.2500000000000333E-3</v>
      </c>
      <c r="AO891" s="79">
        <v>0.28819444444444448</v>
      </c>
      <c r="AP891" s="80">
        <v>1.0416666666666685E-2</v>
      </c>
      <c r="AQ891" s="81">
        <v>41806</v>
      </c>
      <c r="AR891" s="77" t="str">
        <f t="shared" si="298"/>
        <v>Internacional</v>
      </c>
      <c r="AS891" s="77">
        <f t="shared" si="298"/>
        <v>1.1631944444444453E-2</v>
      </c>
      <c r="AT891" s="77">
        <f t="shared" si="298"/>
        <v>1.4467592592592593E-2</v>
      </c>
      <c r="AU891" s="77">
        <f t="shared" si="298"/>
        <v>2.6099537037037046E-2</v>
      </c>
      <c r="AV891" s="77" t="str">
        <f t="shared" si="298"/>
        <v>M80</v>
      </c>
      <c r="AW891" s="77">
        <f t="shared" si="298"/>
        <v>182</v>
      </c>
      <c r="AX891" s="77" t="str">
        <f t="shared" si="298"/>
        <v>DFW</v>
      </c>
    </row>
    <row r="892" spans="1:50" x14ac:dyDescent="0.25">
      <c r="A892">
        <v>878</v>
      </c>
      <c r="B892" s="36" t="str">
        <f t="shared" si="295"/>
        <v>VIAS AÉREAS DE USA</v>
      </c>
      <c r="C892" s="36">
        <f t="shared" si="295"/>
        <v>2879</v>
      </c>
      <c r="D892" s="74">
        <v>0.9277777777777777</v>
      </c>
      <c r="E892" s="74">
        <v>0.93611111111111101</v>
      </c>
      <c r="F892" s="75">
        <v>8.3333333333333037E-3</v>
      </c>
      <c r="G892" s="74">
        <v>0.94791666666666663</v>
      </c>
      <c r="H892" s="75">
        <v>1.1805555555555625E-2</v>
      </c>
      <c r="I892" s="76">
        <v>41727</v>
      </c>
      <c r="J892" s="36" t="str">
        <f t="shared" si="296"/>
        <v>Internacional</v>
      </c>
      <c r="K892" s="36">
        <f t="shared" si="296"/>
        <v>9.1346153846153869E-3</v>
      </c>
      <c r="L892" s="36">
        <f t="shared" si="296"/>
        <v>1.2446581196581211E-2</v>
      </c>
      <c r="M892" s="36">
        <f t="shared" si="296"/>
        <v>2.1581196581196598E-2</v>
      </c>
      <c r="N892" s="36" t="str">
        <f t="shared" si="296"/>
        <v>CRJ 700</v>
      </c>
      <c r="O892" s="36">
        <f t="shared" si="296"/>
        <v>78</v>
      </c>
      <c r="P892" s="36" t="str">
        <f t="shared" si="296"/>
        <v>PHX</v>
      </c>
      <c r="R892">
        <v>878</v>
      </c>
      <c r="S892" s="36" t="str">
        <f t="shared" si="292"/>
        <v>VUELOS AL NORTE AIRLINES</v>
      </c>
      <c r="T892" s="36">
        <f t="shared" si="292"/>
        <v>248</v>
      </c>
      <c r="U892" s="73">
        <v>0.50069444444444444</v>
      </c>
      <c r="V892" s="74">
        <v>0.51250000000000007</v>
      </c>
      <c r="W892" s="75">
        <v>1.1805555555555625E-2</v>
      </c>
      <c r="X892" s="74">
        <v>0.52916666666666667</v>
      </c>
      <c r="Y892" s="75">
        <v>1.6666666666666607E-2</v>
      </c>
      <c r="Z892" s="76">
        <v>41748</v>
      </c>
      <c r="AA892" s="36" t="str">
        <f t="shared" si="294"/>
        <v>Internacional</v>
      </c>
      <c r="AB892" s="36">
        <f t="shared" si="294"/>
        <v>1.2686965811965829E-2</v>
      </c>
      <c r="AC892" s="36">
        <f t="shared" si="294"/>
        <v>7.9861111111111122E-3</v>
      </c>
      <c r="AD892" s="36">
        <f t="shared" si="294"/>
        <v>2.0671296296296295E-2</v>
      </c>
      <c r="AE892" s="36" t="str">
        <f t="shared" si="294"/>
        <v>B737-800</v>
      </c>
      <c r="AF892" s="36">
        <f t="shared" si="294"/>
        <v>189</v>
      </c>
      <c r="AG892" s="36" t="str">
        <f t="shared" si="294"/>
        <v>LAX</v>
      </c>
      <c r="AI892">
        <v>878</v>
      </c>
      <c r="AJ892" s="77" t="str">
        <f t="shared" si="291"/>
        <v>AEROLINEAS DE AMERICA</v>
      </c>
      <c r="AK892" s="77">
        <f t="shared" si="291"/>
        <v>1026</v>
      </c>
      <c r="AL892" s="78">
        <v>0.84166666666666667</v>
      </c>
      <c r="AM892" s="79">
        <v>0.85277777777777775</v>
      </c>
      <c r="AN892" s="80">
        <v>1.1111111111111072E-2</v>
      </c>
      <c r="AO892" s="79">
        <v>0.86388888888888893</v>
      </c>
      <c r="AP892" s="80">
        <v>1.1111111111111183E-2</v>
      </c>
      <c r="AQ892" s="81">
        <v>41807</v>
      </c>
      <c r="AR892" s="77" t="str">
        <f t="shared" si="298"/>
        <v>Internacional</v>
      </c>
      <c r="AS892" s="77">
        <f t="shared" si="298"/>
        <v>1.1631944444444453E-2</v>
      </c>
      <c r="AT892" s="77">
        <f t="shared" si="298"/>
        <v>1.4467592592592593E-2</v>
      </c>
      <c r="AU892" s="77">
        <f t="shared" si="298"/>
        <v>2.6099537037037046E-2</v>
      </c>
      <c r="AV892" s="77" t="str">
        <f t="shared" si="298"/>
        <v>M80</v>
      </c>
      <c r="AW892" s="77">
        <f t="shared" si="298"/>
        <v>182</v>
      </c>
      <c r="AX892" s="77" t="str">
        <f t="shared" si="298"/>
        <v>DFW</v>
      </c>
    </row>
    <row r="893" spans="1:50" ht="15.75" thickBot="1" x14ac:dyDescent="0.3">
      <c r="A893">
        <v>879</v>
      </c>
      <c r="B893" s="36" t="str">
        <f t="shared" si="295"/>
        <v>VIAS AÉREAS DE USA</v>
      </c>
      <c r="C893" s="36">
        <f t="shared" si="295"/>
        <v>2879</v>
      </c>
      <c r="D893" s="84">
        <v>0.92638888888888893</v>
      </c>
      <c r="E893" s="84">
        <v>0.92986111111111114</v>
      </c>
      <c r="F893" s="85">
        <v>3.4722222222222099E-3</v>
      </c>
      <c r="G893" s="84">
        <v>0.94166666666666676</v>
      </c>
      <c r="H893" s="85">
        <v>1.1805555555555625E-2</v>
      </c>
      <c r="I893" s="86">
        <v>41728</v>
      </c>
      <c r="J893" s="36" t="str">
        <f t="shared" si="296"/>
        <v>Internacional</v>
      </c>
      <c r="K893" s="36">
        <f t="shared" si="296"/>
        <v>9.1346153846153869E-3</v>
      </c>
      <c r="L893" s="36">
        <f t="shared" si="296"/>
        <v>1.2446581196581211E-2</v>
      </c>
      <c r="M893" s="36">
        <f t="shared" si="296"/>
        <v>2.1581196581196598E-2</v>
      </c>
      <c r="N893" s="36" t="str">
        <f t="shared" si="296"/>
        <v>CRJ 700</v>
      </c>
      <c r="O893" s="36">
        <f t="shared" si="296"/>
        <v>78</v>
      </c>
      <c r="P893" s="36" t="str">
        <f t="shared" si="296"/>
        <v>PHX</v>
      </c>
      <c r="R893">
        <v>879</v>
      </c>
      <c r="S893" s="36" t="str">
        <f t="shared" si="292"/>
        <v>VUELOS AL NORTE AIRLINES</v>
      </c>
      <c r="T893" s="36">
        <f t="shared" si="292"/>
        <v>248</v>
      </c>
      <c r="U893" s="73">
        <v>0.50277777777777777</v>
      </c>
      <c r="V893" s="74">
        <v>0.5131944444444444</v>
      </c>
      <c r="W893" s="75">
        <v>1.041666666666663E-2</v>
      </c>
      <c r="X893" s="74">
        <v>0.52569444444444446</v>
      </c>
      <c r="Y893" s="75">
        <v>1.2500000000000067E-2</v>
      </c>
      <c r="Z893" s="76">
        <v>41749</v>
      </c>
      <c r="AA893" s="36" t="str">
        <f t="shared" si="294"/>
        <v>Internacional</v>
      </c>
      <c r="AB893" s="36">
        <f t="shared" si="294"/>
        <v>1.2686965811965829E-2</v>
      </c>
      <c r="AC893" s="36">
        <f t="shared" si="294"/>
        <v>7.9861111111111122E-3</v>
      </c>
      <c r="AD893" s="36">
        <f t="shared" si="294"/>
        <v>2.0671296296296295E-2</v>
      </c>
      <c r="AE893" s="36" t="str">
        <f t="shared" si="294"/>
        <v>B737-800</v>
      </c>
      <c r="AF893" s="36">
        <f t="shared" si="294"/>
        <v>189</v>
      </c>
      <c r="AG893" s="36" t="str">
        <f t="shared" si="294"/>
        <v>LAX</v>
      </c>
      <c r="AI893">
        <v>879</v>
      </c>
      <c r="AJ893" s="77" t="str">
        <f t="shared" si="291"/>
        <v>AEROLINEAS DE AMERICA</v>
      </c>
      <c r="AK893" s="77">
        <f t="shared" si="291"/>
        <v>1026</v>
      </c>
      <c r="AL893" s="78">
        <v>0.52430555555555558</v>
      </c>
      <c r="AM893" s="79">
        <v>0.54027777777777775</v>
      </c>
      <c r="AN893" s="80">
        <v>1.5972222222222165E-2</v>
      </c>
      <c r="AO893" s="79">
        <v>0.55208333333333337</v>
      </c>
      <c r="AP893" s="80">
        <v>1.1805555555555625E-2</v>
      </c>
      <c r="AQ893" s="81">
        <v>41808</v>
      </c>
      <c r="AR893" s="77" t="str">
        <f t="shared" si="298"/>
        <v>Internacional</v>
      </c>
      <c r="AS893" s="77">
        <f t="shared" si="298"/>
        <v>1.1631944444444453E-2</v>
      </c>
      <c r="AT893" s="77">
        <f t="shared" si="298"/>
        <v>1.4467592592592593E-2</v>
      </c>
      <c r="AU893" s="77">
        <f t="shared" si="298"/>
        <v>2.6099537037037046E-2</v>
      </c>
      <c r="AV893" s="77" t="str">
        <f t="shared" si="298"/>
        <v>M80</v>
      </c>
      <c r="AW893" s="77">
        <f t="shared" si="298"/>
        <v>182</v>
      </c>
      <c r="AX893" s="77" t="str">
        <f t="shared" si="298"/>
        <v>DFW</v>
      </c>
    </row>
    <row r="894" spans="1:50" x14ac:dyDescent="0.25">
      <c r="A894">
        <v>880</v>
      </c>
      <c r="B894" s="36" t="str">
        <f t="shared" si="295"/>
        <v>VIAS AÉREAS DE USA</v>
      </c>
      <c r="C894" s="88">
        <v>2816</v>
      </c>
      <c r="D894" s="57">
        <v>0.52013888888888882</v>
      </c>
      <c r="E894" s="57">
        <v>0.52500000000000002</v>
      </c>
      <c r="F894" s="58">
        <v>4.8611111111112049E-3</v>
      </c>
      <c r="G894" s="57">
        <v>0.53333333333333333</v>
      </c>
      <c r="H894" s="58">
        <v>8.3333333333333037E-3</v>
      </c>
      <c r="I894" s="59">
        <v>41720</v>
      </c>
      <c r="J894" s="108" t="s">
        <v>22</v>
      </c>
      <c r="K894" s="61">
        <v>6.5705128205128232E-3</v>
      </c>
      <c r="L894" s="61">
        <v>9.7222222222221964E-3</v>
      </c>
      <c r="M894" s="89">
        <v>1.629273504273502E-2</v>
      </c>
      <c r="N894" s="90" t="s">
        <v>75</v>
      </c>
      <c r="O894" s="91">
        <v>78</v>
      </c>
      <c r="P894" s="92" t="s">
        <v>76</v>
      </c>
      <c r="R894">
        <v>880</v>
      </c>
      <c r="S894" s="36" t="str">
        <f t="shared" si="292"/>
        <v>VUELOS AL NORTE AIRLINES</v>
      </c>
      <c r="T894" s="36">
        <f t="shared" si="292"/>
        <v>248</v>
      </c>
      <c r="U894" s="73">
        <v>0.50555555555555554</v>
      </c>
      <c r="V894" s="74">
        <v>0.52152777777777781</v>
      </c>
      <c r="W894" s="75">
        <v>1.5972222222222276E-2</v>
      </c>
      <c r="X894" s="74">
        <v>0.53611111111111109</v>
      </c>
      <c r="Y894" s="75">
        <v>1.4583333333333282E-2</v>
      </c>
      <c r="Z894" s="76">
        <v>41750</v>
      </c>
      <c r="AA894" s="36" t="str">
        <f t="shared" si="294"/>
        <v>Internacional</v>
      </c>
      <c r="AB894" s="36">
        <f t="shared" si="294"/>
        <v>1.2686965811965829E-2</v>
      </c>
      <c r="AC894" s="36">
        <f t="shared" si="294"/>
        <v>7.9861111111111122E-3</v>
      </c>
      <c r="AD894" s="36">
        <f t="shared" si="294"/>
        <v>2.0671296296296295E-2</v>
      </c>
      <c r="AE894" s="36" t="str">
        <f t="shared" si="294"/>
        <v>B737-800</v>
      </c>
      <c r="AF894" s="36">
        <f t="shared" si="294"/>
        <v>189</v>
      </c>
      <c r="AG894" s="36" t="str">
        <f t="shared" si="294"/>
        <v>LAX</v>
      </c>
      <c r="AI894">
        <v>880</v>
      </c>
      <c r="AJ894" s="77" t="str">
        <f t="shared" si="291"/>
        <v>AEROLINEAS DE AMERICA</v>
      </c>
      <c r="AK894" s="77">
        <f t="shared" si="291"/>
        <v>1026</v>
      </c>
      <c r="AL894" s="78">
        <v>0.53541666666666665</v>
      </c>
      <c r="AM894" s="79">
        <v>0.54652777777777783</v>
      </c>
      <c r="AN894" s="80">
        <v>1.1111111111111183E-2</v>
      </c>
      <c r="AO894" s="79">
        <v>0.56388888888888888</v>
      </c>
      <c r="AP894" s="80">
        <v>1.7361111111111049E-2</v>
      </c>
      <c r="AQ894" s="81">
        <v>41809</v>
      </c>
      <c r="AR894" s="77" t="str">
        <f t="shared" si="298"/>
        <v>Internacional</v>
      </c>
      <c r="AS894" s="77">
        <f t="shared" si="298"/>
        <v>1.1631944444444453E-2</v>
      </c>
      <c r="AT894" s="77">
        <f t="shared" si="298"/>
        <v>1.4467592592592593E-2</v>
      </c>
      <c r="AU894" s="77">
        <f t="shared" si="298"/>
        <v>2.6099537037037046E-2</v>
      </c>
      <c r="AV894" s="77" t="str">
        <f t="shared" si="298"/>
        <v>M80</v>
      </c>
      <c r="AW894" s="77">
        <f t="shared" si="298"/>
        <v>182</v>
      </c>
      <c r="AX894" s="77" t="str">
        <f t="shared" si="298"/>
        <v>DFW</v>
      </c>
    </row>
    <row r="895" spans="1:50" x14ac:dyDescent="0.25">
      <c r="A895">
        <v>881</v>
      </c>
      <c r="B895" s="36" t="str">
        <f t="shared" si="295"/>
        <v>VIAS AÉREAS DE USA</v>
      </c>
      <c r="C895" s="36">
        <f t="shared" si="295"/>
        <v>2816</v>
      </c>
      <c r="D895" s="74">
        <v>0.54722222222222217</v>
      </c>
      <c r="E895" s="74">
        <v>0.55208333333333337</v>
      </c>
      <c r="F895" s="75">
        <v>4.8611111111112049E-3</v>
      </c>
      <c r="G895" s="74">
        <v>0.56041666666666667</v>
      </c>
      <c r="H895" s="75">
        <v>8.3333333333333037E-3</v>
      </c>
      <c r="I895" s="76">
        <v>41721</v>
      </c>
      <c r="J895" s="36" t="str">
        <f t="shared" ref="J895:P906" si="299">J894</f>
        <v>Internacional</v>
      </c>
      <c r="K895" s="36">
        <f t="shared" si="299"/>
        <v>6.5705128205128232E-3</v>
      </c>
      <c r="L895" s="36">
        <f t="shared" si="299"/>
        <v>9.7222222222221964E-3</v>
      </c>
      <c r="M895" s="36">
        <f t="shared" si="299"/>
        <v>1.629273504273502E-2</v>
      </c>
      <c r="N895" s="36" t="str">
        <f t="shared" si="299"/>
        <v>CRJ 700</v>
      </c>
      <c r="O895" s="36">
        <f t="shared" si="299"/>
        <v>78</v>
      </c>
      <c r="P895" s="36" t="str">
        <f t="shared" si="299"/>
        <v>PHX</v>
      </c>
      <c r="R895">
        <v>881</v>
      </c>
      <c r="S895" s="36" t="str">
        <f t="shared" si="292"/>
        <v>VUELOS AL NORTE AIRLINES</v>
      </c>
      <c r="T895" s="36">
        <f t="shared" si="292"/>
        <v>248</v>
      </c>
      <c r="U895" s="73">
        <v>0.50555555555555554</v>
      </c>
      <c r="V895" s="74">
        <v>0.51388888888888895</v>
      </c>
      <c r="W895" s="75">
        <v>8.3333333333334147E-3</v>
      </c>
      <c r="X895" s="74">
        <v>0.53402777777777777</v>
      </c>
      <c r="Y895" s="75">
        <v>2.0138888888888817E-2</v>
      </c>
      <c r="Z895" s="76">
        <v>41751</v>
      </c>
      <c r="AA895" s="36" t="str">
        <f t="shared" si="294"/>
        <v>Internacional</v>
      </c>
      <c r="AB895" s="36">
        <f t="shared" si="294"/>
        <v>1.2686965811965829E-2</v>
      </c>
      <c r="AC895" s="36">
        <f t="shared" si="294"/>
        <v>7.9861111111111122E-3</v>
      </c>
      <c r="AD895" s="36">
        <f t="shared" si="294"/>
        <v>2.0671296296296295E-2</v>
      </c>
      <c r="AE895" s="36" t="str">
        <f t="shared" si="294"/>
        <v>B737-800</v>
      </c>
      <c r="AF895" s="36">
        <f t="shared" si="294"/>
        <v>189</v>
      </c>
      <c r="AG895" s="36" t="str">
        <f t="shared" si="294"/>
        <v>LAX</v>
      </c>
      <c r="AI895">
        <v>881</v>
      </c>
      <c r="AJ895" s="77" t="str">
        <f t="shared" si="291"/>
        <v>AEROLINEAS DE AMERICA</v>
      </c>
      <c r="AK895" s="77">
        <f t="shared" si="291"/>
        <v>1026</v>
      </c>
      <c r="AL895" s="78">
        <v>0.51527777777777783</v>
      </c>
      <c r="AM895" s="79">
        <v>0.52708333333333335</v>
      </c>
      <c r="AN895" s="80">
        <v>1.1805555555555514E-2</v>
      </c>
      <c r="AO895" s="79">
        <v>0.54097222222222219</v>
      </c>
      <c r="AP895" s="80">
        <v>1.388888888888884E-2</v>
      </c>
      <c r="AQ895" s="81">
        <v>41810</v>
      </c>
      <c r="AR895" s="77" t="str">
        <f t="shared" si="298"/>
        <v>Internacional</v>
      </c>
      <c r="AS895" s="77">
        <f t="shared" si="298"/>
        <v>1.1631944444444453E-2</v>
      </c>
      <c r="AT895" s="77">
        <f t="shared" si="298"/>
        <v>1.4467592592592593E-2</v>
      </c>
      <c r="AU895" s="77">
        <f t="shared" si="298"/>
        <v>2.6099537037037046E-2</v>
      </c>
      <c r="AV895" s="77" t="str">
        <f t="shared" si="298"/>
        <v>M80</v>
      </c>
      <c r="AW895" s="77">
        <f t="shared" si="298"/>
        <v>182</v>
      </c>
      <c r="AX895" s="77" t="str">
        <f t="shared" si="298"/>
        <v>DFW</v>
      </c>
    </row>
    <row r="896" spans="1:50" x14ac:dyDescent="0.25">
      <c r="A896">
        <v>882</v>
      </c>
      <c r="B896" s="36" t="str">
        <f t="shared" si="295"/>
        <v>VIAS AÉREAS DE USA</v>
      </c>
      <c r="C896" s="36">
        <f t="shared" si="295"/>
        <v>2816</v>
      </c>
      <c r="D896" s="74">
        <v>0.55347222222222225</v>
      </c>
      <c r="E896" s="74">
        <v>0.56111111111111112</v>
      </c>
      <c r="F896" s="75">
        <v>7.6388888888888618E-3</v>
      </c>
      <c r="G896" s="74">
        <v>0.57986111111111105</v>
      </c>
      <c r="H896" s="75">
        <v>1.8749999999999933E-2</v>
      </c>
      <c r="I896" s="76">
        <v>41722</v>
      </c>
      <c r="J896" s="36" t="str">
        <f t="shared" si="299"/>
        <v>Internacional</v>
      </c>
      <c r="K896" s="36">
        <f t="shared" si="299"/>
        <v>6.5705128205128232E-3</v>
      </c>
      <c r="L896" s="36">
        <f t="shared" si="299"/>
        <v>9.7222222222221964E-3</v>
      </c>
      <c r="M896" s="36">
        <f t="shared" si="299"/>
        <v>1.629273504273502E-2</v>
      </c>
      <c r="N896" s="36" t="str">
        <f t="shared" si="299"/>
        <v>CRJ 700</v>
      </c>
      <c r="O896" s="36">
        <f t="shared" si="299"/>
        <v>78</v>
      </c>
      <c r="P896" s="36" t="str">
        <f t="shared" si="299"/>
        <v>PHX</v>
      </c>
      <c r="R896">
        <v>882</v>
      </c>
      <c r="S896" s="36" t="str">
        <f t="shared" si="292"/>
        <v>VUELOS AL NORTE AIRLINES</v>
      </c>
      <c r="T896" s="36">
        <f t="shared" si="292"/>
        <v>248</v>
      </c>
      <c r="U896" s="73">
        <v>0.50555555555555554</v>
      </c>
      <c r="V896" s="74">
        <v>0.51388888888888895</v>
      </c>
      <c r="W896" s="75">
        <v>8.3333333333334147E-3</v>
      </c>
      <c r="X896" s="74">
        <v>0.53402777777777777</v>
      </c>
      <c r="Y896" s="75">
        <v>2.0138888888888817E-2</v>
      </c>
      <c r="Z896" s="76">
        <v>41751</v>
      </c>
      <c r="AA896" s="36" t="str">
        <f t="shared" si="294"/>
        <v>Internacional</v>
      </c>
      <c r="AB896" s="36">
        <f t="shared" si="294"/>
        <v>1.2686965811965829E-2</v>
      </c>
      <c r="AC896" s="36">
        <f t="shared" si="294"/>
        <v>7.9861111111111122E-3</v>
      </c>
      <c r="AD896" s="36">
        <f t="shared" si="294"/>
        <v>2.0671296296296295E-2</v>
      </c>
      <c r="AE896" s="36" t="str">
        <f t="shared" si="294"/>
        <v>B737-800</v>
      </c>
      <c r="AF896" s="36">
        <f t="shared" si="294"/>
        <v>189</v>
      </c>
      <c r="AG896" s="36" t="str">
        <f t="shared" si="294"/>
        <v>LAX</v>
      </c>
      <c r="AI896">
        <v>882</v>
      </c>
      <c r="AJ896" s="77" t="str">
        <f t="shared" si="291"/>
        <v>AEROLINEAS DE AMERICA</v>
      </c>
      <c r="AK896" s="77">
        <f t="shared" si="291"/>
        <v>1026</v>
      </c>
      <c r="AL896" s="78">
        <v>0.52222222222222225</v>
      </c>
      <c r="AM896" s="79">
        <v>0.53680555555555554</v>
      </c>
      <c r="AN896" s="80">
        <v>1.4583333333333282E-2</v>
      </c>
      <c r="AO896" s="79">
        <v>0.54999999999999993</v>
      </c>
      <c r="AP896" s="80">
        <v>1.3194444444444398E-2</v>
      </c>
      <c r="AQ896" s="81">
        <v>41811</v>
      </c>
      <c r="AR896" s="77" t="str">
        <f t="shared" si="298"/>
        <v>Internacional</v>
      </c>
      <c r="AS896" s="77">
        <f t="shared" si="298"/>
        <v>1.1631944444444453E-2</v>
      </c>
      <c r="AT896" s="77">
        <f t="shared" si="298"/>
        <v>1.4467592592592593E-2</v>
      </c>
      <c r="AU896" s="77">
        <f t="shared" si="298"/>
        <v>2.6099537037037046E-2</v>
      </c>
      <c r="AV896" s="77" t="str">
        <f t="shared" si="298"/>
        <v>M80</v>
      </c>
      <c r="AW896" s="77">
        <f t="shared" si="298"/>
        <v>182</v>
      </c>
      <c r="AX896" s="77" t="str">
        <f t="shared" si="298"/>
        <v>DFW</v>
      </c>
    </row>
    <row r="897" spans="1:50" x14ac:dyDescent="0.25">
      <c r="A897">
        <v>883</v>
      </c>
      <c r="B897" s="36" t="str">
        <f t="shared" si="295"/>
        <v>VIAS AÉREAS DE USA</v>
      </c>
      <c r="C897" s="36">
        <f t="shared" si="295"/>
        <v>2816</v>
      </c>
      <c r="D897" s="74">
        <v>0.53680555555555554</v>
      </c>
      <c r="E897" s="74">
        <v>0.54513888888888895</v>
      </c>
      <c r="F897" s="75">
        <v>8.3333333333334147E-3</v>
      </c>
      <c r="G897" s="74">
        <v>0.55208333333333337</v>
      </c>
      <c r="H897" s="75">
        <v>6.9444444444444198E-3</v>
      </c>
      <c r="I897" s="76">
        <v>41723</v>
      </c>
      <c r="J897" s="36" t="str">
        <f t="shared" si="299"/>
        <v>Internacional</v>
      </c>
      <c r="K897" s="36">
        <f t="shared" si="299"/>
        <v>6.5705128205128232E-3</v>
      </c>
      <c r="L897" s="36">
        <f t="shared" si="299"/>
        <v>9.7222222222221964E-3</v>
      </c>
      <c r="M897" s="36">
        <f t="shared" si="299"/>
        <v>1.629273504273502E-2</v>
      </c>
      <c r="N897" s="36" t="str">
        <f t="shared" si="299"/>
        <v>CRJ 700</v>
      </c>
      <c r="O897" s="36">
        <f t="shared" si="299"/>
        <v>78</v>
      </c>
      <c r="P897" s="36" t="str">
        <f t="shared" si="299"/>
        <v>PHX</v>
      </c>
      <c r="R897">
        <v>883</v>
      </c>
      <c r="S897" s="36" t="str">
        <f t="shared" si="292"/>
        <v>VUELOS AL NORTE AIRLINES</v>
      </c>
      <c r="T897" s="36">
        <f t="shared" si="292"/>
        <v>248</v>
      </c>
      <c r="U897" s="73">
        <v>0.50763888888888886</v>
      </c>
      <c r="V897" s="74">
        <v>0.52083333333333337</v>
      </c>
      <c r="W897" s="75">
        <v>1.3194444444444509E-2</v>
      </c>
      <c r="X897" s="74">
        <v>0.53749999999999998</v>
      </c>
      <c r="Y897" s="75">
        <v>1.6666666666666607E-2</v>
      </c>
      <c r="Z897" s="76">
        <v>41753</v>
      </c>
      <c r="AA897" s="36" t="str">
        <f t="shared" si="294"/>
        <v>Internacional</v>
      </c>
      <c r="AB897" s="36">
        <f t="shared" si="294"/>
        <v>1.2686965811965829E-2</v>
      </c>
      <c r="AC897" s="36">
        <f t="shared" si="294"/>
        <v>7.9861111111111122E-3</v>
      </c>
      <c r="AD897" s="36">
        <f t="shared" si="294"/>
        <v>2.0671296296296295E-2</v>
      </c>
      <c r="AE897" s="36" t="str">
        <f t="shared" si="294"/>
        <v>B737-800</v>
      </c>
      <c r="AF897" s="36">
        <f t="shared" si="294"/>
        <v>189</v>
      </c>
      <c r="AG897" s="36" t="str">
        <f t="shared" si="294"/>
        <v>LAX</v>
      </c>
      <c r="AI897">
        <v>883</v>
      </c>
      <c r="AJ897" s="77" t="str">
        <f t="shared" si="291"/>
        <v>AEROLINEAS DE AMERICA</v>
      </c>
      <c r="AK897" s="77">
        <f t="shared" si="291"/>
        <v>1026</v>
      </c>
      <c r="AL897" s="78">
        <v>0.56458333333333333</v>
      </c>
      <c r="AM897" s="79">
        <v>0.57777777777777783</v>
      </c>
      <c r="AN897" s="80">
        <v>1.3194444444444509E-2</v>
      </c>
      <c r="AO897" s="79">
        <v>0.59722222222222221</v>
      </c>
      <c r="AP897" s="80">
        <v>1.9444444444444375E-2</v>
      </c>
      <c r="AQ897" s="81">
        <v>41813</v>
      </c>
      <c r="AR897" s="77" t="str">
        <f t="shared" si="298"/>
        <v>Internacional</v>
      </c>
      <c r="AS897" s="77">
        <f t="shared" si="298"/>
        <v>1.1631944444444453E-2</v>
      </c>
      <c r="AT897" s="77">
        <f t="shared" si="298"/>
        <v>1.4467592592592593E-2</v>
      </c>
      <c r="AU897" s="77">
        <f t="shared" si="298"/>
        <v>2.6099537037037046E-2</v>
      </c>
      <c r="AV897" s="77" t="str">
        <f t="shared" si="298"/>
        <v>M80</v>
      </c>
      <c r="AW897" s="77">
        <f t="shared" si="298"/>
        <v>182</v>
      </c>
      <c r="AX897" s="77" t="str">
        <f t="shared" si="298"/>
        <v>DFW</v>
      </c>
    </row>
    <row r="898" spans="1:50" ht="15.75" thickBot="1" x14ac:dyDescent="0.3">
      <c r="A898">
        <v>884</v>
      </c>
      <c r="B898" s="36" t="str">
        <f t="shared" si="295"/>
        <v>VIAS AÉREAS DE USA</v>
      </c>
      <c r="C898" s="36">
        <f t="shared" si="295"/>
        <v>2816</v>
      </c>
      <c r="D898" s="74">
        <v>0.52222222222222225</v>
      </c>
      <c r="E898" s="74">
        <v>0.52777777777777779</v>
      </c>
      <c r="F898" s="75">
        <v>5.5555555555555358E-3</v>
      </c>
      <c r="G898" s="74">
        <v>0.54097222222222219</v>
      </c>
      <c r="H898" s="75">
        <v>1.3194444444444398E-2</v>
      </c>
      <c r="I898" s="76">
        <v>41714</v>
      </c>
      <c r="J898" s="36" t="str">
        <f t="shared" si="299"/>
        <v>Internacional</v>
      </c>
      <c r="K898" s="36">
        <f t="shared" si="299"/>
        <v>6.5705128205128232E-3</v>
      </c>
      <c r="L898" s="36">
        <f t="shared" si="299"/>
        <v>9.7222222222221964E-3</v>
      </c>
      <c r="M898" s="36">
        <f t="shared" si="299"/>
        <v>1.629273504273502E-2</v>
      </c>
      <c r="N898" s="36" t="str">
        <f t="shared" si="299"/>
        <v>CRJ 700</v>
      </c>
      <c r="O898" s="36">
        <f t="shared" si="299"/>
        <v>78</v>
      </c>
      <c r="P898" s="36" t="str">
        <f t="shared" si="299"/>
        <v>PHX</v>
      </c>
      <c r="R898">
        <v>884</v>
      </c>
      <c r="S898" s="36" t="str">
        <f t="shared" si="292"/>
        <v>VUELOS AL NORTE AIRLINES</v>
      </c>
      <c r="T898" s="36">
        <f t="shared" si="292"/>
        <v>248</v>
      </c>
      <c r="U898" s="73">
        <v>0.49861111111111112</v>
      </c>
      <c r="V898" s="74">
        <v>0.51111111111111118</v>
      </c>
      <c r="W898" s="75">
        <v>1.2500000000000067E-2</v>
      </c>
      <c r="X898" s="74">
        <v>0.52986111111111112</v>
      </c>
      <c r="Y898" s="75">
        <v>1.8749999999999933E-2</v>
      </c>
      <c r="Z898" s="76">
        <v>41754</v>
      </c>
      <c r="AA898" s="36" t="str">
        <f t="shared" si="294"/>
        <v>Internacional</v>
      </c>
      <c r="AB898" s="36">
        <f t="shared" si="294"/>
        <v>1.2686965811965829E-2</v>
      </c>
      <c r="AC898" s="36">
        <f t="shared" si="294"/>
        <v>7.9861111111111122E-3</v>
      </c>
      <c r="AD898" s="36">
        <f t="shared" si="294"/>
        <v>2.0671296296296295E-2</v>
      </c>
      <c r="AE898" s="36" t="str">
        <f t="shared" si="294"/>
        <v>B737-800</v>
      </c>
      <c r="AF898" s="36">
        <f t="shared" si="294"/>
        <v>189</v>
      </c>
      <c r="AG898" s="36" t="str">
        <f t="shared" si="294"/>
        <v>LAX</v>
      </c>
      <c r="AI898">
        <v>884</v>
      </c>
      <c r="AJ898" s="77" t="str">
        <f t="shared" si="291"/>
        <v>AEROLINEAS DE AMERICA</v>
      </c>
      <c r="AK898" s="77">
        <f t="shared" si="291"/>
        <v>1026</v>
      </c>
      <c r="AL898" s="94">
        <v>0.51874999999999993</v>
      </c>
      <c r="AM898" s="95">
        <v>0.53819444444444442</v>
      </c>
      <c r="AN898" s="96">
        <v>1.9444444444444486E-2</v>
      </c>
      <c r="AO898" s="95">
        <v>0.55625000000000002</v>
      </c>
      <c r="AP898" s="96">
        <v>1.8055555555555602E-2</v>
      </c>
      <c r="AQ898" s="97">
        <v>41812</v>
      </c>
      <c r="AR898" s="77" t="str">
        <f t="shared" si="298"/>
        <v>Internacional</v>
      </c>
      <c r="AS898" s="77">
        <f t="shared" si="298"/>
        <v>1.1631944444444453E-2</v>
      </c>
      <c r="AT898" s="77">
        <f t="shared" si="298"/>
        <v>1.4467592592592593E-2</v>
      </c>
      <c r="AU898" s="77">
        <f t="shared" si="298"/>
        <v>2.6099537037037046E-2</v>
      </c>
      <c r="AV898" s="77" t="str">
        <f t="shared" si="298"/>
        <v>M80</v>
      </c>
      <c r="AW898" s="77">
        <f t="shared" si="298"/>
        <v>182</v>
      </c>
      <c r="AX898" s="77" t="str">
        <f t="shared" si="298"/>
        <v>DFW</v>
      </c>
    </row>
    <row r="899" spans="1:50" ht="15.75" thickBot="1" x14ac:dyDescent="0.3">
      <c r="A899">
        <v>885</v>
      </c>
      <c r="B899" s="36" t="str">
        <f t="shared" si="295"/>
        <v>VIAS AÉREAS DE USA</v>
      </c>
      <c r="C899" s="36">
        <f t="shared" si="295"/>
        <v>2816</v>
      </c>
      <c r="D899" s="74">
        <v>0.52986111111111112</v>
      </c>
      <c r="E899" s="74">
        <v>0.54166666666666663</v>
      </c>
      <c r="F899" s="75">
        <v>1.1805555555555514E-2</v>
      </c>
      <c r="G899" s="74">
        <v>0.55138888888888882</v>
      </c>
      <c r="H899" s="75">
        <v>9.7222222222221877E-3</v>
      </c>
      <c r="I899" s="76">
        <v>41715</v>
      </c>
      <c r="J899" s="36" t="str">
        <f t="shared" si="299"/>
        <v>Internacional</v>
      </c>
      <c r="K899" s="36">
        <f t="shared" si="299"/>
        <v>6.5705128205128232E-3</v>
      </c>
      <c r="L899" s="36">
        <f t="shared" si="299"/>
        <v>9.7222222222221964E-3</v>
      </c>
      <c r="M899" s="36">
        <f t="shared" si="299"/>
        <v>1.629273504273502E-2</v>
      </c>
      <c r="N899" s="36" t="str">
        <f t="shared" si="299"/>
        <v>CRJ 700</v>
      </c>
      <c r="O899" s="36">
        <f t="shared" si="299"/>
        <v>78</v>
      </c>
      <c r="P899" s="36" t="str">
        <f t="shared" si="299"/>
        <v>PHX</v>
      </c>
      <c r="R899">
        <v>885</v>
      </c>
      <c r="S899" s="36" t="str">
        <f t="shared" si="292"/>
        <v>VUELOS AL NORTE AIRLINES</v>
      </c>
      <c r="T899" s="36">
        <f t="shared" si="292"/>
        <v>248</v>
      </c>
      <c r="U899" s="73">
        <v>0.50277777777777777</v>
      </c>
      <c r="V899" s="74">
        <v>0.52083333333333337</v>
      </c>
      <c r="W899" s="75">
        <v>1.8055555555555602E-2</v>
      </c>
      <c r="X899" s="74">
        <v>0.52986111111111112</v>
      </c>
      <c r="Y899" s="75">
        <v>9.0277777777777457E-3</v>
      </c>
      <c r="Z899" s="76">
        <v>41754</v>
      </c>
      <c r="AA899" s="36" t="str">
        <f t="shared" si="294"/>
        <v>Internacional</v>
      </c>
      <c r="AB899" s="36">
        <f t="shared" si="294"/>
        <v>1.2686965811965829E-2</v>
      </c>
      <c r="AC899" s="36">
        <f t="shared" si="294"/>
        <v>7.9861111111111122E-3</v>
      </c>
      <c r="AD899" s="36">
        <f t="shared" si="294"/>
        <v>2.0671296296296295E-2</v>
      </c>
      <c r="AE899" s="36" t="str">
        <f t="shared" si="294"/>
        <v>B737-800</v>
      </c>
      <c r="AF899" s="36">
        <f t="shared" si="294"/>
        <v>189</v>
      </c>
      <c r="AG899" s="36" t="str">
        <f t="shared" si="294"/>
        <v>LAX</v>
      </c>
      <c r="AI899">
        <v>885</v>
      </c>
      <c r="AJ899" s="77" t="str">
        <f t="shared" si="291"/>
        <v>AEROLINEAS DE AMERICA</v>
      </c>
      <c r="AK899" s="99">
        <v>663</v>
      </c>
      <c r="AL899" s="100">
        <v>0.62013888888888891</v>
      </c>
      <c r="AM899" s="101">
        <v>0.63541666666666663</v>
      </c>
      <c r="AN899" s="102">
        <v>1.5277777777777724E-2</v>
      </c>
      <c r="AO899" s="101">
        <v>0.65763888888888888</v>
      </c>
      <c r="AP899" s="102">
        <v>2.2222222222222254E-2</v>
      </c>
      <c r="AQ899" s="103">
        <v>41791</v>
      </c>
      <c r="AR899" s="104" t="s">
        <v>22</v>
      </c>
      <c r="AS899" s="105">
        <v>1.5277777777777724E-2</v>
      </c>
      <c r="AT899" s="105">
        <v>2.2222222222222254E-2</v>
      </c>
      <c r="AU899" s="105">
        <v>3.7499999999999978E-2</v>
      </c>
      <c r="AV899" s="106">
        <v>738</v>
      </c>
      <c r="AW899" s="106">
        <v>189</v>
      </c>
      <c r="AX899" s="107" t="s">
        <v>43</v>
      </c>
    </row>
    <row r="900" spans="1:50" x14ac:dyDescent="0.25">
      <c r="A900">
        <v>886</v>
      </c>
      <c r="B900" s="36" t="str">
        <f t="shared" si="295"/>
        <v>VIAS AÉREAS DE USA</v>
      </c>
      <c r="C900" s="36">
        <f t="shared" si="295"/>
        <v>2816</v>
      </c>
      <c r="D900" s="74">
        <v>0.52083333333333337</v>
      </c>
      <c r="E900" s="74">
        <v>0.52916666666666667</v>
      </c>
      <c r="F900" s="75">
        <v>8.3333333333333037E-3</v>
      </c>
      <c r="G900" s="74">
        <v>0.53402777777777777</v>
      </c>
      <c r="H900" s="75">
        <v>4.8611111111110938E-3</v>
      </c>
      <c r="I900" s="76">
        <v>41717</v>
      </c>
      <c r="J900" s="36" t="str">
        <f t="shared" si="299"/>
        <v>Internacional</v>
      </c>
      <c r="K900" s="36">
        <f t="shared" si="299"/>
        <v>6.5705128205128232E-3</v>
      </c>
      <c r="L900" s="36">
        <f t="shared" si="299"/>
        <v>9.7222222222221964E-3</v>
      </c>
      <c r="M900" s="36">
        <f t="shared" si="299"/>
        <v>1.629273504273502E-2</v>
      </c>
      <c r="N900" s="36" t="str">
        <f t="shared" si="299"/>
        <v>CRJ 700</v>
      </c>
      <c r="O900" s="36">
        <f t="shared" si="299"/>
        <v>78</v>
      </c>
      <c r="P900" s="36" t="str">
        <f t="shared" si="299"/>
        <v>PHX</v>
      </c>
      <c r="R900">
        <v>886</v>
      </c>
      <c r="S900" s="36" t="str">
        <f t="shared" si="292"/>
        <v>VUELOS AL NORTE AIRLINES</v>
      </c>
      <c r="T900" s="36">
        <f t="shared" si="292"/>
        <v>248</v>
      </c>
      <c r="U900" s="73">
        <v>0.49305555555555558</v>
      </c>
      <c r="V900" s="74">
        <v>0.50555555555555554</v>
      </c>
      <c r="W900" s="75">
        <v>1.2499999999999956E-2</v>
      </c>
      <c r="X900" s="74">
        <v>0.52500000000000002</v>
      </c>
      <c r="Y900" s="75">
        <v>1.9444444444444486E-2</v>
      </c>
      <c r="Z900" s="76">
        <v>41756</v>
      </c>
      <c r="AA900" s="36" t="str">
        <f t="shared" si="294"/>
        <v>Internacional</v>
      </c>
      <c r="AB900" s="36">
        <f t="shared" si="294"/>
        <v>1.2686965811965829E-2</v>
      </c>
      <c r="AC900" s="36">
        <f t="shared" si="294"/>
        <v>7.9861111111111122E-3</v>
      </c>
      <c r="AD900" s="36">
        <f t="shared" si="294"/>
        <v>2.0671296296296295E-2</v>
      </c>
      <c r="AE900" s="36" t="str">
        <f t="shared" si="294"/>
        <v>B737-800</v>
      </c>
      <c r="AF900" s="36">
        <f t="shared" si="294"/>
        <v>189</v>
      </c>
      <c r="AG900" s="36" t="str">
        <f t="shared" si="294"/>
        <v>LAX</v>
      </c>
      <c r="AI900">
        <v>886</v>
      </c>
      <c r="AJ900" s="77" t="str">
        <f t="shared" si="291"/>
        <v>AEROLINEAS DE AMERICA</v>
      </c>
      <c r="AK900" s="63">
        <v>387</v>
      </c>
      <c r="AL900" s="64">
        <v>0.57847222222222217</v>
      </c>
      <c r="AM900" s="65">
        <v>0.59930555555555554</v>
      </c>
      <c r="AN900" s="66">
        <v>2.083333333333337E-2</v>
      </c>
      <c r="AO900" s="65">
        <v>0.60833333333333328</v>
      </c>
      <c r="AP900" s="66">
        <v>9.0277777777777457E-3</v>
      </c>
      <c r="AQ900" s="67">
        <v>41791</v>
      </c>
      <c r="AR900" s="68" t="s">
        <v>22</v>
      </c>
      <c r="AS900" s="69">
        <v>1.4660493827160491E-2</v>
      </c>
      <c r="AT900" s="70">
        <v>1.4737654320987651E-2</v>
      </c>
      <c r="AU900" s="70">
        <v>2.9398148148148142E-2</v>
      </c>
      <c r="AV900" s="71" t="s">
        <v>56</v>
      </c>
      <c r="AW900" s="71">
        <v>182</v>
      </c>
      <c r="AX900" s="72" t="s">
        <v>23</v>
      </c>
    </row>
    <row r="901" spans="1:50" x14ac:dyDescent="0.25">
      <c r="A901">
        <v>887</v>
      </c>
      <c r="B901" s="36" t="str">
        <f t="shared" si="295"/>
        <v>VIAS AÉREAS DE USA</v>
      </c>
      <c r="C901" s="36">
        <f t="shared" si="295"/>
        <v>2816</v>
      </c>
      <c r="D901" s="74">
        <v>0.53263888888888888</v>
      </c>
      <c r="E901" s="74">
        <v>0.53680555555555554</v>
      </c>
      <c r="F901" s="75">
        <v>4.1666666666666519E-3</v>
      </c>
      <c r="G901" s="74">
        <v>0.54999999999999993</v>
      </c>
      <c r="H901" s="75">
        <v>1.3194444444444398E-2</v>
      </c>
      <c r="I901" s="76">
        <v>41718</v>
      </c>
      <c r="J901" s="36" t="str">
        <f t="shared" si="299"/>
        <v>Internacional</v>
      </c>
      <c r="K901" s="36">
        <f t="shared" si="299"/>
        <v>6.5705128205128232E-3</v>
      </c>
      <c r="L901" s="36">
        <f t="shared" si="299"/>
        <v>9.7222222222221964E-3</v>
      </c>
      <c r="M901" s="36">
        <f t="shared" si="299"/>
        <v>1.629273504273502E-2</v>
      </c>
      <c r="N901" s="36" t="str">
        <f t="shared" si="299"/>
        <v>CRJ 700</v>
      </c>
      <c r="O901" s="36">
        <f t="shared" si="299"/>
        <v>78</v>
      </c>
      <c r="P901" s="36" t="str">
        <f t="shared" si="299"/>
        <v>PHX</v>
      </c>
      <c r="R901">
        <v>887</v>
      </c>
      <c r="S901" s="36" t="str">
        <f t="shared" si="292"/>
        <v>VUELOS AL NORTE AIRLINES</v>
      </c>
      <c r="T901" s="36">
        <f t="shared" si="292"/>
        <v>248</v>
      </c>
      <c r="U901" s="73">
        <v>0.49791666666666662</v>
      </c>
      <c r="V901" s="74">
        <v>0.51180555555555551</v>
      </c>
      <c r="W901" s="75">
        <v>1.3888888888888895E-2</v>
      </c>
      <c r="X901" s="74">
        <v>0.52638888888888891</v>
      </c>
      <c r="Y901" s="75">
        <v>1.4583333333333393E-2</v>
      </c>
      <c r="Z901" s="76">
        <v>41757</v>
      </c>
      <c r="AA901" s="36" t="str">
        <f t="shared" si="294"/>
        <v>Internacional</v>
      </c>
      <c r="AB901" s="36">
        <f t="shared" si="294"/>
        <v>1.2686965811965829E-2</v>
      </c>
      <c r="AC901" s="36">
        <f t="shared" si="294"/>
        <v>7.9861111111111122E-3</v>
      </c>
      <c r="AD901" s="36">
        <f t="shared" si="294"/>
        <v>2.0671296296296295E-2</v>
      </c>
      <c r="AE901" s="36" t="str">
        <f t="shared" si="294"/>
        <v>B737-800</v>
      </c>
      <c r="AF901" s="36">
        <f t="shared" si="294"/>
        <v>189</v>
      </c>
      <c r="AG901" s="36" t="str">
        <f t="shared" si="294"/>
        <v>LAX</v>
      </c>
      <c r="AI901">
        <v>887</v>
      </c>
      <c r="AJ901" s="77" t="str">
        <f t="shared" si="291"/>
        <v>AEROLINEAS DE AMERICA</v>
      </c>
      <c r="AK901" s="77">
        <f t="shared" si="291"/>
        <v>387</v>
      </c>
      <c r="AL901" s="78">
        <v>0.73055555555555562</v>
      </c>
      <c r="AM901" s="79">
        <v>0.74375000000000002</v>
      </c>
      <c r="AN901" s="80">
        <v>1.3194444444444398E-2</v>
      </c>
      <c r="AO901" s="79">
        <v>0.76041666666666663</v>
      </c>
      <c r="AP901" s="80">
        <v>1.6666666666666607E-2</v>
      </c>
      <c r="AQ901" s="81">
        <v>41792</v>
      </c>
      <c r="AR901" s="77" t="str">
        <f t="shared" ref="AR901:AX908" si="300">AR900</f>
        <v>Internacional</v>
      </c>
      <c r="AS901" s="77">
        <f t="shared" si="300"/>
        <v>1.4660493827160491E-2</v>
      </c>
      <c r="AT901" s="77">
        <f t="shared" si="300"/>
        <v>1.4737654320987651E-2</v>
      </c>
      <c r="AU901" s="77">
        <f t="shared" si="300"/>
        <v>2.9398148148148142E-2</v>
      </c>
      <c r="AV901" s="77" t="str">
        <f t="shared" si="300"/>
        <v>M80</v>
      </c>
      <c r="AW901" s="77">
        <f t="shared" si="300"/>
        <v>182</v>
      </c>
      <c r="AX901" s="77" t="str">
        <f t="shared" si="300"/>
        <v>DFW</v>
      </c>
    </row>
    <row r="902" spans="1:50" x14ac:dyDescent="0.25">
      <c r="A902">
        <v>888</v>
      </c>
      <c r="B902" s="36" t="str">
        <f t="shared" si="295"/>
        <v>VIAS AÉREAS DE USA</v>
      </c>
      <c r="C902" s="36">
        <f t="shared" si="295"/>
        <v>2816</v>
      </c>
      <c r="D902" s="74">
        <v>0.53680555555555554</v>
      </c>
      <c r="E902" s="74">
        <v>0.5444444444444444</v>
      </c>
      <c r="F902" s="75">
        <v>7.6388888888888618E-3</v>
      </c>
      <c r="G902" s="74">
        <v>0.55763888888888891</v>
      </c>
      <c r="H902" s="75">
        <v>1.3194444444444509E-2</v>
      </c>
      <c r="I902" s="76">
        <v>41725</v>
      </c>
      <c r="J902" s="36" t="str">
        <f t="shared" si="299"/>
        <v>Internacional</v>
      </c>
      <c r="K902" s="36">
        <f t="shared" si="299"/>
        <v>6.5705128205128232E-3</v>
      </c>
      <c r="L902" s="36">
        <f t="shared" si="299"/>
        <v>9.7222222222221964E-3</v>
      </c>
      <c r="M902" s="36">
        <f t="shared" si="299"/>
        <v>1.629273504273502E-2</v>
      </c>
      <c r="N902" s="36" t="str">
        <f t="shared" si="299"/>
        <v>CRJ 700</v>
      </c>
      <c r="O902" s="36">
        <f t="shared" si="299"/>
        <v>78</v>
      </c>
      <c r="P902" s="36" t="str">
        <f t="shared" si="299"/>
        <v>PHX</v>
      </c>
      <c r="R902">
        <v>888</v>
      </c>
      <c r="S902" s="36" t="str">
        <f t="shared" si="292"/>
        <v>VUELOS AL NORTE AIRLINES</v>
      </c>
      <c r="T902" s="36">
        <f t="shared" si="292"/>
        <v>248</v>
      </c>
      <c r="U902" s="73">
        <v>0.51250000000000007</v>
      </c>
      <c r="V902" s="74">
        <v>0.52361111111111114</v>
      </c>
      <c r="W902" s="75">
        <v>1.1111111111111072E-2</v>
      </c>
      <c r="X902" s="74">
        <v>0.54305555555555551</v>
      </c>
      <c r="Y902" s="75">
        <v>1.9444444444444375E-2</v>
      </c>
      <c r="Z902" s="76">
        <v>41758</v>
      </c>
      <c r="AA902" s="36" t="str">
        <f t="shared" si="294"/>
        <v>Internacional</v>
      </c>
      <c r="AB902" s="36">
        <f t="shared" si="294"/>
        <v>1.2686965811965829E-2</v>
      </c>
      <c r="AC902" s="36">
        <f t="shared" si="294"/>
        <v>7.9861111111111122E-3</v>
      </c>
      <c r="AD902" s="36">
        <f t="shared" si="294"/>
        <v>2.0671296296296295E-2</v>
      </c>
      <c r="AE902" s="36" t="str">
        <f t="shared" si="294"/>
        <v>B737-800</v>
      </c>
      <c r="AF902" s="36">
        <f t="shared" si="294"/>
        <v>189</v>
      </c>
      <c r="AG902" s="36" t="str">
        <f t="shared" si="294"/>
        <v>LAX</v>
      </c>
      <c r="AI902">
        <v>888</v>
      </c>
      <c r="AJ902" s="77" t="str">
        <f t="shared" si="291"/>
        <v>AEROLINEAS DE AMERICA</v>
      </c>
      <c r="AK902" s="77">
        <f t="shared" si="291"/>
        <v>387</v>
      </c>
      <c r="AL902" s="78">
        <v>0.61805555555555558</v>
      </c>
      <c r="AM902" s="79">
        <v>0.63472222222222219</v>
      </c>
      <c r="AN902" s="80">
        <v>1.6666666666666607E-2</v>
      </c>
      <c r="AO902" s="79">
        <v>0.64583333333333337</v>
      </c>
      <c r="AP902" s="80">
        <v>1.1111111111111183E-2</v>
      </c>
      <c r="AQ902" s="81">
        <v>41793</v>
      </c>
      <c r="AR902" s="77" t="str">
        <f t="shared" si="300"/>
        <v>Internacional</v>
      </c>
      <c r="AS902" s="77">
        <f t="shared" si="300"/>
        <v>1.4660493827160491E-2</v>
      </c>
      <c r="AT902" s="77">
        <f t="shared" si="300"/>
        <v>1.4737654320987651E-2</v>
      </c>
      <c r="AU902" s="77">
        <f t="shared" si="300"/>
        <v>2.9398148148148142E-2</v>
      </c>
      <c r="AV902" s="77" t="str">
        <f t="shared" si="300"/>
        <v>M80</v>
      </c>
      <c r="AW902" s="77">
        <f t="shared" si="300"/>
        <v>182</v>
      </c>
      <c r="AX902" s="77" t="str">
        <f t="shared" si="300"/>
        <v>DFW</v>
      </c>
    </row>
    <row r="903" spans="1:50" ht="15.75" thickBot="1" x14ac:dyDescent="0.3">
      <c r="A903">
        <v>889</v>
      </c>
      <c r="B903" s="36" t="str">
        <f t="shared" si="295"/>
        <v>VIAS AÉREAS DE USA</v>
      </c>
      <c r="C903" s="36">
        <f t="shared" si="295"/>
        <v>2816</v>
      </c>
      <c r="D903" s="74">
        <v>0.52847222222222223</v>
      </c>
      <c r="E903" s="74">
        <v>0.53541666666666665</v>
      </c>
      <c r="F903" s="75">
        <v>6.9444444444444198E-3</v>
      </c>
      <c r="G903" s="74">
        <v>0.54166666666666663</v>
      </c>
      <c r="H903" s="75">
        <v>6.2499999999999778E-3</v>
      </c>
      <c r="I903" s="76">
        <v>41726</v>
      </c>
      <c r="J903" s="36" t="str">
        <f t="shared" si="299"/>
        <v>Internacional</v>
      </c>
      <c r="K903" s="36">
        <f t="shared" si="299"/>
        <v>6.5705128205128232E-3</v>
      </c>
      <c r="L903" s="36">
        <f t="shared" si="299"/>
        <v>9.7222222222221964E-3</v>
      </c>
      <c r="M903" s="36">
        <f t="shared" si="299"/>
        <v>1.629273504273502E-2</v>
      </c>
      <c r="N903" s="36" t="str">
        <f t="shared" si="299"/>
        <v>CRJ 700</v>
      </c>
      <c r="O903" s="36">
        <f t="shared" si="299"/>
        <v>78</v>
      </c>
      <c r="P903" s="36" t="str">
        <f t="shared" si="299"/>
        <v>PHX</v>
      </c>
      <c r="R903">
        <v>889</v>
      </c>
      <c r="S903" s="36" t="str">
        <f t="shared" si="292"/>
        <v>VUELOS AL NORTE AIRLINES</v>
      </c>
      <c r="T903" s="36">
        <f t="shared" si="292"/>
        <v>248</v>
      </c>
      <c r="U903" s="83">
        <v>0.50555555555555554</v>
      </c>
      <c r="V903" s="84">
        <v>0.52083333333333337</v>
      </c>
      <c r="W903" s="85">
        <v>1.5277777777777835E-2</v>
      </c>
      <c r="X903" s="84">
        <v>0.53402777777777777</v>
      </c>
      <c r="Y903" s="85">
        <v>1.3194444444444398E-2</v>
      </c>
      <c r="Z903" s="86">
        <v>41759</v>
      </c>
      <c r="AA903" s="36" t="str">
        <f t="shared" si="294"/>
        <v>Internacional</v>
      </c>
      <c r="AB903" s="36">
        <f t="shared" si="294"/>
        <v>1.2686965811965829E-2</v>
      </c>
      <c r="AC903" s="36">
        <f t="shared" si="294"/>
        <v>7.9861111111111122E-3</v>
      </c>
      <c r="AD903" s="36">
        <f t="shared" si="294"/>
        <v>2.0671296296296295E-2</v>
      </c>
      <c r="AE903" s="36" t="str">
        <f t="shared" si="294"/>
        <v>B737-800</v>
      </c>
      <c r="AF903" s="36">
        <f t="shared" si="294"/>
        <v>189</v>
      </c>
      <c r="AG903" s="36" t="str">
        <f t="shared" si="294"/>
        <v>LAX</v>
      </c>
      <c r="AI903">
        <v>889</v>
      </c>
      <c r="AJ903" s="77" t="str">
        <f t="shared" si="291"/>
        <v>AEROLINEAS DE AMERICA</v>
      </c>
      <c r="AK903" s="77">
        <f t="shared" si="291"/>
        <v>387</v>
      </c>
      <c r="AL903" s="78">
        <v>0.59097222222222223</v>
      </c>
      <c r="AM903" s="79">
        <v>0.60416666666666663</v>
      </c>
      <c r="AN903" s="80">
        <v>1.3194444444444398E-2</v>
      </c>
      <c r="AO903" s="79">
        <v>0.62638888888888888</v>
      </c>
      <c r="AP903" s="80">
        <v>2.2222222222222254E-2</v>
      </c>
      <c r="AQ903" s="81">
        <v>41794</v>
      </c>
      <c r="AR903" s="77" t="str">
        <f t="shared" si="300"/>
        <v>Internacional</v>
      </c>
      <c r="AS903" s="77">
        <f t="shared" si="300"/>
        <v>1.4660493827160491E-2</v>
      </c>
      <c r="AT903" s="77">
        <f t="shared" si="300"/>
        <v>1.4737654320987651E-2</v>
      </c>
      <c r="AU903" s="77">
        <f t="shared" si="300"/>
        <v>2.9398148148148142E-2</v>
      </c>
      <c r="AV903" s="77" t="str">
        <f t="shared" si="300"/>
        <v>M80</v>
      </c>
      <c r="AW903" s="77">
        <f t="shared" si="300"/>
        <v>182</v>
      </c>
      <c r="AX903" s="77" t="str">
        <f t="shared" si="300"/>
        <v>DFW</v>
      </c>
    </row>
    <row r="904" spans="1:50" x14ac:dyDescent="0.25">
      <c r="A904">
        <v>890</v>
      </c>
      <c r="B904" s="36" t="str">
        <f t="shared" si="295"/>
        <v>VIAS AÉREAS DE USA</v>
      </c>
      <c r="C904" s="36">
        <f t="shared" si="295"/>
        <v>2816</v>
      </c>
      <c r="D904" s="74">
        <v>0.52986111111111112</v>
      </c>
      <c r="E904" s="74">
        <v>0.53680555555555554</v>
      </c>
      <c r="F904" s="75">
        <v>6.9444444444444198E-3</v>
      </c>
      <c r="G904" s="74">
        <v>0.5444444444444444</v>
      </c>
      <c r="H904" s="75">
        <v>7.6388888888888618E-3</v>
      </c>
      <c r="I904" s="76">
        <v>41727</v>
      </c>
      <c r="J904" s="36" t="str">
        <f t="shared" si="299"/>
        <v>Internacional</v>
      </c>
      <c r="K904" s="36">
        <f t="shared" si="299"/>
        <v>6.5705128205128232E-3</v>
      </c>
      <c r="L904" s="36">
        <f t="shared" si="299"/>
        <v>9.7222222222221964E-3</v>
      </c>
      <c r="M904" s="36">
        <f t="shared" si="299"/>
        <v>1.629273504273502E-2</v>
      </c>
      <c r="N904" s="36" t="str">
        <f t="shared" si="299"/>
        <v>CRJ 700</v>
      </c>
      <c r="O904" s="36">
        <f t="shared" si="299"/>
        <v>78</v>
      </c>
      <c r="P904" s="36" t="str">
        <f t="shared" si="299"/>
        <v>PHX</v>
      </c>
      <c r="R904">
        <v>890</v>
      </c>
      <c r="S904" s="36" t="str">
        <f t="shared" si="292"/>
        <v>VUELOS AL NORTE AIRLINES</v>
      </c>
      <c r="T904" s="55">
        <v>242</v>
      </c>
      <c r="U904" s="56">
        <v>0.17916666666666667</v>
      </c>
      <c r="V904" s="57">
        <v>0.19583333333333333</v>
      </c>
      <c r="W904" s="58">
        <v>1.6666666666666663E-2</v>
      </c>
      <c r="X904" s="57">
        <v>0.21388888888888891</v>
      </c>
      <c r="Y904" s="58">
        <v>1.8055555555555575E-2</v>
      </c>
      <c r="Z904" s="59">
        <v>41731</v>
      </c>
      <c r="AA904" s="60" t="s">
        <v>22</v>
      </c>
      <c r="AB904" s="61">
        <v>1.539855072463768E-2</v>
      </c>
      <c r="AC904" s="61">
        <v>2.1739130434782605E-2</v>
      </c>
      <c r="AD904" s="62">
        <v>3.7137681159420288E-2</v>
      </c>
      <c r="AE904" s="167" t="s">
        <v>39</v>
      </c>
      <c r="AF904" s="167">
        <v>189</v>
      </c>
      <c r="AG904" s="168" t="s">
        <v>40</v>
      </c>
      <c r="AI904">
        <v>890</v>
      </c>
      <c r="AJ904" s="77" t="str">
        <f t="shared" si="291"/>
        <v>AEROLINEAS DE AMERICA</v>
      </c>
      <c r="AK904" s="77">
        <f t="shared" si="291"/>
        <v>387</v>
      </c>
      <c r="AL904" s="78">
        <v>0.5805555555555556</v>
      </c>
      <c r="AM904" s="79">
        <v>0.59166666666666667</v>
      </c>
      <c r="AN904" s="80">
        <v>1.1111111111111072E-2</v>
      </c>
      <c r="AO904" s="79">
        <v>0.60625000000000007</v>
      </c>
      <c r="AP904" s="80">
        <v>1.4583333333333393E-2</v>
      </c>
      <c r="AQ904" s="81">
        <v>41795</v>
      </c>
      <c r="AR904" s="77" t="str">
        <f t="shared" si="300"/>
        <v>Internacional</v>
      </c>
      <c r="AS904" s="77">
        <f t="shared" si="300"/>
        <v>1.4660493827160491E-2</v>
      </c>
      <c r="AT904" s="77">
        <f t="shared" si="300"/>
        <v>1.4737654320987651E-2</v>
      </c>
      <c r="AU904" s="77">
        <f t="shared" si="300"/>
        <v>2.9398148148148142E-2</v>
      </c>
      <c r="AV904" s="77" t="str">
        <f t="shared" si="300"/>
        <v>M80</v>
      </c>
      <c r="AW904" s="77">
        <f t="shared" si="300"/>
        <v>182</v>
      </c>
      <c r="AX904" s="77" t="str">
        <f t="shared" si="300"/>
        <v>DFW</v>
      </c>
    </row>
    <row r="905" spans="1:50" x14ac:dyDescent="0.25">
      <c r="A905">
        <v>891</v>
      </c>
      <c r="B905" s="36" t="str">
        <f t="shared" si="295"/>
        <v>VIAS AÉREAS DE USA</v>
      </c>
      <c r="C905" s="36">
        <f t="shared" si="295"/>
        <v>2816</v>
      </c>
      <c r="D905" s="74">
        <v>0.52152777777777781</v>
      </c>
      <c r="E905" s="74">
        <v>0.5229166666666667</v>
      </c>
      <c r="F905" s="75">
        <v>1.388888888888884E-3</v>
      </c>
      <c r="G905" s="74">
        <v>0.52569444444444446</v>
      </c>
      <c r="H905" s="75">
        <v>2.7777777777777679E-3</v>
      </c>
      <c r="I905" s="76">
        <v>41728</v>
      </c>
      <c r="J905" s="36" t="str">
        <f t="shared" si="299"/>
        <v>Internacional</v>
      </c>
      <c r="K905" s="36">
        <f t="shared" si="299"/>
        <v>6.5705128205128232E-3</v>
      </c>
      <c r="L905" s="36">
        <f t="shared" si="299"/>
        <v>9.7222222222221964E-3</v>
      </c>
      <c r="M905" s="36">
        <f t="shared" si="299"/>
        <v>1.629273504273502E-2</v>
      </c>
      <c r="N905" s="36" t="str">
        <f t="shared" si="299"/>
        <v>CRJ 700</v>
      </c>
      <c r="O905" s="36">
        <f t="shared" si="299"/>
        <v>78</v>
      </c>
      <c r="P905" s="36" t="str">
        <f t="shared" si="299"/>
        <v>PHX</v>
      </c>
      <c r="R905">
        <v>891</v>
      </c>
      <c r="S905" s="36" t="str">
        <f t="shared" si="292"/>
        <v>VUELOS AL NORTE AIRLINES</v>
      </c>
      <c r="T905" s="36">
        <f t="shared" si="292"/>
        <v>242</v>
      </c>
      <c r="U905" s="73">
        <v>0.2076388888888889</v>
      </c>
      <c r="V905" s="74">
        <v>0.21875</v>
      </c>
      <c r="W905" s="75">
        <v>1.1111111111111099E-2</v>
      </c>
      <c r="X905" s="74">
        <v>0.25138888888888888</v>
      </c>
      <c r="Y905" s="75">
        <v>3.2638888888888884E-2</v>
      </c>
      <c r="Z905" s="76">
        <v>41733</v>
      </c>
      <c r="AA905" s="36" t="str">
        <f t="shared" ref="AA905:AG926" si="301">AA904</f>
        <v>Internacional</v>
      </c>
      <c r="AB905" s="36">
        <f t="shared" si="301"/>
        <v>1.539855072463768E-2</v>
      </c>
      <c r="AC905" s="36">
        <f t="shared" si="301"/>
        <v>2.1739130434782605E-2</v>
      </c>
      <c r="AD905" s="36">
        <f t="shared" si="301"/>
        <v>3.7137681159420288E-2</v>
      </c>
      <c r="AE905" s="36" t="str">
        <f t="shared" si="301"/>
        <v>B737-800</v>
      </c>
      <c r="AF905" s="36">
        <f t="shared" si="301"/>
        <v>189</v>
      </c>
      <c r="AG905" s="36" t="str">
        <f t="shared" si="301"/>
        <v>LAX</v>
      </c>
      <c r="AI905">
        <v>891</v>
      </c>
      <c r="AJ905" s="77" t="str">
        <f t="shared" si="291"/>
        <v>AEROLINEAS DE AMERICA</v>
      </c>
      <c r="AK905" s="77">
        <f t="shared" si="291"/>
        <v>387</v>
      </c>
      <c r="AL905" s="78">
        <v>0.59097222222222223</v>
      </c>
      <c r="AM905" s="79">
        <v>0.60347222222222219</v>
      </c>
      <c r="AN905" s="80">
        <v>1.2499999999999956E-2</v>
      </c>
      <c r="AO905" s="79">
        <v>0.62083333333333335</v>
      </c>
      <c r="AP905" s="80">
        <v>1.736111111111116E-2</v>
      </c>
      <c r="AQ905" s="81">
        <v>41796</v>
      </c>
      <c r="AR905" s="77" t="str">
        <f t="shared" si="300"/>
        <v>Internacional</v>
      </c>
      <c r="AS905" s="77">
        <f t="shared" si="300"/>
        <v>1.4660493827160491E-2</v>
      </c>
      <c r="AT905" s="77">
        <f t="shared" si="300"/>
        <v>1.4737654320987651E-2</v>
      </c>
      <c r="AU905" s="77">
        <f t="shared" si="300"/>
        <v>2.9398148148148142E-2</v>
      </c>
      <c r="AV905" s="77" t="str">
        <f t="shared" si="300"/>
        <v>M80</v>
      </c>
      <c r="AW905" s="77">
        <f t="shared" si="300"/>
        <v>182</v>
      </c>
      <c r="AX905" s="77" t="str">
        <f t="shared" si="300"/>
        <v>DFW</v>
      </c>
    </row>
    <row r="906" spans="1:50" ht="15.75" thickBot="1" x14ac:dyDescent="0.3">
      <c r="A906">
        <v>892</v>
      </c>
      <c r="B906" s="36" t="str">
        <f t="shared" si="295"/>
        <v>VIAS AÉREAS DE USA</v>
      </c>
      <c r="C906" s="36">
        <f t="shared" si="295"/>
        <v>2816</v>
      </c>
      <c r="D906" s="84">
        <v>0.53125</v>
      </c>
      <c r="E906" s="84">
        <v>0.53819444444444442</v>
      </c>
      <c r="F906" s="85">
        <v>6.9444444444444198E-3</v>
      </c>
      <c r="G906" s="84">
        <v>0.55138888888888882</v>
      </c>
      <c r="H906" s="85">
        <v>1.3194444444444398E-2</v>
      </c>
      <c r="I906" s="86">
        <v>41729</v>
      </c>
      <c r="J906" s="36" t="str">
        <f t="shared" si="299"/>
        <v>Internacional</v>
      </c>
      <c r="K906" s="36">
        <f t="shared" si="299"/>
        <v>6.5705128205128232E-3</v>
      </c>
      <c r="L906" s="36">
        <f t="shared" si="299"/>
        <v>9.7222222222221964E-3</v>
      </c>
      <c r="M906" s="36">
        <f t="shared" si="299"/>
        <v>1.629273504273502E-2</v>
      </c>
      <c r="N906" s="36" t="str">
        <f t="shared" si="299"/>
        <v>CRJ 700</v>
      </c>
      <c r="O906" s="36">
        <f t="shared" si="299"/>
        <v>78</v>
      </c>
      <c r="P906" s="36" t="str">
        <f t="shared" si="299"/>
        <v>PHX</v>
      </c>
      <c r="R906">
        <v>892</v>
      </c>
      <c r="S906" s="36" t="str">
        <f t="shared" si="292"/>
        <v>VUELOS AL NORTE AIRLINES</v>
      </c>
      <c r="T906" s="36">
        <f t="shared" si="292"/>
        <v>242</v>
      </c>
      <c r="U906" s="73">
        <v>0.22777777777777777</v>
      </c>
      <c r="V906" s="74">
        <v>0.2638888888888889</v>
      </c>
      <c r="W906" s="75">
        <v>3.6111111111111122E-2</v>
      </c>
      <c r="X906" s="74">
        <v>0.28125</v>
      </c>
      <c r="Y906" s="75">
        <v>1.7361111111111105E-2</v>
      </c>
      <c r="Z906" s="76">
        <v>41734</v>
      </c>
      <c r="AA906" s="36" t="str">
        <f t="shared" si="301"/>
        <v>Internacional</v>
      </c>
      <c r="AB906" s="36">
        <f t="shared" si="301"/>
        <v>1.539855072463768E-2</v>
      </c>
      <c r="AC906" s="36">
        <f t="shared" si="301"/>
        <v>2.1739130434782605E-2</v>
      </c>
      <c r="AD906" s="36">
        <f t="shared" si="301"/>
        <v>3.7137681159420288E-2</v>
      </c>
      <c r="AE906" s="36" t="str">
        <f t="shared" si="301"/>
        <v>B737-800</v>
      </c>
      <c r="AF906" s="36">
        <f t="shared" si="301"/>
        <v>189</v>
      </c>
      <c r="AG906" s="36" t="str">
        <f t="shared" si="301"/>
        <v>LAX</v>
      </c>
      <c r="AI906">
        <v>892</v>
      </c>
      <c r="AJ906" s="77" t="str">
        <f t="shared" si="291"/>
        <v>AEROLINEAS DE AMERICA</v>
      </c>
      <c r="AK906" s="77">
        <f t="shared" si="291"/>
        <v>387</v>
      </c>
      <c r="AL906" s="78">
        <v>0.59861111111111109</v>
      </c>
      <c r="AM906" s="79">
        <v>0.61944444444444446</v>
      </c>
      <c r="AN906" s="80">
        <v>2.083333333333337E-2</v>
      </c>
      <c r="AO906" s="79">
        <v>0.6381944444444444</v>
      </c>
      <c r="AP906" s="80">
        <v>1.8749999999999933E-2</v>
      </c>
      <c r="AQ906" s="81">
        <v>41797</v>
      </c>
      <c r="AR906" s="77" t="str">
        <f t="shared" si="300"/>
        <v>Internacional</v>
      </c>
      <c r="AS906" s="77">
        <f t="shared" si="300"/>
        <v>1.4660493827160491E-2</v>
      </c>
      <c r="AT906" s="77">
        <f t="shared" si="300"/>
        <v>1.4737654320987651E-2</v>
      </c>
      <c r="AU906" s="77">
        <f t="shared" si="300"/>
        <v>2.9398148148148142E-2</v>
      </c>
      <c r="AV906" s="77" t="str">
        <f t="shared" si="300"/>
        <v>M80</v>
      </c>
      <c r="AW906" s="77">
        <f t="shared" si="300"/>
        <v>182</v>
      </c>
      <c r="AX906" s="77" t="str">
        <f t="shared" si="300"/>
        <v>DFW</v>
      </c>
    </row>
    <row r="907" spans="1:50" ht="15.75" thickBot="1" x14ac:dyDescent="0.3">
      <c r="A907">
        <v>893</v>
      </c>
      <c r="B907" s="36" t="str">
        <f t="shared" si="295"/>
        <v>VIAS AÉREAS DE USA</v>
      </c>
      <c r="C907" s="46">
        <v>480</v>
      </c>
      <c r="D907" s="47">
        <v>0.21041666666666667</v>
      </c>
      <c r="E907" s="47">
        <v>0.22847222222222222</v>
      </c>
      <c r="F907" s="48">
        <v>1.8055555555555547E-2</v>
      </c>
      <c r="G907" s="47">
        <v>0.23819444444444446</v>
      </c>
      <c r="H907" s="48">
        <v>9.7222222222222432E-3</v>
      </c>
      <c r="I907" s="49">
        <v>41721</v>
      </c>
      <c r="J907" s="49" t="s">
        <v>22</v>
      </c>
      <c r="K907" s="139">
        <v>1.8055555555555547E-2</v>
      </c>
      <c r="L907" s="139">
        <v>9.7222222222222432E-3</v>
      </c>
      <c r="M907" s="145">
        <v>2.777777777777779E-2</v>
      </c>
      <c r="N907" s="52">
        <v>320</v>
      </c>
      <c r="O907" s="53">
        <v>179</v>
      </c>
      <c r="P907" s="54" t="s">
        <v>43</v>
      </c>
      <c r="R907">
        <v>893</v>
      </c>
      <c r="S907" s="36" t="str">
        <f t="shared" si="292"/>
        <v>VUELOS AL NORTE AIRLINES</v>
      </c>
      <c r="T907" s="36">
        <f t="shared" si="292"/>
        <v>242</v>
      </c>
      <c r="U907" s="73">
        <v>0.22638888888888889</v>
      </c>
      <c r="V907" s="74">
        <v>0.24722222222222223</v>
      </c>
      <c r="W907" s="75">
        <v>2.0833333333333343E-2</v>
      </c>
      <c r="X907" s="74">
        <v>0.26944444444444443</v>
      </c>
      <c r="Y907" s="75">
        <v>2.2222222222222199E-2</v>
      </c>
      <c r="Z907" s="76">
        <v>41736</v>
      </c>
      <c r="AA907" s="36" t="str">
        <f t="shared" si="301"/>
        <v>Internacional</v>
      </c>
      <c r="AB907" s="36">
        <f t="shared" si="301"/>
        <v>1.539855072463768E-2</v>
      </c>
      <c r="AC907" s="36">
        <f t="shared" si="301"/>
        <v>2.1739130434782605E-2</v>
      </c>
      <c r="AD907" s="36">
        <f t="shared" si="301"/>
        <v>3.7137681159420288E-2</v>
      </c>
      <c r="AE907" s="36" t="str">
        <f t="shared" si="301"/>
        <v>B737-800</v>
      </c>
      <c r="AF907" s="36">
        <f t="shared" si="301"/>
        <v>189</v>
      </c>
      <c r="AG907" s="36" t="str">
        <f t="shared" si="301"/>
        <v>LAX</v>
      </c>
      <c r="AI907">
        <v>893</v>
      </c>
      <c r="AJ907" s="77" t="str">
        <f t="shared" si="291"/>
        <v>AEROLINEAS DE AMERICA</v>
      </c>
      <c r="AK907" s="77">
        <f t="shared" si="291"/>
        <v>387</v>
      </c>
      <c r="AL907" s="78">
        <v>0.59375</v>
      </c>
      <c r="AM907" s="79">
        <v>0.61041666666666672</v>
      </c>
      <c r="AN907" s="80">
        <v>1.6666666666666718E-2</v>
      </c>
      <c r="AO907" s="79">
        <v>0.62152777777777779</v>
      </c>
      <c r="AP907" s="80">
        <v>1.1111111111111072E-2</v>
      </c>
      <c r="AQ907" s="81">
        <v>41798</v>
      </c>
      <c r="AR907" s="77" t="str">
        <f t="shared" si="300"/>
        <v>Internacional</v>
      </c>
      <c r="AS907" s="77">
        <f t="shared" si="300"/>
        <v>1.4660493827160491E-2</v>
      </c>
      <c r="AT907" s="77">
        <f t="shared" si="300"/>
        <v>1.4737654320987651E-2</v>
      </c>
      <c r="AU907" s="77">
        <f t="shared" si="300"/>
        <v>2.9398148148148142E-2</v>
      </c>
      <c r="AV907" s="77" t="str">
        <f t="shared" si="300"/>
        <v>M80</v>
      </c>
      <c r="AW907" s="77">
        <f t="shared" si="300"/>
        <v>182</v>
      </c>
      <c r="AX907" s="77" t="str">
        <f t="shared" si="300"/>
        <v>DFW</v>
      </c>
    </row>
    <row r="908" spans="1:50" ht="15.75" thickBot="1" x14ac:dyDescent="0.3">
      <c r="A908">
        <v>894</v>
      </c>
      <c r="B908" s="63" t="s">
        <v>77</v>
      </c>
      <c r="C908" s="146">
        <v>5961</v>
      </c>
      <c r="D908" s="147">
        <v>0.68194444444444446</v>
      </c>
      <c r="E908" s="147">
        <v>0.68958333333333333</v>
      </c>
      <c r="F908" s="148">
        <v>7.6388888888888618E-3</v>
      </c>
      <c r="G908" s="147">
        <v>0.70416666666666661</v>
      </c>
      <c r="H908" s="148">
        <v>1.4583333333333282E-2</v>
      </c>
      <c r="I908" s="103">
        <v>41715</v>
      </c>
      <c r="J908" s="49" t="s">
        <v>22</v>
      </c>
      <c r="K908" s="149">
        <v>7.6388888888888618E-3</v>
      </c>
      <c r="L908" s="149">
        <v>1.4583333333333282E-2</v>
      </c>
      <c r="M908" s="150">
        <v>2.2222222222222143E-2</v>
      </c>
      <c r="N908" s="52" t="s">
        <v>57</v>
      </c>
      <c r="O908" s="53">
        <v>142</v>
      </c>
      <c r="P908" s="54" t="s">
        <v>68</v>
      </c>
      <c r="R908">
        <v>894</v>
      </c>
      <c r="S908" s="36" t="str">
        <f t="shared" si="292"/>
        <v>VUELOS AL NORTE AIRLINES</v>
      </c>
      <c r="T908" s="36">
        <f t="shared" si="292"/>
        <v>242</v>
      </c>
      <c r="U908" s="73">
        <v>0.22847222222222222</v>
      </c>
      <c r="V908" s="74">
        <v>0.23611111111111113</v>
      </c>
      <c r="W908" s="75">
        <v>7.6388888888889173E-3</v>
      </c>
      <c r="X908" s="74">
        <v>0.24722222222222223</v>
      </c>
      <c r="Y908" s="75">
        <v>1.1111111111111099E-2</v>
      </c>
      <c r="Z908" s="76">
        <v>41736</v>
      </c>
      <c r="AA908" s="36" t="str">
        <f t="shared" si="301"/>
        <v>Internacional</v>
      </c>
      <c r="AB908" s="36">
        <f t="shared" si="301"/>
        <v>1.539855072463768E-2</v>
      </c>
      <c r="AC908" s="36">
        <f t="shared" si="301"/>
        <v>2.1739130434782605E-2</v>
      </c>
      <c r="AD908" s="36">
        <f t="shared" si="301"/>
        <v>3.7137681159420288E-2</v>
      </c>
      <c r="AE908" s="36" t="str">
        <f t="shared" si="301"/>
        <v>B737-800</v>
      </c>
      <c r="AF908" s="36">
        <f t="shared" si="301"/>
        <v>189</v>
      </c>
      <c r="AG908" s="36" t="str">
        <f t="shared" si="301"/>
        <v>LAX</v>
      </c>
      <c r="AI908">
        <v>894</v>
      </c>
      <c r="AJ908" s="77" t="str">
        <f t="shared" si="291"/>
        <v>AEROLINEAS DE AMERICA</v>
      </c>
      <c r="AK908" s="77">
        <f t="shared" si="291"/>
        <v>387</v>
      </c>
      <c r="AL908" s="94">
        <v>0.5395833333333333</v>
      </c>
      <c r="AM908" s="95">
        <v>0.54652777777777783</v>
      </c>
      <c r="AN908" s="96">
        <v>6.9444444444445308E-3</v>
      </c>
      <c r="AO908" s="95">
        <v>0.55833333333333335</v>
      </c>
      <c r="AP908" s="96">
        <v>1.1805555555555514E-2</v>
      </c>
      <c r="AQ908" s="97">
        <v>41801</v>
      </c>
      <c r="AR908" s="77" t="str">
        <f t="shared" si="300"/>
        <v>Internacional</v>
      </c>
      <c r="AS908" s="77">
        <f t="shared" si="300"/>
        <v>1.4660493827160491E-2</v>
      </c>
      <c r="AT908" s="77">
        <f t="shared" si="300"/>
        <v>1.4737654320987651E-2</v>
      </c>
      <c r="AU908" s="77">
        <f t="shared" si="300"/>
        <v>2.9398148148148142E-2</v>
      </c>
      <c r="AV908" s="77" t="str">
        <f t="shared" si="300"/>
        <v>M80</v>
      </c>
      <c r="AW908" s="77">
        <f t="shared" si="300"/>
        <v>182</v>
      </c>
      <c r="AX908" s="77" t="str">
        <f t="shared" si="300"/>
        <v>DFW</v>
      </c>
    </row>
    <row r="909" spans="1:50" ht="15.75" thickBot="1" x14ac:dyDescent="0.3">
      <c r="A909">
        <v>895</v>
      </c>
      <c r="B909" s="36" t="str">
        <f t="shared" ref="B909:C972" si="302">B908</f>
        <v>BARATA Y MORADA</v>
      </c>
      <c r="C909" s="146">
        <v>5907</v>
      </c>
      <c r="D909" s="147">
        <v>0.24305555555555555</v>
      </c>
      <c r="E909" s="147">
        <v>0.25833333333333336</v>
      </c>
      <c r="F909" s="148">
        <v>1.5277777777777807E-2</v>
      </c>
      <c r="G909" s="147">
        <v>0.28333333333333333</v>
      </c>
      <c r="H909" s="148">
        <v>2.4999999999999967E-2</v>
      </c>
      <c r="I909" s="103">
        <v>41721</v>
      </c>
      <c r="J909" s="49" t="s">
        <v>22</v>
      </c>
      <c r="K909" s="149">
        <v>1.5277777777777807E-2</v>
      </c>
      <c r="L909" s="149">
        <v>2.4999999999999967E-2</v>
      </c>
      <c r="M909" s="150">
        <v>4.0277777777777773E-2</v>
      </c>
      <c r="N909" s="52">
        <v>320</v>
      </c>
      <c r="O909" s="53">
        <v>179</v>
      </c>
      <c r="P909" s="54" t="s">
        <v>78</v>
      </c>
      <c r="R909">
        <v>895</v>
      </c>
      <c r="S909" s="36" t="str">
        <f t="shared" si="292"/>
        <v>VUELOS AL NORTE AIRLINES</v>
      </c>
      <c r="T909" s="36">
        <f t="shared" si="292"/>
        <v>242</v>
      </c>
      <c r="U909" s="73">
        <v>0.22569444444444445</v>
      </c>
      <c r="V909" s="74">
        <v>0.23541666666666669</v>
      </c>
      <c r="W909" s="75">
        <v>9.7222222222222432E-3</v>
      </c>
      <c r="X909" s="74">
        <v>0.26041666666666669</v>
      </c>
      <c r="Y909" s="75">
        <v>2.4999999999999994E-2</v>
      </c>
      <c r="Z909" s="76">
        <v>41737</v>
      </c>
      <c r="AA909" s="36" t="str">
        <f t="shared" si="301"/>
        <v>Internacional</v>
      </c>
      <c r="AB909" s="36">
        <f t="shared" si="301"/>
        <v>1.539855072463768E-2</v>
      </c>
      <c r="AC909" s="36">
        <f t="shared" si="301"/>
        <v>2.1739130434782605E-2</v>
      </c>
      <c r="AD909" s="36">
        <f t="shared" si="301"/>
        <v>3.7137681159420288E-2</v>
      </c>
      <c r="AE909" s="36" t="str">
        <f t="shared" si="301"/>
        <v>B737-800</v>
      </c>
      <c r="AF909" s="36">
        <f t="shared" si="301"/>
        <v>189</v>
      </c>
      <c r="AG909" s="36" t="str">
        <f t="shared" si="301"/>
        <v>LAX</v>
      </c>
      <c r="AI909">
        <v>895</v>
      </c>
      <c r="AJ909" s="77" t="str">
        <f t="shared" si="291"/>
        <v>AEROLINEAS DE AMERICA</v>
      </c>
      <c r="AK909" s="99">
        <v>332</v>
      </c>
      <c r="AL909" s="100">
        <v>0.61597222222222225</v>
      </c>
      <c r="AM909" s="101">
        <v>0.63541666666666663</v>
      </c>
      <c r="AN909" s="102">
        <v>1.9444444444444375E-2</v>
      </c>
      <c r="AO909" s="101">
        <v>0.64583333333333337</v>
      </c>
      <c r="AP909" s="102">
        <v>1.0416666666666741E-2</v>
      </c>
      <c r="AQ909" s="103">
        <v>41813</v>
      </c>
      <c r="AR909" s="104" t="s">
        <v>22</v>
      </c>
      <c r="AS909" s="105">
        <v>1.9444444444444375E-2</v>
      </c>
      <c r="AT909" s="105">
        <v>1.0416666666666741E-2</v>
      </c>
      <c r="AU909" s="105">
        <v>2.9861111111111116E-2</v>
      </c>
      <c r="AV909" s="106">
        <v>320</v>
      </c>
      <c r="AW909" s="106">
        <v>179</v>
      </c>
      <c r="AX909" s="107" t="s">
        <v>54</v>
      </c>
    </row>
    <row r="910" spans="1:50" x14ac:dyDescent="0.25">
      <c r="A910">
        <v>896</v>
      </c>
      <c r="B910" s="36" t="str">
        <f t="shared" si="302"/>
        <v>BARATA Y MORADA</v>
      </c>
      <c r="C910" s="151">
        <v>5744</v>
      </c>
      <c r="D910" s="152">
        <v>0.625</v>
      </c>
      <c r="E910" s="152">
        <v>0.62847222222222221</v>
      </c>
      <c r="F910" s="153">
        <v>3.4722222222222099E-3</v>
      </c>
      <c r="G910" s="152">
        <v>0.63611111111111118</v>
      </c>
      <c r="H910" s="153">
        <v>7.6388888888889728E-3</v>
      </c>
      <c r="I910" s="67">
        <v>41714</v>
      </c>
      <c r="J910" s="174" t="s">
        <v>19</v>
      </c>
      <c r="K910" s="135">
        <v>9.5486111111110772E-3</v>
      </c>
      <c r="L910" s="135">
        <v>1.1631944444444486E-2</v>
      </c>
      <c r="M910" s="175">
        <v>2.1180555555555564E-2</v>
      </c>
      <c r="N910" s="90" t="s">
        <v>57</v>
      </c>
      <c r="O910" s="91">
        <v>142</v>
      </c>
      <c r="P910" s="92" t="s">
        <v>21</v>
      </c>
      <c r="R910">
        <v>896</v>
      </c>
      <c r="S910" s="36" t="str">
        <f t="shared" si="292"/>
        <v>VUELOS AL NORTE AIRLINES</v>
      </c>
      <c r="T910" s="36">
        <f t="shared" si="292"/>
        <v>242</v>
      </c>
      <c r="U910" s="73">
        <v>0.21805555555555556</v>
      </c>
      <c r="V910" s="74">
        <v>0.2298611111111111</v>
      </c>
      <c r="W910" s="75">
        <v>1.1805555555555541E-2</v>
      </c>
      <c r="X910" s="74">
        <v>0.24652777777777779</v>
      </c>
      <c r="Y910" s="75">
        <v>1.6666666666666691E-2</v>
      </c>
      <c r="Z910" s="76">
        <v>41738</v>
      </c>
      <c r="AA910" s="36" t="str">
        <f t="shared" si="301"/>
        <v>Internacional</v>
      </c>
      <c r="AB910" s="36">
        <f t="shared" si="301"/>
        <v>1.539855072463768E-2</v>
      </c>
      <c r="AC910" s="36">
        <f t="shared" si="301"/>
        <v>2.1739130434782605E-2</v>
      </c>
      <c r="AD910" s="36">
        <f t="shared" si="301"/>
        <v>3.7137681159420288E-2</v>
      </c>
      <c r="AE910" s="36" t="str">
        <f t="shared" si="301"/>
        <v>B737-800</v>
      </c>
      <c r="AF910" s="36">
        <f t="shared" si="301"/>
        <v>189</v>
      </c>
      <c r="AG910" s="36" t="str">
        <f t="shared" si="301"/>
        <v>LAX</v>
      </c>
      <c r="AI910">
        <v>896</v>
      </c>
      <c r="AJ910" s="63" t="s">
        <v>59</v>
      </c>
      <c r="AK910" s="63">
        <v>722</v>
      </c>
      <c r="AL910" s="64">
        <v>0.95694444444444438</v>
      </c>
      <c r="AM910" s="65">
        <v>0.98263888888888884</v>
      </c>
      <c r="AN910" s="66">
        <v>2.5694444444444464E-2</v>
      </c>
      <c r="AO910" s="65">
        <v>0.98819444444444438</v>
      </c>
      <c r="AP910" s="66">
        <v>5.5555555555555358E-3</v>
      </c>
      <c r="AQ910" s="67">
        <v>41791</v>
      </c>
      <c r="AR910" s="68" t="s">
        <v>22</v>
      </c>
      <c r="AS910" s="69">
        <v>1.7613636363636366E-2</v>
      </c>
      <c r="AT910" s="70">
        <v>1.0246780303030303</v>
      </c>
      <c r="AU910" s="70">
        <v>1.0422916666666666</v>
      </c>
      <c r="AV910" s="71" t="s">
        <v>39</v>
      </c>
      <c r="AW910" s="71">
        <v>189</v>
      </c>
      <c r="AX910" s="72" t="s">
        <v>60</v>
      </c>
    </row>
    <row r="911" spans="1:50" x14ac:dyDescent="0.25">
      <c r="A911">
        <v>897</v>
      </c>
      <c r="B911" s="36" t="str">
        <f t="shared" si="302"/>
        <v>BARATA Y MORADA</v>
      </c>
      <c r="C911" s="36">
        <f t="shared" si="302"/>
        <v>5744</v>
      </c>
      <c r="D911" s="118">
        <v>0.61805555555555558</v>
      </c>
      <c r="E911" s="118">
        <v>0.62777777777777777</v>
      </c>
      <c r="F911" s="119">
        <v>9.7222222222221877E-3</v>
      </c>
      <c r="G911" s="118">
        <v>0.6430555555555556</v>
      </c>
      <c r="H911" s="119">
        <v>1.5277777777777835E-2</v>
      </c>
      <c r="I911" s="81">
        <v>41718</v>
      </c>
      <c r="J911" s="36" t="str">
        <f t="shared" ref="J911:P913" si="303">J910</f>
        <v>Nacional</v>
      </c>
      <c r="K911" s="36">
        <f t="shared" si="303"/>
        <v>9.5486111111110772E-3</v>
      </c>
      <c r="L911" s="36">
        <f t="shared" si="303"/>
        <v>1.1631944444444486E-2</v>
      </c>
      <c r="M911" s="36">
        <f t="shared" si="303"/>
        <v>2.1180555555555564E-2</v>
      </c>
      <c r="N911" s="36" t="str">
        <f t="shared" si="303"/>
        <v>A319</v>
      </c>
      <c r="O911" s="36">
        <f t="shared" si="303"/>
        <v>142</v>
      </c>
      <c r="P911" s="36" t="str">
        <f t="shared" si="303"/>
        <v>MEX</v>
      </c>
      <c r="R911">
        <v>897</v>
      </c>
      <c r="S911" s="36" t="str">
        <f t="shared" si="292"/>
        <v>VUELOS AL NORTE AIRLINES</v>
      </c>
      <c r="T911" s="36">
        <f t="shared" si="292"/>
        <v>242</v>
      </c>
      <c r="U911" s="73">
        <v>0.22569444444444445</v>
      </c>
      <c r="V911" s="74">
        <v>0.23263888888888887</v>
      </c>
      <c r="W911" s="75">
        <v>6.9444444444444198E-3</v>
      </c>
      <c r="X911" s="74">
        <v>0.24930555555555556</v>
      </c>
      <c r="Y911" s="75">
        <v>1.6666666666666691E-2</v>
      </c>
      <c r="Z911" s="76">
        <v>41739</v>
      </c>
      <c r="AA911" s="36" t="str">
        <f t="shared" si="301"/>
        <v>Internacional</v>
      </c>
      <c r="AB911" s="36">
        <f t="shared" si="301"/>
        <v>1.539855072463768E-2</v>
      </c>
      <c r="AC911" s="36">
        <f t="shared" si="301"/>
        <v>2.1739130434782605E-2</v>
      </c>
      <c r="AD911" s="36">
        <f t="shared" si="301"/>
        <v>3.7137681159420288E-2</v>
      </c>
      <c r="AE911" s="36" t="str">
        <f t="shared" si="301"/>
        <v>B737-800</v>
      </c>
      <c r="AF911" s="36">
        <f t="shared" si="301"/>
        <v>189</v>
      </c>
      <c r="AG911" s="36" t="str">
        <f t="shared" si="301"/>
        <v>LAX</v>
      </c>
      <c r="AI911">
        <v>897</v>
      </c>
      <c r="AJ911" s="77" t="str">
        <f t="shared" ref="AJ911:AK931" si="304">AJ910</f>
        <v>COPA</v>
      </c>
      <c r="AK911" s="77">
        <f t="shared" si="304"/>
        <v>722</v>
      </c>
      <c r="AL911" s="78">
        <v>0.9458333333333333</v>
      </c>
      <c r="AM911" s="79">
        <v>0.95763888888888893</v>
      </c>
      <c r="AN911" s="80">
        <v>1.1805555555555625E-2</v>
      </c>
      <c r="AO911" s="79">
        <v>0.97083333333333333</v>
      </c>
      <c r="AP911" s="80">
        <v>1.3194444444444398E-2</v>
      </c>
      <c r="AQ911" s="81">
        <v>41792</v>
      </c>
      <c r="AR911" s="77" t="str">
        <f t="shared" ref="AR911:AX931" si="305">AR910</f>
        <v>Internacional</v>
      </c>
      <c r="AS911" s="77">
        <f t="shared" si="305"/>
        <v>1.7613636363636366E-2</v>
      </c>
      <c r="AT911" s="77">
        <f t="shared" si="305"/>
        <v>1.0246780303030303</v>
      </c>
      <c r="AU911" s="77">
        <f t="shared" si="305"/>
        <v>1.0422916666666666</v>
      </c>
      <c r="AV911" s="77" t="str">
        <f t="shared" si="305"/>
        <v>B737-800</v>
      </c>
      <c r="AW911" s="77">
        <f t="shared" si="305"/>
        <v>189</v>
      </c>
      <c r="AX911" s="77" t="str">
        <f t="shared" si="305"/>
        <v>PTY</v>
      </c>
    </row>
    <row r="912" spans="1:50" x14ac:dyDescent="0.25">
      <c r="A912">
        <v>898</v>
      </c>
      <c r="B912" s="36" t="str">
        <f t="shared" si="302"/>
        <v>BARATA Y MORADA</v>
      </c>
      <c r="C912" s="36">
        <f t="shared" si="302"/>
        <v>5744</v>
      </c>
      <c r="D912" s="118">
        <v>0.61875000000000002</v>
      </c>
      <c r="E912" s="118">
        <v>0.63541666666666663</v>
      </c>
      <c r="F912" s="119">
        <v>1.6666666666666607E-2</v>
      </c>
      <c r="G912" s="118">
        <v>0.64236111111111105</v>
      </c>
      <c r="H912" s="119">
        <v>6.9444444444444198E-3</v>
      </c>
      <c r="I912" s="81">
        <v>41721</v>
      </c>
      <c r="J912" s="36" t="str">
        <f t="shared" si="303"/>
        <v>Nacional</v>
      </c>
      <c r="K912" s="36">
        <f t="shared" si="303"/>
        <v>9.5486111111110772E-3</v>
      </c>
      <c r="L912" s="36">
        <f t="shared" si="303"/>
        <v>1.1631944444444486E-2</v>
      </c>
      <c r="M912" s="36">
        <f t="shared" si="303"/>
        <v>2.1180555555555564E-2</v>
      </c>
      <c r="N912" s="36" t="str">
        <f t="shared" si="303"/>
        <v>A319</v>
      </c>
      <c r="O912" s="36">
        <f t="shared" si="303"/>
        <v>142</v>
      </c>
      <c r="P912" s="36" t="str">
        <f t="shared" si="303"/>
        <v>MEX</v>
      </c>
      <c r="R912">
        <v>898</v>
      </c>
      <c r="S912" s="36" t="str">
        <f t="shared" si="292"/>
        <v>VUELOS AL NORTE AIRLINES</v>
      </c>
      <c r="T912" s="36">
        <f t="shared" si="292"/>
        <v>242</v>
      </c>
      <c r="U912" s="73">
        <v>0.22430555555555556</v>
      </c>
      <c r="V912" s="74">
        <v>0.24652777777777779</v>
      </c>
      <c r="W912" s="75">
        <v>2.2222222222222227E-2</v>
      </c>
      <c r="X912" s="74">
        <v>0.26250000000000001</v>
      </c>
      <c r="Y912" s="75">
        <v>1.5972222222222221E-2</v>
      </c>
      <c r="Z912" s="76">
        <v>41743</v>
      </c>
      <c r="AA912" s="36" t="str">
        <f t="shared" si="301"/>
        <v>Internacional</v>
      </c>
      <c r="AB912" s="36">
        <f t="shared" si="301"/>
        <v>1.539855072463768E-2</v>
      </c>
      <c r="AC912" s="36">
        <f t="shared" si="301"/>
        <v>2.1739130434782605E-2</v>
      </c>
      <c r="AD912" s="36">
        <f t="shared" si="301"/>
        <v>3.7137681159420288E-2</v>
      </c>
      <c r="AE912" s="36" t="str">
        <f t="shared" si="301"/>
        <v>B737-800</v>
      </c>
      <c r="AF912" s="36">
        <f t="shared" si="301"/>
        <v>189</v>
      </c>
      <c r="AG912" s="36" t="str">
        <f t="shared" si="301"/>
        <v>LAX</v>
      </c>
      <c r="AI912">
        <v>898</v>
      </c>
      <c r="AJ912" s="77" t="str">
        <f t="shared" si="304"/>
        <v>COPA</v>
      </c>
      <c r="AK912" s="77">
        <f t="shared" si="304"/>
        <v>722</v>
      </c>
      <c r="AL912" s="78">
        <v>0.97013888888888899</v>
      </c>
      <c r="AM912" s="79">
        <v>0.98472222222222217</v>
      </c>
      <c r="AN912" s="80">
        <v>1.4583333333333171E-2</v>
      </c>
      <c r="AO912" s="79">
        <v>1.0027777777777778</v>
      </c>
      <c r="AP912" s="80">
        <v>1.8055555555555602E-2</v>
      </c>
      <c r="AQ912" s="81">
        <v>41793</v>
      </c>
      <c r="AR912" s="77" t="str">
        <f t="shared" si="305"/>
        <v>Internacional</v>
      </c>
      <c r="AS912" s="77">
        <f t="shared" si="305"/>
        <v>1.7613636363636366E-2</v>
      </c>
      <c r="AT912" s="77">
        <f t="shared" si="305"/>
        <v>1.0246780303030303</v>
      </c>
      <c r="AU912" s="77">
        <f t="shared" si="305"/>
        <v>1.0422916666666666</v>
      </c>
      <c r="AV912" s="77" t="str">
        <f t="shared" si="305"/>
        <v>B737-800</v>
      </c>
      <c r="AW912" s="77">
        <f t="shared" si="305"/>
        <v>189</v>
      </c>
      <c r="AX912" s="77" t="str">
        <f t="shared" si="305"/>
        <v>PTY</v>
      </c>
    </row>
    <row r="913" spans="1:50" ht="15.75" thickBot="1" x14ac:dyDescent="0.3">
      <c r="A913">
        <v>899</v>
      </c>
      <c r="B913" s="36" t="str">
        <f t="shared" si="302"/>
        <v>BARATA Y MORADA</v>
      </c>
      <c r="C913" s="36">
        <f t="shared" si="302"/>
        <v>5744</v>
      </c>
      <c r="D913" s="176">
        <v>0.62083333333333335</v>
      </c>
      <c r="E913" s="176">
        <v>0.62916666666666665</v>
      </c>
      <c r="F913" s="177">
        <v>8.3333333333333037E-3</v>
      </c>
      <c r="G913" s="176">
        <v>0.64583333333333337</v>
      </c>
      <c r="H913" s="177">
        <v>1.6666666666666718E-2</v>
      </c>
      <c r="I913" s="97">
        <v>41725</v>
      </c>
      <c r="J913" s="36" t="str">
        <f t="shared" si="303"/>
        <v>Nacional</v>
      </c>
      <c r="K913" s="36">
        <f t="shared" si="303"/>
        <v>9.5486111111110772E-3</v>
      </c>
      <c r="L913" s="36">
        <f t="shared" si="303"/>
        <v>1.1631944444444486E-2</v>
      </c>
      <c r="M913" s="36">
        <f t="shared" si="303"/>
        <v>2.1180555555555564E-2</v>
      </c>
      <c r="N913" s="36" t="str">
        <f t="shared" si="303"/>
        <v>A319</v>
      </c>
      <c r="O913" s="36">
        <f t="shared" si="303"/>
        <v>142</v>
      </c>
      <c r="P913" s="36" t="str">
        <f t="shared" si="303"/>
        <v>MEX</v>
      </c>
      <c r="R913">
        <v>899</v>
      </c>
      <c r="S913" s="36" t="str">
        <f t="shared" si="292"/>
        <v>VUELOS AL NORTE AIRLINES</v>
      </c>
      <c r="T913" s="36">
        <f t="shared" si="292"/>
        <v>242</v>
      </c>
      <c r="U913" s="73">
        <v>0.21666666666666667</v>
      </c>
      <c r="V913" s="74">
        <v>0.23819444444444446</v>
      </c>
      <c r="W913" s="75">
        <v>2.1527777777777785E-2</v>
      </c>
      <c r="X913" s="74">
        <v>0.25208333333333333</v>
      </c>
      <c r="Y913" s="75">
        <v>1.3888888888888867E-2</v>
      </c>
      <c r="Z913" s="76">
        <v>41745</v>
      </c>
      <c r="AA913" s="36" t="str">
        <f t="shared" si="301"/>
        <v>Internacional</v>
      </c>
      <c r="AB913" s="36">
        <f t="shared" si="301"/>
        <v>1.539855072463768E-2</v>
      </c>
      <c r="AC913" s="36">
        <f t="shared" si="301"/>
        <v>2.1739130434782605E-2</v>
      </c>
      <c r="AD913" s="36">
        <f t="shared" si="301"/>
        <v>3.7137681159420288E-2</v>
      </c>
      <c r="AE913" s="36" t="str">
        <f t="shared" si="301"/>
        <v>B737-800</v>
      </c>
      <c r="AF913" s="36">
        <f t="shared" si="301"/>
        <v>189</v>
      </c>
      <c r="AG913" s="36" t="str">
        <f t="shared" si="301"/>
        <v>LAX</v>
      </c>
      <c r="AI913">
        <v>899</v>
      </c>
      <c r="AJ913" s="77" t="str">
        <f t="shared" si="304"/>
        <v>COPA</v>
      </c>
      <c r="AK913" s="77">
        <f t="shared" si="304"/>
        <v>722</v>
      </c>
      <c r="AL913" s="78">
        <v>0.95694444444444438</v>
      </c>
      <c r="AM913" s="79">
        <v>0.96805555555555556</v>
      </c>
      <c r="AN913" s="80">
        <v>1.1111111111111183E-2</v>
      </c>
      <c r="AO913" s="79">
        <v>1.0055555555555555</v>
      </c>
      <c r="AP913" s="80">
        <v>3.7499999999999978E-2</v>
      </c>
      <c r="AQ913" s="81">
        <v>41794</v>
      </c>
      <c r="AR913" s="77" t="str">
        <f t="shared" si="305"/>
        <v>Internacional</v>
      </c>
      <c r="AS913" s="77">
        <f t="shared" si="305"/>
        <v>1.7613636363636366E-2</v>
      </c>
      <c r="AT913" s="77">
        <f t="shared" si="305"/>
        <v>1.0246780303030303</v>
      </c>
      <c r="AU913" s="77">
        <f t="shared" si="305"/>
        <v>1.0422916666666666</v>
      </c>
      <c r="AV913" s="77" t="str">
        <f t="shared" si="305"/>
        <v>B737-800</v>
      </c>
      <c r="AW913" s="77">
        <f t="shared" si="305"/>
        <v>189</v>
      </c>
      <c r="AX913" s="77" t="str">
        <f t="shared" si="305"/>
        <v>PTY</v>
      </c>
    </row>
    <row r="914" spans="1:50" x14ac:dyDescent="0.25">
      <c r="A914">
        <v>900</v>
      </c>
      <c r="B914" s="36" t="str">
        <f t="shared" si="302"/>
        <v>BARATA Y MORADA</v>
      </c>
      <c r="C914" s="151">
        <v>5742</v>
      </c>
      <c r="D914" s="152">
        <v>0.56944444444444442</v>
      </c>
      <c r="E914" s="152">
        <v>0.57777777777777783</v>
      </c>
      <c r="F914" s="153">
        <v>8.3333333333334147E-3</v>
      </c>
      <c r="G914" s="152">
        <v>0.5854166666666667</v>
      </c>
      <c r="H914" s="153">
        <v>7.6388888888888618E-3</v>
      </c>
      <c r="I914" s="67">
        <v>41720</v>
      </c>
      <c r="J914" s="174" t="s">
        <v>19</v>
      </c>
      <c r="K914" s="135">
        <v>9.0277777777778203E-3</v>
      </c>
      <c r="L914" s="135">
        <v>6.4814814814814587E-3</v>
      </c>
      <c r="M914" s="175">
        <v>1.5509259259259278E-2</v>
      </c>
      <c r="N914" s="90" t="s">
        <v>57</v>
      </c>
      <c r="O914" s="91">
        <v>142</v>
      </c>
      <c r="P914" s="92" t="s">
        <v>21</v>
      </c>
      <c r="R914">
        <v>900</v>
      </c>
      <c r="S914" s="36" t="str">
        <f t="shared" si="292"/>
        <v>VUELOS AL NORTE AIRLINES</v>
      </c>
      <c r="T914" s="36">
        <f t="shared" si="292"/>
        <v>242</v>
      </c>
      <c r="U914" s="73">
        <v>0.21944444444444444</v>
      </c>
      <c r="V914" s="74">
        <v>0.23472222222222219</v>
      </c>
      <c r="W914" s="75">
        <v>1.5277777777777751E-2</v>
      </c>
      <c r="X914" s="74">
        <v>0.26041666666666669</v>
      </c>
      <c r="Y914" s="75">
        <v>2.5694444444444492E-2</v>
      </c>
      <c r="Z914" s="76">
        <v>41745</v>
      </c>
      <c r="AA914" s="36" t="str">
        <f t="shared" si="301"/>
        <v>Internacional</v>
      </c>
      <c r="AB914" s="36">
        <f t="shared" si="301"/>
        <v>1.539855072463768E-2</v>
      </c>
      <c r="AC914" s="36">
        <f t="shared" si="301"/>
        <v>2.1739130434782605E-2</v>
      </c>
      <c r="AD914" s="36">
        <f t="shared" si="301"/>
        <v>3.7137681159420288E-2</v>
      </c>
      <c r="AE914" s="36" t="str">
        <f t="shared" si="301"/>
        <v>B737-800</v>
      </c>
      <c r="AF914" s="36">
        <f t="shared" si="301"/>
        <v>189</v>
      </c>
      <c r="AG914" s="36" t="str">
        <f t="shared" si="301"/>
        <v>LAX</v>
      </c>
      <c r="AI914">
        <v>900</v>
      </c>
      <c r="AJ914" s="77" t="str">
        <f t="shared" si="304"/>
        <v>COPA</v>
      </c>
      <c r="AK914" s="77">
        <f t="shared" si="304"/>
        <v>722</v>
      </c>
      <c r="AL914" s="78">
        <v>0.99305555555555547</v>
      </c>
      <c r="AM914" s="79">
        <v>1.0111111111111111</v>
      </c>
      <c r="AN914" s="80">
        <v>1.8055555555555602E-2</v>
      </c>
      <c r="AO914" s="79">
        <v>1.0270833333333333</v>
      </c>
      <c r="AP914" s="80">
        <v>1.5972222222222276E-2</v>
      </c>
      <c r="AQ914" s="81">
        <v>41795</v>
      </c>
      <c r="AR914" s="77" t="str">
        <f t="shared" si="305"/>
        <v>Internacional</v>
      </c>
      <c r="AS914" s="77">
        <f t="shared" si="305"/>
        <v>1.7613636363636366E-2</v>
      </c>
      <c r="AT914" s="77">
        <f t="shared" si="305"/>
        <v>1.0246780303030303</v>
      </c>
      <c r="AU914" s="77">
        <f t="shared" si="305"/>
        <v>1.0422916666666666</v>
      </c>
      <c r="AV914" s="77" t="str">
        <f t="shared" si="305"/>
        <v>B737-800</v>
      </c>
      <c r="AW914" s="77">
        <f t="shared" si="305"/>
        <v>189</v>
      </c>
      <c r="AX914" s="77" t="str">
        <f t="shared" si="305"/>
        <v>PTY</v>
      </c>
    </row>
    <row r="915" spans="1:50" x14ac:dyDescent="0.25">
      <c r="A915">
        <v>901</v>
      </c>
      <c r="B915" s="36" t="str">
        <f t="shared" si="302"/>
        <v>BARATA Y MORADA</v>
      </c>
      <c r="C915" s="36">
        <f t="shared" si="302"/>
        <v>5742</v>
      </c>
      <c r="D915" s="118">
        <v>0.56944444444444442</v>
      </c>
      <c r="E915" s="118">
        <v>0.57777777777777783</v>
      </c>
      <c r="F915" s="119">
        <v>8.3333333333334147E-3</v>
      </c>
      <c r="G915" s="118">
        <v>0.5854166666666667</v>
      </c>
      <c r="H915" s="119">
        <v>7.6388888888888618E-3</v>
      </c>
      <c r="I915" s="81">
        <v>41720</v>
      </c>
      <c r="J915" s="36" t="str">
        <f t="shared" ref="J915:P916" si="306">J914</f>
        <v>Nacional</v>
      </c>
      <c r="K915" s="36">
        <f t="shared" si="306"/>
        <v>9.0277777777778203E-3</v>
      </c>
      <c r="L915" s="36">
        <f t="shared" si="306"/>
        <v>6.4814814814814587E-3</v>
      </c>
      <c r="M915" s="36">
        <f t="shared" si="306"/>
        <v>1.5509259259259278E-2</v>
      </c>
      <c r="N915" s="36" t="str">
        <f t="shared" si="306"/>
        <v>A319</v>
      </c>
      <c r="O915" s="36">
        <f t="shared" si="306"/>
        <v>142</v>
      </c>
      <c r="P915" s="36" t="str">
        <f t="shared" si="306"/>
        <v>MEX</v>
      </c>
      <c r="R915">
        <v>901</v>
      </c>
      <c r="S915" s="36" t="str">
        <f t="shared" si="292"/>
        <v>VUELOS AL NORTE AIRLINES</v>
      </c>
      <c r="T915" s="36">
        <f t="shared" si="292"/>
        <v>242</v>
      </c>
      <c r="U915" s="73">
        <v>0.23611111111111113</v>
      </c>
      <c r="V915" s="74">
        <v>0.25347222222222221</v>
      </c>
      <c r="W915" s="75">
        <v>1.7361111111111077E-2</v>
      </c>
      <c r="X915" s="74">
        <v>0.27986111111111112</v>
      </c>
      <c r="Y915" s="75">
        <v>2.6388888888888906E-2</v>
      </c>
      <c r="Z915" s="76">
        <v>41746</v>
      </c>
      <c r="AA915" s="36" t="str">
        <f t="shared" si="301"/>
        <v>Internacional</v>
      </c>
      <c r="AB915" s="36">
        <f t="shared" si="301"/>
        <v>1.539855072463768E-2</v>
      </c>
      <c r="AC915" s="36">
        <f t="shared" si="301"/>
        <v>2.1739130434782605E-2</v>
      </c>
      <c r="AD915" s="36">
        <f t="shared" si="301"/>
        <v>3.7137681159420288E-2</v>
      </c>
      <c r="AE915" s="36" t="str">
        <f t="shared" si="301"/>
        <v>B737-800</v>
      </c>
      <c r="AF915" s="36">
        <f t="shared" si="301"/>
        <v>189</v>
      </c>
      <c r="AG915" s="36" t="str">
        <f t="shared" si="301"/>
        <v>LAX</v>
      </c>
      <c r="AI915">
        <v>901</v>
      </c>
      <c r="AJ915" s="77" t="str">
        <f t="shared" si="304"/>
        <v>COPA</v>
      </c>
      <c r="AK915" s="77">
        <f t="shared" si="304"/>
        <v>722</v>
      </c>
      <c r="AL915" s="78">
        <v>0.96319444444444446</v>
      </c>
      <c r="AM915" s="79">
        <v>0.98055555555555562</v>
      </c>
      <c r="AN915" s="80">
        <v>1.736111111111116E-2</v>
      </c>
      <c r="AO915" s="79">
        <v>0.9902777777777777</v>
      </c>
      <c r="AP915" s="80">
        <v>9.7222222222220767E-3</v>
      </c>
      <c r="AQ915" s="81">
        <v>41796</v>
      </c>
      <c r="AR915" s="77" t="str">
        <f t="shared" si="305"/>
        <v>Internacional</v>
      </c>
      <c r="AS915" s="77">
        <f t="shared" si="305"/>
        <v>1.7613636363636366E-2</v>
      </c>
      <c r="AT915" s="77">
        <f t="shared" si="305"/>
        <v>1.0246780303030303</v>
      </c>
      <c r="AU915" s="77">
        <f t="shared" si="305"/>
        <v>1.0422916666666666</v>
      </c>
      <c r="AV915" s="77" t="str">
        <f t="shared" si="305"/>
        <v>B737-800</v>
      </c>
      <c r="AW915" s="77">
        <f t="shared" si="305"/>
        <v>189</v>
      </c>
      <c r="AX915" s="77" t="str">
        <f t="shared" si="305"/>
        <v>PTY</v>
      </c>
    </row>
    <row r="916" spans="1:50" ht="15.75" thickBot="1" x14ac:dyDescent="0.3">
      <c r="A916">
        <v>902</v>
      </c>
      <c r="B916" s="36" t="str">
        <f t="shared" si="302"/>
        <v>BARATA Y MORADA</v>
      </c>
      <c r="C916" s="36">
        <f t="shared" si="302"/>
        <v>5742</v>
      </c>
      <c r="D916" s="176">
        <v>0.58333333333333337</v>
      </c>
      <c r="E916" s="176">
        <v>0.59375</v>
      </c>
      <c r="F916" s="177">
        <v>1.041666666666663E-2</v>
      </c>
      <c r="G916" s="176">
        <v>0.59791666666666665</v>
      </c>
      <c r="H916" s="177">
        <v>4.1666666666666519E-3</v>
      </c>
      <c r="I916" s="97">
        <v>41727</v>
      </c>
      <c r="J916" s="36" t="str">
        <f t="shared" si="306"/>
        <v>Nacional</v>
      </c>
      <c r="K916" s="36">
        <f t="shared" si="306"/>
        <v>9.0277777777778203E-3</v>
      </c>
      <c r="L916" s="36">
        <f t="shared" si="306"/>
        <v>6.4814814814814587E-3</v>
      </c>
      <c r="M916" s="36">
        <f t="shared" si="306"/>
        <v>1.5509259259259278E-2</v>
      </c>
      <c r="N916" s="36" t="str">
        <f t="shared" si="306"/>
        <v>A319</v>
      </c>
      <c r="O916" s="36">
        <f t="shared" si="306"/>
        <v>142</v>
      </c>
      <c r="P916" s="36" t="str">
        <f t="shared" si="306"/>
        <v>MEX</v>
      </c>
      <c r="R916">
        <v>902</v>
      </c>
      <c r="S916" s="36" t="str">
        <f t="shared" si="292"/>
        <v>VUELOS AL NORTE AIRLINES</v>
      </c>
      <c r="T916" s="36">
        <f t="shared" si="292"/>
        <v>242</v>
      </c>
      <c r="U916" s="73">
        <v>0.24027777777777778</v>
      </c>
      <c r="V916" s="74">
        <v>0.26874999999999999</v>
      </c>
      <c r="W916" s="75">
        <v>2.8472222222222204E-2</v>
      </c>
      <c r="X916" s="74">
        <v>0.28888888888888892</v>
      </c>
      <c r="Y916" s="75">
        <v>2.0138888888888928E-2</v>
      </c>
      <c r="Z916" s="76">
        <v>41747</v>
      </c>
      <c r="AA916" s="36" t="str">
        <f t="shared" si="301"/>
        <v>Internacional</v>
      </c>
      <c r="AB916" s="36">
        <f t="shared" si="301"/>
        <v>1.539855072463768E-2</v>
      </c>
      <c r="AC916" s="36">
        <f t="shared" si="301"/>
        <v>2.1739130434782605E-2</v>
      </c>
      <c r="AD916" s="36">
        <f t="shared" si="301"/>
        <v>3.7137681159420288E-2</v>
      </c>
      <c r="AE916" s="36" t="str">
        <f t="shared" si="301"/>
        <v>B737-800</v>
      </c>
      <c r="AF916" s="36">
        <f t="shared" si="301"/>
        <v>189</v>
      </c>
      <c r="AG916" s="36" t="str">
        <f t="shared" si="301"/>
        <v>LAX</v>
      </c>
      <c r="AI916">
        <v>902</v>
      </c>
      <c r="AJ916" s="77" t="str">
        <f t="shared" si="304"/>
        <v>COPA</v>
      </c>
      <c r="AK916" s="77">
        <f t="shared" si="304"/>
        <v>722</v>
      </c>
      <c r="AL916" s="78">
        <v>0.94930555555555562</v>
      </c>
      <c r="AM916" s="79">
        <v>0.96666666666666667</v>
      </c>
      <c r="AN916" s="80">
        <v>1.7361111111111049E-2</v>
      </c>
      <c r="AO916" s="79">
        <v>0.97222222222222221</v>
      </c>
      <c r="AP916" s="80">
        <v>5.5555555555555358E-3</v>
      </c>
      <c r="AQ916" s="81">
        <v>41797</v>
      </c>
      <c r="AR916" s="77" t="str">
        <f t="shared" si="305"/>
        <v>Internacional</v>
      </c>
      <c r="AS916" s="77">
        <f t="shared" si="305"/>
        <v>1.7613636363636366E-2</v>
      </c>
      <c r="AT916" s="77">
        <f t="shared" si="305"/>
        <v>1.0246780303030303</v>
      </c>
      <c r="AU916" s="77">
        <f t="shared" si="305"/>
        <v>1.0422916666666666</v>
      </c>
      <c r="AV916" s="77" t="str">
        <f t="shared" si="305"/>
        <v>B737-800</v>
      </c>
      <c r="AW916" s="77">
        <f t="shared" si="305"/>
        <v>189</v>
      </c>
      <c r="AX916" s="77" t="str">
        <f t="shared" si="305"/>
        <v>PTY</v>
      </c>
    </row>
    <row r="917" spans="1:50" x14ac:dyDescent="0.25">
      <c r="A917">
        <v>903</v>
      </c>
      <c r="B917" s="36" t="str">
        <f t="shared" si="302"/>
        <v>BARATA Y MORADA</v>
      </c>
      <c r="C917" s="151">
        <v>5633</v>
      </c>
      <c r="D917" s="152">
        <v>0.99236111111111114</v>
      </c>
      <c r="E917" s="152">
        <v>1.0006944444444443</v>
      </c>
      <c r="F917" s="153">
        <v>8.3333333333331927E-3</v>
      </c>
      <c r="G917" s="152">
        <v>1.0125</v>
      </c>
      <c r="H917" s="153">
        <v>1.1805555555555625E-2</v>
      </c>
      <c r="I917" s="67">
        <v>41715</v>
      </c>
      <c r="J917" s="174" t="s">
        <v>19</v>
      </c>
      <c r="K917" s="135">
        <v>8.7962962962962275E-3</v>
      </c>
      <c r="L917" s="135">
        <v>1.3425925925925952E-2</v>
      </c>
      <c r="M917" s="175">
        <v>2.2222222222222178E-2</v>
      </c>
      <c r="N917" s="90">
        <v>320</v>
      </c>
      <c r="O917" s="91">
        <v>179</v>
      </c>
      <c r="P917" s="92" t="s">
        <v>46</v>
      </c>
      <c r="R917">
        <v>903</v>
      </c>
      <c r="S917" s="36" t="str">
        <f t="shared" si="292"/>
        <v>VUELOS AL NORTE AIRLINES</v>
      </c>
      <c r="T917" s="36">
        <f t="shared" si="292"/>
        <v>242</v>
      </c>
      <c r="U917" s="73">
        <v>0.23263888888888887</v>
      </c>
      <c r="V917" s="74">
        <v>0.25069444444444444</v>
      </c>
      <c r="W917" s="75">
        <v>1.8055555555555575E-2</v>
      </c>
      <c r="X917" s="74">
        <v>0.27499999999999997</v>
      </c>
      <c r="Y917" s="75">
        <v>2.4305555555555525E-2</v>
      </c>
      <c r="Z917" s="76">
        <v>41749</v>
      </c>
      <c r="AA917" s="36" t="str">
        <f t="shared" si="301"/>
        <v>Internacional</v>
      </c>
      <c r="AB917" s="36">
        <f t="shared" si="301"/>
        <v>1.539855072463768E-2</v>
      </c>
      <c r="AC917" s="36">
        <f t="shared" si="301"/>
        <v>2.1739130434782605E-2</v>
      </c>
      <c r="AD917" s="36">
        <f t="shared" si="301"/>
        <v>3.7137681159420288E-2</v>
      </c>
      <c r="AE917" s="36" t="str">
        <f t="shared" si="301"/>
        <v>B737-800</v>
      </c>
      <c r="AF917" s="36">
        <f t="shared" si="301"/>
        <v>189</v>
      </c>
      <c r="AG917" s="36" t="str">
        <f t="shared" si="301"/>
        <v>LAX</v>
      </c>
      <c r="AI917">
        <v>903</v>
      </c>
      <c r="AJ917" s="77" t="str">
        <f t="shared" si="304"/>
        <v>COPA</v>
      </c>
      <c r="AK917" s="77">
        <f t="shared" si="304"/>
        <v>722</v>
      </c>
      <c r="AL917" s="78">
        <v>0.96666666666666667</v>
      </c>
      <c r="AM917" s="79">
        <v>0.9916666666666667</v>
      </c>
      <c r="AN917" s="80">
        <v>2.5000000000000022E-2</v>
      </c>
      <c r="AO917" s="79">
        <v>1.0062499999999999</v>
      </c>
      <c r="AP917" s="80">
        <v>1.4583333333333171E-2</v>
      </c>
      <c r="AQ917" s="81">
        <v>41798</v>
      </c>
      <c r="AR917" s="77" t="str">
        <f t="shared" si="305"/>
        <v>Internacional</v>
      </c>
      <c r="AS917" s="77">
        <f t="shared" si="305"/>
        <v>1.7613636363636366E-2</v>
      </c>
      <c r="AT917" s="77">
        <f t="shared" si="305"/>
        <v>1.0246780303030303</v>
      </c>
      <c r="AU917" s="77">
        <f t="shared" si="305"/>
        <v>1.0422916666666666</v>
      </c>
      <c r="AV917" s="77" t="str">
        <f t="shared" si="305"/>
        <v>B737-800</v>
      </c>
      <c r="AW917" s="77">
        <f t="shared" si="305"/>
        <v>189</v>
      </c>
      <c r="AX917" s="77" t="str">
        <f t="shared" si="305"/>
        <v>PTY</v>
      </c>
    </row>
    <row r="918" spans="1:50" x14ac:dyDescent="0.25">
      <c r="A918">
        <v>904</v>
      </c>
      <c r="B918" s="36" t="str">
        <f t="shared" si="302"/>
        <v>BARATA Y MORADA</v>
      </c>
      <c r="C918" s="36">
        <f t="shared" si="302"/>
        <v>5633</v>
      </c>
      <c r="D918" s="118">
        <v>0.84583333333333333</v>
      </c>
      <c r="E918" s="118">
        <v>0.8520833333333333</v>
      </c>
      <c r="F918" s="119">
        <v>6.2499999999999778E-3</v>
      </c>
      <c r="G918" s="118">
        <v>0.86805555555555547</v>
      </c>
      <c r="H918" s="119">
        <v>1.5972222222222165E-2</v>
      </c>
      <c r="I918" s="81">
        <v>41721</v>
      </c>
      <c r="J918" s="36" t="str">
        <f t="shared" ref="J918:P919" si="307">J917</f>
        <v>Nacional</v>
      </c>
      <c r="K918" s="36">
        <f t="shared" si="307"/>
        <v>8.7962962962962275E-3</v>
      </c>
      <c r="L918" s="36">
        <f t="shared" si="307"/>
        <v>1.3425925925925952E-2</v>
      </c>
      <c r="M918" s="36">
        <f t="shared" si="307"/>
        <v>2.2222222222222178E-2</v>
      </c>
      <c r="N918" s="36">
        <f t="shared" si="307"/>
        <v>320</v>
      </c>
      <c r="O918" s="36">
        <f t="shared" si="307"/>
        <v>179</v>
      </c>
      <c r="P918" s="36" t="str">
        <f t="shared" si="307"/>
        <v>CUN</v>
      </c>
      <c r="R918">
        <v>904</v>
      </c>
      <c r="S918" s="36" t="str">
        <f t="shared" si="292"/>
        <v>VUELOS AL NORTE AIRLINES</v>
      </c>
      <c r="T918" s="36">
        <f t="shared" si="292"/>
        <v>242</v>
      </c>
      <c r="U918" s="73">
        <v>0.22777777777777777</v>
      </c>
      <c r="V918" s="74">
        <v>0.2388888888888889</v>
      </c>
      <c r="W918" s="75">
        <v>1.1111111111111127E-2</v>
      </c>
      <c r="X918" s="74">
        <v>0.26527777777777778</v>
      </c>
      <c r="Y918" s="75">
        <v>2.6388888888888878E-2</v>
      </c>
      <c r="Z918" s="76">
        <v>41749</v>
      </c>
      <c r="AA918" s="36" t="str">
        <f t="shared" si="301"/>
        <v>Internacional</v>
      </c>
      <c r="AB918" s="36">
        <f t="shared" si="301"/>
        <v>1.539855072463768E-2</v>
      </c>
      <c r="AC918" s="36">
        <f t="shared" si="301"/>
        <v>2.1739130434782605E-2</v>
      </c>
      <c r="AD918" s="36">
        <f t="shared" si="301"/>
        <v>3.7137681159420288E-2</v>
      </c>
      <c r="AE918" s="36" t="str">
        <f t="shared" si="301"/>
        <v>B737-800</v>
      </c>
      <c r="AF918" s="36">
        <f t="shared" si="301"/>
        <v>189</v>
      </c>
      <c r="AG918" s="36" t="str">
        <f t="shared" si="301"/>
        <v>LAX</v>
      </c>
      <c r="AI918">
        <v>904</v>
      </c>
      <c r="AJ918" s="77" t="str">
        <f t="shared" si="304"/>
        <v>COPA</v>
      </c>
      <c r="AK918" s="77">
        <f t="shared" si="304"/>
        <v>722</v>
      </c>
      <c r="AL918" s="78">
        <v>0.95416666666666661</v>
      </c>
      <c r="AM918" s="79">
        <v>0.97152777777777777</v>
      </c>
      <c r="AN918" s="80">
        <v>1.736111111111116E-2</v>
      </c>
      <c r="AO918" s="79">
        <v>0.99513888888888891</v>
      </c>
      <c r="AP918" s="80">
        <v>2.3611111111111138E-2</v>
      </c>
      <c r="AQ918" s="81">
        <v>41800</v>
      </c>
      <c r="AR918" s="77" t="str">
        <f t="shared" si="305"/>
        <v>Internacional</v>
      </c>
      <c r="AS918" s="77">
        <f t="shared" si="305"/>
        <v>1.7613636363636366E-2</v>
      </c>
      <c r="AT918" s="77">
        <f t="shared" si="305"/>
        <v>1.0246780303030303</v>
      </c>
      <c r="AU918" s="77">
        <f t="shared" si="305"/>
        <v>1.0422916666666666</v>
      </c>
      <c r="AV918" s="77" t="str">
        <f t="shared" si="305"/>
        <v>B737-800</v>
      </c>
      <c r="AW918" s="77">
        <f t="shared" si="305"/>
        <v>189</v>
      </c>
      <c r="AX918" s="77" t="str">
        <f t="shared" si="305"/>
        <v>PTY</v>
      </c>
    </row>
    <row r="919" spans="1:50" ht="15.75" thickBot="1" x14ac:dyDescent="0.3">
      <c r="A919">
        <v>905</v>
      </c>
      <c r="B919" s="36" t="str">
        <f t="shared" si="302"/>
        <v>BARATA Y MORADA</v>
      </c>
      <c r="C919" s="36">
        <f t="shared" si="302"/>
        <v>5633</v>
      </c>
      <c r="D919" s="176">
        <v>0.84861111111111109</v>
      </c>
      <c r="E919" s="176">
        <v>0.86041666666666661</v>
      </c>
      <c r="F919" s="177">
        <v>1.1805555555555514E-2</v>
      </c>
      <c r="G919" s="176">
        <v>0.87291666666666667</v>
      </c>
      <c r="H919" s="177">
        <v>1.2500000000000067E-2</v>
      </c>
      <c r="I919" s="97">
        <v>41727</v>
      </c>
      <c r="J919" s="36" t="str">
        <f t="shared" si="307"/>
        <v>Nacional</v>
      </c>
      <c r="K919" s="36">
        <f t="shared" si="307"/>
        <v>8.7962962962962275E-3</v>
      </c>
      <c r="L919" s="36">
        <f t="shared" si="307"/>
        <v>1.3425925925925952E-2</v>
      </c>
      <c r="M919" s="36">
        <f t="shared" si="307"/>
        <v>2.2222222222222178E-2</v>
      </c>
      <c r="N919" s="36">
        <f t="shared" si="307"/>
        <v>320</v>
      </c>
      <c r="O919" s="36">
        <f t="shared" si="307"/>
        <v>179</v>
      </c>
      <c r="P919" s="36" t="str">
        <f t="shared" si="307"/>
        <v>CUN</v>
      </c>
      <c r="R919">
        <v>905</v>
      </c>
      <c r="S919" s="36" t="str">
        <f t="shared" si="292"/>
        <v>VUELOS AL NORTE AIRLINES</v>
      </c>
      <c r="T919" s="36">
        <f t="shared" si="292"/>
        <v>242</v>
      </c>
      <c r="U919" s="73">
        <v>0.23402777777777781</v>
      </c>
      <c r="V919" s="74">
        <v>0.24861111111111112</v>
      </c>
      <c r="W919" s="75">
        <v>1.4583333333333309E-2</v>
      </c>
      <c r="X919" s="74">
        <v>0.27638888888888885</v>
      </c>
      <c r="Y919" s="75">
        <v>2.7777777777777735E-2</v>
      </c>
      <c r="Z919" s="76">
        <v>41751</v>
      </c>
      <c r="AA919" s="36" t="str">
        <f t="shared" si="301"/>
        <v>Internacional</v>
      </c>
      <c r="AB919" s="36">
        <f t="shared" si="301"/>
        <v>1.539855072463768E-2</v>
      </c>
      <c r="AC919" s="36">
        <f t="shared" si="301"/>
        <v>2.1739130434782605E-2</v>
      </c>
      <c r="AD919" s="36">
        <f t="shared" si="301"/>
        <v>3.7137681159420288E-2</v>
      </c>
      <c r="AE919" s="36" t="str">
        <f t="shared" si="301"/>
        <v>B737-800</v>
      </c>
      <c r="AF919" s="36">
        <f t="shared" si="301"/>
        <v>189</v>
      </c>
      <c r="AG919" s="36" t="str">
        <f t="shared" si="301"/>
        <v>LAX</v>
      </c>
      <c r="AI919">
        <v>905</v>
      </c>
      <c r="AJ919" s="77" t="str">
        <f t="shared" si="304"/>
        <v>COPA</v>
      </c>
      <c r="AK919" s="77">
        <f t="shared" si="304"/>
        <v>722</v>
      </c>
      <c r="AL919" s="78">
        <v>0.79513888888888884</v>
      </c>
      <c r="AM919" s="79">
        <v>0.80555555555555547</v>
      </c>
      <c r="AN919" s="80">
        <v>1.041666666666663E-2</v>
      </c>
      <c r="AO919" s="79">
        <v>0.81388888888888899</v>
      </c>
      <c r="AP919" s="80">
        <v>8.3333333333335258E-3</v>
      </c>
      <c r="AQ919" s="81">
        <v>41800</v>
      </c>
      <c r="AR919" s="77" t="str">
        <f t="shared" si="305"/>
        <v>Internacional</v>
      </c>
      <c r="AS919" s="77">
        <f t="shared" si="305"/>
        <v>1.7613636363636366E-2</v>
      </c>
      <c r="AT919" s="77">
        <f t="shared" si="305"/>
        <v>1.0246780303030303</v>
      </c>
      <c r="AU919" s="77">
        <f t="shared" si="305"/>
        <v>1.0422916666666666</v>
      </c>
      <c r="AV919" s="77" t="str">
        <f t="shared" si="305"/>
        <v>B737-800</v>
      </c>
      <c r="AW919" s="77">
        <f t="shared" si="305"/>
        <v>189</v>
      </c>
      <c r="AX919" s="77" t="str">
        <f t="shared" si="305"/>
        <v>PTY</v>
      </c>
    </row>
    <row r="920" spans="1:50" x14ac:dyDescent="0.25">
      <c r="A920">
        <v>906</v>
      </c>
      <c r="B920" s="36" t="str">
        <f t="shared" si="302"/>
        <v>BARATA Y MORADA</v>
      </c>
      <c r="C920" s="151">
        <v>5436</v>
      </c>
      <c r="D920" s="152">
        <v>0.93888888888888899</v>
      </c>
      <c r="E920" s="152">
        <v>0.95208333333333339</v>
      </c>
      <c r="F920" s="153">
        <v>1.3194444444444398E-2</v>
      </c>
      <c r="G920" s="152">
        <v>0.96527777777777779</v>
      </c>
      <c r="H920" s="153">
        <v>1.3194444444444398E-2</v>
      </c>
      <c r="I920" s="67">
        <v>41715</v>
      </c>
      <c r="J920" s="174" t="s">
        <v>19</v>
      </c>
      <c r="K920" s="135">
        <v>9.2261904761904122E-3</v>
      </c>
      <c r="L920" s="135">
        <v>9.7222222222222189E-3</v>
      </c>
      <c r="M920" s="175">
        <v>1.8948412698412631E-2</v>
      </c>
      <c r="N920" s="90">
        <v>320</v>
      </c>
      <c r="O920" s="91">
        <v>179</v>
      </c>
      <c r="P920" s="92" t="s">
        <v>34</v>
      </c>
      <c r="R920">
        <v>906</v>
      </c>
      <c r="S920" s="36" t="str">
        <f t="shared" si="292"/>
        <v>VUELOS AL NORTE AIRLINES</v>
      </c>
      <c r="T920" s="36">
        <f t="shared" si="292"/>
        <v>242</v>
      </c>
      <c r="U920" s="73">
        <v>0.22847222222222222</v>
      </c>
      <c r="V920" s="74">
        <v>0.24166666666666667</v>
      </c>
      <c r="W920" s="75">
        <v>1.3194444444444453E-2</v>
      </c>
      <c r="X920" s="74">
        <v>0.26944444444444443</v>
      </c>
      <c r="Y920" s="75">
        <v>2.7777777777777762E-2</v>
      </c>
      <c r="Z920" s="76">
        <v>41752</v>
      </c>
      <c r="AA920" s="36" t="str">
        <f t="shared" si="301"/>
        <v>Internacional</v>
      </c>
      <c r="AB920" s="36">
        <f t="shared" si="301"/>
        <v>1.539855072463768E-2</v>
      </c>
      <c r="AC920" s="36">
        <f t="shared" si="301"/>
        <v>2.1739130434782605E-2</v>
      </c>
      <c r="AD920" s="36">
        <f t="shared" si="301"/>
        <v>3.7137681159420288E-2</v>
      </c>
      <c r="AE920" s="36" t="str">
        <f t="shared" si="301"/>
        <v>B737-800</v>
      </c>
      <c r="AF920" s="36">
        <f t="shared" si="301"/>
        <v>189</v>
      </c>
      <c r="AG920" s="36" t="str">
        <f t="shared" si="301"/>
        <v>LAX</v>
      </c>
      <c r="AI920">
        <v>906</v>
      </c>
      <c r="AJ920" s="77" t="str">
        <f t="shared" si="304"/>
        <v>COPA</v>
      </c>
      <c r="AK920" s="77">
        <f t="shared" si="304"/>
        <v>722</v>
      </c>
      <c r="AL920" s="78">
        <v>0.22013888888888888</v>
      </c>
      <c r="AM920" s="79">
        <v>0.23124999999999998</v>
      </c>
      <c r="AN920" s="80">
        <v>1.1111111111111099E-2</v>
      </c>
      <c r="AO920" s="79">
        <v>0.24861111111111112</v>
      </c>
      <c r="AP920" s="80">
        <v>1.7361111111111133E-2</v>
      </c>
      <c r="AQ920" s="81">
        <v>41801</v>
      </c>
      <c r="AR920" s="77" t="str">
        <f t="shared" si="305"/>
        <v>Internacional</v>
      </c>
      <c r="AS920" s="77">
        <f t="shared" si="305"/>
        <v>1.7613636363636366E-2</v>
      </c>
      <c r="AT920" s="77">
        <f t="shared" si="305"/>
        <v>1.0246780303030303</v>
      </c>
      <c r="AU920" s="77">
        <f t="shared" si="305"/>
        <v>1.0422916666666666</v>
      </c>
      <c r="AV920" s="77" t="str">
        <f t="shared" si="305"/>
        <v>B737-800</v>
      </c>
      <c r="AW920" s="77">
        <f t="shared" si="305"/>
        <v>189</v>
      </c>
      <c r="AX920" s="77" t="str">
        <f t="shared" si="305"/>
        <v>PTY</v>
      </c>
    </row>
    <row r="921" spans="1:50" x14ac:dyDescent="0.25">
      <c r="A921">
        <v>907</v>
      </c>
      <c r="B921" s="36" t="str">
        <f t="shared" si="302"/>
        <v>BARATA Y MORADA</v>
      </c>
      <c r="C921" s="36">
        <f t="shared" si="302"/>
        <v>5436</v>
      </c>
      <c r="D921" s="118">
        <v>0.99375000000000002</v>
      </c>
      <c r="E921" s="118">
        <v>1.0034722222222221</v>
      </c>
      <c r="F921" s="119">
        <v>9.7222222222220767E-3</v>
      </c>
      <c r="G921" s="118">
        <v>1.0111111111111111</v>
      </c>
      <c r="H921" s="119">
        <v>7.6388888888889728E-3</v>
      </c>
      <c r="I921" s="81">
        <v>41721</v>
      </c>
      <c r="J921" s="36" t="str">
        <f t="shared" ref="J921:P926" si="308">J920</f>
        <v>Nacional</v>
      </c>
      <c r="K921" s="36">
        <f t="shared" si="308"/>
        <v>9.2261904761904122E-3</v>
      </c>
      <c r="L921" s="36">
        <f t="shared" si="308"/>
        <v>9.7222222222222189E-3</v>
      </c>
      <c r="M921" s="36">
        <f t="shared" si="308"/>
        <v>1.8948412698412631E-2</v>
      </c>
      <c r="N921" s="36">
        <f t="shared" si="308"/>
        <v>320</v>
      </c>
      <c r="O921" s="36">
        <f t="shared" si="308"/>
        <v>179</v>
      </c>
      <c r="P921" s="36" t="str">
        <f t="shared" si="308"/>
        <v>TIJ</v>
      </c>
      <c r="R921">
        <v>907</v>
      </c>
      <c r="S921" s="36" t="str">
        <f t="shared" si="292"/>
        <v>VUELOS AL NORTE AIRLINES</v>
      </c>
      <c r="T921" s="36">
        <f t="shared" si="292"/>
        <v>242</v>
      </c>
      <c r="U921" s="73">
        <v>0.22222222222222221</v>
      </c>
      <c r="V921" s="74">
        <v>0.22361111111111109</v>
      </c>
      <c r="W921" s="75">
        <v>1.388888888888884E-3</v>
      </c>
      <c r="X921" s="74">
        <v>0.24305555555555555</v>
      </c>
      <c r="Y921" s="75">
        <v>1.9444444444444459E-2</v>
      </c>
      <c r="Z921" s="76">
        <v>41752</v>
      </c>
      <c r="AA921" s="36" t="str">
        <f t="shared" si="301"/>
        <v>Internacional</v>
      </c>
      <c r="AB921" s="36">
        <f t="shared" si="301"/>
        <v>1.539855072463768E-2</v>
      </c>
      <c r="AC921" s="36">
        <f t="shared" si="301"/>
        <v>2.1739130434782605E-2</v>
      </c>
      <c r="AD921" s="36">
        <f t="shared" si="301"/>
        <v>3.7137681159420288E-2</v>
      </c>
      <c r="AE921" s="36" t="str">
        <f t="shared" si="301"/>
        <v>B737-800</v>
      </c>
      <c r="AF921" s="36">
        <f t="shared" si="301"/>
        <v>189</v>
      </c>
      <c r="AG921" s="36" t="str">
        <f t="shared" si="301"/>
        <v>LAX</v>
      </c>
      <c r="AI921">
        <v>907</v>
      </c>
      <c r="AJ921" s="77" t="str">
        <f t="shared" si="304"/>
        <v>COPA</v>
      </c>
      <c r="AK921" s="77">
        <f t="shared" si="304"/>
        <v>722</v>
      </c>
      <c r="AL921" s="78">
        <v>0.52986111111111112</v>
      </c>
      <c r="AM921" s="79">
        <v>0.54166666666666663</v>
      </c>
      <c r="AN921" s="80">
        <v>1.1805555555555514E-2</v>
      </c>
      <c r="AO921" s="79">
        <v>0.55138888888888882</v>
      </c>
      <c r="AP921" s="80">
        <v>9.7222222222221877E-3</v>
      </c>
      <c r="AQ921" s="81">
        <v>41802</v>
      </c>
      <c r="AR921" s="77" t="str">
        <f t="shared" si="305"/>
        <v>Internacional</v>
      </c>
      <c r="AS921" s="77">
        <f t="shared" si="305"/>
        <v>1.7613636363636366E-2</v>
      </c>
      <c r="AT921" s="77">
        <f t="shared" si="305"/>
        <v>1.0246780303030303</v>
      </c>
      <c r="AU921" s="77">
        <f t="shared" si="305"/>
        <v>1.0422916666666666</v>
      </c>
      <c r="AV921" s="77" t="str">
        <f t="shared" si="305"/>
        <v>B737-800</v>
      </c>
      <c r="AW921" s="77">
        <f t="shared" si="305"/>
        <v>189</v>
      </c>
      <c r="AX921" s="77" t="str">
        <f t="shared" si="305"/>
        <v>PTY</v>
      </c>
    </row>
    <row r="922" spans="1:50" x14ac:dyDescent="0.25">
      <c r="A922">
        <v>908</v>
      </c>
      <c r="B922" s="36" t="str">
        <f t="shared" si="302"/>
        <v>BARATA Y MORADA</v>
      </c>
      <c r="C922" s="36">
        <f t="shared" si="302"/>
        <v>5436</v>
      </c>
      <c r="D922" s="118">
        <v>0.99375000000000002</v>
      </c>
      <c r="E922" s="118">
        <v>0.99791666666666667</v>
      </c>
      <c r="F922" s="119">
        <v>4.1666666666666519E-3</v>
      </c>
      <c r="G922" s="118">
        <v>1.0034722222222221</v>
      </c>
      <c r="H922" s="119">
        <v>5.5555555555554248E-3</v>
      </c>
      <c r="I922" s="81">
        <v>41722</v>
      </c>
      <c r="J922" s="36" t="str">
        <f t="shared" si="308"/>
        <v>Nacional</v>
      </c>
      <c r="K922" s="36">
        <f t="shared" si="308"/>
        <v>9.2261904761904122E-3</v>
      </c>
      <c r="L922" s="36">
        <f t="shared" si="308"/>
        <v>9.7222222222222189E-3</v>
      </c>
      <c r="M922" s="36">
        <f t="shared" si="308"/>
        <v>1.8948412698412631E-2</v>
      </c>
      <c r="N922" s="36">
        <f t="shared" si="308"/>
        <v>320</v>
      </c>
      <c r="O922" s="36">
        <f t="shared" si="308"/>
        <v>179</v>
      </c>
      <c r="P922" s="36" t="str">
        <f t="shared" si="308"/>
        <v>TIJ</v>
      </c>
      <c r="R922">
        <v>908</v>
      </c>
      <c r="S922" s="36" t="str">
        <f t="shared" si="292"/>
        <v>VUELOS AL NORTE AIRLINES</v>
      </c>
      <c r="T922" s="36">
        <f t="shared" si="292"/>
        <v>242</v>
      </c>
      <c r="U922" s="73">
        <v>0.23402777777777781</v>
      </c>
      <c r="V922" s="74">
        <v>0.2388888888888889</v>
      </c>
      <c r="W922" s="75">
        <v>4.8611111111110938E-3</v>
      </c>
      <c r="X922" s="74">
        <v>0.25</v>
      </c>
      <c r="Y922" s="75">
        <v>1.1111111111111099E-2</v>
      </c>
      <c r="Z922" s="76">
        <v>41754</v>
      </c>
      <c r="AA922" s="36" t="str">
        <f t="shared" si="301"/>
        <v>Internacional</v>
      </c>
      <c r="AB922" s="36">
        <f t="shared" si="301"/>
        <v>1.539855072463768E-2</v>
      </c>
      <c r="AC922" s="36">
        <f t="shared" si="301"/>
        <v>2.1739130434782605E-2</v>
      </c>
      <c r="AD922" s="36">
        <f t="shared" si="301"/>
        <v>3.7137681159420288E-2</v>
      </c>
      <c r="AE922" s="36" t="str">
        <f t="shared" si="301"/>
        <v>B737-800</v>
      </c>
      <c r="AF922" s="36">
        <f t="shared" si="301"/>
        <v>189</v>
      </c>
      <c r="AG922" s="36" t="str">
        <f t="shared" si="301"/>
        <v>LAX</v>
      </c>
      <c r="AI922">
        <v>908</v>
      </c>
      <c r="AJ922" s="77" t="str">
        <f t="shared" si="304"/>
        <v>COPA</v>
      </c>
      <c r="AK922" s="77">
        <f t="shared" si="304"/>
        <v>722</v>
      </c>
      <c r="AL922" s="78">
        <v>0.56944444444444442</v>
      </c>
      <c r="AM922" s="79">
        <v>0.57777777777777783</v>
      </c>
      <c r="AN922" s="80">
        <v>8.3333333333334147E-3</v>
      </c>
      <c r="AO922" s="79">
        <v>0.5854166666666667</v>
      </c>
      <c r="AP922" s="80">
        <v>7.6388888888888618E-3</v>
      </c>
      <c r="AQ922" s="81">
        <v>41803</v>
      </c>
      <c r="AR922" s="77" t="str">
        <f t="shared" si="305"/>
        <v>Internacional</v>
      </c>
      <c r="AS922" s="77">
        <f t="shared" si="305"/>
        <v>1.7613636363636366E-2</v>
      </c>
      <c r="AT922" s="77">
        <f t="shared" si="305"/>
        <v>1.0246780303030303</v>
      </c>
      <c r="AU922" s="77">
        <f t="shared" si="305"/>
        <v>1.0422916666666666</v>
      </c>
      <c r="AV922" s="77" t="str">
        <f t="shared" si="305"/>
        <v>B737-800</v>
      </c>
      <c r="AW922" s="77">
        <f t="shared" si="305"/>
        <v>189</v>
      </c>
      <c r="AX922" s="77" t="str">
        <f t="shared" si="305"/>
        <v>PTY</v>
      </c>
    </row>
    <row r="923" spans="1:50" x14ac:dyDescent="0.25">
      <c r="A923">
        <v>909</v>
      </c>
      <c r="B923" s="36" t="str">
        <f t="shared" si="302"/>
        <v>BARATA Y MORADA</v>
      </c>
      <c r="C923" s="36">
        <f t="shared" si="302"/>
        <v>5436</v>
      </c>
      <c r="D923" s="118">
        <v>0.92499999999999993</v>
      </c>
      <c r="E923" s="118">
        <v>0.92708333333333337</v>
      </c>
      <c r="F923" s="119">
        <v>2.083333333333437E-3</v>
      </c>
      <c r="G923" s="118">
        <v>0.9458333333333333</v>
      </c>
      <c r="H923" s="119">
        <v>1.8749999999999933E-2</v>
      </c>
      <c r="I923" s="81">
        <v>41722</v>
      </c>
      <c r="J923" s="36" t="str">
        <f t="shared" si="308"/>
        <v>Nacional</v>
      </c>
      <c r="K923" s="36">
        <f t="shared" si="308"/>
        <v>9.2261904761904122E-3</v>
      </c>
      <c r="L923" s="36">
        <f t="shared" si="308"/>
        <v>9.7222222222222189E-3</v>
      </c>
      <c r="M923" s="36">
        <f t="shared" si="308"/>
        <v>1.8948412698412631E-2</v>
      </c>
      <c r="N923" s="36">
        <f t="shared" si="308"/>
        <v>320</v>
      </c>
      <c r="O923" s="36">
        <f t="shared" si="308"/>
        <v>179</v>
      </c>
      <c r="P923" s="36" t="str">
        <f t="shared" si="308"/>
        <v>TIJ</v>
      </c>
      <c r="R923">
        <v>909</v>
      </c>
      <c r="S923" s="36" t="str">
        <f t="shared" si="292"/>
        <v>VUELOS AL NORTE AIRLINES</v>
      </c>
      <c r="T923" s="36">
        <f t="shared" si="292"/>
        <v>242</v>
      </c>
      <c r="U923" s="73">
        <v>0.22777777777777777</v>
      </c>
      <c r="V923" s="74">
        <v>0.24166666666666667</v>
      </c>
      <c r="W923" s="75">
        <v>1.3888888888888895E-2</v>
      </c>
      <c r="X923" s="74">
        <v>0.26458333333333334</v>
      </c>
      <c r="Y923" s="75">
        <v>2.2916666666666669E-2</v>
      </c>
      <c r="Z923" s="76">
        <v>41755</v>
      </c>
      <c r="AA923" s="36" t="str">
        <f t="shared" si="301"/>
        <v>Internacional</v>
      </c>
      <c r="AB923" s="36">
        <f t="shared" si="301"/>
        <v>1.539855072463768E-2</v>
      </c>
      <c r="AC923" s="36">
        <f t="shared" si="301"/>
        <v>2.1739130434782605E-2</v>
      </c>
      <c r="AD923" s="36">
        <f t="shared" si="301"/>
        <v>3.7137681159420288E-2</v>
      </c>
      <c r="AE923" s="36" t="str">
        <f t="shared" si="301"/>
        <v>B737-800</v>
      </c>
      <c r="AF923" s="36">
        <f t="shared" si="301"/>
        <v>189</v>
      </c>
      <c r="AG923" s="36" t="str">
        <f t="shared" si="301"/>
        <v>LAX</v>
      </c>
      <c r="AI923">
        <v>909</v>
      </c>
      <c r="AJ923" s="77" t="str">
        <f t="shared" si="304"/>
        <v>COPA</v>
      </c>
      <c r="AK923" s="77">
        <f t="shared" si="304"/>
        <v>722</v>
      </c>
      <c r="AL923" s="78">
        <v>0.94305555555555554</v>
      </c>
      <c r="AM923" s="79">
        <v>0.95138888888888884</v>
      </c>
      <c r="AN923" s="80">
        <v>8.3333333333333037E-3</v>
      </c>
      <c r="AO923" s="79">
        <v>0.95486111111111116</v>
      </c>
      <c r="AP923" s="80">
        <v>3.4722222222223209E-3</v>
      </c>
      <c r="AQ923" s="81">
        <v>41804</v>
      </c>
      <c r="AR923" s="77" t="str">
        <f t="shared" si="305"/>
        <v>Internacional</v>
      </c>
      <c r="AS923" s="77">
        <f t="shared" si="305"/>
        <v>1.7613636363636366E-2</v>
      </c>
      <c r="AT923" s="77">
        <f t="shared" si="305"/>
        <v>1.0246780303030303</v>
      </c>
      <c r="AU923" s="77">
        <f t="shared" si="305"/>
        <v>1.0422916666666666</v>
      </c>
      <c r="AV923" s="77" t="str">
        <f t="shared" si="305"/>
        <v>B737-800</v>
      </c>
      <c r="AW923" s="77">
        <f t="shared" si="305"/>
        <v>189</v>
      </c>
      <c r="AX923" s="77" t="str">
        <f t="shared" si="305"/>
        <v>PTY</v>
      </c>
    </row>
    <row r="924" spans="1:50" x14ac:dyDescent="0.25">
      <c r="A924">
        <v>910</v>
      </c>
      <c r="B924" s="36" t="str">
        <f t="shared" si="302"/>
        <v>BARATA Y MORADA</v>
      </c>
      <c r="C924" s="36">
        <f t="shared" si="302"/>
        <v>5436</v>
      </c>
      <c r="D924" s="118">
        <v>1.007638888888889</v>
      </c>
      <c r="E924" s="118">
        <v>1.023611111111111</v>
      </c>
      <c r="F924" s="119">
        <v>1.5972222222222054E-2</v>
      </c>
      <c r="G924" s="118">
        <v>1.0263888888888888</v>
      </c>
      <c r="H924" s="119">
        <v>2.7777777777777679E-3</v>
      </c>
      <c r="I924" s="81">
        <v>41725</v>
      </c>
      <c r="J924" s="36" t="str">
        <f t="shared" si="308"/>
        <v>Nacional</v>
      </c>
      <c r="K924" s="36">
        <f t="shared" si="308"/>
        <v>9.2261904761904122E-3</v>
      </c>
      <c r="L924" s="36">
        <f t="shared" si="308"/>
        <v>9.7222222222222189E-3</v>
      </c>
      <c r="M924" s="36">
        <f t="shared" si="308"/>
        <v>1.8948412698412631E-2</v>
      </c>
      <c r="N924" s="36">
        <f t="shared" si="308"/>
        <v>320</v>
      </c>
      <c r="O924" s="36">
        <f t="shared" si="308"/>
        <v>179</v>
      </c>
      <c r="P924" s="36" t="str">
        <f t="shared" si="308"/>
        <v>TIJ</v>
      </c>
      <c r="R924">
        <v>910</v>
      </c>
      <c r="S924" s="36" t="str">
        <f t="shared" si="292"/>
        <v>VUELOS AL NORTE AIRLINES</v>
      </c>
      <c r="T924" s="36">
        <f t="shared" si="292"/>
        <v>242</v>
      </c>
      <c r="U924" s="73">
        <v>0.22013888888888888</v>
      </c>
      <c r="V924" s="74">
        <v>0.24166666666666667</v>
      </c>
      <c r="W924" s="75">
        <v>2.1527777777777785E-2</v>
      </c>
      <c r="X924" s="74">
        <v>0.26597222222222222</v>
      </c>
      <c r="Y924" s="75">
        <v>2.4305555555555552E-2</v>
      </c>
      <c r="Z924" s="76">
        <v>41756</v>
      </c>
      <c r="AA924" s="36" t="str">
        <f t="shared" si="301"/>
        <v>Internacional</v>
      </c>
      <c r="AB924" s="36">
        <f t="shared" si="301"/>
        <v>1.539855072463768E-2</v>
      </c>
      <c r="AC924" s="36">
        <f t="shared" si="301"/>
        <v>2.1739130434782605E-2</v>
      </c>
      <c r="AD924" s="36">
        <f t="shared" si="301"/>
        <v>3.7137681159420288E-2</v>
      </c>
      <c r="AE924" s="36" t="str">
        <f t="shared" si="301"/>
        <v>B737-800</v>
      </c>
      <c r="AF924" s="36">
        <f t="shared" si="301"/>
        <v>189</v>
      </c>
      <c r="AG924" s="36" t="str">
        <f t="shared" si="301"/>
        <v>LAX</v>
      </c>
      <c r="AI924">
        <v>910</v>
      </c>
      <c r="AJ924" s="77" t="str">
        <f t="shared" si="304"/>
        <v>COPA</v>
      </c>
      <c r="AK924" s="77">
        <f t="shared" si="304"/>
        <v>722</v>
      </c>
      <c r="AL924" s="78">
        <v>0.67708333333333337</v>
      </c>
      <c r="AM924" s="79">
        <v>0.6875</v>
      </c>
      <c r="AN924" s="80">
        <v>1.041666666666663E-2</v>
      </c>
      <c r="AO924" s="79">
        <v>0.69444444444444453</v>
      </c>
      <c r="AP924" s="80">
        <v>6.9444444444445308E-3</v>
      </c>
      <c r="AQ924" s="81">
        <v>41805</v>
      </c>
      <c r="AR924" s="77" t="str">
        <f t="shared" si="305"/>
        <v>Internacional</v>
      </c>
      <c r="AS924" s="77">
        <f t="shared" si="305"/>
        <v>1.7613636363636366E-2</v>
      </c>
      <c r="AT924" s="77">
        <f t="shared" si="305"/>
        <v>1.0246780303030303</v>
      </c>
      <c r="AU924" s="77">
        <f t="shared" si="305"/>
        <v>1.0422916666666666</v>
      </c>
      <c r="AV924" s="77" t="str">
        <f t="shared" si="305"/>
        <v>B737-800</v>
      </c>
      <c r="AW924" s="77">
        <f t="shared" si="305"/>
        <v>189</v>
      </c>
      <c r="AX924" s="77" t="str">
        <f t="shared" si="305"/>
        <v>PTY</v>
      </c>
    </row>
    <row r="925" spans="1:50" x14ac:dyDescent="0.25">
      <c r="A925">
        <v>911</v>
      </c>
      <c r="B925" s="36" t="str">
        <f t="shared" si="302"/>
        <v>BARATA Y MORADA</v>
      </c>
      <c r="C925" s="36">
        <f t="shared" si="302"/>
        <v>5436</v>
      </c>
      <c r="D925" s="118">
        <v>0.98819444444444438</v>
      </c>
      <c r="E925" s="118">
        <v>0.99861111111111101</v>
      </c>
      <c r="F925" s="119">
        <v>1.041666666666663E-2</v>
      </c>
      <c r="G925" s="118">
        <v>1.0069444444444444</v>
      </c>
      <c r="H925" s="119">
        <v>8.3333333333334147E-3</v>
      </c>
      <c r="I925" s="81">
        <v>41726</v>
      </c>
      <c r="J925" s="36" t="str">
        <f t="shared" si="308"/>
        <v>Nacional</v>
      </c>
      <c r="K925" s="36">
        <f t="shared" si="308"/>
        <v>9.2261904761904122E-3</v>
      </c>
      <c r="L925" s="36">
        <f t="shared" si="308"/>
        <v>9.7222222222222189E-3</v>
      </c>
      <c r="M925" s="36">
        <f t="shared" si="308"/>
        <v>1.8948412698412631E-2</v>
      </c>
      <c r="N925" s="36">
        <f t="shared" si="308"/>
        <v>320</v>
      </c>
      <c r="O925" s="36">
        <f t="shared" si="308"/>
        <v>179</v>
      </c>
      <c r="P925" s="36" t="str">
        <f t="shared" si="308"/>
        <v>TIJ</v>
      </c>
      <c r="R925">
        <v>911</v>
      </c>
      <c r="S925" s="36" t="str">
        <f t="shared" si="292"/>
        <v>VUELOS AL NORTE AIRLINES</v>
      </c>
      <c r="T925" s="36">
        <f t="shared" si="292"/>
        <v>242</v>
      </c>
      <c r="U925" s="73">
        <v>0.2298611111111111</v>
      </c>
      <c r="V925" s="74">
        <v>0.24305555555555555</v>
      </c>
      <c r="W925" s="75">
        <v>1.3194444444444453E-2</v>
      </c>
      <c r="X925" s="74">
        <v>0.27708333333333335</v>
      </c>
      <c r="Y925" s="75">
        <v>3.4027777777777796E-2</v>
      </c>
      <c r="Z925" s="76">
        <v>41758</v>
      </c>
      <c r="AA925" s="36" t="str">
        <f t="shared" si="301"/>
        <v>Internacional</v>
      </c>
      <c r="AB925" s="36">
        <f t="shared" si="301"/>
        <v>1.539855072463768E-2</v>
      </c>
      <c r="AC925" s="36">
        <f t="shared" si="301"/>
        <v>2.1739130434782605E-2</v>
      </c>
      <c r="AD925" s="36">
        <f t="shared" si="301"/>
        <v>3.7137681159420288E-2</v>
      </c>
      <c r="AE925" s="36" t="str">
        <f t="shared" si="301"/>
        <v>B737-800</v>
      </c>
      <c r="AF925" s="36">
        <f t="shared" si="301"/>
        <v>189</v>
      </c>
      <c r="AG925" s="36" t="str">
        <f t="shared" si="301"/>
        <v>LAX</v>
      </c>
      <c r="AI925">
        <v>911</v>
      </c>
      <c r="AJ925" s="77" t="str">
        <f t="shared" si="304"/>
        <v>COPA</v>
      </c>
      <c r="AK925" s="77">
        <f t="shared" si="304"/>
        <v>722</v>
      </c>
      <c r="AL925" s="78">
        <v>0.92708333333333337</v>
      </c>
      <c r="AM925" s="79">
        <v>0.94097222222222221</v>
      </c>
      <c r="AN925" s="80">
        <v>1.388888888888884E-2</v>
      </c>
      <c r="AO925" s="79">
        <v>0.94791666666666663</v>
      </c>
      <c r="AP925" s="80">
        <v>6.9444444444444198E-3</v>
      </c>
      <c r="AQ925" s="81">
        <v>41806</v>
      </c>
      <c r="AR925" s="77" t="str">
        <f t="shared" si="305"/>
        <v>Internacional</v>
      </c>
      <c r="AS925" s="77">
        <f t="shared" si="305"/>
        <v>1.7613636363636366E-2</v>
      </c>
      <c r="AT925" s="77">
        <f t="shared" si="305"/>
        <v>1.0246780303030303</v>
      </c>
      <c r="AU925" s="77">
        <f t="shared" si="305"/>
        <v>1.0422916666666666</v>
      </c>
      <c r="AV925" s="77" t="str">
        <f t="shared" si="305"/>
        <v>B737-800</v>
      </c>
      <c r="AW925" s="77">
        <f t="shared" si="305"/>
        <v>189</v>
      </c>
      <c r="AX925" s="77" t="str">
        <f t="shared" si="305"/>
        <v>PTY</v>
      </c>
    </row>
    <row r="926" spans="1:50" ht="15.75" thickBot="1" x14ac:dyDescent="0.3">
      <c r="A926">
        <v>912</v>
      </c>
      <c r="B926" s="36" t="str">
        <f t="shared" si="302"/>
        <v>BARATA Y MORADA</v>
      </c>
      <c r="C926" s="36">
        <f t="shared" si="302"/>
        <v>5436</v>
      </c>
      <c r="D926" s="176">
        <v>1.0048611111111112</v>
      </c>
      <c r="E926" s="176">
        <v>1.0138888888888888</v>
      </c>
      <c r="F926" s="177">
        <v>9.0277777777776347E-3</v>
      </c>
      <c r="G926" s="176">
        <v>1.0256944444444445</v>
      </c>
      <c r="H926" s="177">
        <v>1.1805555555555625E-2</v>
      </c>
      <c r="I926" s="97">
        <v>41727</v>
      </c>
      <c r="J926" s="36" t="str">
        <f t="shared" si="308"/>
        <v>Nacional</v>
      </c>
      <c r="K926" s="36">
        <f t="shared" si="308"/>
        <v>9.2261904761904122E-3</v>
      </c>
      <c r="L926" s="36">
        <f t="shared" si="308"/>
        <v>9.7222222222222189E-3</v>
      </c>
      <c r="M926" s="36">
        <f t="shared" si="308"/>
        <v>1.8948412698412631E-2</v>
      </c>
      <c r="N926" s="36">
        <f t="shared" si="308"/>
        <v>320</v>
      </c>
      <c r="O926" s="36">
        <f t="shared" si="308"/>
        <v>179</v>
      </c>
      <c r="P926" s="36" t="str">
        <f t="shared" si="308"/>
        <v>TIJ</v>
      </c>
      <c r="R926">
        <v>912</v>
      </c>
      <c r="S926" s="36" t="str">
        <f t="shared" si="292"/>
        <v>VUELOS AL NORTE AIRLINES</v>
      </c>
      <c r="T926" s="36">
        <f t="shared" si="292"/>
        <v>242</v>
      </c>
      <c r="U926" s="83">
        <v>0.23958333333333334</v>
      </c>
      <c r="V926" s="84">
        <v>0.25625000000000003</v>
      </c>
      <c r="W926" s="85">
        <v>1.6666666666666691E-2</v>
      </c>
      <c r="X926" s="84">
        <v>0.27638888888888885</v>
      </c>
      <c r="Y926" s="85">
        <v>2.0138888888888817E-2</v>
      </c>
      <c r="Z926" s="86">
        <v>41759</v>
      </c>
      <c r="AA926" s="36" t="str">
        <f t="shared" si="301"/>
        <v>Internacional</v>
      </c>
      <c r="AB926" s="36">
        <f t="shared" si="301"/>
        <v>1.539855072463768E-2</v>
      </c>
      <c r="AC926" s="36">
        <f t="shared" si="301"/>
        <v>2.1739130434782605E-2</v>
      </c>
      <c r="AD926" s="36">
        <f t="shared" si="301"/>
        <v>3.7137681159420288E-2</v>
      </c>
      <c r="AE926" s="36" t="str">
        <f t="shared" si="301"/>
        <v>B737-800</v>
      </c>
      <c r="AF926" s="36">
        <f t="shared" si="301"/>
        <v>189</v>
      </c>
      <c r="AG926" s="36" t="str">
        <f t="shared" si="301"/>
        <v>LAX</v>
      </c>
      <c r="AI926">
        <v>912</v>
      </c>
      <c r="AJ926" s="77" t="str">
        <f t="shared" si="304"/>
        <v>COPA</v>
      </c>
      <c r="AK926" s="77">
        <f t="shared" si="304"/>
        <v>722</v>
      </c>
      <c r="AL926" s="78">
        <v>0.44305555555555554</v>
      </c>
      <c r="AM926" s="79">
        <v>0.45069444444444445</v>
      </c>
      <c r="AN926" s="80">
        <v>7.6388888888889173E-3</v>
      </c>
      <c r="AO926" s="79">
        <v>0.4680555555555555</v>
      </c>
      <c r="AP926" s="80">
        <v>1.7361111111111049E-2</v>
      </c>
      <c r="AQ926" s="81">
        <v>41807</v>
      </c>
      <c r="AR926" s="77" t="str">
        <f t="shared" si="305"/>
        <v>Internacional</v>
      </c>
      <c r="AS926" s="77">
        <f t="shared" si="305"/>
        <v>1.7613636363636366E-2</v>
      </c>
      <c r="AT926" s="77">
        <f t="shared" si="305"/>
        <v>1.0246780303030303</v>
      </c>
      <c r="AU926" s="77">
        <f t="shared" si="305"/>
        <v>1.0422916666666666</v>
      </c>
      <c r="AV926" s="77" t="str">
        <f t="shared" si="305"/>
        <v>B737-800</v>
      </c>
      <c r="AW926" s="77">
        <f t="shared" si="305"/>
        <v>189</v>
      </c>
      <c r="AX926" s="77" t="str">
        <f t="shared" si="305"/>
        <v>PTY</v>
      </c>
    </row>
    <row r="927" spans="1:50" x14ac:dyDescent="0.25">
      <c r="A927">
        <v>913</v>
      </c>
      <c r="B927" s="36" t="str">
        <f t="shared" si="302"/>
        <v>BARATA Y MORADA</v>
      </c>
      <c r="C927" s="151">
        <v>5434</v>
      </c>
      <c r="D927" s="152">
        <v>0.9784722222222223</v>
      </c>
      <c r="E927" s="152">
        <v>0.98263888888888884</v>
      </c>
      <c r="F927" s="153">
        <v>4.1666666666665408E-3</v>
      </c>
      <c r="G927" s="152">
        <v>0.99097222222222225</v>
      </c>
      <c r="H927" s="153">
        <v>8.3333333333334147E-3</v>
      </c>
      <c r="I927" s="67">
        <v>41713</v>
      </c>
      <c r="J927" s="174" t="s">
        <v>19</v>
      </c>
      <c r="K927" s="135">
        <v>8.0555555555555276E-3</v>
      </c>
      <c r="L927" s="135">
        <v>1.1805555555555559E-2</v>
      </c>
      <c r="M927" s="175">
        <v>1.9861111111111086E-2</v>
      </c>
      <c r="N927" s="90">
        <v>320</v>
      </c>
      <c r="O927" s="91">
        <v>179</v>
      </c>
      <c r="P927" s="92" t="s">
        <v>34</v>
      </c>
      <c r="R927">
        <v>913</v>
      </c>
      <c r="S927" s="36" t="str">
        <f t="shared" si="292"/>
        <v>VUELOS AL NORTE AIRLINES</v>
      </c>
      <c r="T927" s="55">
        <v>226</v>
      </c>
      <c r="U927" s="56">
        <v>0.15277777777777776</v>
      </c>
      <c r="V927" s="57">
        <v>0.16666666666666666</v>
      </c>
      <c r="W927" s="58">
        <v>1.3888888888888895E-2</v>
      </c>
      <c r="X927" s="57">
        <v>0.18958333333333333</v>
      </c>
      <c r="Y927" s="58">
        <v>2.2916666666666669E-2</v>
      </c>
      <c r="Z927" s="59">
        <v>41731</v>
      </c>
      <c r="AA927" s="60" t="s">
        <v>22</v>
      </c>
      <c r="AB927" s="61">
        <v>1.4457070707070712E-2</v>
      </c>
      <c r="AC927" s="61">
        <v>1.6445707070707069E-2</v>
      </c>
      <c r="AD927" s="62">
        <v>3.0902777777777779E-2</v>
      </c>
      <c r="AE927" s="167" t="s">
        <v>39</v>
      </c>
      <c r="AF927" s="167">
        <v>189</v>
      </c>
      <c r="AG927" s="168" t="s">
        <v>52</v>
      </c>
      <c r="AI927">
        <v>913</v>
      </c>
      <c r="AJ927" s="77" t="str">
        <f t="shared" si="304"/>
        <v>COPA</v>
      </c>
      <c r="AK927" s="77">
        <f t="shared" si="304"/>
        <v>722</v>
      </c>
      <c r="AL927" s="78">
        <v>0.9458333333333333</v>
      </c>
      <c r="AM927" s="79">
        <v>0.96736111111111101</v>
      </c>
      <c r="AN927" s="80">
        <v>2.1527777777777701E-2</v>
      </c>
      <c r="AO927" s="79">
        <v>23.22</v>
      </c>
      <c r="AP927" s="80">
        <v>22.252638888888889</v>
      </c>
      <c r="AQ927" s="81">
        <v>41809</v>
      </c>
      <c r="AR927" s="77" t="str">
        <f t="shared" si="305"/>
        <v>Internacional</v>
      </c>
      <c r="AS927" s="77">
        <f t="shared" si="305"/>
        <v>1.7613636363636366E-2</v>
      </c>
      <c r="AT927" s="77">
        <f t="shared" si="305"/>
        <v>1.0246780303030303</v>
      </c>
      <c r="AU927" s="77">
        <f t="shared" si="305"/>
        <v>1.0422916666666666</v>
      </c>
      <c r="AV927" s="77" t="str">
        <f t="shared" si="305"/>
        <v>B737-800</v>
      </c>
      <c r="AW927" s="77">
        <f t="shared" si="305"/>
        <v>189</v>
      </c>
      <c r="AX927" s="77" t="str">
        <f t="shared" si="305"/>
        <v>PTY</v>
      </c>
    </row>
    <row r="928" spans="1:50" x14ac:dyDescent="0.25">
      <c r="A928">
        <v>914</v>
      </c>
      <c r="B928" s="36" t="str">
        <f t="shared" si="302"/>
        <v>BARATA Y MORADA</v>
      </c>
      <c r="C928" s="36">
        <f t="shared" si="302"/>
        <v>5434</v>
      </c>
      <c r="D928" s="118">
        <v>0.97777777777777775</v>
      </c>
      <c r="E928" s="118">
        <v>0.98819444444444438</v>
      </c>
      <c r="F928" s="119">
        <v>1.041666666666663E-2</v>
      </c>
      <c r="G928" s="118">
        <v>0.99861111111111101</v>
      </c>
      <c r="H928" s="119">
        <v>1.041666666666663E-2</v>
      </c>
      <c r="I928" s="81">
        <v>41715</v>
      </c>
      <c r="J928" s="36" t="str">
        <f t="shared" ref="J928:P931" si="309">J927</f>
        <v>Nacional</v>
      </c>
      <c r="K928" s="36">
        <f t="shared" si="309"/>
        <v>8.0555555555555276E-3</v>
      </c>
      <c r="L928" s="36">
        <f t="shared" si="309"/>
        <v>1.1805555555555559E-2</v>
      </c>
      <c r="M928" s="36">
        <f t="shared" si="309"/>
        <v>1.9861111111111086E-2</v>
      </c>
      <c r="N928" s="36">
        <f t="shared" si="309"/>
        <v>320</v>
      </c>
      <c r="O928" s="36">
        <f t="shared" si="309"/>
        <v>179</v>
      </c>
      <c r="P928" s="36" t="str">
        <f t="shared" si="309"/>
        <v>TIJ</v>
      </c>
      <c r="R928">
        <v>914</v>
      </c>
      <c r="S928" s="36" t="str">
        <f t="shared" si="292"/>
        <v>VUELOS AL NORTE AIRLINES</v>
      </c>
      <c r="T928" s="36">
        <f t="shared" si="292"/>
        <v>226</v>
      </c>
      <c r="U928" s="73">
        <v>0.20555555555555557</v>
      </c>
      <c r="V928" s="74">
        <v>0.21944444444444444</v>
      </c>
      <c r="W928" s="75">
        <v>1.3888888888888867E-2</v>
      </c>
      <c r="X928" s="74">
        <v>0.24652777777777779</v>
      </c>
      <c r="Y928" s="75">
        <v>2.7083333333333348E-2</v>
      </c>
      <c r="Z928" s="76">
        <v>41736</v>
      </c>
      <c r="AA928" s="36" t="str">
        <f t="shared" ref="AA928:AG948" si="310">AA927</f>
        <v>Internacional</v>
      </c>
      <c r="AB928" s="36">
        <f t="shared" si="310"/>
        <v>1.4457070707070712E-2</v>
      </c>
      <c r="AC928" s="36">
        <f t="shared" si="310"/>
        <v>1.6445707070707069E-2</v>
      </c>
      <c r="AD928" s="36">
        <f t="shared" si="310"/>
        <v>3.0902777777777779E-2</v>
      </c>
      <c r="AE928" s="36" t="str">
        <f t="shared" si="310"/>
        <v>B737-800</v>
      </c>
      <c r="AF928" s="36">
        <f t="shared" si="310"/>
        <v>189</v>
      </c>
      <c r="AG928" s="36" t="str">
        <f t="shared" si="310"/>
        <v>SEA</v>
      </c>
      <c r="AI928">
        <v>914</v>
      </c>
      <c r="AJ928" s="77" t="str">
        <f t="shared" si="304"/>
        <v>COPA</v>
      </c>
      <c r="AK928" s="77">
        <f t="shared" si="304"/>
        <v>722</v>
      </c>
      <c r="AL928" s="78">
        <v>0.95000000000000007</v>
      </c>
      <c r="AM928" s="79">
        <v>0.97013888888888899</v>
      </c>
      <c r="AN928" s="80">
        <v>2.0138888888888928E-2</v>
      </c>
      <c r="AO928" s="79">
        <v>0.98819444444444438</v>
      </c>
      <c r="AP928" s="80">
        <v>1.805555555555538E-2</v>
      </c>
      <c r="AQ928" s="81">
        <v>41810</v>
      </c>
      <c r="AR928" s="77" t="str">
        <f t="shared" si="305"/>
        <v>Internacional</v>
      </c>
      <c r="AS928" s="77">
        <f t="shared" si="305"/>
        <v>1.7613636363636366E-2</v>
      </c>
      <c r="AT928" s="77">
        <f t="shared" si="305"/>
        <v>1.0246780303030303</v>
      </c>
      <c r="AU928" s="77">
        <f t="shared" si="305"/>
        <v>1.0422916666666666</v>
      </c>
      <c r="AV928" s="77" t="str">
        <f t="shared" si="305"/>
        <v>B737-800</v>
      </c>
      <c r="AW928" s="77">
        <f t="shared" si="305"/>
        <v>189</v>
      </c>
      <c r="AX928" s="77" t="str">
        <f t="shared" si="305"/>
        <v>PTY</v>
      </c>
    </row>
    <row r="929" spans="1:50" x14ac:dyDescent="0.25">
      <c r="A929">
        <v>915</v>
      </c>
      <c r="B929" s="36" t="str">
        <f t="shared" si="302"/>
        <v>BARATA Y MORADA</v>
      </c>
      <c r="C929" s="36">
        <f t="shared" si="302"/>
        <v>5434</v>
      </c>
      <c r="D929" s="118">
        <v>0.98125000000000007</v>
      </c>
      <c r="E929" s="118">
        <v>0.99652777777777779</v>
      </c>
      <c r="F929" s="119">
        <v>1.5277777777777724E-2</v>
      </c>
      <c r="G929" s="118">
        <v>1.0055555555555555</v>
      </c>
      <c r="H929" s="119">
        <v>9.0277777777777457E-3</v>
      </c>
      <c r="I929" s="81">
        <v>41716</v>
      </c>
      <c r="J929" s="36" t="str">
        <f t="shared" si="309"/>
        <v>Nacional</v>
      </c>
      <c r="K929" s="36">
        <f t="shared" si="309"/>
        <v>8.0555555555555276E-3</v>
      </c>
      <c r="L929" s="36">
        <f t="shared" si="309"/>
        <v>1.1805555555555559E-2</v>
      </c>
      <c r="M929" s="36">
        <f t="shared" si="309"/>
        <v>1.9861111111111086E-2</v>
      </c>
      <c r="N929" s="36">
        <f t="shared" si="309"/>
        <v>320</v>
      </c>
      <c r="O929" s="36">
        <f t="shared" si="309"/>
        <v>179</v>
      </c>
      <c r="P929" s="36" t="str">
        <f t="shared" si="309"/>
        <v>TIJ</v>
      </c>
      <c r="R929">
        <v>915</v>
      </c>
      <c r="S929" s="36" t="str">
        <f t="shared" si="292"/>
        <v>VUELOS AL NORTE AIRLINES</v>
      </c>
      <c r="T929" s="36">
        <f t="shared" si="292"/>
        <v>226</v>
      </c>
      <c r="U929" s="73">
        <v>0.20277777777777781</v>
      </c>
      <c r="V929" s="74">
        <v>0.2076388888888889</v>
      </c>
      <c r="W929" s="75">
        <v>4.8611111111110938E-3</v>
      </c>
      <c r="X929" s="74">
        <v>0.21527777777777779</v>
      </c>
      <c r="Y929" s="75">
        <v>7.6388888888888895E-3</v>
      </c>
      <c r="Z929" s="76">
        <v>41736</v>
      </c>
      <c r="AA929" s="36" t="str">
        <f t="shared" si="310"/>
        <v>Internacional</v>
      </c>
      <c r="AB929" s="36">
        <f t="shared" si="310"/>
        <v>1.4457070707070712E-2</v>
      </c>
      <c r="AC929" s="36">
        <f t="shared" si="310"/>
        <v>1.6445707070707069E-2</v>
      </c>
      <c r="AD929" s="36">
        <f t="shared" si="310"/>
        <v>3.0902777777777779E-2</v>
      </c>
      <c r="AE929" s="36" t="str">
        <f t="shared" si="310"/>
        <v>B737-800</v>
      </c>
      <c r="AF929" s="36">
        <f t="shared" si="310"/>
        <v>189</v>
      </c>
      <c r="AG929" s="36" t="str">
        <f t="shared" si="310"/>
        <v>SEA</v>
      </c>
      <c r="AI929">
        <v>915</v>
      </c>
      <c r="AJ929" s="77" t="str">
        <f t="shared" si="304"/>
        <v>COPA</v>
      </c>
      <c r="AK929" s="77">
        <f t="shared" si="304"/>
        <v>722</v>
      </c>
      <c r="AL929" s="78">
        <v>0.95208333333333339</v>
      </c>
      <c r="AM929" s="79">
        <v>0.96388888888888891</v>
      </c>
      <c r="AN929" s="80">
        <v>1.1805555555555514E-2</v>
      </c>
      <c r="AO929" s="79">
        <v>0.99375000000000002</v>
      </c>
      <c r="AP929" s="80">
        <v>2.9861111111111116E-2</v>
      </c>
      <c r="AQ929" s="81">
        <v>41811</v>
      </c>
      <c r="AR929" s="77" t="str">
        <f t="shared" si="305"/>
        <v>Internacional</v>
      </c>
      <c r="AS929" s="77">
        <f t="shared" si="305"/>
        <v>1.7613636363636366E-2</v>
      </c>
      <c r="AT929" s="77">
        <f t="shared" si="305"/>
        <v>1.0246780303030303</v>
      </c>
      <c r="AU929" s="77">
        <f t="shared" si="305"/>
        <v>1.0422916666666666</v>
      </c>
      <c r="AV929" s="77" t="str">
        <f t="shared" si="305"/>
        <v>B737-800</v>
      </c>
      <c r="AW929" s="77">
        <f t="shared" si="305"/>
        <v>189</v>
      </c>
      <c r="AX929" s="77" t="str">
        <f t="shared" si="305"/>
        <v>PTY</v>
      </c>
    </row>
    <row r="930" spans="1:50" x14ac:dyDescent="0.25">
      <c r="A930">
        <v>916</v>
      </c>
      <c r="B930" s="36" t="str">
        <f t="shared" si="302"/>
        <v>BARATA Y MORADA</v>
      </c>
      <c r="C930" s="36">
        <f t="shared" si="302"/>
        <v>5434</v>
      </c>
      <c r="D930" s="118">
        <v>0.98541666666666661</v>
      </c>
      <c r="E930" s="118">
        <v>0.9868055555555556</v>
      </c>
      <c r="F930" s="119">
        <v>1.388888888888995E-3</v>
      </c>
      <c r="G930" s="118">
        <v>1.0027777777777778</v>
      </c>
      <c r="H930" s="119">
        <v>1.5972222222222165E-2</v>
      </c>
      <c r="I930" s="81">
        <v>41721</v>
      </c>
      <c r="J930" s="36" t="str">
        <f t="shared" si="309"/>
        <v>Nacional</v>
      </c>
      <c r="K930" s="36">
        <f t="shared" si="309"/>
        <v>8.0555555555555276E-3</v>
      </c>
      <c r="L930" s="36">
        <f t="shared" si="309"/>
        <v>1.1805555555555559E-2</v>
      </c>
      <c r="M930" s="36">
        <f t="shared" si="309"/>
        <v>1.9861111111111086E-2</v>
      </c>
      <c r="N930" s="36">
        <f t="shared" si="309"/>
        <v>320</v>
      </c>
      <c r="O930" s="36">
        <f t="shared" si="309"/>
        <v>179</v>
      </c>
      <c r="P930" s="36" t="str">
        <f t="shared" si="309"/>
        <v>TIJ</v>
      </c>
      <c r="R930">
        <v>916</v>
      </c>
      <c r="S930" s="36" t="str">
        <f t="shared" si="292"/>
        <v>VUELOS AL NORTE AIRLINES</v>
      </c>
      <c r="T930" s="36">
        <f t="shared" si="292"/>
        <v>226</v>
      </c>
      <c r="U930" s="73">
        <v>0.20277777777777781</v>
      </c>
      <c r="V930" s="74">
        <v>0.21249999999999999</v>
      </c>
      <c r="W930" s="75">
        <v>9.7222222222221877E-3</v>
      </c>
      <c r="X930" s="74">
        <v>0.23055555555555554</v>
      </c>
      <c r="Y930" s="75">
        <v>1.8055555555555547E-2</v>
      </c>
      <c r="Z930" s="76">
        <v>41736</v>
      </c>
      <c r="AA930" s="36" t="str">
        <f t="shared" si="310"/>
        <v>Internacional</v>
      </c>
      <c r="AB930" s="36">
        <f t="shared" si="310"/>
        <v>1.4457070707070712E-2</v>
      </c>
      <c r="AC930" s="36">
        <f t="shared" si="310"/>
        <v>1.6445707070707069E-2</v>
      </c>
      <c r="AD930" s="36">
        <f t="shared" si="310"/>
        <v>3.0902777777777779E-2</v>
      </c>
      <c r="AE930" s="36" t="str">
        <f t="shared" si="310"/>
        <v>B737-800</v>
      </c>
      <c r="AF930" s="36">
        <f t="shared" si="310"/>
        <v>189</v>
      </c>
      <c r="AG930" s="36" t="str">
        <f t="shared" si="310"/>
        <v>SEA</v>
      </c>
      <c r="AI930">
        <v>916</v>
      </c>
      <c r="AJ930" s="77" t="str">
        <f t="shared" si="304"/>
        <v>COPA</v>
      </c>
      <c r="AK930" s="77">
        <f t="shared" si="304"/>
        <v>722</v>
      </c>
      <c r="AL930" s="78">
        <v>0.95972222222222225</v>
      </c>
      <c r="AM930" s="79">
        <v>0.98888888888888893</v>
      </c>
      <c r="AN930" s="80">
        <v>2.9166666666666674E-2</v>
      </c>
      <c r="AO930" s="79">
        <v>0.99444444444444446</v>
      </c>
      <c r="AP930" s="80">
        <v>5.5555555555555358E-3</v>
      </c>
      <c r="AQ930" s="81">
        <v>41812</v>
      </c>
      <c r="AR930" s="77" t="str">
        <f t="shared" si="305"/>
        <v>Internacional</v>
      </c>
      <c r="AS930" s="77">
        <f t="shared" si="305"/>
        <v>1.7613636363636366E-2</v>
      </c>
      <c r="AT930" s="77">
        <f t="shared" si="305"/>
        <v>1.0246780303030303</v>
      </c>
      <c r="AU930" s="77">
        <f t="shared" si="305"/>
        <v>1.0422916666666666</v>
      </c>
      <c r="AV930" s="77" t="str">
        <f t="shared" si="305"/>
        <v>B737-800</v>
      </c>
      <c r="AW930" s="77">
        <f t="shared" si="305"/>
        <v>189</v>
      </c>
      <c r="AX930" s="77" t="str">
        <f t="shared" si="305"/>
        <v>PTY</v>
      </c>
    </row>
    <row r="931" spans="1:50" ht="15.75" thickBot="1" x14ac:dyDescent="0.3">
      <c r="A931">
        <v>917</v>
      </c>
      <c r="B931" s="36" t="str">
        <f t="shared" si="302"/>
        <v>BARATA Y MORADA</v>
      </c>
      <c r="C931" s="36">
        <f t="shared" si="302"/>
        <v>5434</v>
      </c>
      <c r="D931" s="176">
        <v>0.98333333333333339</v>
      </c>
      <c r="E931" s="176">
        <v>0.99236111111111114</v>
      </c>
      <c r="F931" s="177">
        <v>9.0277777777777457E-3</v>
      </c>
      <c r="G931" s="176">
        <v>1.007638888888889</v>
      </c>
      <c r="H931" s="177">
        <v>1.5277777777777835E-2</v>
      </c>
      <c r="I931" s="97">
        <v>41726</v>
      </c>
      <c r="J931" s="36" t="str">
        <f t="shared" si="309"/>
        <v>Nacional</v>
      </c>
      <c r="K931" s="36">
        <f t="shared" si="309"/>
        <v>8.0555555555555276E-3</v>
      </c>
      <c r="L931" s="36">
        <f t="shared" si="309"/>
        <v>1.1805555555555559E-2</v>
      </c>
      <c r="M931" s="36">
        <f t="shared" si="309"/>
        <v>1.9861111111111086E-2</v>
      </c>
      <c r="N931" s="36">
        <f t="shared" si="309"/>
        <v>320</v>
      </c>
      <c r="O931" s="36">
        <f t="shared" si="309"/>
        <v>179</v>
      </c>
      <c r="P931" s="36" t="str">
        <f t="shared" si="309"/>
        <v>TIJ</v>
      </c>
      <c r="R931">
        <v>917</v>
      </c>
      <c r="S931" s="36" t="str">
        <f t="shared" si="292"/>
        <v>VUELOS AL NORTE AIRLINES</v>
      </c>
      <c r="T931" s="36">
        <f t="shared" si="292"/>
        <v>226</v>
      </c>
      <c r="U931" s="73">
        <v>0.20138888888888887</v>
      </c>
      <c r="V931" s="74">
        <v>0.21388888888888891</v>
      </c>
      <c r="W931" s="75">
        <v>1.2500000000000039E-2</v>
      </c>
      <c r="X931" s="74">
        <v>0.23194444444444443</v>
      </c>
      <c r="Y931" s="75">
        <v>1.8055555555555519E-2</v>
      </c>
      <c r="Z931" s="76">
        <v>41737</v>
      </c>
      <c r="AA931" s="36" t="str">
        <f t="shared" si="310"/>
        <v>Internacional</v>
      </c>
      <c r="AB931" s="36">
        <f t="shared" si="310"/>
        <v>1.4457070707070712E-2</v>
      </c>
      <c r="AC931" s="36">
        <f t="shared" si="310"/>
        <v>1.6445707070707069E-2</v>
      </c>
      <c r="AD931" s="36">
        <f t="shared" si="310"/>
        <v>3.0902777777777779E-2</v>
      </c>
      <c r="AE931" s="36" t="str">
        <f t="shared" si="310"/>
        <v>B737-800</v>
      </c>
      <c r="AF931" s="36">
        <f t="shared" si="310"/>
        <v>189</v>
      </c>
      <c r="AG931" s="36" t="str">
        <f t="shared" si="310"/>
        <v>SEA</v>
      </c>
      <c r="AI931">
        <v>917</v>
      </c>
      <c r="AJ931" s="77" t="str">
        <f t="shared" si="304"/>
        <v>COPA</v>
      </c>
      <c r="AK931" s="77">
        <f t="shared" si="304"/>
        <v>722</v>
      </c>
      <c r="AL931" s="94">
        <v>0.92222222222222217</v>
      </c>
      <c r="AM931" s="95">
        <v>0.9868055555555556</v>
      </c>
      <c r="AN931" s="96">
        <v>6.4583333333333437E-2</v>
      </c>
      <c r="AO931" s="95">
        <v>1.0020833333333334</v>
      </c>
      <c r="AP931" s="96">
        <v>1.5277777777777835E-2</v>
      </c>
      <c r="AQ931" s="97">
        <v>41813</v>
      </c>
      <c r="AR931" s="77" t="str">
        <f t="shared" si="305"/>
        <v>Internacional</v>
      </c>
      <c r="AS931" s="77">
        <f t="shared" si="305"/>
        <v>1.7613636363636366E-2</v>
      </c>
      <c r="AT931" s="77">
        <f t="shared" si="305"/>
        <v>1.0246780303030303</v>
      </c>
      <c r="AU931" s="77">
        <f t="shared" si="305"/>
        <v>1.0422916666666666</v>
      </c>
      <c r="AV931" s="77" t="str">
        <f t="shared" si="305"/>
        <v>B737-800</v>
      </c>
      <c r="AW931" s="77">
        <f t="shared" si="305"/>
        <v>189</v>
      </c>
      <c r="AX931" s="77" t="str">
        <f t="shared" si="305"/>
        <v>PTY</v>
      </c>
    </row>
    <row r="932" spans="1:50" ht="15.75" thickBot="1" x14ac:dyDescent="0.3">
      <c r="A932">
        <v>918</v>
      </c>
      <c r="B932" s="36" t="str">
        <f t="shared" si="302"/>
        <v>BARATA Y MORADA</v>
      </c>
      <c r="C932" s="146">
        <v>5432</v>
      </c>
      <c r="D932" s="147">
        <v>0.93680555555555556</v>
      </c>
      <c r="E932" s="147">
        <v>0.94236111111111109</v>
      </c>
      <c r="F932" s="148">
        <v>5.5555555555555358E-3</v>
      </c>
      <c r="G932" s="147">
        <v>0.9472222222222223</v>
      </c>
      <c r="H932" s="148">
        <v>4.8611111111112049E-3</v>
      </c>
      <c r="I932" s="103">
        <v>41723</v>
      </c>
      <c r="J932" s="103" t="s">
        <v>19</v>
      </c>
      <c r="K932" s="149">
        <v>5.5555555555555358E-3</v>
      </c>
      <c r="L932" s="149">
        <v>4.8611111111112049E-3</v>
      </c>
      <c r="M932" s="150">
        <v>1.0416666666666741E-2</v>
      </c>
      <c r="N932" s="52">
        <v>320</v>
      </c>
      <c r="O932" s="53">
        <v>179</v>
      </c>
      <c r="P932" s="54" t="s">
        <v>34</v>
      </c>
      <c r="R932">
        <v>918</v>
      </c>
      <c r="S932" s="36" t="str">
        <f t="shared" si="292"/>
        <v>VUELOS AL NORTE AIRLINES</v>
      </c>
      <c r="T932" s="36">
        <f t="shared" si="292"/>
        <v>226</v>
      </c>
      <c r="U932" s="73">
        <v>0.19097222222222221</v>
      </c>
      <c r="V932" s="74">
        <v>0.2076388888888889</v>
      </c>
      <c r="W932" s="75">
        <v>1.6666666666666691E-2</v>
      </c>
      <c r="X932" s="74">
        <v>0.22013888888888888</v>
      </c>
      <c r="Y932" s="75">
        <v>1.2499999999999983E-2</v>
      </c>
      <c r="Z932" s="76">
        <v>41738</v>
      </c>
      <c r="AA932" s="36" t="str">
        <f t="shared" si="310"/>
        <v>Internacional</v>
      </c>
      <c r="AB932" s="36">
        <f t="shared" si="310"/>
        <v>1.4457070707070712E-2</v>
      </c>
      <c r="AC932" s="36">
        <f t="shared" si="310"/>
        <v>1.6445707070707069E-2</v>
      </c>
      <c r="AD932" s="36">
        <f t="shared" si="310"/>
        <v>3.0902777777777779E-2</v>
      </c>
      <c r="AE932" s="36" t="str">
        <f t="shared" si="310"/>
        <v>B737-800</v>
      </c>
      <c r="AF932" s="36">
        <f t="shared" si="310"/>
        <v>189</v>
      </c>
      <c r="AG932" s="36" t="str">
        <f t="shared" si="310"/>
        <v>SEA</v>
      </c>
      <c r="AI932">
        <v>918</v>
      </c>
      <c r="AJ932" s="63" t="s">
        <v>61</v>
      </c>
      <c r="AK932" s="63">
        <v>971</v>
      </c>
      <c r="AL932" s="64">
        <v>0.84097222222222223</v>
      </c>
      <c r="AM932" s="65">
        <v>0.84652777777777777</v>
      </c>
      <c r="AN932" s="66">
        <v>5.5555555555555358E-3</v>
      </c>
      <c r="AO932" s="65">
        <v>0.87708333333333333</v>
      </c>
      <c r="AP932" s="66">
        <v>3.0555555555555558E-2</v>
      </c>
      <c r="AQ932" s="67">
        <v>41791</v>
      </c>
      <c r="AR932" s="68" t="s">
        <v>22</v>
      </c>
      <c r="AS932" s="69">
        <v>6.9444444444444475E-3</v>
      </c>
      <c r="AT932" s="70">
        <v>2.3784722222222221E-2</v>
      </c>
      <c r="AU932" s="70">
        <v>3.0729166666666669E-2</v>
      </c>
      <c r="AV932" s="71">
        <v>320</v>
      </c>
      <c r="AW932" s="71">
        <v>179</v>
      </c>
      <c r="AX932" s="72" t="s">
        <v>64</v>
      </c>
    </row>
    <row r="933" spans="1:50" x14ac:dyDescent="0.25">
      <c r="A933">
        <v>919</v>
      </c>
      <c r="B933" s="36" t="str">
        <f t="shared" si="302"/>
        <v>BARATA Y MORADA</v>
      </c>
      <c r="C933" s="151">
        <v>5426</v>
      </c>
      <c r="D933" s="152">
        <v>0.57222222222222219</v>
      </c>
      <c r="E933" s="152">
        <v>0.5854166666666667</v>
      </c>
      <c r="F933" s="153">
        <v>1.3194444444444509E-2</v>
      </c>
      <c r="G933" s="152">
        <v>0.59375</v>
      </c>
      <c r="H933" s="153">
        <v>8.3333333333333037E-3</v>
      </c>
      <c r="I933" s="67">
        <v>41714</v>
      </c>
      <c r="J933" s="174" t="s">
        <v>19</v>
      </c>
      <c r="K933" s="135">
        <v>9.0277777777778012E-3</v>
      </c>
      <c r="L933" s="135">
        <v>1.2500000000000011E-2</v>
      </c>
      <c r="M933" s="175">
        <v>2.1527777777777812E-2</v>
      </c>
      <c r="N933" s="90">
        <v>320</v>
      </c>
      <c r="O933" s="91">
        <v>179</v>
      </c>
      <c r="P933" s="92" t="s">
        <v>34</v>
      </c>
      <c r="R933">
        <v>919</v>
      </c>
      <c r="S933" s="36" t="str">
        <f t="shared" si="292"/>
        <v>VUELOS AL NORTE AIRLINES</v>
      </c>
      <c r="T933" s="36">
        <f t="shared" si="292"/>
        <v>226</v>
      </c>
      <c r="U933" s="73">
        <v>0.19791666666666666</v>
      </c>
      <c r="V933" s="74">
        <v>0.20972222222222223</v>
      </c>
      <c r="W933" s="75">
        <v>1.1805555555555569E-2</v>
      </c>
      <c r="X933" s="74">
        <v>0.22708333333333333</v>
      </c>
      <c r="Y933" s="75">
        <v>1.7361111111111105E-2</v>
      </c>
      <c r="Z933" s="76">
        <v>41739</v>
      </c>
      <c r="AA933" s="36" t="str">
        <f t="shared" si="310"/>
        <v>Internacional</v>
      </c>
      <c r="AB933" s="36">
        <f t="shared" si="310"/>
        <v>1.4457070707070712E-2</v>
      </c>
      <c r="AC933" s="36">
        <f t="shared" si="310"/>
        <v>1.6445707070707069E-2</v>
      </c>
      <c r="AD933" s="36">
        <f t="shared" si="310"/>
        <v>3.0902777777777779E-2</v>
      </c>
      <c r="AE933" s="36" t="str">
        <f t="shared" si="310"/>
        <v>B737-800</v>
      </c>
      <c r="AF933" s="36">
        <f t="shared" si="310"/>
        <v>189</v>
      </c>
      <c r="AG933" s="36" t="str">
        <f t="shared" si="310"/>
        <v>SEA</v>
      </c>
      <c r="AI933">
        <v>919</v>
      </c>
      <c r="AJ933" s="77" t="str">
        <f t="shared" ref="AJ933:AK963" si="311">AJ932</f>
        <v>AVIONES ROJOS</v>
      </c>
      <c r="AK933" s="77">
        <f t="shared" si="311"/>
        <v>971</v>
      </c>
      <c r="AL933" s="78">
        <v>0.84375</v>
      </c>
      <c r="AM933" s="79">
        <v>0.85138888888888886</v>
      </c>
      <c r="AN933" s="80">
        <v>7.6388888888888618E-3</v>
      </c>
      <c r="AO933" s="79">
        <v>0.87569444444444444</v>
      </c>
      <c r="AP933" s="80">
        <v>2.430555555555558E-2</v>
      </c>
      <c r="AQ933" s="81">
        <v>41792</v>
      </c>
      <c r="AR933" s="77" t="str">
        <f t="shared" ref="AR933:AX935" si="312">AR932</f>
        <v>Internacional</v>
      </c>
      <c r="AS933" s="77">
        <f t="shared" si="312"/>
        <v>6.9444444444444475E-3</v>
      </c>
      <c r="AT933" s="77">
        <f t="shared" si="312"/>
        <v>2.3784722222222221E-2</v>
      </c>
      <c r="AU933" s="77">
        <f t="shared" si="312"/>
        <v>3.0729166666666669E-2</v>
      </c>
      <c r="AV933" s="77">
        <f t="shared" si="312"/>
        <v>320</v>
      </c>
      <c r="AW933" s="77">
        <f t="shared" si="312"/>
        <v>179</v>
      </c>
      <c r="AX933" s="77" t="str">
        <f t="shared" si="312"/>
        <v>ATL</v>
      </c>
    </row>
    <row r="934" spans="1:50" ht="15.75" thickBot="1" x14ac:dyDescent="0.3">
      <c r="A934">
        <v>920</v>
      </c>
      <c r="B934" s="36" t="str">
        <f t="shared" si="302"/>
        <v>BARATA Y MORADA</v>
      </c>
      <c r="C934" s="36">
        <f>C933</f>
        <v>5426</v>
      </c>
      <c r="D934" s="176">
        <v>0.56458333333333333</v>
      </c>
      <c r="E934" s="176">
        <v>0.56944444444444442</v>
      </c>
      <c r="F934" s="177">
        <v>4.8611111111110938E-3</v>
      </c>
      <c r="G934" s="176">
        <v>0.58611111111111114</v>
      </c>
      <c r="H934" s="177">
        <v>1.6666666666666718E-2</v>
      </c>
      <c r="I934" s="97">
        <v>41721</v>
      </c>
      <c r="J934" s="36" t="str">
        <f t="shared" ref="J934:P934" si="313">J933</f>
        <v>Nacional</v>
      </c>
      <c r="K934" s="36">
        <f t="shared" si="313"/>
        <v>9.0277777777778012E-3</v>
      </c>
      <c r="L934" s="36">
        <f t="shared" si="313"/>
        <v>1.2500000000000011E-2</v>
      </c>
      <c r="M934" s="36">
        <f t="shared" si="313"/>
        <v>2.1527777777777812E-2</v>
      </c>
      <c r="N934" s="36">
        <f t="shared" si="313"/>
        <v>320</v>
      </c>
      <c r="O934" s="36">
        <f t="shared" si="313"/>
        <v>179</v>
      </c>
      <c r="P934" s="36" t="str">
        <f t="shared" si="313"/>
        <v>TIJ</v>
      </c>
      <c r="R934">
        <v>920</v>
      </c>
      <c r="S934" s="36" t="str">
        <f t="shared" si="292"/>
        <v>VUELOS AL NORTE AIRLINES</v>
      </c>
      <c r="T934" s="36">
        <f t="shared" si="292"/>
        <v>226</v>
      </c>
      <c r="U934" s="73">
        <v>0.20069444444444443</v>
      </c>
      <c r="V934" s="74">
        <v>0.22291666666666665</v>
      </c>
      <c r="W934" s="75">
        <v>2.2222222222222227E-2</v>
      </c>
      <c r="X934" s="74">
        <v>0.23611111111111113</v>
      </c>
      <c r="Y934" s="75">
        <v>1.3194444444444481E-2</v>
      </c>
      <c r="Z934" s="76">
        <v>41740</v>
      </c>
      <c r="AA934" s="36" t="str">
        <f t="shared" si="310"/>
        <v>Internacional</v>
      </c>
      <c r="AB934" s="36">
        <f t="shared" si="310"/>
        <v>1.4457070707070712E-2</v>
      </c>
      <c r="AC934" s="36">
        <f t="shared" si="310"/>
        <v>1.6445707070707069E-2</v>
      </c>
      <c r="AD934" s="36">
        <f t="shared" si="310"/>
        <v>3.0902777777777779E-2</v>
      </c>
      <c r="AE934" s="36" t="str">
        <f t="shared" si="310"/>
        <v>B737-800</v>
      </c>
      <c r="AF934" s="36">
        <f t="shared" si="310"/>
        <v>189</v>
      </c>
      <c r="AG934" s="36" t="str">
        <f t="shared" si="310"/>
        <v>SEA</v>
      </c>
      <c r="AI934">
        <v>920</v>
      </c>
      <c r="AJ934" s="77" t="str">
        <f t="shared" si="311"/>
        <v>AVIONES ROJOS</v>
      </c>
      <c r="AK934" s="77">
        <f t="shared" si="311"/>
        <v>971</v>
      </c>
      <c r="AL934" s="78">
        <v>0.84166666666666667</v>
      </c>
      <c r="AM934" s="79">
        <v>0.84513888888888899</v>
      </c>
      <c r="AN934" s="80">
        <v>3.4722222222223209E-3</v>
      </c>
      <c r="AO934" s="79">
        <v>0.86458333333333337</v>
      </c>
      <c r="AP934" s="80">
        <v>1.9444444444444375E-2</v>
      </c>
      <c r="AQ934" s="81">
        <v>41793</v>
      </c>
      <c r="AR934" s="77" t="str">
        <f t="shared" si="312"/>
        <v>Internacional</v>
      </c>
      <c r="AS934" s="77">
        <f t="shared" si="312"/>
        <v>6.9444444444444475E-3</v>
      </c>
      <c r="AT934" s="77">
        <f t="shared" si="312"/>
        <v>2.3784722222222221E-2</v>
      </c>
      <c r="AU934" s="77">
        <f t="shared" si="312"/>
        <v>3.0729166666666669E-2</v>
      </c>
      <c r="AV934" s="77">
        <f t="shared" si="312"/>
        <v>320</v>
      </c>
      <c r="AW934" s="77">
        <f t="shared" si="312"/>
        <v>179</v>
      </c>
      <c r="AX934" s="77" t="str">
        <f t="shared" si="312"/>
        <v>ATL</v>
      </c>
    </row>
    <row r="935" spans="1:50" ht="15.75" thickBot="1" x14ac:dyDescent="0.3">
      <c r="A935">
        <v>921</v>
      </c>
      <c r="B935" s="36" t="str">
        <f t="shared" si="302"/>
        <v>BARATA Y MORADA</v>
      </c>
      <c r="C935" s="146">
        <v>5424</v>
      </c>
      <c r="D935" s="147">
        <v>0.7944444444444444</v>
      </c>
      <c r="E935" s="147">
        <v>0.80138888888888893</v>
      </c>
      <c r="F935" s="148">
        <v>6.9444444444445308E-3</v>
      </c>
      <c r="G935" s="147">
        <v>0.80763888888888891</v>
      </c>
      <c r="H935" s="148">
        <v>6.2499999999999778E-3</v>
      </c>
      <c r="I935" s="103">
        <v>41718</v>
      </c>
      <c r="J935" s="103" t="s">
        <v>19</v>
      </c>
      <c r="K935" s="149">
        <v>6.9444444444445308E-3</v>
      </c>
      <c r="L935" s="149">
        <v>6.2499999999999778E-3</v>
      </c>
      <c r="M935" s="150">
        <v>1.3194444444444509E-2</v>
      </c>
      <c r="N935" s="52" t="s">
        <v>57</v>
      </c>
      <c r="O935" s="53">
        <v>142</v>
      </c>
      <c r="P935" s="54" t="s">
        <v>34</v>
      </c>
      <c r="R935">
        <v>921</v>
      </c>
      <c r="S935" s="36" t="str">
        <f t="shared" si="292"/>
        <v>VUELOS AL NORTE AIRLINES</v>
      </c>
      <c r="T935" s="36">
        <f t="shared" si="292"/>
        <v>226</v>
      </c>
      <c r="U935" s="73">
        <v>0.18194444444444444</v>
      </c>
      <c r="V935" s="74">
        <v>0.19097222222222221</v>
      </c>
      <c r="W935" s="75">
        <v>9.0277777777777735E-3</v>
      </c>
      <c r="X935" s="74">
        <v>0.21597222222222223</v>
      </c>
      <c r="Y935" s="75">
        <v>2.5000000000000022E-2</v>
      </c>
      <c r="Z935" s="76">
        <v>41743</v>
      </c>
      <c r="AA935" s="36" t="str">
        <f t="shared" si="310"/>
        <v>Internacional</v>
      </c>
      <c r="AB935" s="36">
        <f t="shared" si="310"/>
        <v>1.4457070707070712E-2</v>
      </c>
      <c r="AC935" s="36">
        <f t="shared" si="310"/>
        <v>1.6445707070707069E-2</v>
      </c>
      <c r="AD935" s="36">
        <f t="shared" si="310"/>
        <v>3.0902777777777779E-2</v>
      </c>
      <c r="AE935" s="36" t="str">
        <f t="shared" si="310"/>
        <v>B737-800</v>
      </c>
      <c r="AF935" s="36">
        <f t="shared" si="310"/>
        <v>189</v>
      </c>
      <c r="AG935" s="36" t="str">
        <f t="shared" si="310"/>
        <v>SEA</v>
      </c>
      <c r="AI935">
        <v>921</v>
      </c>
      <c r="AJ935" s="77" t="str">
        <f t="shared" si="311"/>
        <v>AVIONES ROJOS</v>
      </c>
      <c r="AK935" s="77">
        <f t="shared" si="311"/>
        <v>971</v>
      </c>
      <c r="AL935" s="94">
        <v>0.84305555555555556</v>
      </c>
      <c r="AM935" s="95">
        <v>0.85416666666666663</v>
      </c>
      <c r="AN935" s="96">
        <v>1.1111111111111072E-2</v>
      </c>
      <c r="AO935" s="95">
        <v>0.875</v>
      </c>
      <c r="AP935" s="96">
        <v>2.083333333333337E-2</v>
      </c>
      <c r="AQ935" s="97">
        <v>41794</v>
      </c>
      <c r="AR935" s="77" t="str">
        <f t="shared" si="312"/>
        <v>Internacional</v>
      </c>
      <c r="AS935" s="77">
        <f t="shared" si="312"/>
        <v>6.9444444444444475E-3</v>
      </c>
      <c r="AT935" s="77">
        <f t="shared" si="312"/>
        <v>2.3784722222222221E-2</v>
      </c>
      <c r="AU935" s="77">
        <f t="shared" si="312"/>
        <v>3.0729166666666669E-2</v>
      </c>
      <c r="AV935" s="77">
        <f t="shared" si="312"/>
        <v>320</v>
      </c>
      <c r="AW935" s="77">
        <f t="shared" si="312"/>
        <v>179</v>
      </c>
      <c r="AX935" s="77" t="str">
        <f t="shared" si="312"/>
        <v>ATL</v>
      </c>
    </row>
    <row r="936" spans="1:50" ht="15.75" thickBot="1" x14ac:dyDescent="0.3">
      <c r="A936">
        <v>922</v>
      </c>
      <c r="B936" s="36" t="str">
        <f t="shared" si="302"/>
        <v>BARATA Y MORADA</v>
      </c>
      <c r="C936" s="146">
        <v>5422</v>
      </c>
      <c r="D936" s="147">
        <v>0.24166666666666667</v>
      </c>
      <c r="E936" s="147">
        <v>0.25416666666666665</v>
      </c>
      <c r="F936" s="148">
        <v>1.2499999999999983E-2</v>
      </c>
      <c r="G936" s="147">
        <v>0.27638888888888885</v>
      </c>
      <c r="H936" s="148">
        <v>2.2222222222222199E-2</v>
      </c>
      <c r="I936" s="103">
        <v>41713</v>
      </c>
      <c r="J936" s="103" t="s">
        <v>19</v>
      </c>
      <c r="K936" s="149">
        <v>1.2499999999999983E-2</v>
      </c>
      <c r="L936" s="149">
        <v>2.2222222222222199E-2</v>
      </c>
      <c r="M936" s="150">
        <v>3.4722222222222182E-2</v>
      </c>
      <c r="N936" s="52">
        <v>320</v>
      </c>
      <c r="O936" s="53">
        <v>179</v>
      </c>
      <c r="P936" s="54" t="s">
        <v>34</v>
      </c>
      <c r="R936">
        <v>922</v>
      </c>
      <c r="S936" s="36" t="str">
        <f t="shared" si="292"/>
        <v>VUELOS AL NORTE AIRLINES</v>
      </c>
      <c r="T936" s="36">
        <f t="shared" si="292"/>
        <v>226</v>
      </c>
      <c r="U936" s="73">
        <v>0.19513888888888889</v>
      </c>
      <c r="V936" s="74">
        <v>0.21388888888888891</v>
      </c>
      <c r="W936" s="75">
        <v>1.8750000000000017E-2</v>
      </c>
      <c r="X936" s="74">
        <v>0.2298611111111111</v>
      </c>
      <c r="Y936" s="75">
        <v>1.5972222222222193E-2</v>
      </c>
      <c r="Z936" s="76">
        <v>41745</v>
      </c>
      <c r="AA936" s="36" t="str">
        <f t="shared" si="310"/>
        <v>Internacional</v>
      </c>
      <c r="AB936" s="36">
        <f t="shared" si="310"/>
        <v>1.4457070707070712E-2</v>
      </c>
      <c r="AC936" s="36">
        <f t="shared" si="310"/>
        <v>1.6445707070707069E-2</v>
      </c>
      <c r="AD936" s="36">
        <f t="shared" si="310"/>
        <v>3.0902777777777779E-2</v>
      </c>
      <c r="AE936" s="36" t="str">
        <f t="shared" si="310"/>
        <v>B737-800</v>
      </c>
      <c r="AF936" s="36">
        <f t="shared" si="310"/>
        <v>189</v>
      </c>
      <c r="AG936" s="36" t="str">
        <f t="shared" si="310"/>
        <v>SEA</v>
      </c>
      <c r="AI936">
        <v>922</v>
      </c>
      <c r="AJ936" s="77" t="str">
        <f t="shared" si="311"/>
        <v>AVIONES ROJOS</v>
      </c>
      <c r="AK936" s="63">
        <v>701</v>
      </c>
      <c r="AL936" s="64">
        <v>0.52777777777777779</v>
      </c>
      <c r="AM936" s="65">
        <v>0.54166666666666663</v>
      </c>
      <c r="AN936" s="66">
        <v>1.388888888888884E-2</v>
      </c>
      <c r="AO936" s="65">
        <v>0.55833333333333335</v>
      </c>
      <c r="AP936" s="66">
        <v>1.6666666666666718E-2</v>
      </c>
      <c r="AQ936" s="67">
        <v>41795</v>
      </c>
      <c r="AR936" s="68" t="s">
        <v>22</v>
      </c>
      <c r="AS936" s="69">
        <v>9.191176470588213E-3</v>
      </c>
      <c r="AT936" s="70">
        <v>1.8423202614379113E-2</v>
      </c>
      <c r="AU936" s="70">
        <v>2.7614379084967326E-2</v>
      </c>
      <c r="AV936" s="71">
        <v>320</v>
      </c>
      <c r="AW936" s="71">
        <v>179</v>
      </c>
      <c r="AX936" s="72" t="s">
        <v>64</v>
      </c>
    </row>
    <row r="937" spans="1:50" x14ac:dyDescent="0.25">
      <c r="A937">
        <v>923</v>
      </c>
      <c r="B937" s="36" t="str">
        <f t="shared" si="302"/>
        <v>BARATA Y MORADA</v>
      </c>
      <c r="C937" s="151">
        <v>4734</v>
      </c>
      <c r="D937" s="152">
        <v>0.24166666666666667</v>
      </c>
      <c r="E937" s="152">
        <v>0.25694444444444448</v>
      </c>
      <c r="F937" s="153">
        <v>1.5277777777777807E-2</v>
      </c>
      <c r="G937" s="152">
        <v>0.26041666666666669</v>
      </c>
      <c r="H937" s="153">
        <v>3.4722222222222099E-3</v>
      </c>
      <c r="I937" s="67">
        <v>41716</v>
      </c>
      <c r="J937" s="174" t="s">
        <v>19</v>
      </c>
      <c r="K937" s="135">
        <v>1.0069444444444459E-2</v>
      </c>
      <c r="L937" s="135">
        <v>5.9027777777777611E-3</v>
      </c>
      <c r="M937" s="175">
        <v>1.5972222222222221E-2</v>
      </c>
      <c r="N937" s="90">
        <v>320</v>
      </c>
      <c r="O937" s="91">
        <v>179</v>
      </c>
      <c r="P937" s="92" t="s">
        <v>21</v>
      </c>
      <c r="R937">
        <v>923</v>
      </c>
      <c r="S937" s="36" t="str">
        <f t="shared" si="292"/>
        <v>VUELOS AL NORTE AIRLINES</v>
      </c>
      <c r="T937" s="36">
        <f t="shared" si="292"/>
        <v>226</v>
      </c>
      <c r="U937" s="73">
        <v>0.17500000000000002</v>
      </c>
      <c r="V937" s="74">
        <v>0.19097222222222221</v>
      </c>
      <c r="W937" s="75">
        <v>1.5972222222222193E-2</v>
      </c>
      <c r="X937" s="74">
        <v>0.20833333333333334</v>
      </c>
      <c r="Y937" s="75">
        <v>1.7361111111111133E-2</v>
      </c>
      <c r="Z937" s="76">
        <v>41745</v>
      </c>
      <c r="AA937" s="36" t="str">
        <f t="shared" si="310"/>
        <v>Internacional</v>
      </c>
      <c r="AB937" s="36">
        <f t="shared" si="310"/>
        <v>1.4457070707070712E-2</v>
      </c>
      <c r="AC937" s="36">
        <f t="shared" si="310"/>
        <v>1.6445707070707069E-2</v>
      </c>
      <c r="AD937" s="36">
        <f t="shared" si="310"/>
        <v>3.0902777777777779E-2</v>
      </c>
      <c r="AE937" s="36" t="str">
        <f t="shared" si="310"/>
        <v>B737-800</v>
      </c>
      <c r="AF937" s="36">
        <f t="shared" si="310"/>
        <v>189</v>
      </c>
      <c r="AG937" s="36" t="str">
        <f t="shared" si="310"/>
        <v>SEA</v>
      </c>
      <c r="AI937">
        <v>923</v>
      </c>
      <c r="AJ937" s="77" t="str">
        <f t="shared" si="311"/>
        <v>AVIONES ROJOS</v>
      </c>
      <c r="AK937" s="77">
        <f t="shared" si="311"/>
        <v>701</v>
      </c>
      <c r="AL937" s="78">
        <v>0.53125</v>
      </c>
      <c r="AM937" s="79">
        <v>0.53680555555555554</v>
      </c>
      <c r="AN937" s="80">
        <v>5.5555555555555358E-3</v>
      </c>
      <c r="AO937" s="79">
        <v>0.55763888888888891</v>
      </c>
      <c r="AP937" s="80">
        <v>2.083333333333337E-2</v>
      </c>
      <c r="AQ937" s="81">
        <v>41796</v>
      </c>
      <c r="AR937" s="77" t="str">
        <f t="shared" ref="AR937:AX952" si="314">AR936</f>
        <v>Internacional</v>
      </c>
      <c r="AS937" s="77">
        <f t="shared" si="314"/>
        <v>9.191176470588213E-3</v>
      </c>
      <c r="AT937" s="77">
        <f t="shared" si="314"/>
        <v>1.8423202614379113E-2</v>
      </c>
      <c r="AU937" s="77">
        <f t="shared" si="314"/>
        <v>2.7614379084967326E-2</v>
      </c>
      <c r="AV937" s="77">
        <f t="shared" si="314"/>
        <v>320</v>
      </c>
      <c r="AW937" s="77">
        <f t="shared" si="314"/>
        <v>179</v>
      </c>
      <c r="AX937" s="77" t="str">
        <f t="shared" si="314"/>
        <v>ATL</v>
      </c>
    </row>
    <row r="938" spans="1:50" x14ac:dyDescent="0.25">
      <c r="A938">
        <v>924</v>
      </c>
      <c r="B938" s="36" t="str">
        <f t="shared" si="302"/>
        <v>BARATA Y MORADA</v>
      </c>
      <c r="C938" s="36">
        <f t="shared" si="302"/>
        <v>4734</v>
      </c>
      <c r="D938" s="118">
        <v>0.23194444444444443</v>
      </c>
      <c r="E938" s="118">
        <v>0.23958333333333334</v>
      </c>
      <c r="F938" s="119">
        <v>7.6388888888889173E-3</v>
      </c>
      <c r="G938" s="118">
        <v>0.24722222222222223</v>
      </c>
      <c r="H938" s="119">
        <v>7.6388888888888895E-3</v>
      </c>
      <c r="I938" s="81">
        <v>41723</v>
      </c>
      <c r="J938" s="36" t="str">
        <f t="shared" ref="J938:P942" si="315">J937</f>
        <v>Nacional</v>
      </c>
      <c r="K938" s="36">
        <f t="shared" si="315"/>
        <v>1.0069444444444459E-2</v>
      </c>
      <c r="L938" s="36">
        <f t="shared" si="315"/>
        <v>5.9027777777777611E-3</v>
      </c>
      <c r="M938" s="36">
        <f t="shared" si="315"/>
        <v>1.5972222222222221E-2</v>
      </c>
      <c r="N938" s="36">
        <f t="shared" si="315"/>
        <v>320</v>
      </c>
      <c r="O938" s="36">
        <f t="shared" si="315"/>
        <v>179</v>
      </c>
      <c r="P938" s="36" t="str">
        <f t="shared" si="315"/>
        <v>MEX</v>
      </c>
      <c r="R938">
        <v>924</v>
      </c>
      <c r="S938" s="36" t="str">
        <f t="shared" si="292"/>
        <v>VUELOS AL NORTE AIRLINES</v>
      </c>
      <c r="T938" s="36">
        <f t="shared" si="292"/>
        <v>226</v>
      </c>
      <c r="U938" s="73">
        <v>0.19583333333333333</v>
      </c>
      <c r="V938" s="74">
        <v>0.20625000000000002</v>
      </c>
      <c r="W938" s="75">
        <v>1.0416666666666685E-2</v>
      </c>
      <c r="X938" s="74">
        <v>0.22361111111111109</v>
      </c>
      <c r="Y938" s="75">
        <v>1.7361111111111077E-2</v>
      </c>
      <c r="Z938" s="76">
        <v>41746</v>
      </c>
      <c r="AA938" s="36" t="str">
        <f t="shared" si="310"/>
        <v>Internacional</v>
      </c>
      <c r="AB938" s="36">
        <f t="shared" si="310"/>
        <v>1.4457070707070712E-2</v>
      </c>
      <c r="AC938" s="36">
        <f t="shared" si="310"/>
        <v>1.6445707070707069E-2</v>
      </c>
      <c r="AD938" s="36">
        <f t="shared" si="310"/>
        <v>3.0902777777777779E-2</v>
      </c>
      <c r="AE938" s="36" t="str">
        <f t="shared" si="310"/>
        <v>B737-800</v>
      </c>
      <c r="AF938" s="36">
        <f t="shared" si="310"/>
        <v>189</v>
      </c>
      <c r="AG938" s="36" t="str">
        <f t="shared" si="310"/>
        <v>SEA</v>
      </c>
      <c r="AI938">
        <v>924</v>
      </c>
      <c r="AJ938" s="77" t="str">
        <f t="shared" si="311"/>
        <v>AVIONES ROJOS</v>
      </c>
      <c r="AK938" s="77">
        <f t="shared" si="311"/>
        <v>701</v>
      </c>
      <c r="AL938" s="78">
        <v>0.52847222222222223</v>
      </c>
      <c r="AM938" s="79">
        <v>0.53472222222222221</v>
      </c>
      <c r="AN938" s="80">
        <v>6.2499999999999778E-3</v>
      </c>
      <c r="AO938" s="79">
        <v>0.55902777777777779</v>
      </c>
      <c r="AP938" s="80">
        <v>2.430555555555558E-2</v>
      </c>
      <c r="AQ938" s="81">
        <v>41797</v>
      </c>
      <c r="AR938" s="77" t="str">
        <f t="shared" si="314"/>
        <v>Internacional</v>
      </c>
      <c r="AS938" s="77">
        <f t="shared" si="314"/>
        <v>9.191176470588213E-3</v>
      </c>
      <c r="AT938" s="77">
        <f t="shared" si="314"/>
        <v>1.8423202614379113E-2</v>
      </c>
      <c r="AU938" s="77">
        <f t="shared" si="314"/>
        <v>2.7614379084967326E-2</v>
      </c>
      <c r="AV938" s="77">
        <f t="shared" si="314"/>
        <v>320</v>
      </c>
      <c r="AW938" s="77">
        <f t="shared" si="314"/>
        <v>179</v>
      </c>
      <c r="AX938" s="77" t="str">
        <f t="shared" si="314"/>
        <v>ATL</v>
      </c>
    </row>
    <row r="939" spans="1:50" x14ac:dyDescent="0.25">
      <c r="A939">
        <v>925</v>
      </c>
      <c r="B939" s="36" t="str">
        <f t="shared" si="302"/>
        <v>BARATA Y MORADA</v>
      </c>
      <c r="C939" s="36">
        <f t="shared" si="302"/>
        <v>4734</v>
      </c>
      <c r="D939" s="118">
        <v>0.26041666666666669</v>
      </c>
      <c r="E939" s="118">
        <v>0.26527777777777778</v>
      </c>
      <c r="F939" s="119">
        <v>4.8611111111110938E-3</v>
      </c>
      <c r="G939" s="118">
        <v>0.27291666666666664</v>
      </c>
      <c r="H939" s="119">
        <v>7.6388888888888618E-3</v>
      </c>
      <c r="I939" s="81">
        <v>41724</v>
      </c>
      <c r="J939" s="36" t="str">
        <f t="shared" si="315"/>
        <v>Nacional</v>
      </c>
      <c r="K939" s="36">
        <f t="shared" si="315"/>
        <v>1.0069444444444459E-2</v>
      </c>
      <c r="L939" s="36">
        <f t="shared" si="315"/>
        <v>5.9027777777777611E-3</v>
      </c>
      <c r="M939" s="36">
        <f t="shared" si="315"/>
        <v>1.5972222222222221E-2</v>
      </c>
      <c r="N939" s="36">
        <f t="shared" si="315"/>
        <v>320</v>
      </c>
      <c r="O939" s="36">
        <f t="shared" si="315"/>
        <v>179</v>
      </c>
      <c r="P939" s="36" t="str">
        <f t="shared" si="315"/>
        <v>MEX</v>
      </c>
      <c r="R939">
        <v>925</v>
      </c>
      <c r="S939" s="36" t="str">
        <f t="shared" si="292"/>
        <v>VUELOS AL NORTE AIRLINES</v>
      </c>
      <c r="T939" s="36">
        <f t="shared" si="292"/>
        <v>226</v>
      </c>
      <c r="U939" s="73">
        <v>0.18888888888888888</v>
      </c>
      <c r="V939" s="74">
        <v>0.20902777777777778</v>
      </c>
      <c r="W939" s="75">
        <v>2.0138888888888901E-2</v>
      </c>
      <c r="X939" s="74">
        <v>0.22569444444444445</v>
      </c>
      <c r="Y939" s="75">
        <v>1.6666666666666663E-2</v>
      </c>
      <c r="Z939" s="76">
        <v>41747</v>
      </c>
      <c r="AA939" s="36" t="str">
        <f t="shared" si="310"/>
        <v>Internacional</v>
      </c>
      <c r="AB939" s="36">
        <f t="shared" si="310"/>
        <v>1.4457070707070712E-2</v>
      </c>
      <c r="AC939" s="36">
        <f t="shared" si="310"/>
        <v>1.6445707070707069E-2</v>
      </c>
      <c r="AD939" s="36">
        <f t="shared" si="310"/>
        <v>3.0902777777777779E-2</v>
      </c>
      <c r="AE939" s="36" t="str">
        <f t="shared" si="310"/>
        <v>B737-800</v>
      </c>
      <c r="AF939" s="36">
        <f t="shared" si="310"/>
        <v>189</v>
      </c>
      <c r="AG939" s="36" t="str">
        <f t="shared" si="310"/>
        <v>SEA</v>
      </c>
      <c r="AI939">
        <v>925</v>
      </c>
      <c r="AJ939" s="77" t="str">
        <f t="shared" si="311"/>
        <v>AVIONES ROJOS</v>
      </c>
      <c r="AK939" s="77">
        <f t="shared" si="311"/>
        <v>701</v>
      </c>
      <c r="AL939" s="78">
        <v>0.5229166666666667</v>
      </c>
      <c r="AM939" s="79">
        <v>0.53263888888888888</v>
      </c>
      <c r="AN939" s="80">
        <v>9.7222222222221877E-3</v>
      </c>
      <c r="AO939" s="79">
        <v>0.55208333333333337</v>
      </c>
      <c r="AP939" s="80">
        <v>1.9444444444444486E-2</v>
      </c>
      <c r="AQ939" s="81">
        <v>41798</v>
      </c>
      <c r="AR939" s="77" t="str">
        <f t="shared" si="314"/>
        <v>Internacional</v>
      </c>
      <c r="AS939" s="77">
        <f t="shared" si="314"/>
        <v>9.191176470588213E-3</v>
      </c>
      <c r="AT939" s="77">
        <f t="shared" si="314"/>
        <v>1.8423202614379113E-2</v>
      </c>
      <c r="AU939" s="77">
        <f t="shared" si="314"/>
        <v>2.7614379084967326E-2</v>
      </c>
      <c r="AV939" s="77">
        <f t="shared" si="314"/>
        <v>320</v>
      </c>
      <c r="AW939" s="77">
        <f t="shared" si="314"/>
        <v>179</v>
      </c>
      <c r="AX939" s="77" t="str">
        <f t="shared" si="314"/>
        <v>ATL</v>
      </c>
    </row>
    <row r="940" spans="1:50" x14ac:dyDescent="0.25">
      <c r="A940">
        <v>926</v>
      </c>
      <c r="B940" s="36" t="str">
        <f t="shared" si="302"/>
        <v>BARATA Y MORADA</v>
      </c>
      <c r="C940" s="36">
        <f t="shared" si="302"/>
        <v>4734</v>
      </c>
      <c r="D940" s="118">
        <v>0.25069444444444444</v>
      </c>
      <c r="E940" s="118">
        <v>0.25555555555555559</v>
      </c>
      <c r="F940" s="119">
        <v>4.8611111111111494E-3</v>
      </c>
      <c r="G940" s="118">
        <v>0.26250000000000001</v>
      </c>
      <c r="H940" s="119">
        <v>6.9444444444444198E-3</v>
      </c>
      <c r="I940" s="81">
        <v>41724</v>
      </c>
      <c r="J940" s="36" t="str">
        <f t="shared" si="315"/>
        <v>Nacional</v>
      </c>
      <c r="K940" s="36">
        <f t="shared" si="315"/>
        <v>1.0069444444444459E-2</v>
      </c>
      <c r="L940" s="36">
        <f t="shared" si="315"/>
        <v>5.9027777777777611E-3</v>
      </c>
      <c r="M940" s="36">
        <f t="shared" si="315"/>
        <v>1.5972222222222221E-2</v>
      </c>
      <c r="N940" s="36">
        <f t="shared" si="315"/>
        <v>320</v>
      </c>
      <c r="O940" s="36">
        <f t="shared" si="315"/>
        <v>179</v>
      </c>
      <c r="P940" s="36" t="str">
        <f t="shared" si="315"/>
        <v>MEX</v>
      </c>
      <c r="R940">
        <v>926</v>
      </c>
      <c r="S940" s="36" t="str">
        <f t="shared" si="292"/>
        <v>VUELOS AL NORTE AIRLINES</v>
      </c>
      <c r="T940" s="36">
        <f t="shared" si="292"/>
        <v>226</v>
      </c>
      <c r="U940" s="73">
        <v>0.19305555555555554</v>
      </c>
      <c r="V940" s="74">
        <v>0.20833333333333334</v>
      </c>
      <c r="W940" s="75">
        <v>1.5277777777777807E-2</v>
      </c>
      <c r="X940" s="74">
        <v>0.21875</v>
      </c>
      <c r="Y940" s="75">
        <v>1.0416666666666657E-2</v>
      </c>
      <c r="Z940" s="76">
        <v>41749</v>
      </c>
      <c r="AA940" s="36" t="str">
        <f t="shared" si="310"/>
        <v>Internacional</v>
      </c>
      <c r="AB940" s="36">
        <f t="shared" si="310"/>
        <v>1.4457070707070712E-2</v>
      </c>
      <c r="AC940" s="36">
        <f t="shared" si="310"/>
        <v>1.6445707070707069E-2</v>
      </c>
      <c r="AD940" s="36">
        <f t="shared" si="310"/>
        <v>3.0902777777777779E-2</v>
      </c>
      <c r="AE940" s="36" t="str">
        <f t="shared" si="310"/>
        <v>B737-800</v>
      </c>
      <c r="AF940" s="36">
        <f t="shared" si="310"/>
        <v>189</v>
      </c>
      <c r="AG940" s="36" t="str">
        <f t="shared" si="310"/>
        <v>SEA</v>
      </c>
      <c r="AI940">
        <v>926</v>
      </c>
      <c r="AJ940" s="77" t="str">
        <f t="shared" si="311"/>
        <v>AVIONES ROJOS</v>
      </c>
      <c r="AK940" s="77">
        <f t="shared" si="311"/>
        <v>701</v>
      </c>
      <c r="AL940" s="78">
        <v>0.375</v>
      </c>
      <c r="AM940" s="79">
        <v>0.38194444444444442</v>
      </c>
      <c r="AN940" s="80">
        <v>6.9444444444444198E-3</v>
      </c>
      <c r="AO940" s="79">
        <v>0.3923611111111111</v>
      </c>
      <c r="AP940" s="80">
        <v>1.0416666666666685E-2</v>
      </c>
      <c r="AQ940" s="81">
        <v>41801</v>
      </c>
      <c r="AR940" s="77" t="str">
        <f t="shared" si="314"/>
        <v>Internacional</v>
      </c>
      <c r="AS940" s="77">
        <f t="shared" si="314"/>
        <v>9.191176470588213E-3</v>
      </c>
      <c r="AT940" s="77">
        <f t="shared" si="314"/>
        <v>1.8423202614379113E-2</v>
      </c>
      <c r="AU940" s="77">
        <f t="shared" si="314"/>
        <v>2.7614379084967326E-2</v>
      </c>
      <c r="AV940" s="77">
        <f t="shared" si="314"/>
        <v>320</v>
      </c>
      <c r="AW940" s="77">
        <f t="shared" si="314"/>
        <v>179</v>
      </c>
      <c r="AX940" s="77" t="str">
        <f t="shared" si="314"/>
        <v>ATL</v>
      </c>
    </row>
    <row r="941" spans="1:50" x14ac:dyDescent="0.25">
      <c r="A941">
        <v>927</v>
      </c>
      <c r="B941" s="36" t="str">
        <f t="shared" si="302"/>
        <v>BARATA Y MORADA</v>
      </c>
      <c r="C941" s="36">
        <f t="shared" si="302"/>
        <v>4734</v>
      </c>
      <c r="D941" s="118">
        <v>0.23819444444444446</v>
      </c>
      <c r="E941" s="118">
        <v>0.24444444444444446</v>
      </c>
      <c r="F941" s="119">
        <v>6.2500000000000056E-3</v>
      </c>
      <c r="G941" s="118">
        <v>0.25</v>
      </c>
      <c r="H941" s="119">
        <v>5.5555555555555358E-3</v>
      </c>
      <c r="I941" s="81">
        <v>41725</v>
      </c>
      <c r="J941" s="36" t="str">
        <f t="shared" si="315"/>
        <v>Nacional</v>
      </c>
      <c r="K941" s="36">
        <f t="shared" si="315"/>
        <v>1.0069444444444459E-2</v>
      </c>
      <c r="L941" s="36">
        <f t="shared" si="315"/>
        <v>5.9027777777777611E-3</v>
      </c>
      <c r="M941" s="36">
        <f t="shared" si="315"/>
        <v>1.5972222222222221E-2</v>
      </c>
      <c r="N941" s="36">
        <f t="shared" si="315"/>
        <v>320</v>
      </c>
      <c r="O941" s="36">
        <f t="shared" si="315"/>
        <v>179</v>
      </c>
      <c r="P941" s="36" t="str">
        <f t="shared" si="315"/>
        <v>MEX</v>
      </c>
      <c r="R941">
        <v>927</v>
      </c>
      <c r="S941" s="36" t="str">
        <f t="shared" ref="S941:T948" si="316">S940</f>
        <v>VUELOS AL NORTE AIRLINES</v>
      </c>
      <c r="T941" s="36">
        <f t="shared" si="316"/>
        <v>226</v>
      </c>
      <c r="U941" s="73">
        <v>0.17777777777777778</v>
      </c>
      <c r="V941" s="74">
        <v>0.19375000000000001</v>
      </c>
      <c r="W941" s="75">
        <v>1.5972222222222221E-2</v>
      </c>
      <c r="X941" s="74">
        <v>0.21111111111111111</v>
      </c>
      <c r="Y941" s="75">
        <v>1.7361111111111105E-2</v>
      </c>
      <c r="Z941" s="76">
        <v>41749</v>
      </c>
      <c r="AA941" s="36" t="str">
        <f t="shared" si="310"/>
        <v>Internacional</v>
      </c>
      <c r="AB941" s="36">
        <f t="shared" si="310"/>
        <v>1.4457070707070712E-2</v>
      </c>
      <c r="AC941" s="36">
        <f t="shared" si="310"/>
        <v>1.6445707070707069E-2</v>
      </c>
      <c r="AD941" s="36">
        <f t="shared" si="310"/>
        <v>3.0902777777777779E-2</v>
      </c>
      <c r="AE941" s="36" t="str">
        <f t="shared" si="310"/>
        <v>B737-800</v>
      </c>
      <c r="AF941" s="36">
        <f t="shared" si="310"/>
        <v>189</v>
      </c>
      <c r="AG941" s="36" t="str">
        <f t="shared" si="310"/>
        <v>SEA</v>
      </c>
      <c r="AI941">
        <v>927</v>
      </c>
      <c r="AJ941" s="77" t="str">
        <f t="shared" si="311"/>
        <v>AVIONES ROJOS</v>
      </c>
      <c r="AK941" s="77">
        <f t="shared" si="311"/>
        <v>701</v>
      </c>
      <c r="AL941" s="78">
        <v>0.83333333333333337</v>
      </c>
      <c r="AM941" s="79">
        <v>0.84166666666666667</v>
      </c>
      <c r="AN941" s="80">
        <v>8.3333333333333037E-3</v>
      </c>
      <c r="AO941" s="79">
        <v>0.8618055555555556</v>
      </c>
      <c r="AP941" s="80">
        <v>2.0138888888888928E-2</v>
      </c>
      <c r="AQ941" s="81">
        <v>41802</v>
      </c>
      <c r="AR941" s="77" t="str">
        <f t="shared" si="314"/>
        <v>Internacional</v>
      </c>
      <c r="AS941" s="77">
        <f t="shared" si="314"/>
        <v>9.191176470588213E-3</v>
      </c>
      <c r="AT941" s="77">
        <f t="shared" si="314"/>
        <v>1.8423202614379113E-2</v>
      </c>
      <c r="AU941" s="77">
        <f t="shared" si="314"/>
        <v>2.7614379084967326E-2</v>
      </c>
      <c r="AV941" s="77">
        <f t="shared" si="314"/>
        <v>320</v>
      </c>
      <c r="AW941" s="77">
        <f t="shared" si="314"/>
        <v>179</v>
      </c>
      <c r="AX941" s="77" t="str">
        <f t="shared" si="314"/>
        <v>ATL</v>
      </c>
    </row>
    <row r="942" spans="1:50" ht="15.75" thickBot="1" x14ac:dyDescent="0.3">
      <c r="A942">
        <v>928</v>
      </c>
      <c r="B942" s="36" t="str">
        <f t="shared" si="302"/>
        <v>BARATA Y MORADA</v>
      </c>
      <c r="C942" s="36">
        <f t="shared" si="302"/>
        <v>4734</v>
      </c>
      <c r="D942" s="176">
        <v>0.22916666666666666</v>
      </c>
      <c r="E942" s="176">
        <v>0.25069444444444444</v>
      </c>
      <c r="F942" s="177">
        <v>2.1527777777777785E-2</v>
      </c>
      <c r="G942" s="176">
        <v>0.25486111111111109</v>
      </c>
      <c r="H942" s="177">
        <v>4.1666666666666519E-3</v>
      </c>
      <c r="I942" s="97">
        <v>41719</v>
      </c>
      <c r="J942" s="36" t="str">
        <f t="shared" si="315"/>
        <v>Nacional</v>
      </c>
      <c r="K942" s="36">
        <f t="shared" si="315"/>
        <v>1.0069444444444459E-2</v>
      </c>
      <c r="L942" s="36">
        <f t="shared" si="315"/>
        <v>5.9027777777777611E-3</v>
      </c>
      <c r="M942" s="36">
        <f t="shared" si="315"/>
        <v>1.5972222222222221E-2</v>
      </c>
      <c r="N942" s="36">
        <f t="shared" si="315"/>
        <v>320</v>
      </c>
      <c r="O942" s="36">
        <f t="shared" si="315"/>
        <v>179</v>
      </c>
      <c r="P942" s="36" t="str">
        <f t="shared" si="315"/>
        <v>MEX</v>
      </c>
      <c r="R942">
        <v>928</v>
      </c>
      <c r="S942" s="36" t="str">
        <f t="shared" si="316"/>
        <v>VUELOS AL NORTE AIRLINES</v>
      </c>
      <c r="T942" s="36">
        <f t="shared" si="316"/>
        <v>226</v>
      </c>
      <c r="U942" s="73">
        <v>0.20138888888888887</v>
      </c>
      <c r="V942" s="74">
        <v>0.22083333333333333</v>
      </c>
      <c r="W942" s="75">
        <v>1.9444444444444459E-2</v>
      </c>
      <c r="X942" s="74">
        <v>0.23750000000000002</v>
      </c>
      <c r="Y942" s="75">
        <v>1.6666666666666691E-2</v>
      </c>
      <c r="Z942" s="76">
        <v>41751</v>
      </c>
      <c r="AA942" s="36" t="str">
        <f t="shared" si="310"/>
        <v>Internacional</v>
      </c>
      <c r="AB942" s="36">
        <f t="shared" si="310"/>
        <v>1.4457070707070712E-2</v>
      </c>
      <c r="AC942" s="36">
        <f t="shared" si="310"/>
        <v>1.6445707070707069E-2</v>
      </c>
      <c r="AD942" s="36">
        <f t="shared" si="310"/>
        <v>3.0902777777777779E-2</v>
      </c>
      <c r="AE942" s="36" t="str">
        <f t="shared" si="310"/>
        <v>B737-800</v>
      </c>
      <c r="AF942" s="36">
        <f t="shared" si="310"/>
        <v>189</v>
      </c>
      <c r="AG942" s="36" t="str">
        <f t="shared" si="310"/>
        <v>SEA</v>
      </c>
      <c r="AI942">
        <v>928</v>
      </c>
      <c r="AJ942" s="77" t="str">
        <f t="shared" si="311"/>
        <v>AVIONES ROJOS</v>
      </c>
      <c r="AK942" s="77">
        <f t="shared" si="311"/>
        <v>701</v>
      </c>
      <c r="AL942" s="78">
        <v>0.85069444444444453</v>
      </c>
      <c r="AM942" s="79">
        <v>0.86319444444444438</v>
      </c>
      <c r="AN942" s="80">
        <v>1.2499999999999845E-2</v>
      </c>
      <c r="AO942" s="79">
        <v>0.8979166666666667</v>
      </c>
      <c r="AP942" s="80">
        <v>3.4722222222222321E-2</v>
      </c>
      <c r="AQ942" s="81">
        <v>41803</v>
      </c>
      <c r="AR942" s="77" t="str">
        <f t="shared" si="314"/>
        <v>Internacional</v>
      </c>
      <c r="AS942" s="77">
        <f t="shared" si="314"/>
        <v>9.191176470588213E-3</v>
      </c>
      <c r="AT942" s="77">
        <f t="shared" si="314"/>
        <v>1.8423202614379113E-2</v>
      </c>
      <c r="AU942" s="77">
        <f t="shared" si="314"/>
        <v>2.7614379084967326E-2</v>
      </c>
      <c r="AV942" s="77">
        <f t="shared" si="314"/>
        <v>320</v>
      </c>
      <c r="AW942" s="77">
        <f t="shared" si="314"/>
        <v>179</v>
      </c>
      <c r="AX942" s="77" t="str">
        <f t="shared" si="314"/>
        <v>ATL</v>
      </c>
    </row>
    <row r="943" spans="1:50" ht="15.75" thickBot="1" x14ac:dyDescent="0.3">
      <c r="A943">
        <v>929</v>
      </c>
      <c r="B943" s="36" t="str">
        <f t="shared" si="302"/>
        <v>BARATA Y MORADA</v>
      </c>
      <c r="C943" s="146">
        <v>4525</v>
      </c>
      <c r="D943" s="147">
        <v>0.66388888888888886</v>
      </c>
      <c r="E943" s="147">
        <v>0.6694444444444444</v>
      </c>
      <c r="F943" s="148">
        <v>5.5555555555555358E-3</v>
      </c>
      <c r="G943" s="147">
        <v>0.68680555555555556</v>
      </c>
      <c r="H943" s="148">
        <v>1.736111111111116E-2</v>
      </c>
      <c r="I943" s="103">
        <v>41718</v>
      </c>
      <c r="J943" s="103" t="s">
        <v>22</v>
      </c>
      <c r="K943" s="149">
        <v>5.5555555555555358E-3</v>
      </c>
      <c r="L943" s="149">
        <v>1.736111111111116E-2</v>
      </c>
      <c r="M943" s="150">
        <v>2.2916666666666696E-2</v>
      </c>
      <c r="N943" s="52" t="s">
        <v>20</v>
      </c>
      <c r="O943" s="53">
        <v>50</v>
      </c>
      <c r="P943" s="54" t="s">
        <v>54</v>
      </c>
      <c r="R943">
        <v>929</v>
      </c>
      <c r="S943" s="36" t="str">
        <f t="shared" si="316"/>
        <v>VUELOS AL NORTE AIRLINES</v>
      </c>
      <c r="T943" s="36">
        <f t="shared" si="316"/>
        <v>226</v>
      </c>
      <c r="U943" s="73">
        <v>0.20555555555555557</v>
      </c>
      <c r="V943" s="74">
        <v>0.21736111111111112</v>
      </c>
      <c r="W943" s="75">
        <v>1.1805555555555541E-2</v>
      </c>
      <c r="X943" s="74">
        <v>0.23472222222222219</v>
      </c>
      <c r="Y943" s="75">
        <v>1.7361111111111077E-2</v>
      </c>
      <c r="Z943" s="76">
        <v>41752</v>
      </c>
      <c r="AA943" s="36" t="str">
        <f t="shared" si="310"/>
        <v>Internacional</v>
      </c>
      <c r="AB943" s="36">
        <f t="shared" si="310"/>
        <v>1.4457070707070712E-2</v>
      </c>
      <c r="AC943" s="36">
        <f t="shared" si="310"/>
        <v>1.6445707070707069E-2</v>
      </c>
      <c r="AD943" s="36">
        <f t="shared" si="310"/>
        <v>3.0902777777777779E-2</v>
      </c>
      <c r="AE943" s="36" t="str">
        <f t="shared" si="310"/>
        <v>B737-800</v>
      </c>
      <c r="AF943" s="36">
        <f t="shared" si="310"/>
        <v>189</v>
      </c>
      <c r="AG943" s="36" t="str">
        <f t="shared" si="310"/>
        <v>SEA</v>
      </c>
      <c r="AI943">
        <v>929</v>
      </c>
      <c r="AJ943" s="77" t="str">
        <f t="shared" si="311"/>
        <v>AVIONES ROJOS</v>
      </c>
      <c r="AK943" s="77">
        <f t="shared" si="311"/>
        <v>701</v>
      </c>
      <c r="AL943" s="78">
        <v>0.9243055555555556</v>
      </c>
      <c r="AM943" s="79">
        <v>0.93194444444444446</v>
      </c>
      <c r="AN943" s="80">
        <v>7.6388888888888618E-3</v>
      </c>
      <c r="AO943" s="79">
        <v>0.95763888888888893</v>
      </c>
      <c r="AP943" s="80">
        <v>2.5694444444444464E-2</v>
      </c>
      <c r="AQ943" s="81">
        <v>41804</v>
      </c>
      <c r="AR943" s="77" t="str">
        <f t="shared" si="314"/>
        <v>Internacional</v>
      </c>
      <c r="AS943" s="77">
        <f t="shared" si="314"/>
        <v>9.191176470588213E-3</v>
      </c>
      <c r="AT943" s="77">
        <f t="shared" si="314"/>
        <v>1.8423202614379113E-2</v>
      </c>
      <c r="AU943" s="77">
        <f t="shared" si="314"/>
        <v>2.7614379084967326E-2</v>
      </c>
      <c r="AV943" s="77">
        <f t="shared" si="314"/>
        <v>320</v>
      </c>
      <c r="AW943" s="77">
        <f t="shared" si="314"/>
        <v>179</v>
      </c>
      <c r="AX943" s="77" t="str">
        <f t="shared" si="314"/>
        <v>ATL</v>
      </c>
    </row>
    <row r="944" spans="1:50" ht="15.75" thickBot="1" x14ac:dyDescent="0.3">
      <c r="A944">
        <v>930</v>
      </c>
      <c r="B944" s="36" t="str">
        <f t="shared" si="302"/>
        <v>BARATA Y MORADA</v>
      </c>
      <c r="C944" s="146">
        <v>4354</v>
      </c>
      <c r="D944" s="147">
        <v>0.51666666666666672</v>
      </c>
      <c r="E944" s="147">
        <v>0.52500000000000002</v>
      </c>
      <c r="F944" s="148">
        <v>8.3333333333333037E-3</v>
      </c>
      <c r="G944" s="147">
        <v>0.53263888888888888</v>
      </c>
      <c r="H944" s="148">
        <v>7.6388888888888618E-3</v>
      </c>
      <c r="I944" s="103">
        <v>41718</v>
      </c>
      <c r="J944" s="103" t="s">
        <v>22</v>
      </c>
      <c r="K944" s="149">
        <v>8.3333333333333037E-3</v>
      </c>
      <c r="L944" s="149">
        <v>7.6388888888888618E-3</v>
      </c>
      <c r="M944" s="150">
        <v>1.5972222222222165E-2</v>
      </c>
      <c r="N944" s="52" t="s">
        <v>20</v>
      </c>
      <c r="O944" s="53">
        <v>50</v>
      </c>
      <c r="P944" s="54" t="s">
        <v>54</v>
      </c>
      <c r="R944">
        <v>930</v>
      </c>
      <c r="S944" s="36" t="str">
        <f t="shared" si="316"/>
        <v>VUELOS AL NORTE AIRLINES</v>
      </c>
      <c r="T944" s="36">
        <f t="shared" si="316"/>
        <v>226</v>
      </c>
      <c r="U944" s="73">
        <v>0.1875</v>
      </c>
      <c r="V944" s="74">
        <v>0.20138888888888887</v>
      </c>
      <c r="W944" s="75">
        <v>1.3888888888888867E-2</v>
      </c>
      <c r="X944" s="74">
        <v>0.21875</v>
      </c>
      <c r="Y944" s="75">
        <v>1.7361111111111133E-2</v>
      </c>
      <c r="Z944" s="76">
        <v>41752</v>
      </c>
      <c r="AA944" s="36" t="str">
        <f t="shared" si="310"/>
        <v>Internacional</v>
      </c>
      <c r="AB944" s="36">
        <f t="shared" si="310"/>
        <v>1.4457070707070712E-2</v>
      </c>
      <c r="AC944" s="36">
        <f t="shared" si="310"/>
        <v>1.6445707070707069E-2</v>
      </c>
      <c r="AD944" s="36">
        <f t="shared" si="310"/>
        <v>3.0902777777777779E-2</v>
      </c>
      <c r="AE944" s="36" t="str">
        <f t="shared" si="310"/>
        <v>B737-800</v>
      </c>
      <c r="AF944" s="36">
        <f t="shared" si="310"/>
        <v>189</v>
      </c>
      <c r="AG944" s="36" t="str">
        <f t="shared" si="310"/>
        <v>SEA</v>
      </c>
      <c r="AI944">
        <v>930</v>
      </c>
      <c r="AJ944" s="77" t="str">
        <f t="shared" si="311"/>
        <v>AVIONES ROJOS</v>
      </c>
      <c r="AK944" s="77">
        <f t="shared" si="311"/>
        <v>701</v>
      </c>
      <c r="AL944" s="78">
        <v>0.46388888888888885</v>
      </c>
      <c r="AM944" s="79">
        <v>0.47083333333333338</v>
      </c>
      <c r="AN944" s="80">
        <v>6.9444444444445308E-3</v>
      </c>
      <c r="AO944" s="79">
        <v>0.47916666666666669</v>
      </c>
      <c r="AP944" s="80">
        <v>8.3333333333333037E-3</v>
      </c>
      <c r="AQ944" s="81">
        <v>41805</v>
      </c>
      <c r="AR944" s="77" t="str">
        <f t="shared" si="314"/>
        <v>Internacional</v>
      </c>
      <c r="AS944" s="77">
        <f t="shared" si="314"/>
        <v>9.191176470588213E-3</v>
      </c>
      <c r="AT944" s="77">
        <f t="shared" si="314"/>
        <v>1.8423202614379113E-2</v>
      </c>
      <c r="AU944" s="77">
        <f t="shared" si="314"/>
        <v>2.7614379084967326E-2</v>
      </c>
      <c r="AV944" s="77">
        <f t="shared" si="314"/>
        <v>320</v>
      </c>
      <c r="AW944" s="77">
        <f t="shared" si="314"/>
        <v>179</v>
      </c>
      <c r="AX944" s="77" t="str">
        <f t="shared" si="314"/>
        <v>ATL</v>
      </c>
    </row>
    <row r="945" spans="1:50" ht="15.75" thickBot="1" x14ac:dyDescent="0.3">
      <c r="A945">
        <v>931</v>
      </c>
      <c r="B945" s="36" t="str">
        <f t="shared" si="302"/>
        <v>BARATA Y MORADA</v>
      </c>
      <c r="C945" s="146">
        <v>3436</v>
      </c>
      <c r="D945" s="147">
        <v>1.0097222222222222</v>
      </c>
      <c r="E945" s="147">
        <v>1.0159722222222223</v>
      </c>
      <c r="F945" s="148">
        <v>6.2500000000000888E-3</v>
      </c>
      <c r="G945" s="147">
        <v>1.0229166666666667</v>
      </c>
      <c r="H945" s="148">
        <v>6.9444444444444198E-3</v>
      </c>
      <c r="I945" s="103">
        <v>41719</v>
      </c>
      <c r="J945" s="184" t="s">
        <v>19</v>
      </c>
      <c r="K945" s="149">
        <v>6.2500000000000888E-3</v>
      </c>
      <c r="L945" s="149">
        <v>6.9444444444444198E-3</v>
      </c>
      <c r="M945" s="150">
        <v>1.3194444444444509E-2</v>
      </c>
      <c r="N945" s="52" t="s">
        <v>25</v>
      </c>
      <c r="O945" s="36">
        <f t="shared" ref="O945:P945" si="317">O944</f>
        <v>50</v>
      </c>
      <c r="P945" s="36" t="str">
        <f t="shared" si="317"/>
        <v>IAH</v>
      </c>
      <c r="R945">
        <v>931</v>
      </c>
      <c r="S945" s="36" t="str">
        <f t="shared" si="316"/>
        <v>VUELOS AL NORTE AIRLINES</v>
      </c>
      <c r="T945" s="36">
        <f t="shared" si="316"/>
        <v>226</v>
      </c>
      <c r="U945" s="73">
        <v>0.20625000000000002</v>
      </c>
      <c r="V945" s="74">
        <v>0.22569444444444445</v>
      </c>
      <c r="W945" s="75">
        <v>1.9444444444444431E-2</v>
      </c>
      <c r="X945" s="74">
        <v>0.23055555555555554</v>
      </c>
      <c r="Y945" s="75">
        <v>4.8611111111110938E-3</v>
      </c>
      <c r="Z945" s="76">
        <v>41754</v>
      </c>
      <c r="AA945" s="36" t="str">
        <f t="shared" si="310"/>
        <v>Internacional</v>
      </c>
      <c r="AB945" s="36">
        <f t="shared" si="310"/>
        <v>1.4457070707070712E-2</v>
      </c>
      <c r="AC945" s="36">
        <f t="shared" si="310"/>
        <v>1.6445707070707069E-2</v>
      </c>
      <c r="AD945" s="36">
        <f t="shared" si="310"/>
        <v>3.0902777777777779E-2</v>
      </c>
      <c r="AE945" s="36" t="str">
        <f t="shared" si="310"/>
        <v>B737-800</v>
      </c>
      <c r="AF945" s="36">
        <f t="shared" si="310"/>
        <v>189</v>
      </c>
      <c r="AG945" s="36" t="str">
        <f t="shared" si="310"/>
        <v>SEA</v>
      </c>
      <c r="AI945">
        <v>931</v>
      </c>
      <c r="AJ945" s="77" t="str">
        <f t="shared" si="311"/>
        <v>AVIONES ROJOS</v>
      </c>
      <c r="AK945" s="77">
        <f t="shared" si="311"/>
        <v>701</v>
      </c>
      <c r="AL945" s="78">
        <v>0.28263888888888888</v>
      </c>
      <c r="AM945" s="79">
        <v>0.29097222222222224</v>
      </c>
      <c r="AN945" s="80">
        <v>8.3333333333333592E-3</v>
      </c>
      <c r="AO945" s="79">
        <v>0.29583333333333334</v>
      </c>
      <c r="AP945" s="80">
        <v>4.8611111111110938E-3</v>
      </c>
      <c r="AQ945" s="81">
        <v>41806</v>
      </c>
      <c r="AR945" s="77" t="str">
        <f t="shared" si="314"/>
        <v>Internacional</v>
      </c>
      <c r="AS945" s="77">
        <f t="shared" si="314"/>
        <v>9.191176470588213E-3</v>
      </c>
      <c r="AT945" s="77">
        <f t="shared" si="314"/>
        <v>1.8423202614379113E-2</v>
      </c>
      <c r="AU945" s="77">
        <f t="shared" si="314"/>
        <v>2.7614379084967326E-2</v>
      </c>
      <c r="AV945" s="77">
        <f t="shared" si="314"/>
        <v>320</v>
      </c>
      <c r="AW945" s="77">
        <f t="shared" si="314"/>
        <v>179</v>
      </c>
      <c r="AX945" s="77" t="str">
        <f t="shared" si="314"/>
        <v>ATL</v>
      </c>
    </row>
    <row r="946" spans="1:50" ht="15.75" thickBot="1" x14ac:dyDescent="0.3">
      <c r="A946">
        <v>932</v>
      </c>
      <c r="B946" s="36" t="str">
        <f t="shared" si="302"/>
        <v>BARATA Y MORADA</v>
      </c>
      <c r="C946" s="146">
        <v>2625</v>
      </c>
      <c r="D946" s="147">
        <v>0.97083333333333333</v>
      </c>
      <c r="E946" s="147">
        <v>0.97152777777777777</v>
      </c>
      <c r="F946" s="148">
        <v>6.9444444444444198E-4</v>
      </c>
      <c r="G946" s="147">
        <v>0.97361111111111109</v>
      </c>
      <c r="H946" s="148">
        <v>2.0833333333333259E-3</v>
      </c>
      <c r="I946" s="103">
        <v>41722</v>
      </c>
      <c r="J946" s="184" t="s">
        <v>19</v>
      </c>
      <c r="K946" s="149">
        <v>6.9444444444444198E-4</v>
      </c>
      <c r="L946" s="149">
        <v>2.0833333333333259E-3</v>
      </c>
      <c r="M946" s="150">
        <v>2.7777777777777679E-3</v>
      </c>
      <c r="N946" s="52" t="s">
        <v>20</v>
      </c>
      <c r="O946" s="53">
        <v>50</v>
      </c>
      <c r="P946" s="54" t="s">
        <v>26</v>
      </c>
      <c r="R946">
        <v>932</v>
      </c>
      <c r="S946" s="36" t="str">
        <f t="shared" si="316"/>
        <v>VUELOS AL NORTE AIRLINES</v>
      </c>
      <c r="T946" s="36">
        <f t="shared" si="316"/>
        <v>226</v>
      </c>
      <c r="U946" s="73">
        <v>0.18333333333333335</v>
      </c>
      <c r="V946" s="74">
        <v>0.19930555555555554</v>
      </c>
      <c r="W946" s="75">
        <v>1.5972222222222193E-2</v>
      </c>
      <c r="X946" s="74">
        <v>0.21180555555555555</v>
      </c>
      <c r="Y946" s="75">
        <v>1.2500000000000011E-2</v>
      </c>
      <c r="Z946" s="76">
        <v>41755</v>
      </c>
      <c r="AA946" s="36" t="str">
        <f t="shared" si="310"/>
        <v>Internacional</v>
      </c>
      <c r="AB946" s="36">
        <f t="shared" si="310"/>
        <v>1.4457070707070712E-2</v>
      </c>
      <c r="AC946" s="36">
        <f t="shared" si="310"/>
        <v>1.6445707070707069E-2</v>
      </c>
      <c r="AD946" s="36">
        <f t="shared" si="310"/>
        <v>3.0902777777777779E-2</v>
      </c>
      <c r="AE946" s="36" t="str">
        <f t="shared" si="310"/>
        <v>B737-800</v>
      </c>
      <c r="AF946" s="36">
        <f t="shared" si="310"/>
        <v>189</v>
      </c>
      <c r="AG946" s="36" t="str">
        <f t="shared" si="310"/>
        <v>SEA</v>
      </c>
      <c r="AI946">
        <v>932</v>
      </c>
      <c r="AJ946" s="77" t="str">
        <f t="shared" si="311"/>
        <v>AVIONES ROJOS</v>
      </c>
      <c r="AK946" s="77">
        <f t="shared" si="311"/>
        <v>701</v>
      </c>
      <c r="AL946" s="78">
        <v>0.84583333333333333</v>
      </c>
      <c r="AM946" s="79">
        <v>0.87152777777777779</v>
      </c>
      <c r="AN946" s="80">
        <v>2.5694444444444464E-2</v>
      </c>
      <c r="AO946" s="79">
        <v>0.87708333333333333</v>
      </c>
      <c r="AP946" s="80">
        <v>5.5555555555555358E-3</v>
      </c>
      <c r="AQ946" s="81">
        <v>41807</v>
      </c>
      <c r="AR946" s="77" t="str">
        <f t="shared" si="314"/>
        <v>Internacional</v>
      </c>
      <c r="AS946" s="77">
        <f t="shared" si="314"/>
        <v>9.191176470588213E-3</v>
      </c>
      <c r="AT946" s="77">
        <f t="shared" si="314"/>
        <v>1.8423202614379113E-2</v>
      </c>
      <c r="AU946" s="77">
        <f t="shared" si="314"/>
        <v>2.7614379084967326E-2</v>
      </c>
      <c r="AV946" s="77">
        <f t="shared" si="314"/>
        <v>320</v>
      </c>
      <c r="AW946" s="77">
        <f t="shared" si="314"/>
        <v>179</v>
      </c>
      <c r="AX946" s="77" t="str">
        <f t="shared" si="314"/>
        <v>ATL</v>
      </c>
    </row>
    <row r="947" spans="1:50" ht="15.75" thickBot="1" x14ac:dyDescent="0.3">
      <c r="A947">
        <v>933</v>
      </c>
      <c r="B947" s="36" t="str">
        <f t="shared" si="302"/>
        <v>BARATA Y MORADA</v>
      </c>
      <c r="C947" s="146">
        <v>2434</v>
      </c>
      <c r="D947" s="147">
        <v>0.98611111111111116</v>
      </c>
      <c r="E947" s="147">
        <v>0.9916666666666667</v>
      </c>
      <c r="F947" s="148">
        <v>5.5555555555555358E-3</v>
      </c>
      <c r="G947" s="147">
        <v>1.0034722222222221</v>
      </c>
      <c r="H947" s="148">
        <v>1.1805555555555403E-2</v>
      </c>
      <c r="I947" s="103">
        <v>41724</v>
      </c>
      <c r="J947" s="184" t="s">
        <v>19</v>
      </c>
      <c r="K947" s="149">
        <v>5.5555555555555358E-3</v>
      </c>
      <c r="L947" s="149">
        <v>1.1805555555555403E-2</v>
      </c>
      <c r="M947" s="150">
        <v>1.7361111111110938E-2</v>
      </c>
      <c r="N947" s="52" t="s">
        <v>20</v>
      </c>
      <c r="O947" s="53">
        <v>50</v>
      </c>
      <c r="P947" s="54" t="s">
        <v>26</v>
      </c>
      <c r="R947">
        <v>933</v>
      </c>
      <c r="S947" s="36" t="str">
        <f t="shared" si="316"/>
        <v>VUELOS AL NORTE AIRLINES</v>
      </c>
      <c r="T947" s="36">
        <f t="shared" si="316"/>
        <v>226</v>
      </c>
      <c r="U947" s="73">
        <v>0.20347222222222219</v>
      </c>
      <c r="V947" s="74">
        <v>0.21597222222222223</v>
      </c>
      <c r="W947" s="75">
        <v>1.2500000000000039E-2</v>
      </c>
      <c r="X947" s="74">
        <v>0.23680555555555557</v>
      </c>
      <c r="Y947" s="75">
        <v>2.0833333333333343E-2</v>
      </c>
      <c r="Z947" s="76">
        <v>41756</v>
      </c>
      <c r="AA947" s="36" t="str">
        <f t="shared" si="310"/>
        <v>Internacional</v>
      </c>
      <c r="AB947" s="36">
        <f t="shared" si="310"/>
        <v>1.4457070707070712E-2</v>
      </c>
      <c r="AC947" s="36">
        <f t="shared" si="310"/>
        <v>1.6445707070707069E-2</v>
      </c>
      <c r="AD947" s="36">
        <f t="shared" si="310"/>
        <v>3.0902777777777779E-2</v>
      </c>
      <c r="AE947" s="36" t="str">
        <f t="shared" si="310"/>
        <v>B737-800</v>
      </c>
      <c r="AF947" s="36">
        <f t="shared" si="310"/>
        <v>189</v>
      </c>
      <c r="AG947" s="36" t="str">
        <f t="shared" si="310"/>
        <v>SEA</v>
      </c>
      <c r="AI947">
        <v>933</v>
      </c>
      <c r="AJ947" s="77" t="str">
        <f t="shared" si="311"/>
        <v>AVIONES ROJOS</v>
      </c>
      <c r="AK947" s="77">
        <f t="shared" si="311"/>
        <v>701</v>
      </c>
      <c r="AL947" s="78">
        <v>0.53194444444444444</v>
      </c>
      <c r="AM947" s="79">
        <v>0.54166666666666663</v>
      </c>
      <c r="AN947" s="80">
        <v>9.7222222222221877E-3</v>
      </c>
      <c r="AO947" s="79">
        <v>0.56388888888888888</v>
      </c>
      <c r="AP947" s="80">
        <v>2.2222222222222254E-2</v>
      </c>
      <c r="AQ947" s="81">
        <v>41808</v>
      </c>
      <c r="AR947" s="77" t="str">
        <f t="shared" si="314"/>
        <v>Internacional</v>
      </c>
      <c r="AS947" s="77">
        <f t="shared" si="314"/>
        <v>9.191176470588213E-3</v>
      </c>
      <c r="AT947" s="77">
        <f t="shared" si="314"/>
        <v>1.8423202614379113E-2</v>
      </c>
      <c r="AU947" s="77">
        <f t="shared" si="314"/>
        <v>2.7614379084967326E-2</v>
      </c>
      <c r="AV947" s="77">
        <f t="shared" si="314"/>
        <v>320</v>
      </c>
      <c r="AW947" s="77">
        <f t="shared" si="314"/>
        <v>179</v>
      </c>
      <c r="AX947" s="77" t="str">
        <f t="shared" si="314"/>
        <v>ATL</v>
      </c>
    </row>
    <row r="948" spans="1:50" ht="15.75" thickBot="1" x14ac:dyDescent="0.3">
      <c r="A948">
        <v>934</v>
      </c>
      <c r="B948" s="36" t="str">
        <f t="shared" si="302"/>
        <v>BARATA Y MORADA</v>
      </c>
      <c r="C948" s="151">
        <v>975</v>
      </c>
      <c r="D948" s="152">
        <v>0.19930555555555554</v>
      </c>
      <c r="E948" s="152">
        <v>0.21249999999999999</v>
      </c>
      <c r="F948" s="153">
        <v>1.3194444444444453E-2</v>
      </c>
      <c r="G948" s="152">
        <v>0.23750000000000002</v>
      </c>
      <c r="H948" s="153">
        <v>2.5000000000000022E-2</v>
      </c>
      <c r="I948" s="67">
        <v>41717</v>
      </c>
      <c r="J948" s="174" t="s">
        <v>22</v>
      </c>
      <c r="K948" s="135">
        <v>1.4444444444444459E-2</v>
      </c>
      <c r="L948" s="135">
        <v>2.1666666666666678E-2</v>
      </c>
      <c r="M948" s="175">
        <v>3.6111111111111135E-2</v>
      </c>
      <c r="N948" s="90">
        <v>320</v>
      </c>
      <c r="O948" s="91">
        <v>179</v>
      </c>
      <c r="P948" s="92" t="s">
        <v>76</v>
      </c>
      <c r="R948">
        <v>934</v>
      </c>
      <c r="S948" s="36" t="str">
        <f t="shared" si="316"/>
        <v>VUELOS AL NORTE AIRLINES</v>
      </c>
      <c r="T948" s="36">
        <f t="shared" si="316"/>
        <v>226</v>
      </c>
      <c r="U948" s="83">
        <v>0.19999999999999998</v>
      </c>
      <c r="V948" s="84">
        <v>0.21388888888888891</v>
      </c>
      <c r="W948" s="85">
        <v>1.3888888888888923E-2</v>
      </c>
      <c r="X948" s="84">
        <v>0.22916666666666666</v>
      </c>
      <c r="Y948" s="85">
        <v>1.5277777777777751E-2</v>
      </c>
      <c r="Z948" s="86">
        <v>41757</v>
      </c>
      <c r="AA948" s="36" t="str">
        <f t="shared" si="310"/>
        <v>Internacional</v>
      </c>
      <c r="AB948" s="36">
        <f t="shared" si="310"/>
        <v>1.4457070707070712E-2</v>
      </c>
      <c r="AC948" s="36">
        <f t="shared" si="310"/>
        <v>1.6445707070707069E-2</v>
      </c>
      <c r="AD948" s="36">
        <f t="shared" si="310"/>
        <v>3.0902777777777779E-2</v>
      </c>
      <c r="AE948" s="36" t="str">
        <f t="shared" si="310"/>
        <v>B737-800</v>
      </c>
      <c r="AF948" s="36">
        <f t="shared" si="310"/>
        <v>189</v>
      </c>
      <c r="AG948" s="36" t="str">
        <f t="shared" si="310"/>
        <v>SEA</v>
      </c>
      <c r="AI948">
        <v>934</v>
      </c>
      <c r="AJ948" s="77" t="str">
        <f t="shared" si="311"/>
        <v>AVIONES ROJOS</v>
      </c>
      <c r="AK948" s="77">
        <f t="shared" si="311"/>
        <v>701</v>
      </c>
      <c r="AL948" s="78">
        <v>0.51944444444444449</v>
      </c>
      <c r="AM948" s="79">
        <v>0.52430555555555558</v>
      </c>
      <c r="AN948" s="80">
        <v>4.8611111111110938E-3</v>
      </c>
      <c r="AO948" s="79">
        <v>0.55555555555555558</v>
      </c>
      <c r="AP948" s="80">
        <v>3.125E-2</v>
      </c>
      <c r="AQ948" s="81">
        <v>41809</v>
      </c>
      <c r="AR948" s="77" t="str">
        <f t="shared" si="314"/>
        <v>Internacional</v>
      </c>
      <c r="AS948" s="77">
        <f t="shared" si="314"/>
        <v>9.191176470588213E-3</v>
      </c>
      <c r="AT948" s="77">
        <f t="shared" si="314"/>
        <v>1.8423202614379113E-2</v>
      </c>
      <c r="AU948" s="77">
        <f t="shared" si="314"/>
        <v>2.7614379084967326E-2</v>
      </c>
      <c r="AV948" s="77">
        <f t="shared" si="314"/>
        <v>320</v>
      </c>
      <c r="AW948" s="77">
        <f t="shared" si="314"/>
        <v>179</v>
      </c>
      <c r="AX948" s="77" t="str">
        <f t="shared" si="314"/>
        <v>ATL</v>
      </c>
    </row>
    <row r="949" spans="1:50" x14ac:dyDescent="0.25">
      <c r="A949">
        <v>935</v>
      </c>
      <c r="B949" s="36" t="str">
        <f t="shared" si="302"/>
        <v>BARATA Y MORADA</v>
      </c>
      <c r="C949" s="36">
        <f t="shared" si="302"/>
        <v>975</v>
      </c>
      <c r="D949" s="118">
        <v>0.20347222222222219</v>
      </c>
      <c r="E949" s="118">
        <v>0.20833333333333334</v>
      </c>
      <c r="F949" s="119">
        <v>4.8611111111111494E-3</v>
      </c>
      <c r="G949" s="118">
        <v>0.21597222222222223</v>
      </c>
      <c r="H949" s="119">
        <v>7.6388888888888895E-3</v>
      </c>
      <c r="I949" s="81">
        <v>41719</v>
      </c>
      <c r="J949" s="36" t="str">
        <f t="shared" ref="J949:P952" si="318">J948</f>
        <v>Internacional</v>
      </c>
      <c r="K949" s="36">
        <f t="shared" si="318"/>
        <v>1.4444444444444459E-2</v>
      </c>
      <c r="L949" s="36">
        <f t="shared" si="318"/>
        <v>2.1666666666666678E-2</v>
      </c>
      <c r="M949" s="36">
        <f t="shared" si="318"/>
        <v>3.6111111111111135E-2</v>
      </c>
      <c r="N949" s="36">
        <f t="shared" si="318"/>
        <v>320</v>
      </c>
      <c r="O949" s="36">
        <f t="shared" si="318"/>
        <v>179</v>
      </c>
      <c r="P949" s="36" t="str">
        <f t="shared" si="318"/>
        <v>PHX</v>
      </c>
      <c r="R949">
        <v>935</v>
      </c>
      <c r="S949" s="137" t="s">
        <v>53</v>
      </c>
      <c r="T949" s="55">
        <v>3275</v>
      </c>
      <c r="U949" s="56">
        <v>0.54652777777777783</v>
      </c>
      <c r="V949" s="57">
        <v>0.55972222222222223</v>
      </c>
      <c r="W949" s="58">
        <v>1.3194444444444398E-2</v>
      </c>
      <c r="X949" s="57">
        <v>0.57152777777777775</v>
      </c>
      <c r="Y949" s="58">
        <v>1.1805555555555514E-2</v>
      </c>
      <c r="Z949" s="59">
        <v>41730</v>
      </c>
      <c r="AA949" s="60" t="s">
        <v>22</v>
      </c>
      <c r="AB949" s="61">
        <v>1.1250000000000005E-2</v>
      </c>
      <c r="AC949" s="61">
        <v>8.6111111111111041E-3</v>
      </c>
      <c r="AD949" s="62">
        <v>1.9861111111111107E-2</v>
      </c>
      <c r="AE949" s="167" t="s">
        <v>20</v>
      </c>
      <c r="AF949" s="167">
        <v>50</v>
      </c>
      <c r="AG949" s="168" t="s">
        <v>23</v>
      </c>
      <c r="AI949">
        <v>935</v>
      </c>
      <c r="AJ949" s="77" t="str">
        <f t="shared" si="311"/>
        <v>AVIONES ROJOS</v>
      </c>
      <c r="AK949" s="77">
        <f t="shared" si="311"/>
        <v>701</v>
      </c>
      <c r="AL949" s="78">
        <v>0.52847222222222223</v>
      </c>
      <c r="AM949" s="79">
        <v>0.53819444444444442</v>
      </c>
      <c r="AN949" s="80">
        <v>9.7222222222221877E-3</v>
      </c>
      <c r="AO949" s="79">
        <v>0.5541666666666667</v>
      </c>
      <c r="AP949" s="80">
        <v>1.5972222222222276E-2</v>
      </c>
      <c r="AQ949" s="81">
        <v>41810</v>
      </c>
      <c r="AR949" s="77" t="str">
        <f t="shared" si="314"/>
        <v>Internacional</v>
      </c>
      <c r="AS949" s="77">
        <f t="shared" si="314"/>
        <v>9.191176470588213E-3</v>
      </c>
      <c r="AT949" s="77">
        <f t="shared" si="314"/>
        <v>1.8423202614379113E-2</v>
      </c>
      <c r="AU949" s="77">
        <f t="shared" si="314"/>
        <v>2.7614379084967326E-2</v>
      </c>
      <c r="AV949" s="77">
        <f t="shared" si="314"/>
        <v>320</v>
      </c>
      <c r="AW949" s="77">
        <f t="shared" si="314"/>
        <v>179</v>
      </c>
      <c r="AX949" s="77" t="str">
        <f t="shared" si="314"/>
        <v>ATL</v>
      </c>
    </row>
    <row r="950" spans="1:50" x14ac:dyDescent="0.25">
      <c r="A950">
        <v>936</v>
      </c>
      <c r="B950" s="36" t="str">
        <f t="shared" si="302"/>
        <v>BARATA Y MORADA</v>
      </c>
      <c r="C950" s="36">
        <f t="shared" si="302"/>
        <v>975</v>
      </c>
      <c r="D950" s="118">
        <v>0.21249999999999999</v>
      </c>
      <c r="E950" s="118">
        <v>0.22708333333333333</v>
      </c>
      <c r="F950" s="119">
        <v>1.4583333333333337E-2</v>
      </c>
      <c r="G950" s="118">
        <v>0.25555555555555559</v>
      </c>
      <c r="H950" s="119">
        <v>2.847222222222226E-2</v>
      </c>
      <c r="I950" s="81">
        <v>41721</v>
      </c>
      <c r="J950" s="36" t="str">
        <f t="shared" si="318"/>
        <v>Internacional</v>
      </c>
      <c r="K950" s="36">
        <f t="shared" si="318"/>
        <v>1.4444444444444459E-2</v>
      </c>
      <c r="L950" s="36">
        <f t="shared" si="318"/>
        <v>2.1666666666666678E-2</v>
      </c>
      <c r="M950" s="36">
        <f t="shared" si="318"/>
        <v>3.6111111111111135E-2</v>
      </c>
      <c r="N950" s="36">
        <f t="shared" si="318"/>
        <v>320</v>
      </c>
      <c r="O950" s="36">
        <f t="shared" si="318"/>
        <v>179</v>
      </c>
      <c r="P950" s="36" t="str">
        <f t="shared" si="318"/>
        <v>PHX</v>
      </c>
      <c r="R950">
        <v>936</v>
      </c>
      <c r="S950" s="36" t="str">
        <f t="shared" ref="S950:T1013" si="319">S949</f>
        <v>AEROLINEAS DE AMERICA</v>
      </c>
      <c r="T950" s="36">
        <f t="shared" si="319"/>
        <v>3275</v>
      </c>
      <c r="U950" s="73">
        <v>0.4513888888888889</v>
      </c>
      <c r="V950" s="74">
        <v>0.46111111111111108</v>
      </c>
      <c r="W950" s="75">
        <v>9.7222222222221877E-3</v>
      </c>
      <c r="X950" s="74">
        <v>0.4680555555555555</v>
      </c>
      <c r="Y950" s="75">
        <v>6.9444444444444198E-3</v>
      </c>
      <c r="Z950" s="76">
        <v>41730</v>
      </c>
      <c r="AA950" s="36" t="str">
        <f t="shared" ref="AA950:AG973" si="320">AA949</f>
        <v>Internacional</v>
      </c>
      <c r="AB950" s="36">
        <f t="shared" si="320"/>
        <v>1.1250000000000005E-2</v>
      </c>
      <c r="AC950" s="36">
        <f t="shared" si="320"/>
        <v>8.6111111111111041E-3</v>
      </c>
      <c r="AD950" s="36">
        <f t="shared" si="320"/>
        <v>1.9861111111111107E-2</v>
      </c>
      <c r="AE950" s="36" t="str">
        <f t="shared" si="320"/>
        <v>ER4</v>
      </c>
      <c r="AF950" s="36">
        <f t="shared" si="320"/>
        <v>50</v>
      </c>
      <c r="AG950" s="36" t="str">
        <f t="shared" si="320"/>
        <v>DFW</v>
      </c>
      <c r="AI950">
        <v>936</v>
      </c>
      <c r="AJ950" s="77" t="str">
        <f t="shared" si="311"/>
        <v>AVIONES ROJOS</v>
      </c>
      <c r="AK950" s="77">
        <f t="shared" si="311"/>
        <v>701</v>
      </c>
      <c r="AL950" s="78">
        <v>0.53055555555555556</v>
      </c>
      <c r="AM950" s="79">
        <v>0.54027777777777775</v>
      </c>
      <c r="AN950" s="80">
        <v>9.7222222222221877E-3</v>
      </c>
      <c r="AO950" s="79">
        <v>0.55625000000000002</v>
      </c>
      <c r="AP950" s="80">
        <v>1.5972222222222276E-2</v>
      </c>
      <c r="AQ950" s="81">
        <v>41811</v>
      </c>
      <c r="AR950" s="77" t="str">
        <f t="shared" si="314"/>
        <v>Internacional</v>
      </c>
      <c r="AS950" s="77">
        <f t="shared" si="314"/>
        <v>9.191176470588213E-3</v>
      </c>
      <c r="AT950" s="77">
        <f t="shared" si="314"/>
        <v>1.8423202614379113E-2</v>
      </c>
      <c r="AU950" s="77">
        <f t="shared" si="314"/>
        <v>2.7614379084967326E-2</v>
      </c>
      <c r="AV950" s="77">
        <f t="shared" si="314"/>
        <v>320</v>
      </c>
      <c r="AW950" s="77">
        <f t="shared" si="314"/>
        <v>179</v>
      </c>
      <c r="AX950" s="77" t="str">
        <f t="shared" si="314"/>
        <v>ATL</v>
      </c>
    </row>
    <row r="951" spans="1:50" x14ac:dyDescent="0.25">
      <c r="A951">
        <v>937</v>
      </c>
      <c r="B951" s="36" t="str">
        <f t="shared" si="302"/>
        <v>BARATA Y MORADA</v>
      </c>
      <c r="C951" s="36">
        <f t="shared" si="302"/>
        <v>975</v>
      </c>
      <c r="D951" s="118">
        <v>0.21458333333333335</v>
      </c>
      <c r="E951" s="118">
        <v>0.23611111111111113</v>
      </c>
      <c r="F951" s="119">
        <v>2.1527777777777785E-2</v>
      </c>
      <c r="G951" s="118">
        <v>0.26319444444444445</v>
      </c>
      <c r="H951" s="119">
        <v>2.708333333333332E-2</v>
      </c>
      <c r="I951" s="81">
        <v>41725</v>
      </c>
      <c r="J951" s="36" t="str">
        <f t="shared" si="318"/>
        <v>Internacional</v>
      </c>
      <c r="K951" s="36">
        <f t="shared" si="318"/>
        <v>1.4444444444444459E-2</v>
      </c>
      <c r="L951" s="36">
        <f t="shared" si="318"/>
        <v>2.1666666666666678E-2</v>
      </c>
      <c r="M951" s="36">
        <f t="shared" si="318"/>
        <v>3.6111111111111135E-2</v>
      </c>
      <c r="N951" s="36">
        <f t="shared" si="318"/>
        <v>320</v>
      </c>
      <c r="O951" s="36">
        <f t="shared" si="318"/>
        <v>179</v>
      </c>
      <c r="P951" s="36" t="str">
        <f t="shared" si="318"/>
        <v>PHX</v>
      </c>
      <c r="R951">
        <v>937</v>
      </c>
      <c r="S951" s="36" t="str">
        <f t="shared" si="319"/>
        <v>AEROLINEAS DE AMERICA</v>
      </c>
      <c r="T951" s="36">
        <f t="shared" si="319"/>
        <v>3275</v>
      </c>
      <c r="U951" s="73">
        <v>0.44861111111111113</v>
      </c>
      <c r="V951" s="74">
        <v>0.45763888888888887</v>
      </c>
      <c r="W951" s="75">
        <v>9.0277777777777457E-3</v>
      </c>
      <c r="X951" s="74">
        <v>0.46666666666666662</v>
      </c>
      <c r="Y951" s="75">
        <v>9.0277777777777457E-3</v>
      </c>
      <c r="Z951" s="76">
        <v>41731</v>
      </c>
      <c r="AA951" s="36" t="str">
        <f t="shared" si="320"/>
        <v>Internacional</v>
      </c>
      <c r="AB951" s="36">
        <f t="shared" si="320"/>
        <v>1.1250000000000005E-2</v>
      </c>
      <c r="AC951" s="36">
        <f t="shared" si="320"/>
        <v>8.6111111111111041E-3</v>
      </c>
      <c r="AD951" s="36">
        <f t="shared" si="320"/>
        <v>1.9861111111111107E-2</v>
      </c>
      <c r="AE951" s="36" t="str">
        <f t="shared" si="320"/>
        <v>ER4</v>
      </c>
      <c r="AF951" s="36">
        <f t="shared" si="320"/>
        <v>50</v>
      </c>
      <c r="AG951" s="36" t="str">
        <f t="shared" si="320"/>
        <v>DFW</v>
      </c>
      <c r="AI951">
        <v>937</v>
      </c>
      <c r="AJ951" s="77" t="str">
        <f t="shared" si="311"/>
        <v>AVIONES ROJOS</v>
      </c>
      <c r="AK951" s="77">
        <f t="shared" si="311"/>
        <v>701</v>
      </c>
      <c r="AL951" s="78">
        <v>0.52361111111111114</v>
      </c>
      <c r="AM951" s="79">
        <v>0.52777777777777779</v>
      </c>
      <c r="AN951" s="80">
        <v>4.1666666666666519E-3</v>
      </c>
      <c r="AO951" s="79">
        <v>0.54513888888888895</v>
      </c>
      <c r="AP951" s="80">
        <v>1.736111111111116E-2</v>
      </c>
      <c r="AQ951" s="81">
        <v>41813</v>
      </c>
      <c r="AR951" s="77" t="str">
        <f t="shared" si="314"/>
        <v>Internacional</v>
      </c>
      <c r="AS951" s="77">
        <f t="shared" si="314"/>
        <v>9.191176470588213E-3</v>
      </c>
      <c r="AT951" s="77">
        <f t="shared" si="314"/>
        <v>1.8423202614379113E-2</v>
      </c>
      <c r="AU951" s="77">
        <f t="shared" si="314"/>
        <v>2.7614379084967326E-2</v>
      </c>
      <c r="AV951" s="77">
        <f t="shared" si="314"/>
        <v>320</v>
      </c>
      <c r="AW951" s="77">
        <f t="shared" si="314"/>
        <v>179</v>
      </c>
      <c r="AX951" s="77" t="str">
        <f t="shared" si="314"/>
        <v>ATL</v>
      </c>
    </row>
    <row r="952" spans="1:50" ht="15.75" thickBot="1" x14ac:dyDescent="0.3">
      <c r="A952">
        <v>938</v>
      </c>
      <c r="B952" s="36" t="str">
        <f t="shared" si="302"/>
        <v>BARATA Y MORADA</v>
      </c>
      <c r="C952" s="36">
        <f t="shared" si="302"/>
        <v>975</v>
      </c>
      <c r="D952" s="176">
        <v>0.20208333333333331</v>
      </c>
      <c r="E952" s="176">
        <v>0.22013888888888888</v>
      </c>
      <c r="F952" s="177">
        <v>1.8055555555555575E-2</v>
      </c>
      <c r="G952" s="176">
        <v>0.24027777777777778</v>
      </c>
      <c r="H952" s="177">
        <v>2.0138888888888901E-2</v>
      </c>
      <c r="I952" s="97">
        <v>41728</v>
      </c>
      <c r="J952" s="36" t="str">
        <f t="shared" si="318"/>
        <v>Internacional</v>
      </c>
      <c r="K952" s="36">
        <f t="shared" si="318"/>
        <v>1.4444444444444459E-2</v>
      </c>
      <c r="L952" s="36">
        <f t="shared" si="318"/>
        <v>2.1666666666666678E-2</v>
      </c>
      <c r="M952" s="36">
        <f t="shared" si="318"/>
        <v>3.6111111111111135E-2</v>
      </c>
      <c r="N952" s="36">
        <f t="shared" si="318"/>
        <v>320</v>
      </c>
      <c r="O952" s="36">
        <f t="shared" si="318"/>
        <v>179</v>
      </c>
      <c r="P952" s="36" t="str">
        <f t="shared" si="318"/>
        <v>PHX</v>
      </c>
      <c r="R952">
        <v>938</v>
      </c>
      <c r="S952" s="36" t="str">
        <f t="shared" si="319"/>
        <v>AEROLINEAS DE AMERICA</v>
      </c>
      <c r="T952" s="36">
        <f t="shared" si="319"/>
        <v>3275</v>
      </c>
      <c r="U952" s="73">
        <v>0.44861111111111113</v>
      </c>
      <c r="V952" s="74">
        <v>0.45763888888888887</v>
      </c>
      <c r="W952" s="75">
        <v>9.0277777777777457E-3</v>
      </c>
      <c r="X952" s="74">
        <v>0.46666666666666662</v>
      </c>
      <c r="Y952" s="75">
        <v>9.0277777777777457E-3</v>
      </c>
      <c r="Z952" s="76">
        <v>41731</v>
      </c>
      <c r="AA952" s="36" t="str">
        <f t="shared" si="320"/>
        <v>Internacional</v>
      </c>
      <c r="AB952" s="36">
        <f t="shared" si="320"/>
        <v>1.1250000000000005E-2</v>
      </c>
      <c r="AC952" s="36">
        <f t="shared" si="320"/>
        <v>8.6111111111111041E-3</v>
      </c>
      <c r="AD952" s="36">
        <f t="shared" si="320"/>
        <v>1.9861111111111107E-2</v>
      </c>
      <c r="AE952" s="36" t="str">
        <f t="shared" si="320"/>
        <v>ER4</v>
      </c>
      <c r="AF952" s="36">
        <f t="shared" si="320"/>
        <v>50</v>
      </c>
      <c r="AG952" s="36" t="str">
        <f t="shared" si="320"/>
        <v>DFW</v>
      </c>
      <c r="AI952">
        <v>938</v>
      </c>
      <c r="AJ952" s="77" t="str">
        <f t="shared" si="311"/>
        <v>AVIONES ROJOS</v>
      </c>
      <c r="AK952" s="77">
        <f t="shared" si="311"/>
        <v>701</v>
      </c>
      <c r="AL952" s="94">
        <v>0.53333333333333333</v>
      </c>
      <c r="AM952" s="95">
        <v>0.5395833333333333</v>
      </c>
      <c r="AN952" s="96">
        <v>6.2499999999999778E-3</v>
      </c>
      <c r="AO952" s="95">
        <v>0.55902777777777779</v>
      </c>
      <c r="AP952" s="96">
        <v>1.9444444444444486E-2</v>
      </c>
      <c r="AQ952" s="97">
        <v>41812</v>
      </c>
      <c r="AR952" s="77" t="str">
        <f t="shared" si="314"/>
        <v>Internacional</v>
      </c>
      <c r="AS952" s="77">
        <f t="shared" si="314"/>
        <v>9.191176470588213E-3</v>
      </c>
      <c r="AT952" s="77">
        <f t="shared" si="314"/>
        <v>1.8423202614379113E-2</v>
      </c>
      <c r="AU952" s="77">
        <f t="shared" si="314"/>
        <v>2.7614379084967326E-2</v>
      </c>
      <c r="AV952" s="77">
        <f t="shared" si="314"/>
        <v>320</v>
      </c>
      <c r="AW952" s="77">
        <f t="shared" si="314"/>
        <v>179</v>
      </c>
      <c r="AX952" s="77" t="str">
        <f t="shared" si="314"/>
        <v>ATL</v>
      </c>
    </row>
    <row r="953" spans="1:50" x14ac:dyDescent="0.25">
      <c r="A953">
        <v>939</v>
      </c>
      <c r="B953" s="36" t="str">
        <f t="shared" si="302"/>
        <v>BARATA Y MORADA</v>
      </c>
      <c r="C953" s="151">
        <v>971</v>
      </c>
      <c r="D953" s="152">
        <v>0.19999999999999998</v>
      </c>
      <c r="E953" s="152">
        <v>0.21458333333333335</v>
      </c>
      <c r="F953" s="153">
        <v>1.4583333333333365E-2</v>
      </c>
      <c r="G953" s="152">
        <v>0.23263888888888887</v>
      </c>
      <c r="H953" s="153">
        <v>1.8055555555555519E-2</v>
      </c>
      <c r="I953" s="67">
        <v>41713</v>
      </c>
      <c r="J953" s="174" t="s">
        <v>22</v>
      </c>
      <c r="K953" s="135">
        <v>1.5972222222222224E-2</v>
      </c>
      <c r="L953" s="135">
        <v>2.5892857142857138E-2</v>
      </c>
      <c r="M953" s="175">
        <v>4.1865079365079362E-2</v>
      </c>
      <c r="N953" s="90">
        <v>320</v>
      </c>
      <c r="O953" s="91">
        <v>179</v>
      </c>
      <c r="P953" s="92" t="s">
        <v>48</v>
      </c>
      <c r="R953">
        <v>939</v>
      </c>
      <c r="S953" s="36" t="str">
        <f t="shared" si="319"/>
        <v>AEROLINEAS DE AMERICA</v>
      </c>
      <c r="T953" s="36">
        <f t="shared" si="319"/>
        <v>3275</v>
      </c>
      <c r="U953" s="73">
        <v>0.46111111111111108</v>
      </c>
      <c r="V953" s="74">
        <v>0.47013888888888888</v>
      </c>
      <c r="W953" s="75">
        <v>9.0277777777778012E-3</v>
      </c>
      <c r="X953" s="74">
        <v>0.47916666666666669</v>
      </c>
      <c r="Y953" s="75">
        <v>9.0277777777778012E-3</v>
      </c>
      <c r="Z953" s="76">
        <v>41732</v>
      </c>
      <c r="AA953" s="36" t="str">
        <f t="shared" si="320"/>
        <v>Internacional</v>
      </c>
      <c r="AB953" s="36">
        <f t="shared" si="320"/>
        <v>1.1250000000000005E-2</v>
      </c>
      <c r="AC953" s="36">
        <f t="shared" si="320"/>
        <v>8.6111111111111041E-3</v>
      </c>
      <c r="AD953" s="36">
        <f t="shared" si="320"/>
        <v>1.9861111111111107E-2</v>
      </c>
      <c r="AE953" s="36" t="str">
        <f t="shared" si="320"/>
        <v>ER4</v>
      </c>
      <c r="AF953" s="36">
        <f t="shared" si="320"/>
        <v>50</v>
      </c>
      <c r="AG953" s="36" t="str">
        <f t="shared" si="320"/>
        <v>DFW</v>
      </c>
      <c r="AI953">
        <v>939</v>
      </c>
      <c r="AJ953" s="77" t="str">
        <f t="shared" si="311"/>
        <v>AVIONES ROJOS</v>
      </c>
      <c r="AK953" s="63">
        <v>573</v>
      </c>
      <c r="AL953" s="64">
        <v>0.2388888888888889</v>
      </c>
      <c r="AM953" s="65">
        <v>0.24722222222222223</v>
      </c>
      <c r="AN953" s="66">
        <v>8.3333333333333315E-3</v>
      </c>
      <c r="AO953" s="65">
        <v>0.27291666666666664</v>
      </c>
      <c r="AP953" s="66">
        <v>2.5694444444444409E-2</v>
      </c>
      <c r="AQ953" s="67">
        <v>41796</v>
      </c>
      <c r="AR953" s="68" t="s">
        <v>22</v>
      </c>
      <c r="AS953" s="69">
        <v>8.730158730158713E-3</v>
      </c>
      <c r="AT953" s="70">
        <v>1.8154761904761889E-2</v>
      </c>
      <c r="AU953" s="70">
        <v>2.6884920634920602E-2</v>
      </c>
      <c r="AV953" s="71">
        <v>320</v>
      </c>
      <c r="AW953" s="71">
        <v>179</v>
      </c>
      <c r="AX953" s="72" t="s">
        <v>40</v>
      </c>
    </row>
    <row r="954" spans="1:50" x14ac:dyDescent="0.25">
      <c r="A954">
        <v>940</v>
      </c>
      <c r="B954" s="36" t="str">
        <f t="shared" si="302"/>
        <v>BARATA Y MORADA</v>
      </c>
      <c r="C954" s="36">
        <f t="shared" si="302"/>
        <v>971</v>
      </c>
      <c r="D954" s="118">
        <v>0.22361111111111109</v>
      </c>
      <c r="E954" s="118">
        <v>0.23055555555555554</v>
      </c>
      <c r="F954" s="119">
        <v>6.9444444444444475E-3</v>
      </c>
      <c r="G954" s="118">
        <v>0.26111111111111113</v>
      </c>
      <c r="H954" s="119">
        <v>3.0555555555555586E-2</v>
      </c>
      <c r="I954" s="81">
        <v>41716</v>
      </c>
      <c r="J954" s="36" t="str">
        <f t="shared" ref="J954:P959" si="321">J953</f>
        <v>Internacional</v>
      </c>
      <c r="K954" s="36">
        <f t="shared" si="321"/>
        <v>1.5972222222222224E-2</v>
      </c>
      <c r="L954" s="36">
        <f t="shared" si="321"/>
        <v>2.5892857142857138E-2</v>
      </c>
      <c r="M954" s="36">
        <f t="shared" si="321"/>
        <v>4.1865079365079362E-2</v>
      </c>
      <c r="N954" s="36">
        <f t="shared" si="321"/>
        <v>320</v>
      </c>
      <c r="O954" s="36">
        <f t="shared" si="321"/>
        <v>179</v>
      </c>
      <c r="P954" s="36" t="str">
        <f t="shared" si="321"/>
        <v>SMF</v>
      </c>
      <c r="R954">
        <v>940</v>
      </c>
      <c r="S954" s="36" t="str">
        <f t="shared" si="319"/>
        <v>AEROLINEAS DE AMERICA</v>
      </c>
      <c r="T954" s="36">
        <f t="shared" si="319"/>
        <v>3275</v>
      </c>
      <c r="U954" s="73">
        <v>0.45763888888888887</v>
      </c>
      <c r="V954" s="74">
        <v>0.46736111111111112</v>
      </c>
      <c r="W954" s="75">
        <v>9.7222222222222432E-3</v>
      </c>
      <c r="X954" s="74">
        <v>0.47013888888888888</v>
      </c>
      <c r="Y954" s="75">
        <v>2.7777777777777679E-3</v>
      </c>
      <c r="Z954" s="76">
        <v>41734</v>
      </c>
      <c r="AA954" s="36" t="str">
        <f t="shared" si="320"/>
        <v>Internacional</v>
      </c>
      <c r="AB954" s="36">
        <f t="shared" si="320"/>
        <v>1.1250000000000005E-2</v>
      </c>
      <c r="AC954" s="36">
        <f t="shared" si="320"/>
        <v>8.6111111111111041E-3</v>
      </c>
      <c r="AD954" s="36">
        <f t="shared" si="320"/>
        <v>1.9861111111111107E-2</v>
      </c>
      <c r="AE954" s="36" t="str">
        <f t="shared" si="320"/>
        <v>ER4</v>
      </c>
      <c r="AF954" s="36">
        <f t="shared" si="320"/>
        <v>50</v>
      </c>
      <c r="AG954" s="36" t="str">
        <f t="shared" si="320"/>
        <v>DFW</v>
      </c>
      <c r="AI954">
        <v>940</v>
      </c>
      <c r="AJ954" s="77" t="str">
        <f t="shared" si="311"/>
        <v>AVIONES ROJOS</v>
      </c>
      <c r="AK954" s="77">
        <f t="shared" si="311"/>
        <v>573</v>
      </c>
      <c r="AL954" s="78">
        <v>0.2388888888888889</v>
      </c>
      <c r="AM954" s="79">
        <v>0.24722222222222223</v>
      </c>
      <c r="AN954" s="80">
        <v>8.3333333333333315E-3</v>
      </c>
      <c r="AO954" s="79">
        <v>0.2673611111111111</v>
      </c>
      <c r="AP954" s="80">
        <v>2.0138888888888873E-2</v>
      </c>
      <c r="AQ954" s="81">
        <v>41796</v>
      </c>
      <c r="AR954" s="77" t="str">
        <f t="shared" ref="AR954:AX966" si="322">AR953</f>
        <v>Internacional</v>
      </c>
      <c r="AS954" s="77">
        <f t="shared" si="322"/>
        <v>8.730158730158713E-3</v>
      </c>
      <c r="AT954" s="77">
        <f t="shared" si="322"/>
        <v>1.8154761904761889E-2</v>
      </c>
      <c r="AU954" s="77">
        <f t="shared" si="322"/>
        <v>2.6884920634920602E-2</v>
      </c>
      <c r="AV954" s="77">
        <f t="shared" si="322"/>
        <v>320</v>
      </c>
      <c r="AW954" s="77">
        <f t="shared" si="322"/>
        <v>179</v>
      </c>
      <c r="AX954" s="77" t="str">
        <f t="shared" si="322"/>
        <v>LAX</v>
      </c>
    </row>
    <row r="955" spans="1:50" x14ac:dyDescent="0.25">
      <c r="A955">
        <v>941</v>
      </c>
      <c r="B955" s="36" t="str">
        <f t="shared" si="302"/>
        <v>BARATA Y MORADA</v>
      </c>
      <c r="C955" s="36">
        <f t="shared" si="302"/>
        <v>971</v>
      </c>
      <c r="D955" s="118">
        <v>0.21388888888888891</v>
      </c>
      <c r="E955" s="118">
        <v>0.21805555555555556</v>
      </c>
      <c r="F955" s="119">
        <v>4.1666666666666519E-3</v>
      </c>
      <c r="G955" s="118">
        <v>0.22569444444444445</v>
      </c>
      <c r="H955" s="119">
        <v>7.6388888888888895E-3</v>
      </c>
      <c r="I955" s="81">
        <v>41719</v>
      </c>
      <c r="J955" s="36" t="str">
        <f t="shared" si="321"/>
        <v>Internacional</v>
      </c>
      <c r="K955" s="36">
        <f t="shared" si="321"/>
        <v>1.5972222222222224E-2</v>
      </c>
      <c r="L955" s="36">
        <f t="shared" si="321"/>
        <v>2.5892857142857138E-2</v>
      </c>
      <c r="M955" s="36">
        <f t="shared" si="321"/>
        <v>4.1865079365079362E-2</v>
      </c>
      <c r="N955" s="36">
        <f t="shared" si="321"/>
        <v>320</v>
      </c>
      <c r="O955" s="36">
        <f t="shared" si="321"/>
        <v>179</v>
      </c>
      <c r="P955" s="36" t="str">
        <f t="shared" si="321"/>
        <v>SMF</v>
      </c>
      <c r="R955">
        <v>941</v>
      </c>
      <c r="S955" s="36" t="str">
        <f t="shared" si="319"/>
        <v>AEROLINEAS DE AMERICA</v>
      </c>
      <c r="T955" s="36">
        <f t="shared" si="319"/>
        <v>3275</v>
      </c>
      <c r="U955" s="73">
        <v>0.50277777777777777</v>
      </c>
      <c r="V955" s="74">
        <v>0.51388888888888895</v>
      </c>
      <c r="W955" s="75">
        <v>1.1111111111111183E-2</v>
      </c>
      <c r="X955" s="74">
        <v>0.52430555555555558</v>
      </c>
      <c r="Y955" s="75">
        <v>1.041666666666663E-2</v>
      </c>
      <c r="Z955" s="76">
        <v>41735</v>
      </c>
      <c r="AA955" s="36" t="str">
        <f t="shared" si="320"/>
        <v>Internacional</v>
      </c>
      <c r="AB955" s="36">
        <f t="shared" si="320"/>
        <v>1.1250000000000005E-2</v>
      </c>
      <c r="AC955" s="36">
        <f t="shared" si="320"/>
        <v>8.6111111111111041E-3</v>
      </c>
      <c r="AD955" s="36">
        <f t="shared" si="320"/>
        <v>1.9861111111111107E-2</v>
      </c>
      <c r="AE955" s="36" t="str">
        <f t="shared" si="320"/>
        <v>ER4</v>
      </c>
      <c r="AF955" s="36">
        <f t="shared" si="320"/>
        <v>50</v>
      </c>
      <c r="AG955" s="36" t="str">
        <f t="shared" si="320"/>
        <v>DFW</v>
      </c>
      <c r="AI955">
        <v>941</v>
      </c>
      <c r="AJ955" s="77" t="str">
        <f t="shared" si="311"/>
        <v>AVIONES ROJOS</v>
      </c>
      <c r="AK955" s="77">
        <f t="shared" si="311"/>
        <v>573</v>
      </c>
      <c r="AL955" s="78">
        <v>0.9159722222222223</v>
      </c>
      <c r="AM955" s="79">
        <v>0.92361111111111116</v>
      </c>
      <c r="AN955" s="80">
        <v>7.6388888888888618E-3</v>
      </c>
      <c r="AO955" s="79">
        <v>0.93055555555555547</v>
      </c>
      <c r="AP955" s="80">
        <v>6.9444444444443088E-3</v>
      </c>
      <c r="AQ955" s="81">
        <v>41800</v>
      </c>
      <c r="AR955" s="77" t="str">
        <f t="shared" si="322"/>
        <v>Internacional</v>
      </c>
      <c r="AS955" s="77">
        <f t="shared" si="322"/>
        <v>8.730158730158713E-3</v>
      </c>
      <c r="AT955" s="77">
        <f t="shared" si="322"/>
        <v>1.8154761904761889E-2</v>
      </c>
      <c r="AU955" s="77">
        <f t="shared" si="322"/>
        <v>2.6884920634920602E-2</v>
      </c>
      <c r="AV955" s="77">
        <f t="shared" si="322"/>
        <v>320</v>
      </c>
      <c r="AW955" s="77">
        <f t="shared" si="322"/>
        <v>179</v>
      </c>
      <c r="AX955" s="77" t="str">
        <f t="shared" si="322"/>
        <v>LAX</v>
      </c>
    </row>
    <row r="956" spans="1:50" x14ac:dyDescent="0.25">
      <c r="A956">
        <v>942</v>
      </c>
      <c r="B956" s="36" t="str">
        <f t="shared" si="302"/>
        <v>BARATA Y MORADA</v>
      </c>
      <c r="C956" s="36">
        <f t="shared" si="302"/>
        <v>971</v>
      </c>
      <c r="D956" s="118">
        <v>0.20416666666666669</v>
      </c>
      <c r="E956" s="118">
        <v>0.21805555555555556</v>
      </c>
      <c r="F956" s="119">
        <v>1.3888888888888867E-2</v>
      </c>
      <c r="G956" s="118">
        <v>0.25</v>
      </c>
      <c r="H956" s="119">
        <v>3.1944444444444442E-2</v>
      </c>
      <c r="I956" s="81">
        <v>41721</v>
      </c>
      <c r="J956" s="36" t="str">
        <f t="shared" si="321"/>
        <v>Internacional</v>
      </c>
      <c r="K956" s="36">
        <f t="shared" si="321"/>
        <v>1.5972222222222224E-2</v>
      </c>
      <c r="L956" s="36">
        <f t="shared" si="321"/>
        <v>2.5892857142857138E-2</v>
      </c>
      <c r="M956" s="36">
        <f t="shared" si="321"/>
        <v>4.1865079365079362E-2</v>
      </c>
      <c r="N956" s="36">
        <f t="shared" si="321"/>
        <v>320</v>
      </c>
      <c r="O956" s="36">
        <f t="shared" si="321"/>
        <v>179</v>
      </c>
      <c r="P956" s="36" t="str">
        <f t="shared" si="321"/>
        <v>SMF</v>
      </c>
      <c r="R956">
        <v>942</v>
      </c>
      <c r="S956" s="36" t="str">
        <f t="shared" si="319"/>
        <v>AEROLINEAS DE AMERICA</v>
      </c>
      <c r="T956" s="36">
        <f t="shared" si="319"/>
        <v>3275</v>
      </c>
      <c r="U956" s="73">
        <v>0.50347222222222221</v>
      </c>
      <c r="V956" s="74">
        <v>0.51666666666666672</v>
      </c>
      <c r="W956" s="75">
        <v>1.3194444444444509E-2</v>
      </c>
      <c r="X956" s="74">
        <v>0.53611111111111109</v>
      </c>
      <c r="Y956" s="75">
        <v>1.9444444444444375E-2</v>
      </c>
      <c r="Z956" s="76">
        <v>41736</v>
      </c>
      <c r="AA956" s="36" t="str">
        <f t="shared" si="320"/>
        <v>Internacional</v>
      </c>
      <c r="AB956" s="36">
        <f t="shared" si="320"/>
        <v>1.1250000000000005E-2</v>
      </c>
      <c r="AC956" s="36">
        <f t="shared" si="320"/>
        <v>8.6111111111111041E-3</v>
      </c>
      <c r="AD956" s="36">
        <f t="shared" si="320"/>
        <v>1.9861111111111107E-2</v>
      </c>
      <c r="AE956" s="36" t="str">
        <f t="shared" si="320"/>
        <v>ER4</v>
      </c>
      <c r="AF956" s="36">
        <f t="shared" si="320"/>
        <v>50</v>
      </c>
      <c r="AG956" s="36" t="str">
        <f t="shared" si="320"/>
        <v>DFW</v>
      </c>
      <c r="AI956">
        <v>942</v>
      </c>
      <c r="AJ956" s="77" t="str">
        <f t="shared" si="311"/>
        <v>AVIONES ROJOS</v>
      </c>
      <c r="AK956" s="77">
        <f t="shared" si="311"/>
        <v>573</v>
      </c>
      <c r="AL956" s="78">
        <v>0.21805555555555556</v>
      </c>
      <c r="AM956" s="79">
        <v>0.23333333333333331</v>
      </c>
      <c r="AN956" s="80">
        <v>1.5277777777777751E-2</v>
      </c>
      <c r="AO956" s="79">
        <v>0.26250000000000001</v>
      </c>
      <c r="AP956" s="80">
        <v>2.9166666666666702E-2</v>
      </c>
      <c r="AQ956" s="81">
        <v>41801</v>
      </c>
      <c r="AR956" s="77" t="str">
        <f t="shared" si="322"/>
        <v>Internacional</v>
      </c>
      <c r="AS956" s="77">
        <f t="shared" si="322"/>
        <v>8.730158730158713E-3</v>
      </c>
      <c r="AT956" s="77">
        <f t="shared" si="322"/>
        <v>1.8154761904761889E-2</v>
      </c>
      <c r="AU956" s="77">
        <f t="shared" si="322"/>
        <v>2.6884920634920602E-2</v>
      </c>
      <c r="AV956" s="77">
        <f t="shared" si="322"/>
        <v>320</v>
      </c>
      <c r="AW956" s="77">
        <f t="shared" si="322"/>
        <v>179</v>
      </c>
      <c r="AX956" s="77" t="str">
        <f t="shared" si="322"/>
        <v>LAX</v>
      </c>
    </row>
    <row r="957" spans="1:50" x14ac:dyDescent="0.25">
      <c r="A957">
        <v>943</v>
      </c>
      <c r="B957" s="36" t="str">
        <f t="shared" si="302"/>
        <v>BARATA Y MORADA</v>
      </c>
      <c r="C957" s="36">
        <f t="shared" si="302"/>
        <v>971</v>
      </c>
      <c r="D957" s="118">
        <v>0.20902777777777778</v>
      </c>
      <c r="E957" s="118">
        <v>0.2388888888888889</v>
      </c>
      <c r="F957" s="119">
        <v>2.9861111111111116E-2</v>
      </c>
      <c r="G957" s="118">
        <v>0.2673611111111111</v>
      </c>
      <c r="H957" s="119">
        <v>2.8472222222222204E-2</v>
      </c>
      <c r="I957" s="81">
        <v>41724</v>
      </c>
      <c r="J957" s="36" t="str">
        <f t="shared" si="321"/>
        <v>Internacional</v>
      </c>
      <c r="K957" s="36">
        <f t="shared" si="321"/>
        <v>1.5972222222222224E-2</v>
      </c>
      <c r="L957" s="36">
        <f t="shared" si="321"/>
        <v>2.5892857142857138E-2</v>
      </c>
      <c r="M957" s="36">
        <f t="shared" si="321"/>
        <v>4.1865079365079362E-2</v>
      </c>
      <c r="N957" s="36">
        <f t="shared" si="321"/>
        <v>320</v>
      </c>
      <c r="O957" s="36">
        <f t="shared" si="321"/>
        <v>179</v>
      </c>
      <c r="P957" s="36" t="str">
        <f t="shared" si="321"/>
        <v>SMF</v>
      </c>
      <c r="R957">
        <v>943</v>
      </c>
      <c r="S957" s="36" t="str">
        <f t="shared" si="319"/>
        <v>AEROLINEAS DE AMERICA</v>
      </c>
      <c r="T957" s="36">
        <f t="shared" si="319"/>
        <v>3275</v>
      </c>
      <c r="U957" s="73">
        <v>0.5395833333333333</v>
      </c>
      <c r="V957" s="74">
        <v>0.54791666666666672</v>
      </c>
      <c r="W957" s="75">
        <v>8.3333333333334147E-3</v>
      </c>
      <c r="X957" s="74">
        <v>0.55486111111111114</v>
      </c>
      <c r="Y957" s="75">
        <v>6.9444444444444198E-3</v>
      </c>
      <c r="Z957" s="76">
        <v>41739</v>
      </c>
      <c r="AA957" s="36" t="str">
        <f t="shared" si="320"/>
        <v>Internacional</v>
      </c>
      <c r="AB957" s="36">
        <f t="shared" si="320"/>
        <v>1.1250000000000005E-2</v>
      </c>
      <c r="AC957" s="36">
        <f t="shared" si="320"/>
        <v>8.6111111111111041E-3</v>
      </c>
      <c r="AD957" s="36">
        <f t="shared" si="320"/>
        <v>1.9861111111111107E-2</v>
      </c>
      <c r="AE957" s="36" t="str">
        <f t="shared" si="320"/>
        <v>ER4</v>
      </c>
      <c r="AF957" s="36">
        <f t="shared" si="320"/>
        <v>50</v>
      </c>
      <c r="AG957" s="36" t="str">
        <f t="shared" si="320"/>
        <v>DFW</v>
      </c>
      <c r="AI957">
        <v>943</v>
      </c>
      <c r="AJ957" s="77" t="str">
        <f t="shared" si="311"/>
        <v>AVIONES ROJOS</v>
      </c>
      <c r="AK957" s="77">
        <f t="shared" si="311"/>
        <v>573</v>
      </c>
      <c r="AL957" s="78">
        <v>0.52847222222222223</v>
      </c>
      <c r="AM957" s="79">
        <v>0.53541666666666665</v>
      </c>
      <c r="AN957" s="80">
        <v>6.9444444444444198E-3</v>
      </c>
      <c r="AO957" s="79">
        <v>0.54166666666666663</v>
      </c>
      <c r="AP957" s="80">
        <v>6.2499999999999778E-3</v>
      </c>
      <c r="AQ957" s="81">
        <v>41802</v>
      </c>
      <c r="AR957" s="77" t="str">
        <f t="shared" si="322"/>
        <v>Internacional</v>
      </c>
      <c r="AS957" s="77">
        <f t="shared" si="322"/>
        <v>8.730158730158713E-3</v>
      </c>
      <c r="AT957" s="77">
        <f t="shared" si="322"/>
        <v>1.8154761904761889E-2</v>
      </c>
      <c r="AU957" s="77">
        <f t="shared" si="322"/>
        <v>2.6884920634920602E-2</v>
      </c>
      <c r="AV957" s="77">
        <f t="shared" si="322"/>
        <v>320</v>
      </c>
      <c r="AW957" s="77">
        <f t="shared" si="322"/>
        <v>179</v>
      </c>
      <c r="AX957" s="77" t="str">
        <f t="shared" si="322"/>
        <v>LAX</v>
      </c>
    </row>
    <row r="958" spans="1:50" x14ac:dyDescent="0.25">
      <c r="A958">
        <v>944</v>
      </c>
      <c r="B958" s="36" t="str">
        <f t="shared" si="302"/>
        <v>BARATA Y MORADA</v>
      </c>
      <c r="C958" s="36">
        <f t="shared" si="302"/>
        <v>971</v>
      </c>
      <c r="D958" s="118">
        <v>0.21458333333333335</v>
      </c>
      <c r="E958" s="118">
        <v>0.24513888888888888</v>
      </c>
      <c r="F958" s="119">
        <v>3.055555555555553E-2</v>
      </c>
      <c r="G958" s="118">
        <v>0.28402777777777777</v>
      </c>
      <c r="H958" s="119">
        <v>3.888888888888889E-2</v>
      </c>
      <c r="I958" s="81">
        <v>41725</v>
      </c>
      <c r="J958" s="36" t="str">
        <f t="shared" si="321"/>
        <v>Internacional</v>
      </c>
      <c r="K958" s="36">
        <f t="shared" si="321"/>
        <v>1.5972222222222224E-2</v>
      </c>
      <c r="L958" s="36">
        <f t="shared" si="321"/>
        <v>2.5892857142857138E-2</v>
      </c>
      <c r="M958" s="36">
        <f t="shared" si="321"/>
        <v>4.1865079365079362E-2</v>
      </c>
      <c r="N958" s="36">
        <f t="shared" si="321"/>
        <v>320</v>
      </c>
      <c r="O958" s="36">
        <f t="shared" si="321"/>
        <v>179</v>
      </c>
      <c r="P958" s="36" t="str">
        <f t="shared" si="321"/>
        <v>SMF</v>
      </c>
      <c r="R958">
        <v>944</v>
      </c>
      <c r="S958" s="36" t="str">
        <f t="shared" si="319"/>
        <v>AEROLINEAS DE AMERICA</v>
      </c>
      <c r="T958" s="36">
        <f t="shared" si="319"/>
        <v>3275</v>
      </c>
      <c r="U958" s="73">
        <v>0.49583333333333335</v>
      </c>
      <c r="V958" s="74">
        <v>0.50763888888888886</v>
      </c>
      <c r="W958" s="75">
        <v>1.1805555555555514E-2</v>
      </c>
      <c r="X958" s="74">
        <v>0.5131944444444444</v>
      </c>
      <c r="Y958" s="75">
        <v>5.5555555555555358E-3</v>
      </c>
      <c r="Z958" s="76">
        <v>41741</v>
      </c>
      <c r="AA958" s="36" t="str">
        <f t="shared" si="320"/>
        <v>Internacional</v>
      </c>
      <c r="AB958" s="36">
        <f t="shared" si="320"/>
        <v>1.1250000000000005E-2</v>
      </c>
      <c r="AC958" s="36">
        <f t="shared" si="320"/>
        <v>8.6111111111111041E-3</v>
      </c>
      <c r="AD958" s="36">
        <f t="shared" si="320"/>
        <v>1.9861111111111107E-2</v>
      </c>
      <c r="AE958" s="36" t="str">
        <f t="shared" si="320"/>
        <v>ER4</v>
      </c>
      <c r="AF958" s="36">
        <f t="shared" si="320"/>
        <v>50</v>
      </c>
      <c r="AG958" s="36" t="str">
        <f t="shared" si="320"/>
        <v>DFW</v>
      </c>
      <c r="AI958">
        <v>944</v>
      </c>
      <c r="AJ958" s="77" t="str">
        <f t="shared" si="311"/>
        <v>AVIONES ROJOS</v>
      </c>
      <c r="AK958" s="77">
        <f t="shared" si="311"/>
        <v>573</v>
      </c>
      <c r="AL958" s="78">
        <v>0.53263888888888888</v>
      </c>
      <c r="AM958" s="79">
        <v>0.53680555555555554</v>
      </c>
      <c r="AN958" s="80">
        <v>4.1666666666666519E-3</v>
      </c>
      <c r="AO958" s="79">
        <v>0.54999999999999993</v>
      </c>
      <c r="AP958" s="80">
        <v>1.3194444444444398E-2</v>
      </c>
      <c r="AQ958" s="81">
        <v>41803</v>
      </c>
      <c r="AR958" s="77" t="str">
        <f t="shared" si="322"/>
        <v>Internacional</v>
      </c>
      <c r="AS958" s="77">
        <f t="shared" si="322"/>
        <v>8.730158730158713E-3</v>
      </c>
      <c r="AT958" s="77">
        <f t="shared" si="322"/>
        <v>1.8154761904761889E-2</v>
      </c>
      <c r="AU958" s="77">
        <f t="shared" si="322"/>
        <v>2.6884920634920602E-2</v>
      </c>
      <c r="AV958" s="77">
        <f t="shared" si="322"/>
        <v>320</v>
      </c>
      <c r="AW958" s="77">
        <f t="shared" si="322"/>
        <v>179</v>
      </c>
      <c r="AX958" s="77" t="str">
        <f t="shared" si="322"/>
        <v>LAX</v>
      </c>
    </row>
    <row r="959" spans="1:50" ht="15.75" thickBot="1" x14ac:dyDescent="0.3">
      <c r="A959">
        <v>945</v>
      </c>
      <c r="B959" s="36" t="str">
        <f t="shared" si="302"/>
        <v>BARATA Y MORADA</v>
      </c>
      <c r="C959" s="36">
        <f t="shared" si="302"/>
        <v>971</v>
      </c>
      <c r="D959" s="176">
        <v>0.20347222222222219</v>
      </c>
      <c r="E959" s="176">
        <v>0.21527777777777779</v>
      </c>
      <c r="F959" s="177">
        <v>1.1805555555555597E-2</v>
      </c>
      <c r="G959" s="176">
        <v>0.24097222222222223</v>
      </c>
      <c r="H959" s="177">
        <v>2.5694444444444436E-2</v>
      </c>
      <c r="I959" s="97">
        <v>41727</v>
      </c>
      <c r="J959" s="36" t="str">
        <f t="shared" si="321"/>
        <v>Internacional</v>
      </c>
      <c r="K959" s="36">
        <f t="shared" si="321"/>
        <v>1.5972222222222224E-2</v>
      </c>
      <c r="L959" s="36">
        <f t="shared" si="321"/>
        <v>2.5892857142857138E-2</v>
      </c>
      <c r="M959" s="36">
        <f t="shared" si="321"/>
        <v>4.1865079365079362E-2</v>
      </c>
      <c r="N959" s="36">
        <f t="shared" si="321"/>
        <v>320</v>
      </c>
      <c r="O959" s="36">
        <f t="shared" si="321"/>
        <v>179</v>
      </c>
      <c r="P959" s="36" t="str">
        <f t="shared" si="321"/>
        <v>SMF</v>
      </c>
      <c r="R959">
        <v>945</v>
      </c>
      <c r="S959" s="36" t="str">
        <f t="shared" si="319"/>
        <v>AEROLINEAS DE AMERICA</v>
      </c>
      <c r="T959" s="36">
        <f t="shared" si="319"/>
        <v>3275</v>
      </c>
      <c r="U959" s="73">
        <v>0.5</v>
      </c>
      <c r="V959" s="74">
        <v>0.50902777777777775</v>
      </c>
      <c r="W959" s="75">
        <v>9.0277777777777457E-3</v>
      </c>
      <c r="X959" s="74">
        <v>0.5131944444444444</v>
      </c>
      <c r="Y959" s="75">
        <v>4.1666666666666519E-3</v>
      </c>
      <c r="Z959" s="76">
        <v>41743</v>
      </c>
      <c r="AA959" s="36" t="str">
        <f t="shared" si="320"/>
        <v>Internacional</v>
      </c>
      <c r="AB959" s="36">
        <f t="shared" si="320"/>
        <v>1.1250000000000005E-2</v>
      </c>
      <c r="AC959" s="36">
        <f t="shared" si="320"/>
        <v>8.6111111111111041E-3</v>
      </c>
      <c r="AD959" s="36">
        <f t="shared" si="320"/>
        <v>1.9861111111111107E-2</v>
      </c>
      <c r="AE959" s="36" t="str">
        <f t="shared" si="320"/>
        <v>ER4</v>
      </c>
      <c r="AF959" s="36">
        <f t="shared" si="320"/>
        <v>50</v>
      </c>
      <c r="AG959" s="36" t="str">
        <f t="shared" si="320"/>
        <v>DFW</v>
      </c>
      <c r="AI959">
        <v>945</v>
      </c>
      <c r="AJ959" s="77" t="str">
        <f t="shared" si="311"/>
        <v>AVIONES ROJOS</v>
      </c>
      <c r="AK959" s="77">
        <f t="shared" si="311"/>
        <v>573</v>
      </c>
      <c r="AL959" s="78">
        <v>0.45902777777777781</v>
      </c>
      <c r="AM959" s="79">
        <v>0.47013888888888888</v>
      </c>
      <c r="AN959" s="80">
        <v>1.1111111111111072E-2</v>
      </c>
      <c r="AO959" s="79">
        <v>0.4777777777777778</v>
      </c>
      <c r="AP959" s="80">
        <v>7.6388888888889173E-3</v>
      </c>
      <c r="AQ959" s="81">
        <v>41804</v>
      </c>
      <c r="AR959" s="77" t="str">
        <f t="shared" si="322"/>
        <v>Internacional</v>
      </c>
      <c r="AS959" s="77">
        <f t="shared" si="322"/>
        <v>8.730158730158713E-3</v>
      </c>
      <c r="AT959" s="77">
        <f t="shared" si="322"/>
        <v>1.8154761904761889E-2</v>
      </c>
      <c r="AU959" s="77">
        <f t="shared" si="322"/>
        <v>2.6884920634920602E-2</v>
      </c>
      <c r="AV959" s="77">
        <f t="shared" si="322"/>
        <v>320</v>
      </c>
      <c r="AW959" s="77">
        <f t="shared" si="322"/>
        <v>179</v>
      </c>
      <c r="AX959" s="77" t="str">
        <f t="shared" si="322"/>
        <v>LAX</v>
      </c>
    </row>
    <row r="960" spans="1:50" x14ac:dyDescent="0.25">
      <c r="A960">
        <v>946</v>
      </c>
      <c r="B960" s="36" t="str">
        <f t="shared" si="302"/>
        <v>BARATA Y MORADA</v>
      </c>
      <c r="C960" s="151">
        <v>961</v>
      </c>
      <c r="D960" s="152">
        <v>0.82777777777777783</v>
      </c>
      <c r="E960" s="152">
        <v>0.8520833333333333</v>
      </c>
      <c r="F960" s="153">
        <v>2.4305555555555469E-2</v>
      </c>
      <c r="G960" s="152">
        <v>0.87083333333333324</v>
      </c>
      <c r="H960" s="153">
        <v>1.8749999999999933E-2</v>
      </c>
      <c r="I960" s="67">
        <v>41713</v>
      </c>
      <c r="J960" s="174" t="s">
        <v>22</v>
      </c>
      <c r="K960" s="135">
        <v>1.2179487179487171E-2</v>
      </c>
      <c r="L960" s="135">
        <v>1.5491452991453004E-2</v>
      </c>
      <c r="M960" s="175">
        <v>2.7670940170940177E-2</v>
      </c>
      <c r="N960" s="90" t="s">
        <v>57</v>
      </c>
      <c r="O960" s="91">
        <v>142</v>
      </c>
      <c r="P960" s="92" t="s">
        <v>68</v>
      </c>
      <c r="R960">
        <v>946</v>
      </c>
      <c r="S960" s="36" t="str">
        <f t="shared" si="319"/>
        <v>AEROLINEAS DE AMERICA</v>
      </c>
      <c r="T960" s="36">
        <f t="shared" si="319"/>
        <v>3275</v>
      </c>
      <c r="U960" s="73">
        <v>0.4826388888888889</v>
      </c>
      <c r="V960" s="74">
        <v>0.49374999999999997</v>
      </c>
      <c r="W960" s="75">
        <v>1.1111111111111072E-2</v>
      </c>
      <c r="X960" s="74">
        <v>0.50277777777777777</v>
      </c>
      <c r="Y960" s="75">
        <v>9.0277777777778012E-3</v>
      </c>
      <c r="Z960" s="76">
        <v>41744</v>
      </c>
      <c r="AA960" s="36" t="str">
        <f t="shared" si="320"/>
        <v>Internacional</v>
      </c>
      <c r="AB960" s="36">
        <f t="shared" si="320"/>
        <v>1.1250000000000005E-2</v>
      </c>
      <c r="AC960" s="36">
        <f t="shared" si="320"/>
        <v>8.6111111111111041E-3</v>
      </c>
      <c r="AD960" s="36">
        <f t="shared" si="320"/>
        <v>1.9861111111111107E-2</v>
      </c>
      <c r="AE960" s="36" t="str">
        <f t="shared" si="320"/>
        <v>ER4</v>
      </c>
      <c r="AF960" s="36">
        <f t="shared" si="320"/>
        <v>50</v>
      </c>
      <c r="AG960" s="36" t="str">
        <f t="shared" si="320"/>
        <v>DFW</v>
      </c>
      <c r="AI960">
        <v>946</v>
      </c>
      <c r="AJ960" s="77" t="str">
        <f t="shared" si="311"/>
        <v>AVIONES ROJOS</v>
      </c>
      <c r="AK960" s="77">
        <f t="shared" si="311"/>
        <v>573</v>
      </c>
      <c r="AL960" s="78">
        <v>0.76736111111111116</v>
      </c>
      <c r="AM960" s="79">
        <v>0.77708333333333324</v>
      </c>
      <c r="AN960" s="80">
        <v>9.7222222222220767E-3</v>
      </c>
      <c r="AO960" s="79">
        <v>0.79166666666666663</v>
      </c>
      <c r="AP960" s="80">
        <v>1.4583333333333393E-2</v>
      </c>
      <c r="AQ960" s="81">
        <v>41806</v>
      </c>
      <c r="AR960" s="77" t="str">
        <f t="shared" si="322"/>
        <v>Internacional</v>
      </c>
      <c r="AS960" s="77">
        <f t="shared" si="322"/>
        <v>8.730158730158713E-3</v>
      </c>
      <c r="AT960" s="77">
        <f t="shared" si="322"/>
        <v>1.8154761904761889E-2</v>
      </c>
      <c r="AU960" s="77">
        <f t="shared" si="322"/>
        <v>2.6884920634920602E-2</v>
      </c>
      <c r="AV960" s="77">
        <f t="shared" si="322"/>
        <v>320</v>
      </c>
      <c r="AW960" s="77">
        <f t="shared" si="322"/>
        <v>179</v>
      </c>
      <c r="AX960" s="77" t="str">
        <f t="shared" si="322"/>
        <v>LAX</v>
      </c>
    </row>
    <row r="961" spans="1:50" x14ac:dyDescent="0.25">
      <c r="A961">
        <v>947</v>
      </c>
      <c r="B961" s="36" t="str">
        <f t="shared" si="302"/>
        <v>BARATA Y MORADA</v>
      </c>
      <c r="C961" s="36">
        <f t="shared" si="302"/>
        <v>961</v>
      </c>
      <c r="D961" s="118">
        <v>0.83194444444444438</v>
      </c>
      <c r="E961" s="118">
        <v>0.84305555555555556</v>
      </c>
      <c r="F961" s="119">
        <v>1.1111111111111183E-2</v>
      </c>
      <c r="G961" s="118">
        <v>0.85625000000000007</v>
      </c>
      <c r="H961" s="119">
        <v>1.3194444444444509E-2</v>
      </c>
      <c r="I961" s="81">
        <v>41715</v>
      </c>
      <c r="J961" s="36" t="str">
        <f t="shared" ref="J961:P972" si="323">J960</f>
        <v>Internacional</v>
      </c>
      <c r="K961" s="36">
        <f t="shared" si="323"/>
        <v>1.2179487179487171E-2</v>
      </c>
      <c r="L961" s="36">
        <f t="shared" si="323"/>
        <v>1.5491452991453004E-2</v>
      </c>
      <c r="M961" s="36">
        <f t="shared" si="323"/>
        <v>2.7670940170940177E-2</v>
      </c>
      <c r="N961" s="36" t="str">
        <f t="shared" si="323"/>
        <v>A319</v>
      </c>
      <c r="O961" s="36">
        <f t="shared" si="323"/>
        <v>142</v>
      </c>
      <c r="P961" s="36" t="str">
        <f t="shared" si="323"/>
        <v>LAS</v>
      </c>
      <c r="R961">
        <v>947</v>
      </c>
      <c r="S961" s="36" t="str">
        <f t="shared" si="319"/>
        <v>AEROLINEAS DE AMERICA</v>
      </c>
      <c r="T961" s="36">
        <f t="shared" si="319"/>
        <v>3275</v>
      </c>
      <c r="U961" s="73">
        <v>0.48194444444444445</v>
      </c>
      <c r="V961" s="74">
        <v>0.49236111111111108</v>
      </c>
      <c r="W961" s="75">
        <v>1.041666666666663E-2</v>
      </c>
      <c r="X961" s="74">
        <v>0.49444444444444446</v>
      </c>
      <c r="Y961" s="75">
        <v>2.0833333333333814E-3</v>
      </c>
      <c r="Z961" s="76">
        <v>41745</v>
      </c>
      <c r="AA961" s="36" t="str">
        <f t="shared" si="320"/>
        <v>Internacional</v>
      </c>
      <c r="AB961" s="36">
        <f t="shared" si="320"/>
        <v>1.1250000000000005E-2</v>
      </c>
      <c r="AC961" s="36">
        <f t="shared" si="320"/>
        <v>8.6111111111111041E-3</v>
      </c>
      <c r="AD961" s="36">
        <f t="shared" si="320"/>
        <v>1.9861111111111107E-2</v>
      </c>
      <c r="AE961" s="36" t="str">
        <f t="shared" si="320"/>
        <v>ER4</v>
      </c>
      <c r="AF961" s="36">
        <f t="shared" si="320"/>
        <v>50</v>
      </c>
      <c r="AG961" s="36" t="str">
        <f t="shared" si="320"/>
        <v>DFW</v>
      </c>
      <c r="AI961">
        <v>947</v>
      </c>
      <c r="AJ961" s="77" t="str">
        <f t="shared" si="311"/>
        <v>AVIONES ROJOS</v>
      </c>
      <c r="AK961" s="77">
        <f t="shared" si="311"/>
        <v>573</v>
      </c>
      <c r="AL961" s="78">
        <v>0.99375000000000002</v>
      </c>
      <c r="AM961" s="79">
        <v>1.0055555555555555</v>
      </c>
      <c r="AN961" s="80">
        <v>1.1805555555555514E-2</v>
      </c>
      <c r="AO961" s="79">
        <v>1.0111111111111111</v>
      </c>
      <c r="AP961" s="80">
        <v>5.5555555555555358E-3</v>
      </c>
      <c r="AQ961" s="81">
        <v>41807</v>
      </c>
      <c r="AR961" s="77" t="str">
        <f t="shared" si="322"/>
        <v>Internacional</v>
      </c>
      <c r="AS961" s="77">
        <f t="shared" si="322"/>
        <v>8.730158730158713E-3</v>
      </c>
      <c r="AT961" s="77">
        <f t="shared" si="322"/>
        <v>1.8154761904761889E-2</v>
      </c>
      <c r="AU961" s="77">
        <f t="shared" si="322"/>
        <v>2.6884920634920602E-2</v>
      </c>
      <c r="AV961" s="77">
        <f t="shared" si="322"/>
        <v>320</v>
      </c>
      <c r="AW961" s="77">
        <f t="shared" si="322"/>
        <v>179</v>
      </c>
      <c r="AX961" s="77" t="str">
        <f t="shared" si="322"/>
        <v>LAX</v>
      </c>
    </row>
    <row r="962" spans="1:50" x14ac:dyDescent="0.25">
      <c r="A962">
        <v>948</v>
      </c>
      <c r="B962" s="36" t="str">
        <f t="shared" si="302"/>
        <v>BARATA Y MORADA</v>
      </c>
      <c r="C962" s="36">
        <f t="shared" si="302"/>
        <v>961</v>
      </c>
      <c r="D962" s="118">
        <v>0.89097222222222217</v>
      </c>
      <c r="E962" s="118">
        <v>0.90347222222222223</v>
      </c>
      <c r="F962" s="119">
        <v>1.2500000000000067E-2</v>
      </c>
      <c r="G962" s="118">
        <v>0.91736111111111107</v>
      </c>
      <c r="H962" s="119">
        <v>1.388888888888884E-2</v>
      </c>
      <c r="I962" s="81">
        <v>41716</v>
      </c>
      <c r="J962" s="36" t="str">
        <f t="shared" si="323"/>
        <v>Internacional</v>
      </c>
      <c r="K962" s="36">
        <f t="shared" si="323"/>
        <v>1.2179487179487171E-2</v>
      </c>
      <c r="L962" s="36">
        <f t="shared" si="323"/>
        <v>1.5491452991453004E-2</v>
      </c>
      <c r="M962" s="36">
        <f t="shared" si="323"/>
        <v>2.7670940170940177E-2</v>
      </c>
      <c r="N962" s="36" t="str">
        <f t="shared" si="323"/>
        <v>A319</v>
      </c>
      <c r="O962" s="36">
        <f t="shared" si="323"/>
        <v>142</v>
      </c>
      <c r="P962" s="36" t="str">
        <f t="shared" si="323"/>
        <v>LAS</v>
      </c>
      <c r="R962">
        <v>948</v>
      </c>
      <c r="S962" s="36" t="str">
        <f t="shared" si="319"/>
        <v>AEROLINEAS DE AMERICA</v>
      </c>
      <c r="T962" s="36">
        <f t="shared" si="319"/>
        <v>3275</v>
      </c>
      <c r="U962" s="73">
        <v>0.49513888888888885</v>
      </c>
      <c r="V962" s="74">
        <v>0.50486111111111109</v>
      </c>
      <c r="W962" s="75">
        <v>9.7222222222222432E-3</v>
      </c>
      <c r="X962" s="74">
        <v>0.51388888888888895</v>
      </c>
      <c r="Y962" s="75">
        <v>9.0277777777778567E-3</v>
      </c>
      <c r="Z962" s="76">
        <v>41746</v>
      </c>
      <c r="AA962" s="36" t="str">
        <f t="shared" si="320"/>
        <v>Internacional</v>
      </c>
      <c r="AB962" s="36">
        <f t="shared" si="320"/>
        <v>1.1250000000000005E-2</v>
      </c>
      <c r="AC962" s="36">
        <f t="shared" si="320"/>
        <v>8.6111111111111041E-3</v>
      </c>
      <c r="AD962" s="36">
        <f t="shared" si="320"/>
        <v>1.9861111111111107E-2</v>
      </c>
      <c r="AE962" s="36" t="str">
        <f t="shared" si="320"/>
        <v>ER4</v>
      </c>
      <c r="AF962" s="36">
        <f t="shared" si="320"/>
        <v>50</v>
      </c>
      <c r="AG962" s="36" t="str">
        <f t="shared" si="320"/>
        <v>DFW</v>
      </c>
      <c r="AI962">
        <v>948</v>
      </c>
      <c r="AJ962" s="77" t="str">
        <f t="shared" si="311"/>
        <v>AVIONES ROJOS</v>
      </c>
      <c r="AK962" s="77">
        <f t="shared" si="311"/>
        <v>573</v>
      </c>
      <c r="AL962" s="78">
        <v>0.22430555555555556</v>
      </c>
      <c r="AM962" s="79">
        <v>0.23194444444444443</v>
      </c>
      <c r="AN962" s="80">
        <v>7.6388888888888618E-3</v>
      </c>
      <c r="AO962" s="79">
        <v>0.2638888888888889</v>
      </c>
      <c r="AP962" s="80">
        <v>3.194444444444447E-2</v>
      </c>
      <c r="AQ962" s="81">
        <v>41808</v>
      </c>
      <c r="AR962" s="77" t="str">
        <f t="shared" si="322"/>
        <v>Internacional</v>
      </c>
      <c r="AS962" s="77">
        <f t="shared" si="322"/>
        <v>8.730158730158713E-3</v>
      </c>
      <c r="AT962" s="77">
        <f t="shared" si="322"/>
        <v>1.8154761904761889E-2</v>
      </c>
      <c r="AU962" s="77">
        <f t="shared" si="322"/>
        <v>2.6884920634920602E-2</v>
      </c>
      <c r="AV962" s="77">
        <f t="shared" si="322"/>
        <v>320</v>
      </c>
      <c r="AW962" s="77">
        <f t="shared" si="322"/>
        <v>179</v>
      </c>
      <c r="AX962" s="77" t="str">
        <f t="shared" si="322"/>
        <v>LAX</v>
      </c>
    </row>
    <row r="963" spans="1:50" ht="15.75" thickBot="1" x14ac:dyDescent="0.3">
      <c r="A963">
        <v>949</v>
      </c>
      <c r="B963" s="36" t="str">
        <f t="shared" si="302"/>
        <v>BARATA Y MORADA</v>
      </c>
      <c r="C963" s="36">
        <f t="shared" si="302"/>
        <v>961</v>
      </c>
      <c r="D963" s="118">
        <v>0.84166666666666667</v>
      </c>
      <c r="E963" s="118">
        <v>0.85138888888888886</v>
      </c>
      <c r="F963" s="119">
        <v>9.7222222222221877E-3</v>
      </c>
      <c r="G963" s="118">
        <v>0.86875000000000002</v>
      </c>
      <c r="H963" s="119">
        <v>1.736111111111116E-2</v>
      </c>
      <c r="I963" s="81">
        <v>41717</v>
      </c>
      <c r="J963" s="36" t="str">
        <f t="shared" si="323"/>
        <v>Internacional</v>
      </c>
      <c r="K963" s="36">
        <f t="shared" si="323"/>
        <v>1.2179487179487171E-2</v>
      </c>
      <c r="L963" s="36">
        <f t="shared" si="323"/>
        <v>1.5491452991453004E-2</v>
      </c>
      <c r="M963" s="36">
        <f t="shared" si="323"/>
        <v>2.7670940170940177E-2</v>
      </c>
      <c r="N963" s="36" t="str">
        <f t="shared" si="323"/>
        <v>A319</v>
      </c>
      <c r="O963" s="36">
        <f t="shared" si="323"/>
        <v>142</v>
      </c>
      <c r="P963" s="36" t="str">
        <f t="shared" si="323"/>
        <v>LAS</v>
      </c>
      <c r="R963">
        <v>949</v>
      </c>
      <c r="S963" s="36" t="str">
        <f t="shared" si="319"/>
        <v>AEROLINEAS DE AMERICA</v>
      </c>
      <c r="T963" s="36">
        <f t="shared" si="319"/>
        <v>3275</v>
      </c>
      <c r="U963" s="73">
        <v>0.48541666666666666</v>
      </c>
      <c r="V963" s="74">
        <v>0.49722222222222223</v>
      </c>
      <c r="W963" s="75">
        <v>1.1805555555555569E-2</v>
      </c>
      <c r="X963" s="74">
        <v>0.50069444444444444</v>
      </c>
      <c r="Y963" s="75">
        <v>3.4722222222222099E-3</v>
      </c>
      <c r="Z963" s="76">
        <v>41747</v>
      </c>
      <c r="AA963" s="36" t="str">
        <f t="shared" si="320"/>
        <v>Internacional</v>
      </c>
      <c r="AB963" s="36">
        <f t="shared" si="320"/>
        <v>1.1250000000000005E-2</v>
      </c>
      <c r="AC963" s="36">
        <f t="shared" si="320"/>
        <v>8.6111111111111041E-3</v>
      </c>
      <c r="AD963" s="36">
        <f t="shared" si="320"/>
        <v>1.9861111111111107E-2</v>
      </c>
      <c r="AE963" s="36" t="str">
        <f t="shared" si="320"/>
        <v>ER4</v>
      </c>
      <c r="AF963" s="36">
        <f t="shared" si="320"/>
        <v>50</v>
      </c>
      <c r="AG963" s="36" t="str">
        <f t="shared" si="320"/>
        <v>DFW</v>
      </c>
      <c r="AI963">
        <v>949</v>
      </c>
      <c r="AJ963" s="77" t="str">
        <f t="shared" si="311"/>
        <v>AVIONES ROJOS</v>
      </c>
      <c r="AK963" s="77">
        <f t="shared" si="311"/>
        <v>573</v>
      </c>
      <c r="AL963" s="78">
        <v>0.2298611111111111</v>
      </c>
      <c r="AM963" s="79">
        <v>0.23819444444444446</v>
      </c>
      <c r="AN963" s="80">
        <v>8.3333333333333592E-3</v>
      </c>
      <c r="AO963" s="79">
        <v>0.26180555555555557</v>
      </c>
      <c r="AP963" s="80">
        <v>2.361111111111111E-2</v>
      </c>
      <c r="AQ963" s="81">
        <v>41810</v>
      </c>
      <c r="AR963" s="77" t="str">
        <f t="shared" si="322"/>
        <v>Internacional</v>
      </c>
      <c r="AS963" s="77">
        <f t="shared" si="322"/>
        <v>8.730158730158713E-3</v>
      </c>
      <c r="AT963" s="77">
        <f t="shared" si="322"/>
        <v>1.8154761904761889E-2</v>
      </c>
      <c r="AU963" s="77">
        <f t="shared" si="322"/>
        <v>2.6884920634920602E-2</v>
      </c>
      <c r="AV963" s="77">
        <f t="shared" si="322"/>
        <v>320</v>
      </c>
      <c r="AW963" s="77">
        <f t="shared" si="322"/>
        <v>179</v>
      </c>
      <c r="AX963" s="77" t="str">
        <f t="shared" si="322"/>
        <v>LAX</v>
      </c>
    </row>
    <row r="964" spans="1:50" x14ac:dyDescent="0.25">
      <c r="A964">
        <v>950</v>
      </c>
      <c r="B964" s="36" t="str">
        <f t="shared" si="302"/>
        <v>BARATA Y MORADA</v>
      </c>
      <c r="C964" s="36">
        <f t="shared" si="302"/>
        <v>961</v>
      </c>
      <c r="D964" s="118">
        <v>0.85</v>
      </c>
      <c r="E964" s="118">
        <v>0.86041666666666661</v>
      </c>
      <c r="F964" s="119">
        <v>1.041666666666663E-2</v>
      </c>
      <c r="G964" s="118">
        <v>0.87152777777777779</v>
      </c>
      <c r="H964" s="119">
        <v>1.1111111111111183E-2</v>
      </c>
      <c r="I964" s="81">
        <v>41719</v>
      </c>
      <c r="J964" s="36" t="str">
        <f t="shared" si="323"/>
        <v>Internacional</v>
      </c>
      <c r="K964" s="36">
        <f t="shared" si="323"/>
        <v>1.2179487179487171E-2</v>
      </c>
      <c r="L964" s="36">
        <f t="shared" si="323"/>
        <v>1.5491452991453004E-2</v>
      </c>
      <c r="M964" s="36">
        <f t="shared" si="323"/>
        <v>2.7670940170940177E-2</v>
      </c>
      <c r="N964" s="36" t="str">
        <f t="shared" si="323"/>
        <v>A319</v>
      </c>
      <c r="O964" s="36">
        <f t="shared" si="323"/>
        <v>142</v>
      </c>
      <c r="P964" s="36" t="str">
        <f t="shared" si="323"/>
        <v>LAS</v>
      </c>
      <c r="R964">
        <v>950</v>
      </c>
      <c r="S964" s="36" t="str">
        <f t="shared" si="319"/>
        <v>AEROLINEAS DE AMERICA</v>
      </c>
      <c r="T964" s="36">
        <f t="shared" si="319"/>
        <v>3275</v>
      </c>
      <c r="U964" s="73">
        <v>0.48888888888888887</v>
      </c>
      <c r="V964" s="74">
        <v>0.50138888888888888</v>
      </c>
      <c r="W964" s="75">
        <v>1.2500000000000011E-2</v>
      </c>
      <c r="X964" s="74">
        <v>0.50555555555555554</v>
      </c>
      <c r="Y964" s="75">
        <v>4.1666666666666519E-3</v>
      </c>
      <c r="Z964" s="76">
        <v>41748</v>
      </c>
      <c r="AA964" s="36" t="str">
        <f t="shared" si="320"/>
        <v>Internacional</v>
      </c>
      <c r="AB964" s="36">
        <f t="shared" si="320"/>
        <v>1.1250000000000005E-2</v>
      </c>
      <c r="AC964" s="36">
        <f t="shared" si="320"/>
        <v>8.6111111111111041E-3</v>
      </c>
      <c r="AD964" s="36">
        <f t="shared" si="320"/>
        <v>1.9861111111111107E-2</v>
      </c>
      <c r="AE964" s="36" t="str">
        <f t="shared" si="320"/>
        <v>ER4</v>
      </c>
      <c r="AF964" s="36">
        <f t="shared" si="320"/>
        <v>50</v>
      </c>
      <c r="AG964" s="36" t="str">
        <f t="shared" si="320"/>
        <v>DFW</v>
      </c>
      <c r="AI964">
        <v>950</v>
      </c>
      <c r="AJ964" s="63" t="s">
        <v>61</v>
      </c>
      <c r="AK964" s="77">
        <f t="shared" ref="AK964:AK976" si="324">AK963</f>
        <v>573</v>
      </c>
      <c r="AL964" s="78">
        <v>0.24305555555555555</v>
      </c>
      <c r="AM964" s="79">
        <v>0.25069444444444444</v>
      </c>
      <c r="AN964" s="80">
        <v>7.6388888888888895E-3</v>
      </c>
      <c r="AO964" s="79">
        <v>0.27499999999999997</v>
      </c>
      <c r="AP964" s="80">
        <v>2.4305555555555525E-2</v>
      </c>
      <c r="AQ964" s="81">
        <v>41812</v>
      </c>
      <c r="AR964" s="77" t="str">
        <f t="shared" si="322"/>
        <v>Internacional</v>
      </c>
      <c r="AS964" s="77">
        <f t="shared" si="322"/>
        <v>8.730158730158713E-3</v>
      </c>
      <c r="AT964" s="77">
        <f t="shared" si="322"/>
        <v>1.8154761904761889E-2</v>
      </c>
      <c r="AU964" s="77">
        <f t="shared" si="322"/>
        <v>2.6884920634920602E-2</v>
      </c>
      <c r="AV964" s="77">
        <f t="shared" si="322"/>
        <v>320</v>
      </c>
      <c r="AW964" s="77">
        <f t="shared" si="322"/>
        <v>179</v>
      </c>
      <c r="AX964" s="77" t="str">
        <f t="shared" si="322"/>
        <v>LAX</v>
      </c>
    </row>
    <row r="965" spans="1:50" x14ac:dyDescent="0.25">
      <c r="A965">
        <v>951</v>
      </c>
      <c r="B965" s="36" t="str">
        <f t="shared" si="302"/>
        <v>BARATA Y MORADA</v>
      </c>
      <c r="C965" s="36">
        <f t="shared" si="302"/>
        <v>961</v>
      </c>
      <c r="D965" s="118">
        <v>0.84305555555555556</v>
      </c>
      <c r="E965" s="118">
        <v>0.85555555555555562</v>
      </c>
      <c r="F965" s="119">
        <v>1.2500000000000067E-2</v>
      </c>
      <c r="G965" s="118">
        <v>0.87847222222222221</v>
      </c>
      <c r="H965" s="119">
        <v>2.2916666666666585E-2</v>
      </c>
      <c r="I965" s="81">
        <v>41719</v>
      </c>
      <c r="J965" s="36" t="str">
        <f t="shared" si="323"/>
        <v>Internacional</v>
      </c>
      <c r="K965" s="36">
        <f t="shared" si="323"/>
        <v>1.2179487179487171E-2</v>
      </c>
      <c r="L965" s="36">
        <f t="shared" si="323"/>
        <v>1.5491452991453004E-2</v>
      </c>
      <c r="M965" s="36">
        <f t="shared" si="323"/>
        <v>2.7670940170940177E-2</v>
      </c>
      <c r="N965" s="36" t="str">
        <f t="shared" si="323"/>
        <v>A319</v>
      </c>
      <c r="O965" s="36">
        <f t="shared" si="323"/>
        <v>142</v>
      </c>
      <c r="P965" s="36" t="str">
        <f t="shared" si="323"/>
        <v>LAS</v>
      </c>
      <c r="R965">
        <v>951</v>
      </c>
      <c r="S965" s="36" t="str">
        <f t="shared" si="319"/>
        <v>AEROLINEAS DE AMERICA</v>
      </c>
      <c r="T965" s="36">
        <f t="shared" si="319"/>
        <v>3275</v>
      </c>
      <c r="U965" s="73">
        <v>0.48749999999999999</v>
      </c>
      <c r="V965" s="74">
        <v>0.50208333333333333</v>
      </c>
      <c r="W965" s="75">
        <v>1.4583333333333337E-2</v>
      </c>
      <c r="X965" s="74">
        <v>0.50694444444444442</v>
      </c>
      <c r="Y965" s="75">
        <v>4.8611111111110938E-3</v>
      </c>
      <c r="Z965" s="76">
        <v>41749</v>
      </c>
      <c r="AA965" s="36" t="str">
        <f t="shared" si="320"/>
        <v>Internacional</v>
      </c>
      <c r="AB965" s="36">
        <f t="shared" si="320"/>
        <v>1.1250000000000005E-2</v>
      </c>
      <c r="AC965" s="36">
        <f t="shared" si="320"/>
        <v>8.6111111111111041E-3</v>
      </c>
      <c r="AD965" s="36">
        <f t="shared" si="320"/>
        <v>1.9861111111111107E-2</v>
      </c>
      <c r="AE965" s="36" t="str">
        <f t="shared" si="320"/>
        <v>ER4</v>
      </c>
      <c r="AF965" s="36">
        <f t="shared" si="320"/>
        <v>50</v>
      </c>
      <c r="AG965" s="36" t="str">
        <f t="shared" si="320"/>
        <v>DFW</v>
      </c>
      <c r="AI965">
        <v>951</v>
      </c>
      <c r="AJ965" s="77" t="str">
        <f t="shared" ref="AJ965:AK988" si="325">AJ964</f>
        <v>AVIONES ROJOS</v>
      </c>
      <c r="AK965" s="77">
        <f t="shared" si="324"/>
        <v>573</v>
      </c>
      <c r="AL965" s="78">
        <v>0.23402777777777781</v>
      </c>
      <c r="AM965" s="79">
        <v>0.24583333333333335</v>
      </c>
      <c r="AN965" s="80">
        <v>1.1805555555555541E-2</v>
      </c>
      <c r="AO965" s="79">
        <v>0.27708333333333335</v>
      </c>
      <c r="AP965" s="80">
        <v>3.125E-2</v>
      </c>
      <c r="AQ965" s="81">
        <v>41813</v>
      </c>
      <c r="AR965" s="77" t="str">
        <f t="shared" si="322"/>
        <v>Internacional</v>
      </c>
      <c r="AS965" s="77">
        <f t="shared" si="322"/>
        <v>8.730158730158713E-3</v>
      </c>
      <c r="AT965" s="77">
        <f t="shared" si="322"/>
        <v>1.8154761904761889E-2</v>
      </c>
      <c r="AU965" s="77">
        <f t="shared" si="322"/>
        <v>2.6884920634920602E-2</v>
      </c>
      <c r="AV965" s="77">
        <f t="shared" si="322"/>
        <v>320</v>
      </c>
      <c r="AW965" s="77">
        <f t="shared" si="322"/>
        <v>179</v>
      </c>
      <c r="AX965" s="77" t="str">
        <f t="shared" si="322"/>
        <v>LAX</v>
      </c>
    </row>
    <row r="966" spans="1:50" ht="15.75" thickBot="1" x14ac:dyDescent="0.3">
      <c r="A966">
        <v>952</v>
      </c>
      <c r="B966" s="36" t="str">
        <f t="shared" si="302"/>
        <v>BARATA Y MORADA</v>
      </c>
      <c r="C966" s="36">
        <f t="shared" si="302"/>
        <v>961</v>
      </c>
      <c r="D966" s="118">
        <v>0.84375</v>
      </c>
      <c r="E966" s="118">
        <v>0.86041666666666661</v>
      </c>
      <c r="F966" s="119">
        <v>1.6666666666666607E-2</v>
      </c>
      <c r="G966" s="118">
        <v>0.87708333333333333</v>
      </c>
      <c r="H966" s="119">
        <v>1.6666666666666718E-2</v>
      </c>
      <c r="I966" s="81">
        <v>41721</v>
      </c>
      <c r="J966" s="36" t="str">
        <f t="shared" si="323"/>
        <v>Internacional</v>
      </c>
      <c r="K966" s="36">
        <f t="shared" si="323"/>
        <v>1.2179487179487171E-2</v>
      </c>
      <c r="L966" s="36">
        <f t="shared" si="323"/>
        <v>1.5491452991453004E-2</v>
      </c>
      <c r="M966" s="36">
        <f t="shared" si="323"/>
        <v>2.7670940170940177E-2</v>
      </c>
      <c r="N966" s="36" t="str">
        <f t="shared" si="323"/>
        <v>A319</v>
      </c>
      <c r="O966" s="36">
        <f t="shared" si="323"/>
        <v>142</v>
      </c>
      <c r="P966" s="36" t="str">
        <f t="shared" si="323"/>
        <v>LAS</v>
      </c>
      <c r="R966">
        <v>952</v>
      </c>
      <c r="S966" s="36" t="str">
        <f t="shared" si="319"/>
        <v>AEROLINEAS DE AMERICA</v>
      </c>
      <c r="T966" s="36">
        <f t="shared" si="319"/>
        <v>3275</v>
      </c>
      <c r="U966" s="73">
        <v>0.49513888888888885</v>
      </c>
      <c r="V966" s="74">
        <v>0.50763888888888886</v>
      </c>
      <c r="W966" s="75">
        <v>1.2500000000000011E-2</v>
      </c>
      <c r="X966" s="74">
        <v>0.51180555555555551</v>
      </c>
      <c r="Y966" s="75">
        <v>4.1666666666666519E-3</v>
      </c>
      <c r="Z966" s="76">
        <v>41750</v>
      </c>
      <c r="AA966" s="36" t="str">
        <f t="shared" si="320"/>
        <v>Internacional</v>
      </c>
      <c r="AB966" s="36">
        <f t="shared" si="320"/>
        <v>1.1250000000000005E-2</v>
      </c>
      <c r="AC966" s="36">
        <f t="shared" si="320"/>
        <v>8.6111111111111041E-3</v>
      </c>
      <c r="AD966" s="36">
        <f t="shared" si="320"/>
        <v>1.9861111111111107E-2</v>
      </c>
      <c r="AE966" s="36" t="str">
        <f t="shared" si="320"/>
        <v>ER4</v>
      </c>
      <c r="AF966" s="36">
        <f t="shared" si="320"/>
        <v>50</v>
      </c>
      <c r="AG966" s="36" t="str">
        <f t="shared" si="320"/>
        <v>DFW</v>
      </c>
      <c r="AI966">
        <v>952</v>
      </c>
      <c r="AJ966" s="77" t="str">
        <f t="shared" si="325"/>
        <v>AVIONES ROJOS</v>
      </c>
      <c r="AK966" s="77">
        <f t="shared" si="324"/>
        <v>573</v>
      </c>
      <c r="AL966" s="94">
        <v>0.69097222222222221</v>
      </c>
      <c r="AM966" s="95">
        <v>0.69444444444444453</v>
      </c>
      <c r="AN966" s="96">
        <v>3.4722222222223209E-3</v>
      </c>
      <c r="AO966" s="95">
        <v>0.70833333333333337</v>
      </c>
      <c r="AP966" s="96">
        <v>1.388888888888884E-2</v>
      </c>
      <c r="AQ966" s="97">
        <v>41805</v>
      </c>
      <c r="AR966" s="77" t="str">
        <f t="shared" si="322"/>
        <v>Internacional</v>
      </c>
      <c r="AS966" s="77">
        <f t="shared" si="322"/>
        <v>8.730158730158713E-3</v>
      </c>
      <c r="AT966" s="77">
        <f t="shared" si="322"/>
        <v>1.8154761904761889E-2</v>
      </c>
      <c r="AU966" s="77">
        <f t="shared" si="322"/>
        <v>2.6884920634920602E-2</v>
      </c>
      <c r="AV966" s="77">
        <f t="shared" si="322"/>
        <v>320</v>
      </c>
      <c r="AW966" s="77">
        <f t="shared" si="322"/>
        <v>179</v>
      </c>
      <c r="AX966" s="77" t="str">
        <f t="shared" si="322"/>
        <v>LAX</v>
      </c>
    </row>
    <row r="967" spans="1:50" x14ac:dyDescent="0.25">
      <c r="A967">
        <v>953</v>
      </c>
      <c r="B967" s="36" t="str">
        <f t="shared" si="302"/>
        <v>BARATA Y MORADA</v>
      </c>
      <c r="C967" s="36">
        <f t="shared" si="302"/>
        <v>961</v>
      </c>
      <c r="D967" s="118">
        <v>0.84861111111111109</v>
      </c>
      <c r="E967" s="118">
        <v>0.86319444444444438</v>
      </c>
      <c r="F967" s="119">
        <v>1.4583333333333282E-2</v>
      </c>
      <c r="G967" s="118">
        <v>0.87777777777777777</v>
      </c>
      <c r="H967" s="119">
        <v>1.4583333333333393E-2</v>
      </c>
      <c r="I967" s="81">
        <v>41721</v>
      </c>
      <c r="J967" s="36" t="str">
        <f t="shared" si="323"/>
        <v>Internacional</v>
      </c>
      <c r="K967" s="36">
        <f t="shared" si="323"/>
        <v>1.2179487179487171E-2</v>
      </c>
      <c r="L967" s="36">
        <f t="shared" si="323"/>
        <v>1.5491452991453004E-2</v>
      </c>
      <c r="M967" s="36">
        <f t="shared" si="323"/>
        <v>2.7670940170940177E-2</v>
      </c>
      <c r="N967" s="36" t="str">
        <f t="shared" si="323"/>
        <v>A319</v>
      </c>
      <c r="O967" s="36">
        <f t="shared" si="323"/>
        <v>142</v>
      </c>
      <c r="P967" s="36" t="str">
        <f t="shared" si="323"/>
        <v>LAS</v>
      </c>
      <c r="R967">
        <v>953</v>
      </c>
      <c r="S967" s="36" t="str">
        <f t="shared" si="319"/>
        <v>AEROLINEAS DE AMERICA</v>
      </c>
      <c r="T967" s="36">
        <f t="shared" si="319"/>
        <v>3275</v>
      </c>
      <c r="U967" s="73">
        <v>0.49861111111111112</v>
      </c>
      <c r="V967" s="74">
        <v>0.5083333333333333</v>
      </c>
      <c r="W967" s="75">
        <v>9.7222222222221877E-3</v>
      </c>
      <c r="X967" s="74">
        <v>0.51666666666666672</v>
      </c>
      <c r="Y967" s="75">
        <v>8.3333333333334147E-3</v>
      </c>
      <c r="Z967" s="76">
        <v>41751</v>
      </c>
      <c r="AA967" s="36" t="str">
        <f t="shared" si="320"/>
        <v>Internacional</v>
      </c>
      <c r="AB967" s="36">
        <f t="shared" si="320"/>
        <v>1.1250000000000005E-2</v>
      </c>
      <c r="AC967" s="36">
        <f t="shared" si="320"/>
        <v>8.6111111111111041E-3</v>
      </c>
      <c r="AD967" s="36">
        <f t="shared" si="320"/>
        <v>1.9861111111111107E-2</v>
      </c>
      <c r="AE967" s="36" t="str">
        <f t="shared" si="320"/>
        <v>ER4</v>
      </c>
      <c r="AF967" s="36">
        <f t="shared" si="320"/>
        <v>50</v>
      </c>
      <c r="AG967" s="36" t="str">
        <f t="shared" si="320"/>
        <v>DFW</v>
      </c>
      <c r="AI967">
        <v>953</v>
      </c>
      <c r="AJ967" s="77" t="str">
        <f t="shared" si="325"/>
        <v>AVIONES ROJOS</v>
      </c>
      <c r="AK967" s="63">
        <v>375</v>
      </c>
      <c r="AL967" s="64">
        <v>0.60069444444444442</v>
      </c>
      <c r="AM967" s="65">
        <v>0.60833333333333328</v>
      </c>
      <c r="AN967" s="66">
        <v>7.6388888888888618E-3</v>
      </c>
      <c r="AO967" s="65">
        <v>0.65208333333333335</v>
      </c>
      <c r="AP967" s="66">
        <v>4.3750000000000067E-2</v>
      </c>
      <c r="AQ967" s="67">
        <v>41797</v>
      </c>
      <c r="AR967" s="68" t="s">
        <v>22</v>
      </c>
      <c r="AS967" s="69">
        <v>8.564814814814822E-3</v>
      </c>
      <c r="AT967" s="70">
        <v>2.5694444444444426E-2</v>
      </c>
      <c r="AU967" s="70">
        <v>3.4259259259259246E-2</v>
      </c>
      <c r="AV967" s="71">
        <v>320</v>
      </c>
      <c r="AW967" s="71">
        <v>179</v>
      </c>
      <c r="AX967" s="72" t="s">
        <v>63</v>
      </c>
    </row>
    <row r="968" spans="1:50" x14ac:dyDescent="0.25">
      <c r="A968">
        <v>954</v>
      </c>
      <c r="B968" s="36" t="str">
        <f t="shared" si="302"/>
        <v>BARATA Y MORADA</v>
      </c>
      <c r="C968" s="36">
        <f t="shared" si="302"/>
        <v>961</v>
      </c>
      <c r="D968" s="118">
        <v>0.83750000000000002</v>
      </c>
      <c r="E968" s="118">
        <v>0.84722222222222221</v>
      </c>
      <c r="F968" s="119">
        <v>9.7222222222221877E-3</v>
      </c>
      <c r="G968" s="118">
        <v>0.8666666666666667</v>
      </c>
      <c r="H968" s="119">
        <v>1.9444444444444486E-2</v>
      </c>
      <c r="I968" s="81">
        <v>41723</v>
      </c>
      <c r="J968" s="36" t="str">
        <f t="shared" si="323"/>
        <v>Internacional</v>
      </c>
      <c r="K968" s="36">
        <f t="shared" si="323"/>
        <v>1.2179487179487171E-2</v>
      </c>
      <c r="L968" s="36">
        <f t="shared" si="323"/>
        <v>1.5491452991453004E-2</v>
      </c>
      <c r="M968" s="36">
        <f t="shared" si="323"/>
        <v>2.7670940170940177E-2</v>
      </c>
      <c r="N968" s="36" t="str">
        <f t="shared" si="323"/>
        <v>A319</v>
      </c>
      <c r="O968" s="36">
        <f t="shared" si="323"/>
        <v>142</v>
      </c>
      <c r="P968" s="36" t="str">
        <f t="shared" si="323"/>
        <v>LAS</v>
      </c>
      <c r="R968">
        <v>954</v>
      </c>
      <c r="S968" s="36" t="str">
        <f t="shared" si="319"/>
        <v>AEROLINEAS DE AMERICA</v>
      </c>
      <c r="T968" s="36">
        <f t="shared" si="319"/>
        <v>3275</v>
      </c>
      <c r="U968" s="73">
        <v>0.49861111111111112</v>
      </c>
      <c r="V968" s="74">
        <v>0.5083333333333333</v>
      </c>
      <c r="W968" s="75">
        <v>9.7222222222221877E-3</v>
      </c>
      <c r="X968" s="74">
        <v>0.51666666666666672</v>
      </c>
      <c r="Y968" s="75">
        <v>8.3333333333334147E-3</v>
      </c>
      <c r="Z968" s="76">
        <v>41751</v>
      </c>
      <c r="AA968" s="36" t="str">
        <f t="shared" si="320"/>
        <v>Internacional</v>
      </c>
      <c r="AB968" s="36">
        <f t="shared" si="320"/>
        <v>1.1250000000000005E-2</v>
      </c>
      <c r="AC968" s="36">
        <f t="shared" si="320"/>
        <v>8.6111111111111041E-3</v>
      </c>
      <c r="AD968" s="36">
        <f t="shared" si="320"/>
        <v>1.9861111111111107E-2</v>
      </c>
      <c r="AE968" s="36" t="str">
        <f t="shared" si="320"/>
        <v>ER4</v>
      </c>
      <c r="AF968" s="36">
        <f t="shared" si="320"/>
        <v>50</v>
      </c>
      <c r="AG968" s="36" t="str">
        <f t="shared" si="320"/>
        <v>DFW</v>
      </c>
      <c r="AI968">
        <v>954</v>
      </c>
      <c r="AJ968" s="77" t="str">
        <f t="shared" si="325"/>
        <v>AVIONES ROJOS</v>
      </c>
      <c r="AK968" s="77">
        <f t="shared" si="325"/>
        <v>375</v>
      </c>
      <c r="AL968" s="78">
        <v>0.94027777777777777</v>
      </c>
      <c r="AM968" s="79">
        <v>0.95138888888888884</v>
      </c>
      <c r="AN968" s="80">
        <v>1.1111111111111072E-2</v>
      </c>
      <c r="AO968" s="79">
        <v>0.96180555555555547</v>
      </c>
      <c r="AP968" s="80">
        <v>1.041666666666663E-2</v>
      </c>
      <c r="AQ968" s="81">
        <v>41804</v>
      </c>
      <c r="AR968" s="77" t="str">
        <f t="shared" ref="AR968:AX969" si="326">AR967</f>
        <v>Internacional</v>
      </c>
      <c r="AS968" s="77">
        <f t="shared" si="326"/>
        <v>8.564814814814822E-3</v>
      </c>
      <c r="AT968" s="77">
        <f t="shared" si="326"/>
        <v>2.5694444444444426E-2</v>
      </c>
      <c r="AU968" s="77">
        <f t="shared" si="326"/>
        <v>3.4259259259259246E-2</v>
      </c>
      <c r="AV968" s="77">
        <f t="shared" si="326"/>
        <v>320</v>
      </c>
      <c r="AW968" s="77">
        <f t="shared" si="326"/>
        <v>179</v>
      </c>
      <c r="AX968" s="77" t="str">
        <f t="shared" si="326"/>
        <v>SLC</v>
      </c>
    </row>
    <row r="969" spans="1:50" ht="15.75" thickBot="1" x14ac:dyDescent="0.3">
      <c r="A969">
        <v>955</v>
      </c>
      <c r="B969" s="36" t="str">
        <f t="shared" si="302"/>
        <v>BARATA Y MORADA</v>
      </c>
      <c r="C969" s="36">
        <f t="shared" si="302"/>
        <v>961</v>
      </c>
      <c r="D969" s="118">
        <v>0.83888888888888891</v>
      </c>
      <c r="E969" s="118">
        <v>0.84027777777777779</v>
      </c>
      <c r="F969" s="119">
        <v>1.388888888888884E-3</v>
      </c>
      <c r="G969" s="118">
        <v>0.86319444444444438</v>
      </c>
      <c r="H969" s="119">
        <v>2.2916666666666585E-2</v>
      </c>
      <c r="I969" s="81">
        <v>41724</v>
      </c>
      <c r="J969" s="36" t="str">
        <f t="shared" si="323"/>
        <v>Internacional</v>
      </c>
      <c r="K969" s="36">
        <f t="shared" si="323"/>
        <v>1.2179487179487171E-2</v>
      </c>
      <c r="L969" s="36">
        <f t="shared" si="323"/>
        <v>1.5491452991453004E-2</v>
      </c>
      <c r="M969" s="36">
        <f t="shared" si="323"/>
        <v>2.7670940170940177E-2</v>
      </c>
      <c r="N969" s="36" t="str">
        <f t="shared" si="323"/>
        <v>A319</v>
      </c>
      <c r="O969" s="36">
        <f t="shared" si="323"/>
        <v>142</v>
      </c>
      <c r="P969" s="36" t="str">
        <f t="shared" si="323"/>
        <v>LAS</v>
      </c>
      <c r="R969">
        <v>955</v>
      </c>
      <c r="S969" s="36" t="str">
        <f t="shared" si="319"/>
        <v>AEROLINEAS DE AMERICA</v>
      </c>
      <c r="T969" s="36">
        <f t="shared" si="319"/>
        <v>3275</v>
      </c>
      <c r="U969" s="73">
        <v>0.49305555555555558</v>
      </c>
      <c r="V969" s="74">
        <v>0.50624999999999998</v>
      </c>
      <c r="W969" s="75">
        <v>1.3194444444444398E-2</v>
      </c>
      <c r="X969" s="74">
        <v>0.51388888888888895</v>
      </c>
      <c r="Y969" s="75">
        <v>7.6388888888889728E-3</v>
      </c>
      <c r="Z969" s="76">
        <v>41754</v>
      </c>
      <c r="AA969" s="36" t="str">
        <f t="shared" si="320"/>
        <v>Internacional</v>
      </c>
      <c r="AB969" s="36">
        <f t="shared" si="320"/>
        <v>1.1250000000000005E-2</v>
      </c>
      <c r="AC969" s="36">
        <f t="shared" si="320"/>
        <v>8.6111111111111041E-3</v>
      </c>
      <c r="AD969" s="36">
        <f t="shared" si="320"/>
        <v>1.9861111111111107E-2</v>
      </c>
      <c r="AE969" s="36" t="str">
        <f t="shared" si="320"/>
        <v>ER4</v>
      </c>
      <c r="AF969" s="36">
        <f t="shared" si="320"/>
        <v>50</v>
      </c>
      <c r="AG969" s="36" t="str">
        <f t="shared" si="320"/>
        <v>DFW</v>
      </c>
      <c r="AI969">
        <v>955</v>
      </c>
      <c r="AJ969" s="77" t="str">
        <f t="shared" si="325"/>
        <v>AVIONES ROJOS</v>
      </c>
      <c r="AK969" s="77">
        <f t="shared" si="325"/>
        <v>375</v>
      </c>
      <c r="AL969" s="94">
        <v>0.59791666666666665</v>
      </c>
      <c r="AM969" s="95">
        <v>0.60486111111111118</v>
      </c>
      <c r="AN969" s="96">
        <v>6.9444444444445308E-3</v>
      </c>
      <c r="AO969" s="95">
        <v>0.62777777777777777</v>
      </c>
      <c r="AP969" s="96">
        <v>2.2916666666666585E-2</v>
      </c>
      <c r="AQ969" s="97">
        <v>41811</v>
      </c>
      <c r="AR969" s="77" t="str">
        <f t="shared" si="326"/>
        <v>Internacional</v>
      </c>
      <c r="AS969" s="77">
        <f t="shared" si="326"/>
        <v>8.564814814814822E-3</v>
      </c>
      <c r="AT969" s="77">
        <f t="shared" si="326"/>
        <v>2.5694444444444426E-2</v>
      </c>
      <c r="AU969" s="77">
        <f t="shared" si="326"/>
        <v>3.4259259259259246E-2</v>
      </c>
      <c r="AV969" s="77">
        <f t="shared" si="326"/>
        <v>320</v>
      </c>
      <c r="AW969" s="77">
        <f t="shared" si="326"/>
        <v>179</v>
      </c>
      <c r="AX969" s="77" t="str">
        <f t="shared" si="326"/>
        <v>SLC</v>
      </c>
    </row>
    <row r="970" spans="1:50" x14ac:dyDescent="0.25">
      <c r="A970">
        <v>956</v>
      </c>
      <c r="B970" s="36" t="str">
        <f t="shared" si="302"/>
        <v>BARATA Y MORADA</v>
      </c>
      <c r="C970" s="36">
        <f t="shared" si="302"/>
        <v>961</v>
      </c>
      <c r="D970" s="118">
        <v>0.84444444444444444</v>
      </c>
      <c r="E970" s="118">
        <v>0.8569444444444444</v>
      </c>
      <c r="F970" s="119">
        <v>1.2499999999999956E-2</v>
      </c>
      <c r="G970" s="118">
        <v>0.86111111111111116</v>
      </c>
      <c r="H970" s="119">
        <v>4.1666666666667629E-3</v>
      </c>
      <c r="I970" s="81">
        <v>41724</v>
      </c>
      <c r="J970" s="36" t="str">
        <f t="shared" si="323"/>
        <v>Internacional</v>
      </c>
      <c r="K970" s="36">
        <f t="shared" si="323"/>
        <v>1.2179487179487171E-2</v>
      </c>
      <c r="L970" s="36">
        <f t="shared" si="323"/>
        <v>1.5491452991453004E-2</v>
      </c>
      <c r="M970" s="36">
        <f t="shared" si="323"/>
        <v>2.7670940170940177E-2</v>
      </c>
      <c r="N970" s="36" t="str">
        <f t="shared" si="323"/>
        <v>A319</v>
      </c>
      <c r="O970" s="36">
        <f t="shared" si="323"/>
        <v>142</v>
      </c>
      <c r="P970" s="36" t="str">
        <f t="shared" si="323"/>
        <v>LAS</v>
      </c>
      <c r="R970">
        <v>956</v>
      </c>
      <c r="S970" s="36" t="str">
        <f t="shared" si="319"/>
        <v>AEROLINEAS DE AMERICA</v>
      </c>
      <c r="T970" s="36">
        <f t="shared" si="319"/>
        <v>3275</v>
      </c>
      <c r="U970" s="73">
        <v>0.74583333333333324</v>
      </c>
      <c r="V970" s="74">
        <v>0.76180555555555562</v>
      </c>
      <c r="W970" s="75">
        <v>1.5972222222222388E-2</v>
      </c>
      <c r="X970" s="74">
        <v>0.76874999999999993</v>
      </c>
      <c r="Y970" s="75">
        <v>6.9444444444443088E-3</v>
      </c>
      <c r="Z970" s="76">
        <v>41754</v>
      </c>
      <c r="AA970" s="36" t="str">
        <f t="shared" si="320"/>
        <v>Internacional</v>
      </c>
      <c r="AB970" s="36">
        <f t="shared" si="320"/>
        <v>1.1250000000000005E-2</v>
      </c>
      <c r="AC970" s="36">
        <f t="shared" si="320"/>
        <v>8.6111111111111041E-3</v>
      </c>
      <c r="AD970" s="36">
        <f t="shared" si="320"/>
        <v>1.9861111111111107E-2</v>
      </c>
      <c r="AE970" s="36" t="str">
        <f t="shared" si="320"/>
        <v>ER4</v>
      </c>
      <c r="AF970" s="36">
        <f t="shared" si="320"/>
        <v>50</v>
      </c>
      <c r="AG970" s="36" t="str">
        <f t="shared" si="320"/>
        <v>DFW</v>
      </c>
      <c r="AI970">
        <v>956</v>
      </c>
      <c r="AJ970" s="77" t="str">
        <f t="shared" si="325"/>
        <v>AVIONES ROJOS</v>
      </c>
      <c r="AK970" s="63">
        <v>308</v>
      </c>
      <c r="AL970" s="64">
        <v>0.84305555555555556</v>
      </c>
      <c r="AM970" s="65">
        <v>0.85138888888888886</v>
      </c>
      <c r="AN970" s="66">
        <v>8.3333333333333037E-3</v>
      </c>
      <c r="AO970" s="65">
        <v>0.87013888888888891</v>
      </c>
      <c r="AP970" s="66">
        <v>1.8750000000000044E-2</v>
      </c>
      <c r="AQ970" s="67">
        <v>41795</v>
      </c>
      <c r="AR970" s="68" t="s">
        <v>22</v>
      </c>
      <c r="AS970" s="69">
        <v>8.9181286549707538E-3</v>
      </c>
      <c r="AT970" s="70">
        <v>1.7799707602339183E-2</v>
      </c>
      <c r="AU970" s="70">
        <v>2.6717836257309939E-2</v>
      </c>
      <c r="AV970" s="71" t="s">
        <v>79</v>
      </c>
      <c r="AW970" s="71">
        <v>239</v>
      </c>
      <c r="AX970" s="72" t="s">
        <v>64</v>
      </c>
    </row>
    <row r="971" spans="1:50" x14ac:dyDescent="0.25">
      <c r="A971">
        <v>957</v>
      </c>
      <c r="B971" s="36" t="str">
        <f t="shared" si="302"/>
        <v>BARATA Y MORADA</v>
      </c>
      <c r="C971" s="36">
        <f t="shared" si="302"/>
        <v>961</v>
      </c>
      <c r="D971" s="118">
        <v>0.82847222222222217</v>
      </c>
      <c r="E971" s="118">
        <v>0.84166666666666667</v>
      </c>
      <c r="F971" s="119">
        <v>1.3194444444444509E-2</v>
      </c>
      <c r="G971" s="118">
        <v>0.85416666666666663</v>
      </c>
      <c r="H971" s="119">
        <v>1.2499999999999956E-2</v>
      </c>
      <c r="I971" s="81">
        <v>41727</v>
      </c>
      <c r="J971" s="36" t="str">
        <f t="shared" si="323"/>
        <v>Internacional</v>
      </c>
      <c r="K971" s="36">
        <f t="shared" si="323"/>
        <v>1.2179487179487171E-2</v>
      </c>
      <c r="L971" s="36">
        <f t="shared" si="323"/>
        <v>1.5491452991453004E-2</v>
      </c>
      <c r="M971" s="36">
        <f t="shared" si="323"/>
        <v>2.7670940170940177E-2</v>
      </c>
      <c r="N971" s="36" t="str">
        <f t="shared" si="323"/>
        <v>A319</v>
      </c>
      <c r="O971" s="36">
        <f t="shared" si="323"/>
        <v>142</v>
      </c>
      <c r="P971" s="36" t="str">
        <f t="shared" si="323"/>
        <v>LAS</v>
      </c>
      <c r="R971">
        <v>957</v>
      </c>
      <c r="S971" s="36" t="str">
        <f t="shared" si="319"/>
        <v>AEROLINEAS DE AMERICA</v>
      </c>
      <c r="T971" s="36">
        <f t="shared" si="319"/>
        <v>3275</v>
      </c>
      <c r="U971" s="73">
        <v>0.49513888888888885</v>
      </c>
      <c r="V971" s="74">
        <v>0.50694444444444442</v>
      </c>
      <c r="W971" s="75">
        <v>1.1805555555555569E-2</v>
      </c>
      <c r="X971" s="74">
        <v>0.51736111111111105</v>
      </c>
      <c r="Y971" s="75">
        <v>1.041666666666663E-2</v>
      </c>
      <c r="Z971" s="76">
        <v>41756</v>
      </c>
      <c r="AA971" s="36" t="str">
        <f t="shared" si="320"/>
        <v>Internacional</v>
      </c>
      <c r="AB971" s="36">
        <f t="shared" si="320"/>
        <v>1.1250000000000005E-2</v>
      </c>
      <c r="AC971" s="36">
        <f t="shared" si="320"/>
        <v>8.6111111111111041E-3</v>
      </c>
      <c r="AD971" s="36">
        <f t="shared" si="320"/>
        <v>1.9861111111111107E-2</v>
      </c>
      <c r="AE971" s="36" t="str">
        <f t="shared" si="320"/>
        <v>ER4</v>
      </c>
      <c r="AF971" s="36">
        <f t="shared" si="320"/>
        <v>50</v>
      </c>
      <c r="AG971" s="36" t="str">
        <f t="shared" si="320"/>
        <v>DFW</v>
      </c>
      <c r="AI971">
        <v>957</v>
      </c>
      <c r="AJ971" s="77" t="str">
        <f t="shared" si="325"/>
        <v>AVIONES ROJOS</v>
      </c>
      <c r="AK971" s="77">
        <f t="shared" si="325"/>
        <v>308</v>
      </c>
      <c r="AL971" s="78">
        <v>0.94236111111111109</v>
      </c>
      <c r="AM971" s="79">
        <v>0.94861111111111107</v>
      </c>
      <c r="AN971" s="80">
        <v>6.2499999999999778E-3</v>
      </c>
      <c r="AO971" s="79">
        <v>0.96527777777777779</v>
      </c>
      <c r="AP971" s="80">
        <v>1.6666666666666718E-2</v>
      </c>
      <c r="AQ971" s="81">
        <v>41796</v>
      </c>
      <c r="AR971" s="77" t="str">
        <f t="shared" ref="AR971:AX988" si="327">AR970</f>
        <v>Internacional</v>
      </c>
      <c r="AS971" s="77">
        <f t="shared" si="327"/>
        <v>8.9181286549707538E-3</v>
      </c>
      <c r="AT971" s="77">
        <f t="shared" si="327"/>
        <v>1.7799707602339183E-2</v>
      </c>
      <c r="AU971" s="77">
        <f t="shared" si="327"/>
        <v>2.6717836257309939E-2</v>
      </c>
      <c r="AV971" s="77" t="str">
        <f t="shared" si="327"/>
        <v>B757-200</v>
      </c>
      <c r="AW971" s="77">
        <f t="shared" si="327"/>
        <v>239</v>
      </c>
      <c r="AX971" s="77" t="str">
        <f t="shared" si="327"/>
        <v>ATL</v>
      </c>
    </row>
    <row r="972" spans="1:50" ht="15.75" thickBot="1" x14ac:dyDescent="0.3">
      <c r="A972">
        <v>958</v>
      </c>
      <c r="B972" s="36" t="str">
        <f t="shared" si="302"/>
        <v>BARATA Y MORADA</v>
      </c>
      <c r="C972" s="36">
        <f t="shared" si="302"/>
        <v>961</v>
      </c>
      <c r="D972" s="176">
        <v>0.83750000000000002</v>
      </c>
      <c r="E972" s="176">
        <v>0.84722222222222221</v>
      </c>
      <c r="F972" s="177">
        <v>9.7222222222221877E-3</v>
      </c>
      <c r="G972" s="176">
        <v>0.86111111111111116</v>
      </c>
      <c r="H972" s="177">
        <v>1.3888888888888951E-2</v>
      </c>
      <c r="I972" s="97">
        <v>41728</v>
      </c>
      <c r="J972" s="36" t="str">
        <f t="shared" si="323"/>
        <v>Internacional</v>
      </c>
      <c r="K972" s="36">
        <f t="shared" si="323"/>
        <v>1.2179487179487171E-2</v>
      </c>
      <c r="L972" s="36">
        <f t="shared" si="323"/>
        <v>1.5491452991453004E-2</v>
      </c>
      <c r="M972" s="36">
        <f t="shared" si="323"/>
        <v>2.7670940170940177E-2</v>
      </c>
      <c r="N972" s="36" t="str">
        <f t="shared" si="323"/>
        <v>A319</v>
      </c>
      <c r="O972" s="36">
        <f t="shared" si="323"/>
        <v>142</v>
      </c>
      <c r="P972" s="36" t="str">
        <f t="shared" si="323"/>
        <v>LAS</v>
      </c>
      <c r="R972">
        <v>958</v>
      </c>
      <c r="S972" s="36" t="str">
        <f t="shared" si="319"/>
        <v>AEROLINEAS DE AMERICA</v>
      </c>
      <c r="T972" s="36">
        <f t="shared" si="319"/>
        <v>3275</v>
      </c>
      <c r="U972" s="73">
        <v>0.50347222222222221</v>
      </c>
      <c r="V972" s="74">
        <v>0.5180555555555556</v>
      </c>
      <c r="W972" s="75">
        <v>1.4583333333333393E-2</v>
      </c>
      <c r="X972" s="74">
        <v>0.52986111111111112</v>
      </c>
      <c r="Y972" s="75">
        <v>1.1805555555555514E-2</v>
      </c>
      <c r="Z972" s="76">
        <v>41757</v>
      </c>
      <c r="AA972" s="36" t="str">
        <f t="shared" si="320"/>
        <v>Internacional</v>
      </c>
      <c r="AB972" s="36">
        <f t="shared" si="320"/>
        <v>1.1250000000000005E-2</v>
      </c>
      <c r="AC972" s="36">
        <f t="shared" si="320"/>
        <v>8.6111111111111041E-3</v>
      </c>
      <c r="AD972" s="36">
        <f t="shared" si="320"/>
        <v>1.9861111111111107E-2</v>
      </c>
      <c r="AE972" s="36" t="str">
        <f t="shared" si="320"/>
        <v>ER4</v>
      </c>
      <c r="AF972" s="36">
        <f t="shared" si="320"/>
        <v>50</v>
      </c>
      <c r="AG972" s="36" t="str">
        <f t="shared" si="320"/>
        <v>DFW</v>
      </c>
      <c r="AI972">
        <v>958</v>
      </c>
      <c r="AJ972" s="77" t="str">
        <f t="shared" si="325"/>
        <v>AVIONES ROJOS</v>
      </c>
      <c r="AK972" s="77">
        <f t="shared" si="325"/>
        <v>308</v>
      </c>
      <c r="AL972" s="78">
        <v>0.85</v>
      </c>
      <c r="AM972" s="79">
        <v>0.8652777777777777</v>
      </c>
      <c r="AN972" s="80">
        <v>1.5277777777777724E-2</v>
      </c>
      <c r="AO972" s="79">
        <v>0.89166666666666661</v>
      </c>
      <c r="AP972" s="80">
        <v>2.6388888888888906E-2</v>
      </c>
      <c r="AQ972" s="81">
        <v>41797</v>
      </c>
      <c r="AR972" s="77" t="str">
        <f t="shared" si="327"/>
        <v>Internacional</v>
      </c>
      <c r="AS972" s="77">
        <f t="shared" si="327"/>
        <v>8.9181286549707538E-3</v>
      </c>
      <c r="AT972" s="77">
        <f t="shared" si="327"/>
        <v>1.7799707602339183E-2</v>
      </c>
      <c r="AU972" s="77">
        <f t="shared" si="327"/>
        <v>2.6717836257309939E-2</v>
      </c>
      <c r="AV972" s="77" t="str">
        <f t="shared" si="327"/>
        <v>B757-200</v>
      </c>
      <c r="AW972" s="77">
        <f t="shared" si="327"/>
        <v>239</v>
      </c>
      <c r="AX972" s="77" t="str">
        <f t="shared" si="327"/>
        <v>ATL</v>
      </c>
    </row>
    <row r="973" spans="1:50" ht="15.75" thickBot="1" x14ac:dyDescent="0.3">
      <c r="A973">
        <v>959</v>
      </c>
      <c r="B973" s="77" t="s">
        <v>77</v>
      </c>
      <c r="C973" s="151">
        <v>959</v>
      </c>
      <c r="D973" s="152">
        <v>0.69027777777777777</v>
      </c>
      <c r="E973" s="152">
        <v>0.7055555555555556</v>
      </c>
      <c r="F973" s="153">
        <v>1.5277777777777835E-2</v>
      </c>
      <c r="G973" s="152">
        <v>0.71666666666666667</v>
      </c>
      <c r="H973" s="153">
        <v>1.1111111111111072E-2</v>
      </c>
      <c r="I973" s="67">
        <v>41723</v>
      </c>
      <c r="J973" s="68" t="s">
        <v>22</v>
      </c>
      <c r="K973" s="135">
        <v>1.354166666666673E-2</v>
      </c>
      <c r="L973" s="135">
        <v>1.0763888888888906E-2</v>
      </c>
      <c r="M973" s="175">
        <v>2.4305555555555636E-2</v>
      </c>
      <c r="N973" s="90">
        <v>320</v>
      </c>
      <c r="O973" s="91">
        <v>179</v>
      </c>
      <c r="P973" s="92" t="s">
        <v>32</v>
      </c>
      <c r="R973">
        <v>959</v>
      </c>
      <c r="S973" s="36" t="str">
        <f t="shared" si="319"/>
        <v>AEROLINEAS DE AMERICA</v>
      </c>
      <c r="T973" s="36">
        <f t="shared" si="319"/>
        <v>3275</v>
      </c>
      <c r="U973" s="83">
        <v>0.50138888888888888</v>
      </c>
      <c r="V973" s="84">
        <v>0.51180555555555551</v>
      </c>
      <c r="W973" s="85">
        <v>1.041666666666663E-2</v>
      </c>
      <c r="X973" s="84">
        <v>0.54166666666666663</v>
      </c>
      <c r="Y973" s="85">
        <v>2.9861111111111116E-2</v>
      </c>
      <c r="Z973" s="86">
        <v>41759</v>
      </c>
      <c r="AA973" s="36" t="str">
        <f t="shared" si="320"/>
        <v>Internacional</v>
      </c>
      <c r="AB973" s="36">
        <f t="shared" si="320"/>
        <v>1.1250000000000005E-2</v>
      </c>
      <c r="AC973" s="36">
        <f t="shared" si="320"/>
        <v>8.6111111111111041E-3</v>
      </c>
      <c r="AD973" s="36">
        <f t="shared" si="320"/>
        <v>1.9861111111111107E-2</v>
      </c>
      <c r="AE973" s="36" t="str">
        <f t="shared" si="320"/>
        <v>ER4</v>
      </c>
      <c r="AF973" s="36">
        <f t="shared" si="320"/>
        <v>50</v>
      </c>
      <c r="AG973" s="36" t="str">
        <f t="shared" si="320"/>
        <v>DFW</v>
      </c>
      <c r="AI973">
        <v>959</v>
      </c>
      <c r="AJ973" s="77" t="str">
        <f t="shared" si="325"/>
        <v>AVIONES ROJOS</v>
      </c>
      <c r="AK973" s="77">
        <f t="shared" si="325"/>
        <v>308</v>
      </c>
      <c r="AL973" s="78">
        <v>0.85625000000000007</v>
      </c>
      <c r="AM973" s="79">
        <v>0.86249999999999993</v>
      </c>
      <c r="AN973" s="80">
        <v>6.2499999999998668E-3</v>
      </c>
      <c r="AO973" s="79">
        <v>0.90555555555555556</v>
      </c>
      <c r="AP973" s="80">
        <v>4.3055555555555625E-2</v>
      </c>
      <c r="AQ973" s="81">
        <v>41798</v>
      </c>
      <c r="AR973" s="77" t="str">
        <f t="shared" si="327"/>
        <v>Internacional</v>
      </c>
      <c r="AS973" s="77">
        <f t="shared" si="327"/>
        <v>8.9181286549707538E-3</v>
      </c>
      <c r="AT973" s="77">
        <f t="shared" si="327"/>
        <v>1.7799707602339183E-2</v>
      </c>
      <c r="AU973" s="77">
        <f t="shared" si="327"/>
        <v>2.6717836257309939E-2</v>
      </c>
      <c r="AV973" s="77" t="str">
        <f t="shared" si="327"/>
        <v>B757-200</v>
      </c>
      <c r="AW973" s="77">
        <f t="shared" si="327"/>
        <v>239</v>
      </c>
      <c r="AX973" s="77" t="str">
        <f t="shared" si="327"/>
        <v>ATL</v>
      </c>
    </row>
    <row r="974" spans="1:50" x14ac:dyDescent="0.25">
      <c r="A974">
        <v>960</v>
      </c>
      <c r="B974" s="36" t="str">
        <f t="shared" ref="B974:C1026" si="328">B973</f>
        <v>BARATA Y MORADA</v>
      </c>
      <c r="C974" s="36">
        <f t="shared" si="328"/>
        <v>959</v>
      </c>
      <c r="D974" s="118">
        <v>0.70624999999999993</v>
      </c>
      <c r="E974" s="118">
        <v>0.71805555555555556</v>
      </c>
      <c r="F974" s="119">
        <v>1.1805555555555625E-2</v>
      </c>
      <c r="G974" s="118">
        <v>0.7284722222222223</v>
      </c>
      <c r="H974" s="119">
        <v>1.0416666666666741E-2</v>
      </c>
      <c r="I974" s="81">
        <v>41727</v>
      </c>
      <c r="J974" s="36" t="str">
        <f t="shared" ref="J974:P975" si="329">J973</f>
        <v>Internacional</v>
      </c>
      <c r="K974" s="36">
        <f t="shared" si="329"/>
        <v>1.354166666666673E-2</v>
      </c>
      <c r="L974" s="36">
        <f t="shared" si="329"/>
        <v>1.0763888888888906E-2</v>
      </c>
      <c r="M974" s="36">
        <f t="shared" si="329"/>
        <v>2.4305555555555636E-2</v>
      </c>
      <c r="N974" s="36">
        <f t="shared" si="329"/>
        <v>320</v>
      </c>
      <c r="O974" s="36">
        <f t="shared" si="329"/>
        <v>179</v>
      </c>
      <c r="P974" s="36" t="str">
        <f t="shared" si="329"/>
        <v>SAT</v>
      </c>
      <c r="R974">
        <v>960</v>
      </c>
      <c r="S974" s="36" t="str">
        <f t="shared" si="319"/>
        <v>AEROLINEAS DE AMERICA</v>
      </c>
      <c r="T974" s="55">
        <v>2313</v>
      </c>
      <c r="U974" s="56">
        <v>0.85138888888888886</v>
      </c>
      <c r="V974" s="57">
        <v>0.86041666666666661</v>
      </c>
      <c r="W974" s="58">
        <v>9.0277777777777457E-3</v>
      </c>
      <c r="X974" s="57">
        <v>0.88541666666666663</v>
      </c>
      <c r="Y974" s="58">
        <v>2.5000000000000022E-2</v>
      </c>
      <c r="Z974" s="59">
        <v>41737</v>
      </c>
      <c r="AA974" s="60" t="s">
        <v>22</v>
      </c>
      <c r="AB974" s="61">
        <v>1.5111111111111106E-2</v>
      </c>
      <c r="AC974" s="61">
        <v>1.213888888888889E-2</v>
      </c>
      <c r="AD974" s="62">
        <v>2.7249999999999996E-2</v>
      </c>
      <c r="AE974" s="167" t="s">
        <v>56</v>
      </c>
      <c r="AF974" s="167">
        <v>182</v>
      </c>
      <c r="AG974" s="168" t="s">
        <v>23</v>
      </c>
      <c r="AI974">
        <v>960</v>
      </c>
      <c r="AJ974" s="77" t="str">
        <f t="shared" si="325"/>
        <v>AVIONES ROJOS</v>
      </c>
      <c r="AK974" s="77">
        <f t="shared" si="325"/>
        <v>308</v>
      </c>
      <c r="AL974" s="78">
        <v>0.86805555555555547</v>
      </c>
      <c r="AM974" s="79">
        <v>0.87430555555555556</v>
      </c>
      <c r="AN974" s="80">
        <v>6.2500000000000888E-3</v>
      </c>
      <c r="AO974" s="79">
        <v>0.89444444444444438</v>
      </c>
      <c r="AP974" s="80">
        <v>2.0138888888888817E-2</v>
      </c>
      <c r="AQ974" s="81">
        <v>41800</v>
      </c>
      <c r="AR974" s="77" t="str">
        <f t="shared" si="327"/>
        <v>Internacional</v>
      </c>
      <c r="AS974" s="77">
        <f t="shared" si="327"/>
        <v>8.9181286549707538E-3</v>
      </c>
      <c r="AT974" s="77">
        <f t="shared" si="327"/>
        <v>1.7799707602339183E-2</v>
      </c>
      <c r="AU974" s="77">
        <f t="shared" si="327"/>
        <v>2.6717836257309939E-2</v>
      </c>
      <c r="AV974" s="77" t="str">
        <f t="shared" si="327"/>
        <v>B757-200</v>
      </c>
      <c r="AW974" s="77">
        <f t="shared" si="327"/>
        <v>239</v>
      </c>
      <c r="AX974" s="77" t="str">
        <f t="shared" si="327"/>
        <v>ATL</v>
      </c>
    </row>
    <row r="975" spans="1:50" ht="15.75" thickBot="1" x14ac:dyDescent="0.3">
      <c r="A975">
        <v>961</v>
      </c>
      <c r="B975" s="36" t="str">
        <f t="shared" si="328"/>
        <v>BARATA Y MORADA</v>
      </c>
      <c r="C975" s="36">
        <f t="shared" si="328"/>
        <v>959</v>
      </c>
      <c r="D975" s="176">
        <v>0.69791666666666663</v>
      </c>
      <c r="E975" s="176">
        <v>0.7090277777777777</v>
      </c>
      <c r="F975" s="177">
        <v>1.1111111111111072E-2</v>
      </c>
      <c r="G975" s="176">
        <v>0.71875</v>
      </c>
      <c r="H975" s="177">
        <v>9.7222222222222987E-3</v>
      </c>
      <c r="I975" s="97">
        <v>41720</v>
      </c>
      <c r="J975" s="36" t="str">
        <f t="shared" si="329"/>
        <v>Internacional</v>
      </c>
      <c r="K975" s="36">
        <f t="shared" si="329"/>
        <v>1.354166666666673E-2</v>
      </c>
      <c r="L975" s="36">
        <f t="shared" si="329"/>
        <v>1.0763888888888906E-2</v>
      </c>
      <c r="M975" s="36">
        <f t="shared" si="329"/>
        <v>2.4305555555555636E-2</v>
      </c>
      <c r="N975" s="36">
        <f t="shared" si="329"/>
        <v>320</v>
      </c>
      <c r="O975" s="36">
        <f t="shared" si="329"/>
        <v>179</v>
      </c>
      <c r="P975" s="36" t="str">
        <f t="shared" si="329"/>
        <v>SAT</v>
      </c>
      <c r="R975">
        <v>961</v>
      </c>
      <c r="S975" s="36" t="str">
        <f t="shared" si="319"/>
        <v>AEROLINEAS DE AMERICA</v>
      </c>
      <c r="T975" s="36">
        <f t="shared" si="319"/>
        <v>2313</v>
      </c>
      <c r="U975" s="73">
        <v>0.85625000000000007</v>
      </c>
      <c r="V975" s="74">
        <v>0.87222222222222223</v>
      </c>
      <c r="W975" s="75">
        <v>1.5972222222222165E-2</v>
      </c>
      <c r="X975" s="74">
        <v>0.89097222222222217</v>
      </c>
      <c r="Y975" s="75">
        <v>1.8749999999999933E-2</v>
      </c>
      <c r="Z975" s="76">
        <v>41758</v>
      </c>
      <c r="AA975" s="36" t="str">
        <f t="shared" ref="AA975:AG998" si="330">AA974</f>
        <v>Internacional</v>
      </c>
      <c r="AB975" s="36">
        <f t="shared" si="330"/>
        <v>1.5111111111111106E-2</v>
      </c>
      <c r="AC975" s="36">
        <f t="shared" si="330"/>
        <v>1.213888888888889E-2</v>
      </c>
      <c r="AD975" s="36">
        <f t="shared" si="330"/>
        <v>2.7249999999999996E-2</v>
      </c>
      <c r="AE975" s="36" t="str">
        <f t="shared" si="330"/>
        <v>M80</v>
      </c>
      <c r="AF975" s="36">
        <f t="shared" si="330"/>
        <v>182</v>
      </c>
      <c r="AG975" s="36" t="str">
        <f t="shared" si="330"/>
        <v>DFW</v>
      </c>
      <c r="AI975">
        <v>961</v>
      </c>
      <c r="AJ975" s="77" t="str">
        <f t="shared" si="325"/>
        <v>AVIONES ROJOS</v>
      </c>
      <c r="AK975" s="77">
        <f t="shared" si="325"/>
        <v>308</v>
      </c>
      <c r="AL975" s="78">
        <v>0.7416666666666667</v>
      </c>
      <c r="AM975" s="79">
        <v>0.75138888888888899</v>
      </c>
      <c r="AN975" s="80">
        <v>9.7222222222222987E-3</v>
      </c>
      <c r="AO975" s="79">
        <v>0.76041666666666663</v>
      </c>
      <c r="AP975" s="80">
        <v>9.0277777777776347E-3</v>
      </c>
      <c r="AQ975" s="81">
        <v>41800</v>
      </c>
      <c r="AR975" s="77" t="str">
        <f t="shared" si="327"/>
        <v>Internacional</v>
      </c>
      <c r="AS975" s="77">
        <f t="shared" si="327"/>
        <v>8.9181286549707538E-3</v>
      </c>
      <c r="AT975" s="77">
        <f t="shared" si="327"/>
        <v>1.7799707602339183E-2</v>
      </c>
      <c r="AU975" s="77">
        <f t="shared" si="327"/>
        <v>2.6717836257309939E-2</v>
      </c>
      <c r="AV975" s="77" t="str">
        <f t="shared" si="327"/>
        <v>B757-200</v>
      </c>
      <c r="AW975" s="77">
        <f t="shared" si="327"/>
        <v>239</v>
      </c>
      <c r="AX975" s="77" t="str">
        <f t="shared" si="327"/>
        <v>ATL</v>
      </c>
    </row>
    <row r="976" spans="1:50" x14ac:dyDescent="0.25">
      <c r="A976">
        <v>962</v>
      </c>
      <c r="B976" s="36" t="str">
        <f t="shared" si="328"/>
        <v>BARATA Y MORADA</v>
      </c>
      <c r="C976" s="151">
        <v>951</v>
      </c>
      <c r="D976" s="152">
        <v>0.25</v>
      </c>
      <c r="E976" s="152">
        <v>0.26666666666666666</v>
      </c>
      <c r="F976" s="153">
        <v>1.6666666666666663E-2</v>
      </c>
      <c r="G976" s="152">
        <v>0.29097222222222224</v>
      </c>
      <c r="H976" s="153">
        <v>2.430555555555558E-2</v>
      </c>
      <c r="I976" s="67">
        <v>41713</v>
      </c>
      <c r="J976" s="68" t="s">
        <v>22</v>
      </c>
      <c r="K976" s="135">
        <v>1.1863425925925916E-2</v>
      </c>
      <c r="L976" s="135">
        <v>1.6319444444444445E-2</v>
      </c>
      <c r="M976" s="175">
        <v>2.8182870370370362E-2</v>
      </c>
      <c r="N976" s="90">
        <v>320</v>
      </c>
      <c r="O976" s="91">
        <v>179</v>
      </c>
      <c r="P976" s="92" t="s">
        <v>49</v>
      </c>
      <c r="R976">
        <v>962</v>
      </c>
      <c r="S976" s="36" t="str">
        <f t="shared" si="319"/>
        <v>AEROLINEAS DE AMERICA</v>
      </c>
      <c r="T976" s="36">
        <f t="shared" si="319"/>
        <v>2313</v>
      </c>
      <c r="U976" s="73">
        <v>0.8354166666666667</v>
      </c>
      <c r="V976" s="74">
        <v>0.85486111111111107</v>
      </c>
      <c r="W976" s="75">
        <v>1.9444444444444375E-2</v>
      </c>
      <c r="X976" s="74">
        <v>0.86111111111111116</v>
      </c>
      <c r="Y976" s="75">
        <v>6.2500000000000888E-3</v>
      </c>
      <c r="Z976" s="76">
        <v>41731</v>
      </c>
      <c r="AA976" s="36" t="str">
        <f t="shared" si="330"/>
        <v>Internacional</v>
      </c>
      <c r="AB976" s="36">
        <f t="shared" si="330"/>
        <v>1.5111111111111106E-2</v>
      </c>
      <c r="AC976" s="36">
        <f t="shared" si="330"/>
        <v>1.213888888888889E-2</v>
      </c>
      <c r="AD976" s="36">
        <f t="shared" si="330"/>
        <v>2.7249999999999996E-2</v>
      </c>
      <c r="AE976" s="36" t="str">
        <f t="shared" si="330"/>
        <v>M80</v>
      </c>
      <c r="AF976" s="36">
        <f t="shared" si="330"/>
        <v>182</v>
      </c>
      <c r="AG976" s="36" t="str">
        <f t="shared" si="330"/>
        <v>DFW</v>
      </c>
      <c r="AI976">
        <v>962</v>
      </c>
      <c r="AJ976" s="77" t="str">
        <f t="shared" si="325"/>
        <v>AVIONES ROJOS</v>
      </c>
      <c r="AK976" s="77">
        <f t="shared" si="325"/>
        <v>308</v>
      </c>
      <c r="AL976" s="78">
        <v>0.20069444444444443</v>
      </c>
      <c r="AM976" s="79">
        <v>0.21180555555555555</v>
      </c>
      <c r="AN976" s="80">
        <v>1.1111111111111127E-2</v>
      </c>
      <c r="AO976" s="79">
        <v>0.22777777777777777</v>
      </c>
      <c r="AP976" s="80">
        <v>1.5972222222222221E-2</v>
      </c>
      <c r="AQ976" s="81">
        <v>41801</v>
      </c>
      <c r="AR976" s="77" t="str">
        <f t="shared" si="327"/>
        <v>Internacional</v>
      </c>
      <c r="AS976" s="77">
        <f t="shared" si="327"/>
        <v>8.9181286549707538E-3</v>
      </c>
      <c r="AT976" s="77">
        <f t="shared" si="327"/>
        <v>1.7799707602339183E-2</v>
      </c>
      <c r="AU976" s="77">
        <f t="shared" si="327"/>
        <v>2.6717836257309939E-2</v>
      </c>
      <c r="AV976" s="77" t="str">
        <f t="shared" si="327"/>
        <v>B757-200</v>
      </c>
      <c r="AW976" s="77">
        <f t="shared" si="327"/>
        <v>239</v>
      </c>
      <c r="AX976" s="77" t="str">
        <f t="shared" si="327"/>
        <v>ATL</v>
      </c>
    </row>
    <row r="977" spans="1:50" x14ac:dyDescent="0.25">
      <c r="A977">
        <v>963</v>
      </c>
      <c r="B977" s="36" t="str">
        <f t="shared" si="328"/>
        <v>BARATA Y MORADA</v>
      </c>
      <c r="C977" s="36">
        <f t="shared" si="328"/>
        <v>951</v>
      </c>
      <c r="D977" s="118">
        <v>0.25486111111111109</v>
      </c>
      <c r="E977" s="118">
        <v>0.2590277777777778</v>
      </c>
      <c r="F977" s="119">
        <v>4.1666666666667074E-3</v>
      </c>
      <c r="G977" s="118">
        <v>0.29236111111111113</v>
      </c>
      <c r="H977" s="119">
        <v>3.3333333333333326E-2</v>
      </c>
      <c r="I977" s="81">
        <v>41716</v>
      </c>
      <c r="J977" s="36" t="str">
        <f t="shared" ref="J977:P987" si="331">J976</f>
        <v>Internacional</v>
      </c>
      <c r="K977" s="36">
        <f t="shared" si="331"/>
        <v>1.1863425925925916E-2</v>
      </c>
      <c r="L977" s="36">
        <f t="shared" si="331"/>
        <v>1.6319444444444445E-2</v>
      </c>
      <c r="M977" s="36">
        <f t="shared" si="331"/>
        <v>2.8182870370370362E-2</v>
      </c>
      <c r="N977" s="36">
        <f t="shared" si="331"/>
        <v>320</v>
      </c>
      <c r="O977" s="36">
        <f t="shared" si="331"/>
        <v>179</v>
      </c>
      <c r="P977" s="36" t="str">
        <f t="shared" si="331"/>
        <v>FAT</v>
      </c>
      <c r="R977">
        <v>963</v>
      </c>
      <c r="S977" s="36" t="str">
        <f t="shared" si="319"/>
        <v>AEROLINEAS DE AMERICA</v>
      </c>
      <c r="T977" s="36">
        <f t="shared" si="319"/>
        <v>2313</v>
      </c>
      <c r="U977" s="73">
        <v>0.8305555555555556</v>
      </c>
      <c r="V977" s="74">
        <v>0.84583333333333333</v>
      </c>
      <c r="W977" s="75">
        <v>1.5277777777777724E-2</v>
      </c>
      <c r="X977" s="74">
        <v>0.85486111111111107</v>
      </c>
      <c r="Y977" s="75">
        <v>9.0277777777777457E-3</v>
      </c>
      <c r="Z977" s="76">
        <v>41732</v>
      </c>
      <c r="AA977" s="36" t="str">
        <f t="shared" si="330"/>
        <v>Internacional</v>
      </c>
      <c r="AB977" s="36">
        <f t="shared" si="330"/>
        <v>1.5111111111111106E-2</v>
      </c>
      <c r="AC977" s="36">
        <f t="shared" si="330"/>
        <v>1.213888888888889E-2</v>
      </c>
      <c r="AD977" s="36">
        <f t="shared" si="330"/>
        <v>2.7249999999999996E-2</v>
      </c>
      <c r="AE977" s="36" t="str">
        <f t="shared" si="330"/>
        <v>M80</v>
      </c>
      <c r="AF977" s="36">
        <f t="shared" si="330"/>
        <v>182</v>
      </c>
      <c r="AG977" s="36" t="str">
        <f t="shared" si="330"/>
        <v>DFW</v>
      </c>
      <c r="AI977">
        <v>963</v>
      </c>
      <c r="AJ977" s="77" t="str">
        <f t="shared" si="325"/>
        <v>AVIONES ROJOS</v>
      </c>
      <c r="AK977" s="77">
        <f t="shared" si="325"/>
        <v>308</v>
      </c>
      <c r="AL977" s="78">
        <v>0.92499999999999993</v>
      </c>
      <c r="AM977" s="79">
        <v>0.93263888888888891</v>
      </c>
      <c r="AN977" s="80">
        <v>7.6388888888889728E-3</v>
      </c>
      <c r="AO977" s="79">
        <v>0.9555555555555556</v>
      </c>
      <c r="AP977" s="80">
        <v>2.2916666666666696E-2</v>
      </c>
      <c r="AQ977" s="81">
        <v>41802</v>
      </c>
      <c r="AR977" s="77" t="str">
        <f t="shared" si="327"/>
        <v>Internacional</v>
      </c>
      <c r="AS977" s="77">
        <f t="shared" si="327"/>
        <v>8.9181286549707538E-3</v>
      </c>
      <c r="AT977" s="77">
        <f t="shared" si="327"/>
        <v>1.7799707602339183E-2</v>
      </c>
      <c r="AU977" s="77">
        <f t="shared" si="327"/>
        <v>2.6717836257309939E-2</v>
      </c>
      <c r="AV977" s="77" t="str">
        <f t="shared" si="327"/>
        <v>B757-200</v>
      </c>
      <c r="AW977" s="77">
        <f t="shared" si="327"/>
        <v>239</v>
      </c>
      <c r="AX977" s="77" t="str">
        <f t="shared" si="327"/>
        <v>ATL</v>
      </c>
    </row>
    <row r="978" spans="1:50" x14ac:dyDescent="0.25">
      <c r="A978">
        <v>964</v>
      </c>
      <c r="B978" s="36" t="str">
        <f t="shared" si="328"/>
        <v>BARATA Y MORADA</v>
      </c>
      <c r="C978" s="36">
        <f t="shared" si="328"/>
        <v>951</v>
      </c>
      <c r="D978" s="118">
        <v>0.26319444444444445</v>
      </c>
      <c r="E978" s="118">
        <v>0.27361111111111108</v>
      </c>
      <c r="F978" s="119">
        <v>1.041666666666663E-2</v>
      </c>
      <c r="G978" s="118">
        <v>0.29166666666666669</v>
      </c>
      <c r="H978" s="119">
        <v>1.8055555555555602E-2</v>
      </c>
      <c r="I978" s="81">
        <v>41717</v>
      </c>
      <c r="J978" s="36" t="str">
        <f t="shared" si="331"/>
        <v>Internacional</v>
      </c>
      <c r="K978" s="36">
        <f t="shared" si="331"/>
        <v>1.1863425925925916E-2</v>
      </c>
      <c r="L978" s="36">
        <f t="shared" si="331"/>
        <v>1.6319444444444445E-2</v>
      </c>
      <c r="M978" s="36">
        <f t="shared" si="331"/>
        <v>2.8182870370370362E-2</v>
      </c>
      <c r="N978" s="36">
        <f t="shared" si="331"/>
        <v>320</v>
      </c>
      <c r="O978" s="36">
        <f t="shared" si="331"/>
        <v>179</v>
      </c>
      <c r="P978" s="36" t="str">
        <f t="shared" si="331"/>
        <v>FAT</v>
      </c>
      <c r="R978">
        <v>964</v>
      </c>
      <c r="S978" s="36" t="str">
        <f t="shared" si="319"/>
        <v>AEROLINEAS DE AMERICA</v>
      </c>
      <c r="T978" s="36">
        <f t="shared" si="319"/>
        <v>2313</v>
      </c>
      <c r="U978" s="73">
        <v>0.83958333333333324</v>
      </c>
      <c r="V978" s="74">
        <v>0.84791666666666676</v>
      </c>
      <c r="W978" s="75">
        <v>8.3333333333335258E-3</v>
      </c>
      <c r="X978" s="74">
        <v>0.86458333333333337</v>
      </c>
      <c r="Y978" s="75">
        <v>1.6666666666666607E-2</v>
      </c>
      <c r="Z978" s="76">
        <v>41733</v>
      </c>
      <c r="AA978" s="36" t="str">
        <f t="shared" si="330"/>
        <v>Internacional</v>
      </c>
      <c r="AB978" s="36">
        <f t="shared" si="330"/>
        <v>1.5111111111111106E-2</v>
      </c>
      <c r="AC978" s="36">
        <f t="shared" si="330"/>
        <v>1.213888888888889E-2</v>
      </c>
      <c r="AD978" s="36">
        <f t="shared" si="330"/>
        <v>2.7249999999999996E-2</v>
      </c>
      <c r="AE978" s="36" t="str">
        <f t="shared" si="330"/>
        <v>M80</v>
      </c>
      <c r="AF978" s="36">
        <f t="shared" si="330"/>
        <v>182</v>
      </c>
      <c r="AG978" s="36" t="str">
        <f t="shared" si="330"/>
        <v>DFW</v>
      </c>
      <c r="AI978">
        <v>964</v>
      </c>
      <c r="AJ978" s="77" t="str">
        <f t="shared" si="325"/>
        <v>AVIONES ROJOS</v>
      </c>
      <c r="AK978" s="77">
        <f t="shared" si="325"/>
        <v>308</v>
      </c>
      <c r="AL978" s="78">
        <v>0.62083333333333335</v>
      </c>
      <c r="AM978" s="79">
        <v>0.62916666666666665</v>
      </c>
      <c r="AN978" s="80">
        <v>8.3333333333333037E-3</v>
      </c>
      <c r="AO978" s="79">
        <v>0.64583333333333337</v>
      </c>
      <c r="AP978" s="80">
        <v>1.6666666666666718E-2</v>
      </c>
      <c r="AQ978" s="81">
        <v>41803</v>
      </c>
      <c r="AR978" s="77" t="str">
        <f t="shared" si="327"/>
        <v>Internacional</v>
      </c>
      <c r="AS978" s="77">
        <f t="shared" si="327"/>
        <v>8.9181286549707538E-3</v>
      </c>
      <c r="AT978" s="77">
        <f t="shared" si="327"/>
        <v>1.7799707602339183E-2</v>
      </c>
      <c r="AU978" s="77">
        <f t="shared" si="327"/>
        <v>2.6717836257309939E-2</v>
      </c>
      <c r="AV978" s="77" t="str">
        <f t="shared" si="327"/>
        <v>B757-200</v>
      </c>
      <c r="AW978" s="77">
        <f t="shared" si="327"/>
        <v>239</v>
      </c>
      <c r="AX978" s="77" t="str">
        <f t="shared" si="327"/>
        <v>ATL</v>
      </c>
    </row>
    <row r="979" spans="1:50" x14ac:dyDescent="0.25">
      <c r="A979">
        <v>965</v>
      </c>
      <c r="B979" s="36" t="str">
        <f t="shared" si="328"/>
        <v>BARATA Y MORADA</v>
      </c>
      <c r="C979" s="36">
        <f t="shared" si="328"/>
        <v>951</v>
      </c>
      <c r="D979" s="118">
        <v>0.25833333333333336</v>
      </c>
      <c r="E979" s="118">
        <v>0.26319444444444445</v>
      </c>
      <c r="F979" s="119">
        <v>4.8611111111110938E-3</v>
      </c>
      <c r="G979" s="118">
        <v>0.27361111111111108</v>
      </c>
      <c r="H979" s="119">
        <v>1.041666666666663E-2</v>
      </c>
      <c r="I979" s="81">
        <v>41719</v>
      </c>
      <c r="J979" s="36" t="str">
        <f t="shared" si="331"/>
        <v>Internacional</v>
      </c>
      <c r="K979" s="36">
        <f t="shared" si="331"/>
        <v>1.1863425925925916E-2</v>
      </c>
      <c r="L979" s="36">
        <f t="shared" si="331"/>
        <v>1.6319444444444445E-2</v>
      </c>
      <c r="M979" s="36">
        <f t="shared" si="331"/>
        <v>2.8182870370370362E-2</v>
      </c>
      <c r="N979" s="36">
        <f t="shared" si="331"/>
        <v>320</v>
      </c>
      <c r="O979" s="36">
        <f t="shared" si="331"/>
        <v>179</v>
      </c>
      <c r="P979" s="36" t="str">
        <f t="shared" si="331"/>
        <v>FAT</v>
      </c>
      <c r="R979">
        <v>965</v>
      </c>
      <c r="S979" s="36" t="str">
        <f t="shared" si="319"/>
        <v>AEROLINEAS DE AMERICA</v>
      </c>
      <c r="T979" s="36">
        <f t="shared" si="319"/>
        <v>2313</v>
      </c>
      <c r="U979" s="73">
        <v>0.9902777777777777</v>
      </c>
      <c r="V979" s="74">
        <v>1.0034722222222221</v>
      </c>
      <c r="W979" s="75">
        <v>1.3194444444444398E-2</v>
      </c>
      <c r="X979" s="74">
        <v>1.0104166666666667</v>
      </c>
      <c r="Y979" s="75">
        <v>6.9444444444446418E-3</v>
      </c>
      <c r="Z979" s="76">
        <v>41735</v>
      </c>
      <c r="AA979" s="36" t="str">
        <f t="shared" si="330"/>
        <v>Internacional</v>
      </c>
      <c r="AB979" s="36">
        <f t="shared" si="330"/>
        <v>1.5111111111111106E-2</v>
      </c>
      <c r="AC979" s="36">
        <f t="shared" si="330"/>
        <v>1.213888888888889E-2</v>
      </c>
      <c r="AD979" s="36">
        <f t="shared" si="330"/>
        <v>2.7249999999999996E-2</v>
      </c>
      <c r="AE979" s="36" t="str">
        <f t="shared" si="330"/>
        <v>M80</v>
      </c>
      <c r="AF979" s="36">
        <f t="shared" si="330"/>
        <v>182</v>
      </c>
      <c r="AG979" s="36" t="str">
        <f t="shared" si="330"/>
        <v>DFW</v>
      </c>
      <c r="AI979">
        <v>965</v>
      </c>
      <c r="AJ979" s="77" t="str">
        <f t="shared" si="325"/>
        <v>AVIONES ROJOS</v>
      </c>
      <c r="AK979" s="77">
        <f t="shared" si="325"/>
        <v>308</v>
      </c>
      <c r="AL979" s="78">
        <v>0.87777777777777777</v>
      </c>
      <c r="AM979" s="79">
        <v>0.89097222222222217</v>
      </c>
      <c r="AN979" s="80">
        <v>1.3194444444444398E-2</v>
      </c>
      <c r="AO979" s="79">
        <v>0.8965277777777777</v>
      </c>
      <c r="AP979" s="80">
        <v>5.5555555555555358E-3</v>
      </c>
      <c r="AQ979" s="81">
        <v>41804</v>
      </c>
      <c r="AR979" s="77" t="str">
        <f t="shared" si="327"/>
        <v>Internacional</v>
      </c>
      <c r="AS979" s="77">
        <f t="shared" si="327"/>
        <v>8.9181286549707538E-3</v>
      </c>
      <c r="AT979" s="77">
        <f t="shared" si="327"/>
        <v>1.7799707602339183E-2</v>
      </c>
      <c r="AU979" s="77">
        <f t="shared" si="327"/>
        <v>2.6717836257309939E-2</v>
      </c>
      <c r="AV979" s="77" t="str">
        <f t="shared" si="327"/>
        <v>B757-200</v>
      </c>
      <c r="AW979" s="77">
        <f t="shared" si="327"/>
        <v>239</v>
      </c>
      <c r="AX979" s="77" t="str">
        <f t="shared" si="327"/>
        <v>ATL</v>
      </c>
    </row>
    <row r="980" spans="1:50" x14ac:dyDescent="0.25">
      <c r="A980">
        <v>966</v>
      </c>
      <c r="B980" s="36" t="str">
        <f t="shared" si="328"/>
        <v>BARATA Y MORADA</v>
      </c>
      <c r="C980" s="36">
        <f t="shared" si="328"/>
        <v>951</v>
      </c>
      <c r="D980" s="118">
        <v>0.26250000000000001</v>
      </c>
      <c r="E980" s="118">
        <v>0.27291666666666664</v>
      </c>
      <c r="F980" s="119">
        <v>1.041666666666663E-2</v>
      </c>
      <c r="G980" s="118">
        <v>0.28750000000000003</v>
      </c>
      <c r="H980" s="119">
        <v>1.4583333333333393E-2</v>
      </c>
      <c r="I980" s="81">
        <v>41721</v>
      </c>
      <c r="J980" s="36" t="str">
        <f t="shared" si="331"/>
        <v>Internacional</v>
      </c>
      <c r="K980" s="36">
        <f t="shared" si="331"/>
        <v>1.1863425925925916E-2</v>
      </c>
      <c r="L980" s="36">
        <f t="shared" si="331"/>
        <v>1.6319444444444445E-2</v>
      </c>
      <c r="M980" s="36">
        <f t="shared" si="331"/>
        <v>2.8182870370370362E-2</v>
      </c>
      <c r="N980" s="36">
        <f t="shared" si="331"/>
        <v>320</v>
      </c>
      <c r="O980" s="36">
        <f t="shared" si="331"/>
        <v>179</v>
      </c>
      <c r="P980" s="36" t="str">
        <f t="shared" si="331"/>
        <v>FAT</v>
      </c>
      <c r="R980">
        <v>966</v>
      </c>
      <c r="S980" s="36" t="str">
        <f t="shared" si="319"/>
        <v>AEROLINEAS DE AMERICA</v>
      </c>
      <c r="T980" s="36">
        <f t="shared" si="319"/>
        <v>2313</v>
      </c>
      <c r="U980" s="73">
        <v>0.87013888888888891</v>
      </c>
      <c r="V980" s="74">
        <v>0.88194444444444453</v>
      </c>
      <c r="W980" s="75">
        <v>1.1805555555555625E-2</v>
      </c>
      <c r="X980" s="74">
        <v>0.88750000000000007</v>
      </c>
      <c r="Y980" s="75">
        <v>5.5555555555555358E-3</v>
      </c>
      <c r="Z980" s="76">
        <v>41736</v>
      </c>
      <c r="AA980" s="36" t="str">
        <f t="shared" si="330"/>
        <v>Internacional</v>
      </c>
      <c r="AB980" s="36">
        <f t="shared" si="330"/>
        <v>1.5111111111111106E-2</v>
      </c>
      <c r="AC980" s="36">
        <f t="shared" si="330"/>
        <v>1.213888888888889E-2</v>
      </c>
      <c r="AD980" s="36">
        <f t="shared" si="330"/>
        <v>2.7249999999999996E-2</v>
      </c>
      <c r="AE980" s="36" t="str">
        <f t="shared" si="330"/>
        <v>M80</v>
      </c>
      <c r="AF980" s="36">
        <f t="shared" si="330"/>
        <v>182</v>
      </c>
      <c r="AG980" s="36" t="str">
        <f t="shared" si="330"/>
        <v>DFW</v>
      </c>
      <c r="AI980">
        <v>966</v>
      </c>
      <c r="AJ980" s="77" t="str">
        <f t="shared" si="325"/>
        <v>AVIONES ROJOS</v>
      </c>
      <c r="AK980" s="77">
        <f t="shared" si="325"/>
        <v>308</v>
      </c>
      <c r="AL980" s="78">
        <v>0.17708333333333334</v>
      </c>
      <c r="AM980" s="79">
        <v>0.18333333333333335</v>
      </c>
      <c r="AN980" s="80">
        <v>6.2500000000000056E-3</v>
      </c>
      <c r="AO980" s="79">
        <v>0.19027777777777777</v>
      </c>
      <c r="AP980" s="80">
        <v>6.9444444444444198E-3</v>
      </c>
      <c r="AQ980" s="81">
        <v>41805</v>
      </c>
      <c r="AR980" s="77" t="str">
        <f t="shared" si="327"/>
        <v>Internacional</v>
      </c>
      <c r="AS980" s="77">
        <f t="shared" si="327"/>
        <v>8.9181286549707538E-3</v>
      </c>
      <c r="AT980" s="77">
        <f t="shared" si="327"/>
        <v>1.7799707602339183E-2</v>
      </c>
      <c r="AU980" s="77">
        <f t="shared" si="327"/>
        <v>2.6717836257309939E-2</v>
      </c>
      <c r="AV980" s="77" t="str">
        <f t="shared" si="327"/>
        <v>B757-200</v>
      </c>
      <c r="AW980" s="77">
        <f t="shared" si="327"/>
        <v>239</v>
      </c>
      <c r="AX980" s="77" t="str">
        <f t="shared" si="327"/>
        <v>ATL</v>
      </c>
    </row>
    <row r="981" spans="1:50" x14ac:dyDescent="0.25">
      <c r="A981">
        <v>967</v>
      </c>
      <c r="B981" s="36" t="str">
        <f t="shared" si="328"/>
        <v>BARATA Y MORADA</v>
      </c>
      <c r="C981" s="36">
        <f t="shared" si="328"/>
        <v>951</v>
      </c>
      <c r="D981" s="118">
        <v>0.24791666666666667</v>
      </c>
      <c r="E981" s="118">
        <v>0.25763888888888892</v>
      </c>
      <c r="F981" s="119">
        <v>9.7222222222222432E-3</v>
      </c>
      <c r="G981" s="118">
        <v>0.2673611111111111</v>
      </c>
      <c r="H981" s="119">
        <v>9.7222222222221877E-3</v>
      </c>
      <c r="I981" s="81">
        <v>41722</v>
      </c>
      <c r="J981" s="36" t="str">
        <f t="shared" si="331"/>
        <v>Internacional</v>
      </c>
      <c r="K981" s="36">
        <f t="shared" si="331"/>
        <v>1.1863425925925916E-2</v>
      </c>
      <c r="L981" s="36">
        <f t="shared" si="331"/>
        <v>1.6319444444444445E-2</v>
      </c>
      <c r="M981" s="36">
        <f t="shared" si="331"/>
        <v>2.8182870370370362E-2</v>
      </c>
      <c r="N981" s="36">
        <f t="shared" si="331"/>
        <v>320</v>
      </c>
      <c r="O981" s="36">
        <f t="shared" si="331"/>
        <v>179</v>
      </c>
      <c r="P981" s="36" t="str">
        <f t="shared" si="331"/>
        <v>FAT</v>
      </c>
      <c r="R981">
        <v>967</v>
      </c>
      <c r="S981" s="36" t="str">
        <f t="shared" si="319"/>
        <v>AEROLINEAS DE AMERICA</v>
      </c>
      <c r="T981" s="36">
        <f t="shared" si="319"/>
        <v>2313</v>
      </c>
      <c r="U981" s="73">
        <v>0.84722222222222221</v>
      </c>
      <c r="V981" s="74">
        <v>0.8569444444444444</v>
      </c>
      <c r="W981" s="75">
        <v>9.7222222222221877E-3</v>
      </c>
      <c r="X981" s="74">
        <v>0.87083333333333324</v>
      </c>
      <c r="Y981" s="75">
        <v>1.388888888888884E-2</v>
      </c>
      <c r="Z981" s="76">
        <v>41738</v>
      </c>
      <c r="AA981" s="36" t="str">
        <f t="shared" si="330"/>
        <v>Internacional</v>
      </c>
      <c r="AB981" s="36">
        <f t="shared" si="330"/>
        <v>1.5111111111111106E-2</v>
      </c>
      <c r="AC981" s="36">
        <f t="shared" si="330"/>
        <v>1.213888888888889E-2</v>
      </c>
      <c r="AD981" s="36">
        <f t="shared" si="330"/>
        <v>2.7249999999999996E-2</v>
      </c>
      <c r="AE981" s="36" t="str">
        <f t="shared" si="330"/>
        <v>M80</v>
      </c>
      <c r="AF981" s="36">
        <f t="shared" si="330"/>
        <v>182</v>
      </c>
      <c r="AG981" s="36" t="str">
        <f t="shared" si="330"/>
        <v>DFW</v>
      </c>
      <c r="AI981">
        <v>967</v>
      </c>
      <c r="AJ981" s="77" t="str">
        <f t="shared" si="325"/>
        <v>AVIONES ROJOS</v>
      </c>
      <c r="AK981" s="77">
        <f t="shared" si="325"/>
        <v>308</v>
      </c>
      <c r="AL981" s="78">
        <v>0.90625</v>
      </c>
      <c r="AM981" s="79">
        <v>0.92222222222222217</v>
      </c>
      <c r="AN981" s="80">
        <v>1.5972222222222165E-2</v>
      </c>
      <c r="AO981" s="79">
        <v>0.9277777777777777</v>
      </c>
      <c r="AP981" s="80">
        <v>5.5555555555555358E-3</v>
      </c>
      <c r="AQ981" s="81">
        <v>41806</v>
      </c>
      <c r="AR981" s="77" t="str">
        <f t="shared" si="327"/>
        <v>Internacional</v>
      </c>
      <c r="AS981" s="77">
        <f t="shared" si="327"/>
        <v>8.9181286549707538E-3</v>
      </c>
      <c r="AT981" s="77">
        <f t="shared" si="327"/>
        <v>1.7799707602339183E-2</v>
      </c>
      <c r="AU981" s="77">
        <f t="shared" si="327"/>
        <v>2.6717836257309939E-2</v>
      </c>
      <c r="AV981" s="77" t="str">
        <f t="shared" si="327"/>
        <v>B757-200</v>
      </c>
      <c r="AW981" s="77">
        <f t="shared" si="327"/>
        <v>239</v>
      </c>
      <c r="AX981" s="77" t="str">
        <f t="shared" si="327"/>
        <v>ATL</v>
      </c>
    </row>
    <row r="982" spans="1:50" x14ac:dyDescent="0.25">
      <c r="A982">
        <v>968</v>
      </c>
      <c r="B982" s="36" t="str">
        <f t="shared" si="328"/>
        <v>BARATA Y MORADA</v>
      </c>
      <c r="C982" s="36">
        <f t="shared" si="328"/>
        <v>951</v>
      </c>
      <c r="D982" s="118">
        <v>0.26111111111111113</v>
      </c>
      <c r="E982" s="118">
        <v>0.27499999999999997</v>
      </c>
      <c r="F982" s="119">
        <v>1.388888888888884E-2</v>
      </c>
      <c r="G982" s="118">
        <v>0.28333333333333333</v>
      </c>
      <c r="H982" s="119">
        <v>8.3333333333333592E-3</v>
      </c>
      <c r="I982" s="81">
        <v>41723</v>
      </c>
      <c r="J982" s="36" t="str">
        <f t="shared" si="331"/>
        <v>Internacional</v>
      </c>
      <c r="K982" s="36">
        <f t="shared" si="331"/>
        <v>1.1863425925925916E-2</v>
      </c>
      <c r="L982" s="36">
        <f t="shared" si="331"/>
        <v>1.6319444444444445E-2</v>
      </c>
      <c r="M982" s="36">
        <f t="shared" si="331"/>
        <v>2.8182870370370362E-2</v>
      </c>
      <c r="N982" s="36">
        <f t="shared" si="331"/>
        <v>320</v>
      </c>
      <c r="O982" s="36">
        <f t="shared" si="331"/>
        <v>179</v>
      </c>
      <c r="P982" s="36" t="str">
        <f t="shared" si="331"/>
        <v>FAT</v>
      </c>
      <c r="R982">
        <v>968</v>
      </c>
      <c r="S982" s="36" t="str">
        <f t="shared" si="319"/>
        <v>AEROLINEAS DE AMERICA</v>
      </c>
      <c r="T982" s="36">
        <f t="shared" si="319"/>
        <v>2313</v>
      </c>
      <c r="U982" s="73">
        <v>0.87083333333333324</v>
      </c>
      <c r="V982" s="74">
        <v>0.8833333333333333</v>
      </c>
      <c r="W982" s="75">
        <v>1.2500000000000067E-2</v>
      </c>
      <c r="X982" s="74">
        <v>0.89374999999999993</v>
      </c>
      <c r="Y982" s="75">
        <v>1.041666666666663E-2</v>
      </c>
      <c r="Z982" s="76">
        <v>41739</v>
      </c>
      <c r="AA982" s="36" t="str">
        <f t="shared" si="330"/>
        <v>Internacional</v>
      </c>
      <c r="AB982" s="36">
        <f t="shared" si="330"/>
        <v>1.5111111111111106E-2</v>
      </c>
      <c r="AC982" s="36">
        <f t="shared" si="330"/>
        <v>1.213888888888889E-2</v>
      </c>
      <c r="AD982" s="36">
        <f t="shared" si="330"/>
        <v>2.7249999999999996E-2</v>
      </c>
      <c r="AE982" s="36" t="str">
        <f t="shared" si="330"/>
        <v>M80</v>
      </c>
      <c r="AF982" s="36">
        <f t="shared" si="330"/>
        <v>182</v>
      </c>
      <c r="AG982" s="36" t="str">
        <f t="shared" si="330"/>
        <v>DFW</v>
      </c>
      <c r="AI982">
        <v>968</v>
      </c>
      <c r="AJ982" s="77" t="str">
        <f t="shared" si="325"/>
        <v>AVIONES ROJOS</v>
      </c>
      <c r="AK982" s="77">
        <f t="shared" si="325"/>
        <v>308</v>
      </c>
      <c r="AL982" s="78">
        <v>0.4513888888888889</v>
      </c>
      <c r="AM982" s="79">
        <v>0.46319444444444446</v>
      </c>
      <c r="AN982" s="80">
        <v>1.1805555555555569E-2</v>
      </c>
      <c r="AO982" s="79">
        <v>0.4694444444444445</v>
      </c>
      <c r="AP982" s="80">
        <v>6.2500000000000333E-3</v>
      </c>
      <c r="AQ982" s="81">
        <v>41807</v>
      </c>
      <c r="AR982" s="77" t="str">
        <f t="shared" si="327"/>
        <v>Internacional</v>
      </c>
      <c r="AS982" s="77">
        <f t="shared" si="327"/>
        <v>8.9181286549707538E-3</v>
      </c>
      <c r="AT982" s="77">
        <f t="shared" si="327"/>
        <v>1.7799707602339183E-2</v>
      </c>
      <c r="AU982" s="77">
        <f t="shared" si="327"/>
        <v>2.6717836257309939E-2</v>
      </c>
      <c r="AV982" s="77" t="str">
        <f t="shared" si="327"/>
        <v>B757-200</v>
      </c>
      <c r="AW982" s="77">
        <f t="shared" si="327"/>
        <v>239</v>
      </c>
      <c r="AX982" s="77" t="str">
        <f t="shared" si="327"/>
        <v>ATL</v>
      </c>
    </row>
    <row r="983" spans="1:50" x14ac:dyDescent="0.25">
      <c r="A983">
        <v>969</v>
      </c>
      <c r="B983" s="36" t="str">
        <f t="shared" si="328"/>
        <v>BARATA Y MORADA</v>
      </c>
      <c r="C983" s="36">
        <f t="shared" si="328"/>
        <v>951</v>
      </c>
      <c r="D983" s="118">
        <v>0.25069444444444444</v>
      </c>
      <c r="E983" s="118">
        <v>0.26458333333333334</v>
      </c>
      <c r="F983" s="119">
        <v>1.3888888888888895E-2</v>
      </c>
      <c r="G983" s="118">
        <v>0.27083333333333331</v>
      </c>
      <c r="H983" s="119">
        <v>6.2499999999999778E-3</v>
      </c>
      <c r="I983" s="81">
        <v>41724</v>
      </c>
      <c r="J983" s="36" t="str">
        <f t="shared" si="331"/>
        <v>Internacional</v>
      </c>
      <c r="K983" s="36">
        <f t="shared" si="331"/>
        <v>1.1863425925925916E-2</v>
      </c>
      <c r="L983" s="36">
        <f t="shared" si="331"/>
        <v>1.6319444444444445E-2</v>
      </c>
      <c r="M983" s="36">
        <f t="shared" si="331"/>
        <v>2.8182870370370362E-2</v>
      </c>
      <c r="N983" s="36">
        <f t="shared" si="331"/>
        <v>320</v>
      </c>
      <c r="O983" s="36">
        <f t="shared" si="331"/>
        <v>179</v>
      </c>
      <c r="P983" s="36" t="str">
        <f t="shared" si="331"/>
        <v>FAT</v>
      </c>
      <c r="R983">
        <v>969</v>
      </c>
      <c r="S983" s="36" t="str">
        <f t="shared" si="319"/>
        <v>AEROLINEAS DE AMERICA</v>
      </c>
      <c r="T983" s="36">
        <f t="shared" si="319"/>
        <v>2313</v>
      </c>
      <c r="U983" s="73">
        <v>0.85069444444444453</v>
      </c>
      <c r="V983" s="74">
        <v>0.86875000000000002</v>
      </c>
      <c r="W983" s="75">
        <v>1.8055555555555491E-2</v>
      </c>
      <c r="X983" s="74">
        <v>0.88402777777777775</v>
      </c>
      <c r="Y983" s="75">
        <v>1.5277777777777724E-2</v>
      </c>
      <c r="Z983" s="76">
        <v>41740</v>
      </c>
      <c r="AA983" s="36" t="str">
        <f t="shared" si="330"/>
        <v>Internacional</v>
      </c>
      <c r="AB983" s="36">
        <f t="shared" si="330"/>
        <v>1.5111111111111106E-2</v>
      </c>
      <c r="AC983" s="36">
        <f t="shared" si="330"/>
        <v>1.213888888888889E-2</v>
      </c>
      <c r="AD983" s="36">
        <f t="shared" si="330"/>
        <v>2.7249999999999996E-2</v>
      </c>
      <c r="AE983" s="36" t="str">
        <f t="shared" si="330"/>
        <v>M80</v>
      </c>
      <c r="AF983" s="36">
        <f t="shared" si="330"/>
        <v>182</v>
      </c>
      <c r="AG983" s="36" t="str">
        <f t="shared" si="330"/>
        <v>DFW</v>
      </c>
      <c r="AI983">
        <v>969</v>
      </c>
      <c r="AJ983" s="77" t="str">
        <f t="shared" si="325"/>
        <v>AVIONES ROJOS</v>
      </c>
      <c r="AK983" s="77">
        <f t="shared" si="325"/>
        <v>308</v>
      </c>
      <c r="AL983" s="78">
        <v>0.84444444444444444</v>
      </c>
      <c r="AM983" s="79">
        <v>0.85</v>
      </c>
      <c r="AN983" s="80">
        <v>5.5555555555555358E-3</v>
      </c>
      <c r="AO983" s="79">
        <v>0.87430555555555556</v>
      </c>
      <c r="AP983" s="80">
        <v>2.430555555555558E-2</v>
      </c>
      <c r="AQ983" s="81">
        <v>41808</v>
      </c>
      <c r="AR983" s="77" t="str">
        <f t="shared" si="327"/>
        <v>Internacional</v>
      </c>
      <c r="AS983" s="77">
        <f t="shared" si="327"/>
        <v>8.9181286549707538E-3</v>
      </c>
      <c r="AT983" s="77">
        <f t="shared" si="327"/>
        <v>1.7799707602339183E-2</v>
      </c>
      <c r="AU983" s="77">
        <f t="shared" si="327"/>
        <v>2.6717836257309939E-2</v>
      </c>
      <c r="AV983" s="77" t="str">
        <f t="shared" si="327"/>
        <v>B757-200</v>
      </c>
      <c r="AW983" s="77">
        <f t="shared" si="327"/>
        <v>239</v>
      </c>
      <c r="AX983" s="77" t="str">
        <f t="shared" si="327"/>
        <v>ATL</v>
      </c>
    </row>
    <row r="984" spans="1:50" x14ac:dyDescent="0.25">
      <c r="A984">
        <v>970</v>
      </c>
      <c r="B984" s="36" t="str">
        <f t="shared" si="328"/>
        <v>BARATA Y MORADA</v>
      </c>
      <c r="C984" s="36">
        <f t="shared" si="328"/>
        <v>951</v>
      </c>
      <c r="D984" s="118">
        <v>0.25555555555555559</v>
      </c>
      <c r="E984" s="118">
        <v>0.26805555555555555</v>
      </c>
      <c r="F984" s="119">
        <v>1.2499999999999956E-2</v>
      </c>
      <c r="G984" s="118">
        <v>0.28333333333333333</v>
      </c>
      <c r="H984" s="119">
        <v>1.5277777777777779E-2</v>
      </c>
      <c r="I984" s="81">
        <v>41724</v>
      </c>
      <c r="J984" s="36" t="str">
        <f t="shared" si="331"/>
        <v>Internacional</v>
      </c>
      <c r="K984" s="36">
        <f t="shared" si="331"/>
        <v>1.1863425925925916E-2</v>
      </c>
      <c r="L984" s="36">
        <f t="shared" si="331"/>
        <v>1.6319444444444445E-2</v>
      </c>
      <c r="M984" s="36">
        <f t="shared" si="331"/>
        <v>2.8182870370370362E-2</v>
      </c>
      <c r="N984" s="36">
        <f t="shared" si="331"/>
        <v>320</v>
      </c>
      <c r="O984" s="36">
        <f t="shared" si="331"/>
        <v>179</v>
      </c>
      <c r="P984" s="36" t="str">
        <f t="shared" si="331"/>
        <v>FAT</v>
      </c>
      <c r="R984">
        <v>970</v>
      </c>
      <c r="S984" s="36" t="str">
        <f t="shared" si="319"/>
        <v>AEROLINEAS DE AMERICA</v>
      </c>
      <c r="T984" s="36">
        <f t="shared" si="319"/>
        <v>2313</v>
      </c>
      <c r="U984" s="73">
        <v>0.85069444444444453</v>
      </c>
      <c r="V984" s="74">
        <v>0.86249999999999993</v>
      </c>
      <c r="W984" s="75">
        <v>1.1805555555555403E-2</v>
      </c>
      <c r="X984" s="74">
        <v>0.87083333333333324</v>
      </c>
      <c r="Y984" s="75">
        <v>8.3333333333333037E-3</v>
      </c>
      <c r="Z984" s="76">
        <v>41743</v>
      </c>
      <c r="AA984" s="36" t="str">
        <f t="shared" si="330"/>
        <v>Internacional</v>
      </c>
      <c r="AB984" s="36">
        <f t="shared" si="330"/>
        <v>1.5111111111111106E-2</v>
      </c>
      <c r="AC984" s="36">
        <f t="shared" si="330"/>
        <v>1.213888888888889E-2</v>
      </c>
      <c r="AD984" s="36">
        <f t="shared" si="330"/>
        <v>2.7249999999999996E-2</v>
      </c>
      <c r="AE984" s="36" t="str">
        <f t="shared" si="330"/>
        <v>M80</v>
      </c>
      <c r="AF984" s="36">
        <f t="shared" si="330"/>
        <v>182</v>
      </c>
      <c r="AG984" s="36" t="str">
        <f t="shared" si="330"/>
        <v>DFW</v>
      </c>
      <c r="AI984">
        <v>970</v>
      </c>
      <c r="AJ984" s="77" t="str">
        <f t="shared" si="325"/>
        <v>AVIONES ROJOS</v>
      </c>
      <c r="AK984" s="77">
        <f t="shared" si="325"/>
        <v>308</v>
      </c>
      <c r="AL984" s="78">
        <v>0.8652777777777777</v>
      </c>
      <c r="AM984" s="79">
        <v>0.87152777777777779</v>
      </c>
      <c r="AN984" s="80">
        <v>6.2500000000000888E-3</v>
      </c>
      <c r="AO984" s="79">
        <v>0.89513888888888893</v>
      </c>
      <c r="AP984" s="80">
        <v>2.3611111111111138E-2</v>
      </c>
      <c r="AQ984" s="81">
        <v>41809</v>
      </c>
      <c r="AR984" s="77" t="str">
        <f t="shared" si="327"/>
        <v>Internacional</v>
      </c>
      <c r="AS984" s="77">
        <f t="shared" si="327"/>
        <v>8.9181286549707538E-3</v>
      </c>
      <c r="AT984" s="77">
        <f t="shared" si="327"/>
        <v>1.7799707602339183E-2</v>
      </c>
      <c r="AU984" s="77">
        <f t="shared" si="327"/>
        <v>2.6717836257309939E-2</v>
      </c>
      <c r="AV984" s="77" t="str">
        <f t="shared" si="327"/>
        <v>B757-200</v>
      </c>
      <c r="AW984" s="77">
        <f t="shared" si="327"/>
        <v>239</v>
      </c>
      <c r="AX984" s="77" t="str">
        <f t="shared" si="327"/>
        <v>ATL</v>
      </c>
    </row>
    <row r="985" spans="1:50" x14ac:dyDescent="0.25">
      <c r="A985">
        <v>971</v>
      </c>
      <c r="B985" s="36" t="str">
        <f t="shared" si="328"/>
        <v>BARATA Y MORADA</v>
      </c>
      <c r="C985" s="36">
        <f t="shared" si="328"/>
        <v>951</v>
      </c>
      <c r="D985" s="118">
        <v>0.24444444444444446</v>
      </c>
      <c r="E985" s="118">
        <v>0.26458333333333334</v>
      </c>
      <c r="F985" s="119">
        <v>2.0138888888888873E-2</v>
      </c>
      <c r="G985" s="118">
        <v>0.28680555555555554</v>
      </c>
      <c r="H985" s="119">
        <v>2.2222222222222199E-2</v>
      </c>
      <c r="I985" s="81">
        <v>41725</v>
      </c>
      <c r="J985" s="36" t="str">
        <f t="shared" si="331"/>
        <v>Internacional</v>
      </c>
      <c r="K985" s="36">
        <f t="shared" si="331"/>
        <v>1.1863425925925916E-2</v>
      </c>
      <c r="L985" s="36">
        <f t="shared" si="331"/>
        <v>1.6319444444444445E-2</v>
      </c>
      <c r="M985" s="36">
        <f t="shared" si="331"/>
        <v>2.8182870370370362E-2</v>
      </c>
      <c r="N985" s="36">
        <f t="shared" si="331"/>
        <v>320</v>
      </c>
      <c r="O985" s="36">
        <f t="shared" si="331"/>
        <v>179</v>
      </c>
      <c r="P985" s="36" t="str">
        <f t="shared" si="331"/>
        <v>FAT</v>
      </c>
      <c r="R985">
        <v>971</v>
      </c>
      <c r="S985" s="36" t="str">
        <f t="shared" si="319"/>
        <v>AEROLINEAS DE AMERICA</v>
      </c>
      <c r="T985" s="36">
        <f t="shared" si="319"/>
        <v>2313</v>
      </c>
      <c r="U985" s="73">
        <v>0.8652777777777777</v>
      </c>
      <c r="V985" s="74">
        <v>0.87847222222222221</v>
      </c>
      <c r="W985" s="75">
        <v>1.3194444444444509E-2</v>
      </c>
      <c r="X985" s="74">
        <v>0.88958333333333339</v>
      </c>
      <c r="Y985" s="75">
        <v>1.1111111111111183E-2</v>
      </c>
      <c r="Z985" s="76">
        <v>41745</v>
      </c>
      <c r="AA985" s="36" t="str">
        <f t="shared" si="330"/>
        <v>Internacional</v>
      </c>
      <c r="AB985" s="36">
        <f t="shared" si="330"/>
        <v>1.5111111111111106E-2</v>
      </c>
      <c r="AC985" s="36">
        <f t="shared" si="330"/>
        <v>1.213888888888889E-2</v>
      </c>
      <c r="AD985" s="36">
        <f t="shared" si="330"/>
        <v>2.7249999999999996E-2</v>
      </c>
      <c r="AE985" s="36" t="str">
        <f t="shared" si="330"/>
        <v>M80</v>
      </c>
      <c r="AF985" s="36">
        <f t="shared" si="330"/>
        <v>182</v>
      </c>
      <c r="AG985" s="36" t="str">
        <f t="shared" si="330"/>
        <v>DFW</v>
      </c>
      <c r="AI985">
        <v>971</v>
      </c>
      <c r="AJ985" s="77" t="str">
        <f t="shared" si="325"/>
        <v>AVIONES ROJOS</v>
      </c>
      <c r="AK985" s="77">
        <f t="shared" si="325"/>
        <v>308</v>
      </c>
      <c r="AL985" s="78">
        <v>0.85625000000000007</v>
      </c>
      <c r="AM985" s="79">
        <v>0.8666666666666667</v>
      </c>
      <c r="AN985" s="80">
        <v>1.041666666666663E-2</v>
      </c>
      <c r="AO985" s="79">
        <v>0.89097222222222217</v>
      </c>
      <c r="AP985" s="80">
        <v>2.4305555555555469E-2</v>
      </c>
      <c r="AQ985" s="81">
        <v>41810</v>
      </c>
      <c r="AR985" s="77" t="str">
        <f t="shared" si="327"/>
        <v>Internacional</v>
      </c>
      <c r="AS985" s="77">
        <f t="shared" si="327"/>
        <v>8.9181286549707538E-3</v>
      </c>
      <c r="AT985" s="77">
        <f t="shared" si="327"/>
        <v>1.7799707602339183E-2</v>
      </c>
      <c r="AU985" s="77">
        <f t="shared" si="327"/>
        <v>2.6717836257309939E-2</v>
      </c>
      <c r="AV985" s="77" t="str">
        <f t="shared" si="327"/>
        <v>B757-200</v>
      </c>
      <c r="AW985" s="77">
        <f t="shared" si="327"/>
        <v>239</v>
      </c>
      <c r="AX985" s="77" t="str">
        <f t="shared" si="327"/>
        <v>ATL</v>
      </c>
    </row>
    <row r="986" spans="1:50" x14ac:dyDescent="0.25">
      <c r="A986">
        <v>972</v>
      </c>
      <c r="B986" s="36" t="str">
        <f t="shared" si="328"/>
        <v>BARATA Y MORADA</v>
      </c>
      <c r="C986" s="36">
        <f t="shared" si="328"/>
        <v>951</v>
      </c>
      <c r="D986" s="118">
        <v>0.24652777777777779</v>
      </c>
      <c r="E986" s="118">
        <v>0.25694444444444448</v>
      </c>
      <c r="F986" s="119">
        <v>1.0416666666666685E-2</v>
      </c>
      <c r="G986" s="118">
        <v>0.28125</v>
      </c>
      <c r="H986" s="119">
        <v>2.4305555555555525E-2</v>
      </c>
      <c r="I986" s="81">
        <v>41727</v>
      </c>
      <c r="J986" s="36" t="str">
        <f t="shared" si="331"/>
        <v>Internacional</v>
      </c>
      <c r="K986" s="36">
        <f t="shared" si="331"/>
        <v>1.1863425925925916E-2</v>
      </c>
      <c r="L986" s="36">
        <f t="shared" si="331"/>
        <v>1.6319444444444445E-2</v>
      </c>
      <c r="M986" s="36">
        <f t="shared" si="331"/>
        <v>2.8182870370370362E-2</v>
      </c>
      <c r="N986" s="36">
        <f t="shared" si="331"/>
        <v>320</v>
      </c>
      <c r="O986" s="36">
        <f t="shared" si="331"/>
        <v>179</v>
      </c>
      <c r="P986" s="36" t="str">
        <f t="shared" si="331"/>
        <v>FAT</v>
      </c>
      <c r="R986">
        <v>972</v>
      </c>
      <c r="S986" s="36" t="str">
        <f t="shared" si="319"/>
        <v>AEROLINEAS DE AMERICA</v>
      </c>
      <c r="T986" s="36">
        <f t="shared" si="319"/>
        <v>2313</v>
      </c>
      <c r="U986" s="73">
        <v>0.84583333333333333</v>
      </c>
      <c r="V986" s="74">
        <v>0.85763888888888884</v>
      </c>
      <c r="W986" s="75">
        <v>1.1805555555555514E-2</v>
      </c>
      <c r="X986" s="74">
        <v>0.87152777777777779</v>
      </c>
      <c r="Y986" s="75">
        <v>1.3888888888888951E-2</v>
      </c>
      <c r="Z986" s="76">
        <v>41744</v>
      </c>
      <c r="AA986" s="36" t="str">
        <f t="shared" si="330"/>
        <v>Internacional</v>
      </c>
      <c r="AB986" s="36">
        <f t="shared" si="330"/>
        <v>1.5111111111111106E-2</v>
      </c>
      <c r="AC986" s="36">
        <f t="shared" si="330"/>
        <v>1.213888888888889E-2</v>
      </c>
      <c r="AD986" s="36">
        <f t="shared" si="330"/>
        <v>2.7249999999999996E-2</v>
      </c>
      <c r="AE986" s="36" t="str">
        <f t="shared" si="330"/>
        <v>M80</v>
      </c>
      <c r="AF986" s="36">
        <f t="shared" si="330"/>
        <v>182</v>
      </c>
      <c r="AG986" s="36" t="str">
        <f t="shared" si="330"/>
        <v>DFW</v>
      </c>
      <c r="AI986">
        <v>972</v>
      </c>
      <c r="AJ986" s="77" t="str">
        <f t="shared" si="325"/>
        <v>AVIONES ROJOS</v>
      </c>
      <c r="AK986" s="77">
        <f t="shared" si="325"/>
        <v>308</v>
      </c>
      <c r="AL986" s="78">
        <v>0.83333333333333337</v>
      </c>
      <c r="AM986" s="79">
        <v>0.84166666666666667</v>
      </c>
      <c r="AN986" s="80">
        <v>8.3333333333333037E-3</v>
      </c>
      <c r="AO986" s="79">
        <v>0.8569444444444444</v>
      </c>
      <c r="AP986" s="80">
        <v>1.5277777777777724E-2</v>
      </c>
      <c r="AQ986" s="81">
        <v>41811</v>
      </c>
      <c r="AR986" s="77" t="str">
        <f t="shared" si="327"/>
        <v>Internacional</v>
      </c>
      <c r="AS986" s="77">
        <f t="shared" si="327"/>
        <v>8.9181286549707538E-3</v>
      </c>
      <c r="AT986" s="77">
        <f t="shared" si="327"/>
        <v>1.7799707602339183E-2</v>
      </c>
      <c r="AU986" s="77">
        <f t="shared" si="327"/>
        <v>2.6717836257309939E-2</v>
      </c>
      <c r="AV986" s="77" t="str">
        <f t="shared" si="327"/>
        <v>B757-200</v>
      </c>
      <c r="AW986" s="77">
        <f t="shared" si="327"/>
        <v>239</v>
      </c>
      <c r="AX986" s="77" t="str">
        <f t="shared" si="327"/>
        <v>ATL</v>
      </c>
    </row>
    <row r="987" spans="1:50" ht="15.75" thickBot="1" x14ac:dyDescent="0.3">
      <c r="A987">
        <v>973</v>
      </c>
      <c r="B987" s="36" t="str">
        <f t="shared" si="328"/>
        <v>BARATA Y MORADA</v>
      </c>
      <c r="C987" s="36">
        <f t="shared" si="328"/>
        <v>951</v>
      </c>
      <c r="D987" s="176">
        <v>0.25347222222222221</v>
      </c>
      <c r="E987" s="176">
        <v>0.26874999999999999</v>
      </c>
      <c r="F987" s="177">
        <v>1.5277777777777779E-2</v>
      </c>
      <c r="G987" s="176">
        <v>0.27777777777777779</v>
      </c>
      <c r="H987" s="177">
        <v>9.0277777777778012E-3</v>
      </c>
      <c r="I987" s="97">
        <v>41728</v>
      </c>
      <c r="J987" s="36" t="str">
        <f t="shared" si="331"/>
        <v>Internacional</v>
      </c>
      <c r="K987" s="36">
        <f t="shared" si="331"/>
        <v>1.1863425925925916E-2</v>
      </c>
      <c r="L987" s="36">
        <f t="shared" si="331"/>
        <v>1.6319444444444445E-2</v>
      </c>
      <c r="M987" s="36">
        <f t="shared" si="331"/>
        <v>2.8182870370370362E-2</v>
      </c>
      <c r="N987" s="36">
        <f t="shared" si="331"/>
        <v>320</v>
      </c>
      <c r="O987" s="36">
        <f t="shared" si="331"/>
        <v>179</v>
      </c>
      <c r="P987" s="36" t="str">
        <f t="shared" si="331"/>
        <v>FAT</v>
      </c>
      <c r="R987">
        <v>973</v>
      </c>
      <c r="S987" s="36" t="str">
        <f t="shared" si="319"/>
        <v>AEROLINEAS DE AMERICA</v>
      </c>
      <c r="T987" s="36">
        <f t="shared" si="319"/>
        <v>2313</v>
      </c>
      <c r="U987" s="73">
        <v>0.87291666666666667</v>
      </c>
      <c r="V987" s="74">
        <v>0.88680555555555562</v>
      </c>
      <c r="W987" s="75">
        <v>1.3888888888888951E-2</v>
      </c>
      <c r="X987" s="74">
        <v>0.90833333333333333</v>
      </c>
      <c r="Y987" s="75">
        <v>2.1527777777777701E-2</v>
      </c>
      <c r="Z987" s="76">
        <v>41746</v>
      </c>
      <c r="AA987" s="36" t="str">
        <f t="shared" si="330"/>
        <v>Internacional</v>
      </c>
      <c r="AB987" s="36">
        <f t="shared" si="330"/>
        <v>1.5111111111111106E-2</v>
      </c>
      <c r="AC987" s="36">
        <f t="shared" si="330"/>
        <v>1.213888888888889E-2</v>
      </c>
      <c r="AD987" s="36">
        <f t="shared" si="330"/>
        <v>2.7249999999999996E-2</v>
      </c>
      <c r="AE987" s="36" t="str">
        <f t="shared" si="330"/>
        <v>M80</v>
      </c>
      <c r="AF987" s="36">
        <f t="shared" si="330"/>
        <v>182</v>
      </c>
      <c r="AG987" s="36" t="str">
        <f t="shared" si="330"/>
        <v>DFW</v>
      </c>
      <c r="AI987">
        <v>973</v>
      </c>
      <c r="AJ987" s="77" t="str">
        <f t="shared" si="325"/>
        <v>AVIONES ROJOS</v>
      </c>
      <c r="AK987" s="77">
        <f t="shared" si="325"/>
        <v>308</v>
      </c>
      <c r="AL987" s="78">
        <v>0.84583333333333333</v>
      </c>
      <c r="AM987" s="79">
        <v>0.8520833333333333</v>
      </c>
      <c r="AN987" s="80">
        <v>6.2499999999999778E-3</v>
      </c>
      <c r="AO987" s="79">
        <v>0.87222222222222223</v>
      </c>
      <c r="AP987" s="80">
        <v>2.0138888888888928E-2</v>
      </c>
      <c r="AQ987" s="81">
        <v>41812</v>
      </c>
      <c r="AR987" s="77" t="str">
        <f t="shared" si="327"/>
        <v>Internacional</v>
      </c>
      <c r="AS987" s="77">
        <f t="shared" si="327"/>
        <v>8.9181286549707538E-3</v>
      </c>
      <c r="AT987" s="77">
        <f t="shared" si="327"/>
        <v>1.7799707602339183E-2</v>
      </c>
      <c r="AU987" s="77">
        <f t="shared" si="327"/>
        <v>2.6717836257309939E-2</v>
      </c>
      <c r="AV987" s="77" t="str">
        <f t="shared" si="327"/>
        <v>B757-200</v>
      </c>
      <c r="AW987" s="77">
        <f t="shared" si="327"/>
        <v>239</v>
      </c>
      <c r="AX987" s="77" t="str">
        <f t="shared" si="327"/>
        <v>ATL</v>
      </c>
    </row>
    <row r="988" spans="1:50" ht="15.75" thickBot="1" x14ac:dyDescent="0.3">
      <c r="A988">
        <v>974</v>
      </c>
      <c r="B988" s="36" t="str">
        <f t="shared" si="328"/>
        <v>BARATA Y MORADA</v>
      </c>
      <c r="C988" s="151">
        <v>941</v>
      </c>
      <c r="D988" s="152">
        <v>0.91527777777777775</v>
      </c>
      <c r="E988" s="152">
        <v>0.92638888888888893</v>
      </c>
      <c r="F988" s="153">
        <v>1.1111111111111183E-2</v>
      </c>
      <c r="G988" s="152">
        <v>0.9375</v>
      </c>
      <c r="H988" s="153">
        <v>1.1111111111111072E-2</v>
      </c>
      <c r="I988" s="67">
        <v>41713</v>
      </c>
      <c r="J988" s="68" t="s">
        <v>22</v>
      </c>
      <c r="K988" s="135">
        <v>1.2202380952380949E-2</v>
      </c>
      <c r="L988" s="135">
        <v>1.3244047619047612E-2</v>
      </c>
      <c r="M988" s="175">
        <v>2.5446428571428561E-2</v>
      </c>
      <c r="N988" s="90" t="s">
        <v>57</v>
      </c>
      <c r="O988" s="91">
        <v>142</v>
      </c>
      <c r="P988" s="92" t="s">
        <v>80</v>
      </c>
      <c r="R988">
        <v>974</v>
      </c>
      <c r="S988" s="36" t="str">
        <f t="shared" si="319"/>
        <v>AEROLINEAS DE AMERICA</v>
      </c>
      <c r="T988" s="36">
        <f t="shared" si="319"/>
        <v>2313</v>
      </c>
      <c r="U988" s="73">
        <v>0.84861111111111109</v>
      </c>
      <c r="V988" s="74">
        <v>0.86249999999999993</v>
      </c>
      <c r="W988" s="75">
        <v>1.388888888888884E-2</v>
      </c>
      <c r="X988" s="74">
        <v>0.88055555555555554</v>
      </c>
      <c r="Y988" s="75">
        <v>1.8055555555555602E-2</v>
      </c>
      <c r="Z988" s="76">
        <v>41747</v>
      </c>
      <c r="AA988" s="36" t="str">
        <f t="shared" si="330"/>
        <v>Internacional</v>
      </c>
      <c r="AB988" s="36">
        <f t="shared" si="330"/>
        <v>1.5111111111111106E-2</v>
      </c>
      <c r="AC988" s="36">
        <f t="shared" si="330"/>
        <v>1.213888888888889E-2</v>
      </c>
      <c r="AD988" s="36">
        <f t="shared" si="330"/>
        <v>2.7249999999999996E-2</v>
      </c>
      <c r="AE988" s="36" t="str">
        <f t="shared" si="330"/>
        <v>M80</v>
      </c>
      <c r="AF988" s="36">
        <f t="shared" si="330"/>
        <v>182</v>
      </c>
      <c r="AG988" s="36" t="str">
        <f t="shared" si="330"/>
        <v>DFW</v>
      </c>
      <c r="AI988">
        <v>974</v>
      </c>
      <c r="AJ988" s="77" t="str">
        <f t="shared" si="325"/>
        <v>AVIONES ROJOS</v>
      </c>
      <c r="AK988" s="77">
        <f t="shared" si="325"/>
        <v>308</v>
      </c>
      <c r="AL988" s="94">
        <v>0.88263888888888886</v>
      </c>
      <c r="AM988" s="95">
        <v>0.88888888888888884</v>
      </c>
      <c r="AN988" s="96">
        <v>6.2499999999999778E-3</v>
      </c>
      <c r="AO988" s="95">
        <v>0.90555555555555556</v>
      </c>
      <c r="AP988" s="96">
        <v>1.6666666666666718E-2</v>
      </c>
      <c r="AQ988" s="97">
        <v>41813</v>
      </c>
      <c r="AR988" s="77" t="str">
        <f t="shared" si="327"/>
        <v>Internacional</v>
      </c>
      <c r="AS988" s="77">
        <f t="shared" si="327"/>
        <v>8.9181286549707538E-3</v>
      </c>
      <c r="AT988" s="77">
        <f t="shared" si="327"/>
        <v>1.7799707602339183E-2</v>
      </c>
      <c r="AU988" s="77">
        <f t="shared" si="327"/>
        <v>2.6717836257309939E-2</v>
      </c>
      <c r="AV988" s="77" t="str">
        <f t="shared" si="327"/>
        <v>B757-200</v>
      </c>
      <c r="AW988" s="77">
        <f t="shared" si="327"/>
        <v>239</v>
      </c>
      <c r="AX988" s="77" t="str">
        <f t="shared" si="327"/>
        <v>ATL</v>
      </c>
    </row>
    <row r="989" spans="1:50" x14ac:dyDescent="0.25">
      <c r="A989">
        <v>975</v>
      </c>
      <c r="B989" s="36" t="str">
        <f t="shared" si="328"/>
        <v>BARATA Y MORADA</v>
      </c>
      <c r="C989" s="36">
        <f t="shared" si="328"/>
        <v>941</v>
      </c>
      <c r="D989" s="118">
        <v>0.90833333333333333</v>
      </c>
      <c r="E989" s="118">
        <v>0.92361111111111116</v>
      </c>
      <c r="F989" s="119">
        <v>1.5277777777777835E-2</v>
      </c>
      <c r="G989" s="118">
        <v>0.94166666666666676</v>
      </c>
      <c r="H989" s="119">
        <v>1.8055555555555602E-2</v>
      </c>
      <c r="I989" s="81">
        <v>41715</v>
      </c>
      <c r="J989" s="36" t="str">
        <f t="shared" ref="J989:P1001" si="332">J988</f>
        <v>Internacional</v>
      </c>
      <c r="K989" s="36">
        <f t="shared" si="332"/>
        <v>1.2202380952380949E-2</v>
      </c>
      <c r="L989" s="36">
        <f t="shared" si="332"/>
        <v>1.3244047619047612E-2</v>
      </c>
      <c r="M989" s="36">
        <f t="shared" si="332"/>
        <v>2.5446428571428561E-2</v>
      </c>
      <c r="N989" s="36" t="str">
        <f t="shared" si="332"/>
        <v>A319</v>
      </c>
      <c r="O989" s="36">
        <f t="shared" si="332"/>
        <v>142</v>
      </c>
      <c r="P989" s="36" t="str">
        <f t="shared" si="332"/>
        <v>MDW</v>
      </c>
      <c r="R989">
        <v>975</v>
      </c>
      <c r="S989" s="36" t="str">
        <f t="shared" si="319"/>
        <v>AEROLINEAS DE AMERICA</v>
      </c>
      <c r="T989" s="36">
        <f t="shared" si="319"/>
        <v>2313</v>
      </c>
      <c r="U989" s="73">
        <v>0.85138888888888886</v>
      </c>
      <c r="V989" s="74">
        <v>0.87777777777777777</v>
      </c>
      <c r="W989" s="75">
        <v>2.6388888888888906E-2</v>
      </c>
      <c r="X989" s="74">
        <v>0.88750000000000007</v>
      </c>
      <c r="Y989" s="75">
        <v>9.7222222222222987E-3</v>
      </c>
      <c r="Z989" s="76">
        <v>41749</v>
      </c>
      <c r="AA989" s="36" t="str">
        <f t="shared" si="330"/>
        <v>Internacional</v>
      </c>
      <c r="AB989" s="36">
        <f t="shared" si="330"/>
        <v>1.5111111111111106E-2</v>
      </c>
      <c r="AC989" s="36">
        <f t="shared" si="330"/>
        <v>1.213888888888889E-2</v>
      </c>
      <c r="AD989" s="36">
        <f t="shared" si="330"/>
        <v>2.7249999999999996E-2</v>
      </c>
      <c r="AE989" s="36" t="str">
        <f t="shared" si="330"/>
        <v>M80</v>
      </c>
      <c r="AF989" s="36">
        <f t="shared" si="330"/>
        <v>182</v>
      </c>
      <c r="AG989" s="36" t="str">
        <f t="shared" si="330"/>
        <v>DFW</v>
      </c>
      <c r="AI989">
        <v>975</v>
      </c>
      <c r="AJ989" s="63" t="s">
        <v>65</v>
      </c>
      <c r="AK989" s="77">
        <v>5210</v>
      </c>
      <c r="AL989" s="185">
        <v>0.36805555555555558</v>
      </c>
      <c r="AM989" s="65">
        <v>0.37847222222222227</v>
      </c>
      <c r="AN989" s="66">
        <v>1.0416666666666685E-2</v>
      </c>
      <c r="AO989" s="65">
        <v>0.38194444444444442</v>
      </c>
      <c r="AP989" s="66">
        <v>3.4722222222221544E-3</v>
      </c>
      <c r="AQ989" s="67">
        <v>41791</v>
      </c>
      <c r="AR989" s="68" t="s">
        <v>19</v>
      </c>
      <c r="AS989" s="69">
        <v>6.9444444444444571E-3</v>
      </c>
      <c r="AT989" s="70">
        <v>4.1666666666666336E-3</v>
      </c>
      <c r="AU989" s="70">
        <v>1.1111111111111091E-2</v>
      </c>
      <c r="AV989" s="71">
        <v>320</v>
      </c>
      <c r="AW989" s="71">
        <v>179</v>
      </c>
      <c r="AX989" s="72" t="s">
        <v>21</v>
      </c>
    </row>
    <row r="990" spans="1:50" x14ac:dyDescent="0.25">
      <c r="A990">
        <v>976</v>
      </c>
      <c r="B990" s="36" t="str">
        <f t="shared" si="328"/>
        <v>BARATA Y MORADA</v>
      </c>
      <c r="C990" s="36">
        <f t="shared" si="328"/>
        <v>941</v>
      </c>
      <c r="D990" s="118">
        <v>0.92986111111111114</v>
      </c>
      <c r="E990" s="118">
        <v>0.93958333333333333</v>
      </c>
      <c r="F990" s="119">
        <v>9.7222222222221877E-3</v>
      </c>
      <c r="G990" s="118">
        <v>0.94791666666666663</v>
      </c>
      <c r="H990" s="119">
        <v>8.3333333333333037E-3</v>
      </c>
      <c r="I990" s="81">
        <v>41716</v>
      </c>
      <c r="J990" s="36" t="str">
        <f t="shared" si="332"/>
        <v>Internacional</v>
      </c>
      <c r="K990" s="36">
        <f t="shared" si="332"/>
        <v>1.2202380952380949E-2</v>
      </c>
      <c r="L990" s="36">
        <f t="shared" si="332"/>
        <v>1.3244047619047612E-2</v>
      </c>
      <c r="M990" s="36">
        <f t="shared" si="332"/>
        <v>2.5446428571428561E-2</v>
      </c>
      <c r="N990" s="36" t="str">
        <f t="shared" si="332"/>
        <v>A319</v>
      </c>
      <c r="O990" s="36">
        <f t="shared" si="332"/>
        <v>142</v>
      </c>
      <c r="P990" s="36" t="str">
        <f t="shared" si="332"/>
        <v>MDW</v>
      </c>
      <c r="R990">
        <v>976</v>
      </c>
      <c r="S990" s="36" t="str">
        <f t="shared" si="319"/>
        <v>AEROLINEAS DE AMERICA</v>
      </c>
      <c r="T990" s="36">
        <f t="shared" si="319"/>
        <v>2313</v>
      </c>
      <c r="U990" s="73">
        <v>0.84930555555555554</v>
      </c>
      <c r="V990" s="74">
        <v>0.8666666666666667</v>
      </c>
      <c r="W990" s="75">
        <v>1.736111111111116E-2</v>
      </c>
      <c r="X990" s="74">
        <v>0.875</v>
      </c>
      <c r="Y990" s="75">
        <v>8.3333333333333037E-3</v>
      </c>
      <c r="Z990" s="76">
        <v>41751</v>
      </c>
      <c r="AA990" s="36" t="str">
        <f t="shared" si="330"/>
        <v>Internacional</v>
      </c>
      <c r="AB990" s="36">
        <f t="shared" si="330"/>
        <v>1.5111111111111106E-2</v>
      </c>
      <c r="AC990" s="36">
        <f t="shared" si="330"/>
        <v>1.213888888888889E-2</v>
      </c>
      <c r="AD990" s="36">
        <f t="shared" si="330"/>
        <v>2.7249999999999996E-2</v>
      </c>
      <c r="AE990" s="36" t="str">
        <f t="shared" si="330"/>
        <v>M80</v>
      </c>
      <c r="AF990" s="36">
        <f t="shared" si="330"/>
        <v>182</v>
      </c>
      <c r="AG990" s="36" t="str">
        <f t="shared" si="330"/>
        <v>DFW</v>
      </c>
      <c r="AI990">
        <v>976</v>
      </c>
      <c r="AJ990" s="77" t="str">
        <f t="shared" ref="AJ990:AK1034" si="333">AJ989</f>
        <v>INTERAVIÓN</v>
      </c>
      <c r="AK990" s="77">
        <f t="shared" si="333"/>
        <v>5210</v>
      </c>
      <c r="AL990" s="186">
        <v>0.3659722222222222</v>
      </c>
      <c r="AM990" s="79">
        <v>0.37222222222222223</v>
      </c>
      <c r="AN990" s="80">
        <v>6.2500000000000333E-3</v>
      </c>
      <c r="AO990" s="79">
        <v>0.37916666666666665</v>
      </c>
      <c r="AP990" s="80">
        <v>6.9444444444444198E-3</v>
      </c>
      <c r="AQ990" s="81">
        <v>41798</v>
      </c>
      <c r="AR990" s="77" t="str">
        <f t="shared" ref="AR990:AX991" si="334">AR989</f>
        <v>Nacional</v>
      </c>
      <c r="AS990" s="77">
        <f t="shared" si="334"/>
        <v>6.9444444444444571E-3</v>
      </c>
      <c r="AT990" s="77">
        <f t="shared" si="334"/>
        <v>4.1666666666666336E-3</v>
      </c>
      <c r="AU990" s="77">
        <f t="shared" si="334"/>
        <v>1.1111111111111091E-2</v>
      </c>
      <c r="AV990" s="77">
        <f t="shared" si="334"/>
        <v>320</v>
      </c>
      <c r="AW990" s="77">
        <f t="shared" si="334"/>
        <v>179</v>
      </c>
      <c r="AX990" s="77" t="str">
        <f t="shared" si="334"/>
        <v>MEX</v>
      </c>
    </row>
    <row r="991" spans="1:50" ht="15.75" thickBot="1" x14ac:dyDescent="0.3">
      <c r="A991">
        <v>977</v>
      </c>
      <c r="B991" s="36" t="str">
        <f t="shared" si="328"/>
        <v>BARATA Y MORADA</v>
      </c>
      <c r="C991" s="36">
        <f t="shared" si="328"/>
        <v>941</v>
      </c>
      <c r="D991" s="118">
        <v>0.91388888888888886</v>
      </c>
      <c r="E991" s="118">
        <v>0.9243055555555556</v>
      </c>
      <c r="F991" s="119">
        <v>1.0416666666666741E-2</v>
      </c>
      <c r="G991" s="118">
        <v>0.94027777777777777</v>
      </c>
      <c r="H991" s="119">
        <v>1.5972222222222165E-2</v>
      </c>
      <c r="I991" s="81">
        <v>41717</v>
      </c>
      <c r="J991" s="36" t="str">
        <f t="shared" si="332"/>
        <v>Internacional</v>
      </c>
      <c r="K991" s="36">
        <f t="shared" si="332"/>
        <v>1.2202380952380949E-2</v>
      </c>
      <c r="L991" s="36">
        <f t="shared" si="332"/>
        <v>1.3244047619047612E-2</v>
      </c>
      <c r="M991" s="36">
        <f t="shared" si="332"/>
        <v>2.5446428571428561E-2</v>
      </c>
      <c r="N991" s="36" t="str">
        <f t="shared" si="332"/>
        <v>A319</v>
      </c>
      <c r="O991" s="36">
        <f t="shared" si="332"/>
        <v>142</v>
      </c>
      <c r="P991" s="36" t="str">
        <f t="shared" si="332"/>
        <v>MDW</v>
      </c>
      <c r="R991">
        <v>977</v>
      </c>
      <c r="S991" s="36" t="str">
        <f t="shared" si="319"/>
        <v>AEROLINEAS DE AMERICA</v>
      </c>
      <c r="T991" s="36">
        <f t="shared" si="319"/>
        <v>2313</v>
      </c>
      <c r="U991" s="73">
        <v>0.8666666666666667</v>
      </c>
      <c r="V991" s="74">
        <v>0.88750000000000007</v>
      </c>
      <c r="W991" s="75">
        <v>2.083333333333337E-2</v>
      </c>
      <c r="X991" s="74">
        <v>0.90902777777777777</v>
      </c>
      <c r="Y991" s="75">
        <v>2.1527777777777701E-2</v>
      </c>
      <c r="Z991" s="76">
        <v>41752</v>
      </c>
      <c r="AA991" s="36" t="str">
        <f t="shared" si="330"/>
        <v>Internacional</v>
      </c>
      <c r="AB991" s="36">
        <f t="shared" si="330"/>
        <v>1.5111111111111106E-2</v>
      </c>
      <c r="AC991" s="36">
        <f t="shared" si="330"/>
        <v>1.213888888888889E-2</v>
      </c>
      <c r="AD991" s="36">
        <f t="shared" si="330"/>
        <v>2.7249999999999996E-2</v>
      </c>
      <c r="AE991" s="36" t="str">
        <f t="shared" si="330"/>
        <v>M80</v>
      </c>
      <c r="AF991" s="36">
        <f t="shared" si="330"/>
        <v>182</v>
      </c>
      <c r="AG991" s="36" t="str">
        <f t="shared" si="330"/>
        <v>DFW</v>
      </c>
      <c r="AI991">
        <v>977</v>
      </c>
      <c r="AJ991" s="77" t="str">
        <f t="shared" si="333"/>
        <v>INTERAVIÓN</v>
      </c>
      <c r="AK991" s="77">
        <f t="shared" si="333"/>
        <v>5210</v>
      </c>
      <c r="AL991" s="187">
        <v>0.54791666666666672</v>
      </c>
      <c r="AM991" s="95">
        <v>0.55208333333333337</v>
      </c>
      <c r="AN991" s="96">
        <v>4.1666666666666519E-3</v>
      </c>
      <c r="AO991" s="95">
        <v>0.5541666666666667</v>
      </c>
      <c r="AP991" s="96">
        <v>2.0833333333333259E-3</v>
      </c>
      <c r="AQ991" s="97">
        <v>41805</v>
      </c>
      <c r="AR991" s="77" t="str">
        <f t="shared" si="334"/>
        <v>Nacional</v>
      </c>
      <c r="AS991" s="77">
        <f t="shared" si="334"/>
        <v>6.9444444444444571E-3</v>
      </c>
      <c r="AT991" s="77">
        <f t="shared" si="334"/>
        <v>4.1666666666666336E-3</v>
      </c>
      <c r="AU991" s="77">
        <f t="shared" si="334"/>
        <v>1.1111111111111091E-2</v>
      </c>
      <c r="AV991" s="77">
        <f t="shared" si="334"/>
        <v>320</v>
      </c>
      <c r="AW991" s="77">
        <f t="shared" si="334"/>
        <v>179</v>
      </c>
      <c r="AX991" s="77" t="str">
        <f t="shared" si="334"/>
        <v>MEX</v>
      </c>
    </row>
    <row r="992" spans="1:50" x14ac:dyDescent="0.25">
      <c r="A992">
        <v>978</v>
      </c>
      <c r="B992" s="36" t="str">
        <f t="shared" si="328"/>
        <v>BARATA Y MORADA</v>
      </c>
      <c r="C992" s="36">
        <f t="shared" si="328"/>
        <v>941</v>
      </c>
      <c r="D992" s="118">
        <v>0.90625</v>
      </c>
      <c r="E992" s="118">
        <v>0.9194444444444444</v>
      </c>
      <c r="F992" s="119">
        <v>1.3194444444444398E-2</v>
      </c>
      <c r="G992" s="118">
        <v>0.93055555555555547</v>
      </c>
      <c r="H992" s="119">
        <v>1.1111111111111072E-2</v>
      </c>
      <c r="I992" s="81">
        <v>41719</v>
      </c>
      <c r="J992" s="36" t="str">
        <f t="shared" si="332"/>
        <v>Internacional</v>
      </c>
      <c r="K992" s="36">
        <f t="shared" si="332"/>
        <v>1.2202380952380949E-2</v>
      </c>
      <c r="L992" s="36">
        <f t="shared" si="332"/>
        <v>1.3244047619047612E-2</v>
      </c>
      <c r="M992" s="36">
        <f t="shared" si="332"/>
        <v>2.5446428571428561E-2</v>
      </c>
      <c r="N992" s="36" t="str">
        <f t="shared" si="332"/>
        <v>A319</v>
      </c>
      <c r="O992" s="36">
        <f t="shared" si="332"/>
        <v>142</v>
      </c>
      <c r="P992" s="36" t="str">
        <f t="shared" si="332"/>
        <v>MDW</v>
      </c>
      <c r="R992">
        <v>978</v>
      </c>
      <c r="S992" s="36" t="str">
        <f t="shared" si="319"/>
        <v>AEROLINEAS DE AMERICA</v>
      </c>
      <c r="T992" s="36">
        <f t="shared" si="319"/>
        <v>2313</v>
      </c>
      <c r="U992" s="73">
        <v>0.85763888888888884</v>
      </c>
      <c r="V992" s="74">
        <v>0.88194444444444453</v>
      </c>
      <c r="W992" s="75">
        <v>2.4305555555555691E-2</v>
      </c>
      <c r="X992" s="74">
        <v>0.88888888888888884</v>
      </c>
      <c r="Y992" s="75">
        <v>6.9444444444443088E-3</v>
      </c>
      <c r="Z992" s="76">
        <v>41752</v>
      </c>
      <c r="AA992" s="36" t="str">
        <f t="shared" si="330"/>
        <v>Internacional</v>
      </c>
      <c r="AB992" s="36">
        <f t="shared" si="330"/>
        <v>1.5111111111111106E-2</v>
      </c>
      <c r="AC992" s="36">
        <f t="shared" si="330"/>
        <v>1.213888888888889E-2</v>
      </c>
      <c r="AD992" s="36">
        <f t="shared" si="330"/>
        <v>2.7249999999999996E-2</v>
      </c>
      <c r="AE992" s="36" t="str">
        <f t="shared" si="330"/>
        <v>M80</v>
      </c>
      <c r="AF992" s="36">
        <f t="shared" si="330"/>
        <v>182</v>
      </c>
      <c r="AG992" s="36" t="str">
        <f t="shared" si="330"/>
        <v>DFW</v>
      </c>
      <c r="AI992">
        <v>978</v>
      </c>
      <c r="AJ992" s="77" t="str">
        <f t="shared" si="333"/>
        <v>INTERAVIÓN</v>
      </c>
      <c r="AK992" s="63">
        <v>3224</v>
      </c>
      <c r="AL992" s="185">
        <v>0.58472222222222225</v>
      </c>
      <c r="AM992" s="65">
        <v>0.59583333333333333</v>
      </c>
      <c r="AN992" s="66">
        <v>1.1111111111111072E-2</v>
      </c>
      <c r="AO992" s="65">
        <v>0.60069444444444442</v>
      </c>
      <c r="AP992" s="66">
        <v>4.8611111111110938E-3</v>
      </c>
      <c r="AQ992" s="67">
        <v>41808</v>
      </c>
      <c r="AR992" s="68" t="s">
        <v>19</v>
      </c>
      <c r="AS992" s="69">
        <v>1.1458333333333293E-2</v>
      </c>
      <c r="AT992" s="70">
        <v>5.2083333333333148E-3</v>
      </c>
      <c r="AU992" s="70">
        <v>1.6666666666666607E-2</v>
      </c>
      <c r="AV992" s="71" t="s">
        <v>81</v>
      </c>
      <c r="AW992" s="71">
        <v>179</v>
      </c>
      <c r="AX992" s="72" t="s">
        <v>21</v>
      </c>
    </row>
    <row r="993" spans="1:50" ht="15.75" thickBot="1" x14ac:dyDescent="0.3">
      <c r="A993">
        <v>979</v>
      </c>
      <c r="B993" s="36" t="str">
        <f t="shared" si="328"/>
        <v>BARATA Y MORADA</v>
      </c>
      <c r="C993" s="36">
        <f t="shared" si="328"/>
        <v>941</v>
      </c>
      <c r="D993" s="118">
        <v>0.92499999999999993</v>
      </c>
      <c r="E993" s="118">
        <v>0.93819444444444444</v>
      </c>
      <c r="F993" s="119">
        <v>1.3194444444444509E-2</v>
      </c>
      <c r="G993" s="118">
        <v>0.95000000000000007</v>
      </c>
      <c r="H993" s="119">
        <v>1.1805555555555625E-2</v>
      </c>
      <c r="I993" s="81">
        <v>41719</v>
      </c>
      <c r="J993" s="36" t="str">
        <f t="shared" si="332"/>
        <v>Internacional</v>
      </c>
      <c r="K993" s="36">
        <f t="shared" si="332"/>
        <v>1.2202380952380949E-2</v>
      </c>
      <c r="L993" s="36">
        <f t="shared" si="332"/>
        <v>1.3244047619047612E-2</v>
      </c>
      <c r="M993" s="36">
        <f t="shared" si="332"/>
        <v>2.5446428571428561E-2</v>
      </c>
      <c r="N993" s="36" t="str">
        <f t="shared" si="332"/>
        <v>A319</v>
      </c>
      <c r="O993" s="36">
        <f t="shared" si="332"/>
        <v>142</v>
      </c>
      <c r="P993" s="36" t="str">
        <f t="shared" si="332"/>
        <v>MDW</v>
      </c>
      <c r="R993">
        <v>979</v>
      </c>
      <c r="S993" s="36" t="str">
        <f t="shared" si="319"/>
        <v>AEROLINEAS DE AMERICA</v>
      </c>
      <c r="T993" s="36">
        <f t="shared" si="319"/>
        <v>2313</v>
      </c>
      <c r="U993" s="73">
        <v>0.875</v>
      </c>
      <c r="V993" s="74">
        <v>0.87986111111111109</v>
      </c>
      <c r="W993" s="75">
        <v>4.8611111111110938E-3</v>
      </c>
      <c r="X993" s="74">
        <v>0.88263888888888886</v>
      </c>
      <c r="Y993" s="75">
        <v>2.7777777777777679E-3</v>
      </c>
      <c r="Z993" s="76">
        <v>41754</v>
      </c>
      <c r="AA993" s="36" t="str">
        <f t="shared" si="330"/>
        <v>Internacional</v>
      </c>
      <c r="AB993" s="36">
        <f t="shared" si="330"/>
        <v>1.5111111111111106E-2</v>
      </c>
      <c r="AC993" s="36">
        <f t="shared" si="330"/>
        <v>1.213888888888889E-2</v>
      </c>
      <c r="AD993" s="36">
        <f t="shared" si="330"/>
        <v>2.7249999999999996E-2</v>
      </c>
      <c r="AE993" s="36" t="str">
        <f t="shared" si="330"/>
        <v>M80</v>
      </c>
      <c r="AF993" s="36">
        <f t="shared" si="330"/>
        <v>182</v>
      </c>
      <c r="AG993" s="36" t="str">
        <f t="shared" si="330"/>
        <v>DFW</v>
      </c>
      <c r="AI993">
        <v>979</v>
      </c>
      <c r="AJ993" s="77" t="str">
        <f t="shared" si="333"/>
        <v>INTERAVIÓN</v>
      </c>
      <c r="AK993" s="77">
        <f>AK992</f>
        <v>3224</v>
      </c>
      <c r="AL993" s="187">
        <v>0.61458333333333337</v>
      </c>
      <c r="AM993" s="95">
        <v>0.62638888888888888</v>
      </c>
      <c r="AN993" s="96">
        <v>1.1805555555555514E-2</v>
      </c>
      <c r="AO993" s="95">
        <v>0.63194444444444442</v>
      </c>
      <c r="AP993" s="96">
        <v>5.5555555555555358E-3</v>
      </c>
      <c r="AQ993" s="97">
        <v>41813</v>
      </c>
      <c r="AR993" s="77" t="str">
        <f t="shared" ref="AR993:AX993" si="335">AR992</f>
        <v>Nacional</v>
      </c>
      <c r="AS993" s="77">
        <f t="shared" si="335"/>
        <v>1.1458333333333293E-2</v>
      </c>
      <c r="AT993" s="77">
        <f t="shared" si="335"/>
        <v>5.2083333333333148E-3</v>
      </c>
      <c r="AU993" s="77">
        <f t="shared" si="335"/>
        <v>1.6666666666666607E-2</v>
      </c>
      <c r="AV993" s="77" t="str">
        <f t="shared" si="335"/>
        <v>SU1</v>
      </c>
      <c r="AW993" s="77">
        <f t="shared" si="335"/>
        <v>179</v>
      </c>
      <c r="AX993" s="77" t="str">
        <f t="shared" si="335"/>
        <v>MEX</v>
      </c>
    </row>
    <row r="994" spans="1:50" x14ac:dyDescent="0.25">
      <c r="A994">
        <v>980</v>
      </c>
      <c r="B994" s="36" t="str">
        <f t="shared" si="328"/>
        <v>BARATA Y MORADA</v>
      </c>
      <c r="C994" s="36">
        <f t="shared" si="328"/>
        <v>941</v>
      </c>
      <c r="D994" s="118">
        <v>0.92152777777777783</v>
      </c>
      <c r="E994" s="118">
        <v>0.93125000000000002</v>
      </c>
      <c r="F994" s="119">
        <v>9.7222222222221877E-3</v>
      </c>
      <c r="G994" s="118">
        <v>0.94791666666666663</v>
      </c>
      <c r="H994" s="119">
        <v>1.6666666666666607E-2</v>
      </c>
      <c r="I994" s="81">
        <v>41721</v>
      </c>
      <c r="J994" s="36" t="str">
        <f t="shared" si="332"/>
        <v>Internacional</v>
      </c>
      <c r="K994" s="36">
        <f t="shared" si="332"/>
        <v>1.2202380952380949E-2</v>
      </c>
      <c r="L994" s="36">
        <f t="shared" si="332"/>
        <v>1.3244047619047612E-2</v>
      </c>
      <c r="M994" s="36">
        <f t="shared" si="332"/>
        <v>2.5446428571428561E-2</v>
      </c>
      <c r="N994" s="36" t="str">
        <f t="shared" si="332"/>
        <v>A319</v>
      </c>
      <c r="O994" s="36">
        <f t="shared" si="332"/>
        <v>142</v>
      </c>
      <c r="P994" s="36" t="str">
        <f t="shared" si="332"/>
        <v>MDW</v>
      </c>
      <c r="R994">
        <v>980</v>
      </c>
      <c r="S994" s="36" t="str">
        <f t="shared" si="319"/>
        <v>AEROLINEAS DE AMERICA</v>
      </c>
      <c r="T994" s="36">
        <f t="shared" si="319"/>
        <v>2313</v>
      </c>
      <c r="U994" s="73">
        <v>0.85555555555555562</v>
      </c>
      <c r="V994" s="74">
        <v>0.87638888888888899</v>
      </c>
      <c r="W994" s="75">
        <v>2.083333333333337E-2</v>
      </c>
      <c r="X994" s="74">
        <v>0.88680555555555562</v>
      </c>
      <c r="Y994" s="75">
        <v>1.041666666666663E-2</v>
      </c>
      <c r="Z994" s="76">
        <v>41755</v>
      </c>
      <c r="AA994" s="36" t="str">
        <f t="shared" si="330"/>
        <v>Internacional</v>
      </c>
      <c r="AB994" s="36">
        <f t="shared" si="330"/>
        <v>1.5111111111111106E-2</v>
      </c>
      <c r="AC994" s="36">
        <f t="shared" si="330"/>
        <v>1.213888888888889E-2</v>
      </c>
      <c r="AD994" s="36">
        <f t="shared" si="330"/>
        <v>2.7249999999999996E-2</v>
      </c>
      <c r="AE994" s="36" t="str">
        <f t="shared" si="330"/>
        <v>M80</v>
      </c>
      <c r="AF994" s="36">
        <f t="shared" si="330"/>
        <v>182</v>
      </c>
      <c r="AG994" s="36" t="str">
        <f t="shared" si="330"/>
        <v>DFW</v>
      </c>
      <c r="AI994">
        <v>980</v>
      </c>
      <c r="AJ994" s="77" t="str">
        <f t="shared" si="333"/>
        <v>INTERAVIÓN</v>
      </c>
      <c r="AK994" s="63">
        <v>3206</v>
      </c>
      <c r="AL994" s="185">
        <v>0.47083333333333338</v>
      </c>
      <c r="AM994" s="65">
        <v>0.47916666666666669</v>
      </c>
      <c r="AN994" s="66">
        <v>8.3333333333333037E-3</v>
      </c>
      <c r="AO994" s="65">
        <v>0.4826388888888889</v>
      </c>
      <c r="AP994" s="66">
        <v>3.4722222222222099E-3</v>
      </c>
      <c r="AQ994" s="67">
        <v>41793</v>
      </c>
      <c r="AR994" s="68" t="s">
        <v>19</v>
      </c>
      <c r="AS994" s="69">
        <v>9.9537037037036868E-3</v>
      </c>
      <c r="AT994" s="70">
        <v>1.0185185185185167E-2</v>
      </c>
      <c r="AU994" s="70">
        <v>2.0138888888888852E-2</v>
      </c>
      <c r="AV994" s="71" t="s">
        <v>81</v>
      </c>
      <c r="AW994" s="71">
        <v>179</v>
      </c>
      <c r="AX994" s="72" t="s">
        <v>21</v>
      </c>
    </row>
    <row r="995" spans="1:50" x14ac:dyDescent="0.25">
      <c r="A995">
        <v>981</v>
      </c>
      <c r="B995" s="36" t="str">
        <f t="shared" si="328"/>
        <v>BARATA Y MORADA</v>
      </c>
      <c r="C995" s="36">
        <f t="shared" si="328"/>
        <v>941</v>
      </c>
      <c r="D995" s="118">
        <v>0.91041666666666676</v>
      </c>
      <c r="E995" s="118">
        <v>0.92152777777777783</v>
      </c>
      <c r="F995" s="119">
        <v>1.1111111111111072E-2</v>
      </c>
      <c r="G995" s="118">
        <v>0.93472222222222223</v>
      </c>
      <c r="H995" s="119">
        <v>1.3194444444444398E-2</v>
      </c>
      <c r="I995" s="81">
        <v>41721</v>
      </c>
      <c r="J995" s="36" t="str">
        <f t="shared" si="332"/>
        <v>Internacional</v>
      </c>
      <c r="K995" s="36">
        <f t="shared" si="332"/>
        <v>1.2202380952380949E-2</v>
      </c>
      <c r="L995" s="36">
        <f t="shared" si="332"/>
        <v>1.3244047619047612E-2</v>
      </c>
      <c r="M995" s="36">
        <f t="shared" si="332"/>
        <v>2.5446428571428561E-2</v>
      </c>
      <c r="N995" s="36" t="str">
        <f t="shared" si="332"/>
        <v>A319</v>
      </c>
      <c r="O995" s="36">
        <f t="shared" si="332"/>
        <v>142</v>
      </c>
      <c r="P995" s="36" t="str">
        <f t="shared" si="332"/>
        <v>MDW</v>
      </c>
      <c r="R995">
        <v>981</v>
      </c>
      <c r="S995" s="36" t="str">
        <f t="shared" si="319"/>
        <v>AEROLINEAS DE AMERICA</v>
      </c>
      <c r="T995" s="36">
        <f t="shared" si="319"/>
        <v>2313</v>
      </c>
      <c r="U995" s="73">
        <v>0.90555555555555556</v>
      </c>
      <c r="V995" s="74">
        <v>0.92291666666666661</v>
      </c>
      <c r="W995" s="75">
        <v>1.7361111111111049E-2</v>
      </c>
      <c r="X995" s="74">
        <v>0.93472222222222223</v>
      </c>
      <c r="Y995" s="75">
        <v>1.1805555555555625E-2</v>
      </c>
      <c r="Z995" s="76">
        <v>41756</v>
      </c>
      <c r="AA995" s="36" t="str">
        <f t="shared" si="330"/>
        <v>Internacional</v>
      </c>
      <c r="AB995" s="36">
        <f t="shared" si="330"/>
        <v>1.5111111111111106E-2</v>
      </c>
      <c r="AC995" s="36">
        <f t="shared" si="330"/>
        <v>1.213888888888889E-2</v>
      </c>
      <c r="AD995" s="36">
        <f t="shared" si="330"/>
        <v>2.7249999999999996E-2</v>
      </c>
      <c r="AE995" s="36" t="str">
        <f t="shared" si="330"/>
        <v>M80</v>
      </c>
      <c r="AF995" s="36">
        <f t="shared" si="330"/>
        <v>182</v>
      </c>
      <c r="AG995" s="36" t="str">
        <f t="shared" si="330"/>
        <v>DFW</v>
      </c>
      <c r="AI995">
        <v>981</v>
      </c>
      <c r="AJ995" s="77" t="str">
        <f t="shared" si="333"/>
        <v>INTERAVIÓN</v>
      </c>
      <c r="AK995" s="77">
        <f t="shared" si="333"/>
        <v>3206</v>
      </c>
      <c r="AL995" s="186">
        <v>0.9</v>
      </c>
      <c r="AM995" s="79">
        <v>0.91111111111111109</v>
      </c>
      <c r="AN995" s="80">
        <v>1.1111111111111072E-2</v>
      </c>
      <c r="AO995" s="79">
        <v>0.9194444444444444</v>
      </c>
      <c r="AP995" s="80">
        <v>8.3333333333333037E-3</v>
      </c>
      <c r="AQ995" s="81">
        <v>41801</v>
      </c>
      <c r="AR995" s="77" t="str">
        <f t="shared" ref="AR995:AX996" si="336">AR994</f>
        <v>Nacional</v>
      </c>
      <c r="AS995" s="77">
        <f t="shared" si="336"/>
        <v>9.9537037037036868E-3</v>
      </c>
      <c r="AT995" s="77">
        <f t="shared" si="336"/>
        <v>1.0185185185185167E-2</v>
      </c>
      <c r="AU995" s="77">
        <f t="shared" si="336"/>
        <v>2.0138888888888852E-2</v>
      </c>
      <c r="AV995" s="77" t="str">
        <f t="shared" si="336"/>
        <v>SU1</v>
      </c>
      <c r="AW995" s="77">
        <f t="shared" si="336"/>
        <v>179</v>
      </c>
      <c r="AX995" s="77" t="str">
        <f t="shared" si="336"/>
        <v>MEX</v>
      </c>
    </row>
    <row r="996" spans="1:50" ht="15.75" thickBot="1" x14ac:dyDescent="0.3">
      <c r="A996">
        <v>982</v>
      </c>
      <c r="B996" s="36" t="str">
        <f t="shared" si="328"/>
        <v>BARATA Y MORADA</v>
      </c>
      <c r="C996" s="36">
        <f t="shared" si="328"/>
        <v>941</v>
      </c>
      <c r="D996" s="118">
        <v>0.9145833333333333</v>
      </c>
      <c r="E996" s="118">
        <v>0.9291666666666667</v>
      </c>
      <c r="F996" s="119">
        <v>1.4583333333333393E-2</v>
      </c>
      <c r="G996" s="118">
        <v>0.93888888888888899</v>
      </c>
      <c r="H996" s="119">
        <v>9.7222222222222987E-3</v>
      </c>
      <c r="I996" s="81">
        <v>41723</v>
      </c>
      <c r="J996" s="36" t="str">
        <f t="shared" si="332"/>
        <v>Internacional</v>
      </c>
      <c r="K996" s="36">
        <f t="shared" si="332"/>
        <v>1.2202380952380949E-2</v>
      </c>
      <c r="L996" s="36">
        <f t="shared" si="332"/>
        <v>1.3244047619047612E-2</v>
      </c>
      <c r="M996" s="36">
        <f t="shared" si="332"/>
        <v>2.5446428571428561E-2</v>
      </c>
      <c r="N996" s="36" t="str">
        <f t="shared" si="332"/>
        <v>A319</v>
      </c>
      <c r="O996" s="36">
        <f t="shared" si="332"/>
        <v>142</v>
      </c>
      <c r="P996" s="36" t="str">
        <f t="shared" si="332"/>
        <v>MDW</v>
      </c>
      <c r="R996">
        <v>982</v>
      </c>
      <c r="S996" s="36" t="str">
        <f t="shared" si="319"/>
        <v>AEROLINEAS DE AMERICA</v>
      </c>
      <c r="T996" s="36">
        <f t="shared" si="319"/>
        <v>2313</v>
      </c>
      <c r="U996" s="73">
        <v>0.8569444444444444</v>
      </c>
      <c r="V996" s="74">
        <v>0.87083333333333324</v>
      </c>
      <c r="W996" s="75">
        <v>1.388888888888884E-2</v>
      </c>
      <c r="X996" s="74">
        <v>0.88888888888888884</v>
      </c>
      <c r="Y996" s="75">
        <v>1.8055555555555602E-2</v>
      </c>
      <c r="Z996" s="76">
        <v>41757</v>
      </c>
      <c r="AA996" s="36" t="str">
        <f t="shared" si="330"/>
        <v>Internacional</v>
      </c>
      <c r="AB996" s="36">
        <f t="shared" si="330"/>
        <v>1.5111111111111106E-2</v>
      </c>
      <c r="AC996" s="36">
        <f t="shared" si="330"/>
        <v>1.213888888888889E-2</v>
      </c>
      <c r="AD996" s="36">
        <f t="shared" si="330"/>
        <v>2.7249999999999996E-2</v>
      </c>
      <c r="AE996" s="36" t="str">
        <f t="shared" si="330"/>
        <v>M80</v>
      </c>
      <c r="AF996" s="36">
        <f t="shared" si="330"/>
        <v>182</v>
      </c>
      <c r="AG996" s="36" t="str">
        <f t="shared" si="330"/>
        <v>DFW</v>
      </c>
      <c r="AI996">
        <v>982</v>
      </c>
      <c r="AJ996" s="77" t="str">
        <f t="shared" si="333"/>
        <v>INTERAVIÓN</v>
      </c>
      <c r="AK996" s="77">
        <f>AK995</f>
        <v>3206</v>
      </c>
      <c r="AL996" s="187">
        <v>0.2722222222222222</v>
      </c>
      <c r="AM996" s="95">
        <v>0.28263888888888888</v>
      </c>
      <c r="AN996" s="96">
        <v>1.0416666666666685E-2</v>
      </c>
      <c r="AO996" s="95">
        <v>0.30138888888888887</v>
      </c>
      <c r="AP996" s="96">
        <v>1.8749999999999989E-2</v>
      </c>
      <c r="AQ996" s="97">
        <v>41807</v>
      </c>
      <c r="AR996" s="77" t="str">
        <f t="shared" si="336"/>
        <v>Nacional</v>
      </c>
      <c r="AS996" s="77">
        <f t="shared" si="336"/>
        <v>9.9537037037036868E-3</v>
      </c>
      <c r="AT996" s="77">
        <f t="shared" si="336"/>
        <v>1.0185185185185167E-2</v>
      </c>
      <c r="AU996" s="77">
        <f t="shared" si="336"/>
        <v>2.0138888888888852E-2</v>
      </c>
      <c r="AV996" s="77" t="str">
        <f t="shared" si="336"/>
        <v>SU1</v>
      </c>
      <c r="AW996" s="77">
        <f t="shared" si="336"/>
        <v>179</v>
      </c>
      <c r="AX996" s="77" t="str">
        <f t="shared" si="336"/>
        <v>MEX</v>
      </c>
    </row>
    <row r="997" spans="1:50" x14ac:dyDescent="0.25">
      <c r="A997">
        <v>983</v>
      </c>
      <c r="B997" s="36" t="str">
        <f t="shared" si="328"/>
        <v>BARATA Y MORADA</v>
      </c>
      <c r="C997" s="36">
        <f t="shared" si="328"/>
        <v>941</v>
      </c>
      <c r="D997" s="118">
        <v>0.9159722222222223</v>
      </c>
      <c r="E997" s="118">
        <v>0.92986111111111114</v>
      </c>
      <c r="F997" s="119">
        <v>1.388888888888884E-2</v>
      </c>
      <c r="G997" s="118">
        <v>0.94305555555555554</v>
      </c>
      <c r="H997" s="119">
        <v>1.3194444444444398E-2</v>
      </c>
      <c r="I997" s="81">
        <v>41724</v>
      </c>
      <c r="J997" s="36" t="str">
        <f t="shared" si="332"/>
        <v>Internacional</v>
      </c>
      <c r="K997" s="36">
        <f t="shared" si="332"/>
        <v>1.2202380952380949E-2</v>
      </c>
      <c r="L997" s="36">
        <f t="shared" si="332"/>
        <v>1.3244047619047612E-2</v>
      </c>
      <c r="M997" s="36">
        <f t="shared" si="332"/>
        <v>2.5446428571428561E-2</v>
      </c>
      <c r="N997" s="36" t="str">
        <f t="shared" si="332"/>
        <v>A319</v>
      </c>
      <c r="O997" s="36">
        <f t="shared" si="332"/>
        <v>142</v>
      </c>
      <c r="P997" s="36" t="str">
        <f t="shared" si="332"/>
        <v>MDW</v>
      </c>
      <c r="R997">
        <v>983</v>
      </c>
      <c r="S997" s="36" t="str">
        <f t="shared" si="319"/>
        <v>AEROLINEAS DE AMERICA</v>
      </c>
      <c r="T997" s="36">
        <f t="shared" si="319"/>
        <v>2313</v>
      </c>
      <c r="U997" s="73">
        <v>0.84791666666666676</v>
      </c>
      <c r="V997" s="74">
        <v>0.86597222222222225</v>
      </c>
      <c r="W997" s="75">
        <v>1.8055555555555491E-2</v>
      </c>
      <c r="X997" s="74">
        <v>0.87152777777777779</v>
      </c>
      <c r="Y997" s="75">
        <v>5.5555555555555358E-3</v>
      </c>
      <c r="Z997" s="76">
        <v>41759</v>
      </c>
      <c r="AA997" s="36" t="str">
        <f t="shared" si="330"/>
        <v>Internacional</v>
      </c>
      <c r="AB997" s="36">
        <f t="shared" si="330"/>
        <v>1.5111111111111106E-2</v>
      </c>
      <c r="AC997" s="36">
        <f t="shared" si="330"/>
        <v>1.213888888888889E-2</v>
      </c>
      <c r="AD997" s="36">
        <f t="shared" si="330"/>
        <v>2.7249999999999996E-2</v>
      </c>
      <c r="AE997" s="36" t="str">
        <f t="shared" si="330"/>
        <v>M80</v>
      </c>
      <c r="AF997" s="36">
        <f t="shared" si="330"/>
        <v>182</v>
      </c>
      <c r="AG997" s="36" t="str">
        <f t="shared" si="330"/>
        <v>DFW</v>
      </c>
      <c r="AI997">
        <v>983</v>
      </c>
      <c r="AJ997" s="77" t="str">
        <f t="shared" si="333"/>
        <v>INTERAVIÓN</v>
      </c>
      <c r="AK997" s="63">
        <v>3200</v>
      </c>
      <c r="AL997" s="185">
        <v>0.52083333333333337</v>
      </c>
      <c r="AM997" s="65">
        <v>0.52638888888888891</v>
      </c>
      <c r="AN997" s="66">
        <v>5.5555555555555358E-3</v>
      </c>
      <c r="AO997" s="65">
        <v>0.53055555555555556</v>
      </c>
      <c r="AP997" s="66">
        <v>4.1666666666666519E-3</v>
      </c>
      <c r="AQ997" s="67">
        <v>41792</v>
      </c>
      <c r="AR997" s="68" t="s">
        <v>19</v>
      </c>
      <c r="AS997" s="69">
        <v>7.9475308641974995E-3</v>
      </c>
      <c r="AT997" s="70">
        <v>6.7129629629629605E-3</v>
      </c>
      <c r="AU997" s="70">
        <v>1.466049382716046E-2</v>
      </c>
      <c r="AV997" s="71" t="s">
        <v>81</v>
      </c>
      <c r="AW997" s="71">
        <v>179</v>
      </c>
      <c r="AX997" s="72" t="s">
        <v>21</v>
      </c>
    </row>
    <row r="998" spans="1:50" ht="15.75" thickBot="1" x14ac:dyDescent="0.3">
      <c r="A998">
        <v>984</v>
      </c>
      <c r="B998" s="36" t="str">
        <f t="shared" si="328"/>
        <v>BARATA Y MORADA</v>
      </c>
      <c r="C998" s="36">
        <f t="shared" si="328"/>
        <v>941</v>
      </c>
      <c r="D998" s="118">
        <v>0.91319444444444453</v>
      </c>
      <c r="E998" s="118">
        <v>0.92291666666666661</v>
      </c>
      <c r="F998" s="119">
        <v>9.7222222222220767E-3</v>
      </c>
      <c r="G998" s="118">
        <v>0.93611111111111101</v>
      </c>
      <c r="H998" s="119">
        <v>1.3194444444444398E-2</v>
      </c>
      <c r="I998" s="81">
        <v>41724</v>
      </c>
      <c r="J998" s="36" t="str">
        <f t="shared" si="332"/>
        <v>Internacional</v>
      </c>
      <c r="K998" s="36">
        <f t="shared" si="332"/>
        <v>1.2202380952380949E-2</v>
      </c>
      <c r="L998" s="36">
        <f t="shared" si="332"/>
        <v>1.3244047619047612E-2</v>
      </c>
      <c r="M998" s="36">
        <f t="shared" si="332"/>
        <v>2.5446428571428561E-2</v>
      </c>
      <c r="N998" s="36" t="str">
        <f t="shared" si="332"/>
        <v>A319</v>
      </c>
      <c r="O998" s="36">
        <f t="shared" si="332"/>
        <v>142</v>
      </c>
      <c r="P998" s="36" t="str">
        <f t="shared" si="332"/>
        <v>MDW</v>
      </c>
      <c r="R998">
        <v>984</v>
      </c>
      <c r="S998" s="36" t="str">
        <f t="shared" si="319"/>
        <v>AEROLINEAS DE AMERICA</v>
      </c>
      <c r="T998" s="36">
        <f t="shared" si="319"/>
        <v>2313</v>
      </c>
      <c r="U998" s="83">
        <v>0.875</v>
      </c>
      <c r="V998" s="84">
        <v>0.89097222222222217</v>
      </c>
      <c r="W998" s="85">
        <v>1.5972222222222165E-2</v>
      </c>
      <c r="X998" s="84">
        <v>0.89861111111111114</v>
      </c>
      <c r="Y998" s="85">
        <v>7.6388888888889728E-3</v>
      </c>
      <c r="Z998" s="86">
        <v>41748</v>
      </c>
      <c r="AA998" s="36" t="str">
        <f t="shared" si="330"/>
        <v>Internacional</v>
      </c>
      <c r="AB998" s="36">
        <f t="shared" si="330"/>
        <v>1.5111111111111106E-2</v>
      </c>
      <c r="AC998" s="36">
        <f t="shared" si="330"/>
        <v>1.213888888888889E-2</v>
      </c>
      <c r="AD998" s="36">
        <f t="shared" si="330"/>
        <v>2.7249999999999996E-2</v>
      </c>
      <c r="AE998" s="36" t="str">
        <f t="shared" si="330"/>
        <v>M80</v>
      </c>
      <c r="AF998" s="36">
        <f t="shared" si="330"/>
        <v>182</v>
      </c>
      <c r="AG998" s="36" t="str">
        <f t="shared" si="330"/>
        <v>DFW</v>
      </c>
      <c r="AI998">
        <v>984</v>
      </c>
      <c r="AJ998" s="77" t="str">
        <f t="shared" si="333"/>
        <v>INTERAVIÓN</v>
      </c>
      <c r="AK998" s="77">
        <f t="shared" si="333"/>
        <v>3200</v>
      </c>
      <c r="AL998" s="186">
        <v>0.52708333333333335</v>
      </c>
      <c r="AM998" s="79">
        <v>0.53541666666666665</v>
      </c>
      <c r="AN998" s="80">
        <v>8.3333333333333037E-3</v>
      </c>
      <c r="AO998" s="79">
        <v>0.53888888888888886</v>
      </c>
      <c r="AP998" s="80">
        <v>3.4722222222222099E-3</v>
      </c>
      <c r="AQ998" s="81">
        <v>41796</v>
      </c>
      <c r="AR998" s="77" t="str">
        <f t="shared" ref="AR998:AX1005" si="337">AR997</f>
        <v>Nacional</v>
      </c>
      <c r="AS998" s="77">
        <f t="shared" si="337"/>
        <v>7.9475308641974995E-3</v>
      </c>
      <c r="AT998" s="77">
        <f t="shared" si="337"/>
        <v>6.7129629629629605E-3</v>
      </c>
      <c r="AU998" s="77">
        <f t="shared" si="337"/>
        <v>1.466049382716046E-2</v>
      </c>
      <c r="AV998" s="77" t="str">
        <f t="shared" si="337"/>
        <v>SU1</v>
      </c>
      <c r="AW998" s="77">
        <f t="shared" si="337"/>
        <v>179</v>
      </c>
      <c r="AX998" s="77" t="str">
        <f t="shared" si="337"/>
        <v>MEX</v>
      </c>
    </row>
    <row r="999" spans="1:50" x14ac:dyDescent="0.25">
      <c r="A999">
        <v>985</v>
      </c>
      <c r="B999" s="36" t="str">
        <f t="shared" si="328"/>
        <v>BARATA Y MORADA</v>
      </c>
      <c r="C999" s="36">
        <f t="shared" si="328"/>
        <v>941</v>
      </c>
      <c r="D999" s="118">
        <v>0.91041666666666676</v>
      </c>
      <c r="E999" s="118">
        <v>0.9291666666666667</v>
      </c>
      <c r="F999" s="119">
        <v>1.8749999999999933E-2</v>
      </c>
      <c r="G999" s="118">
        <v>0.94444444444444453</v>
      </c>
      <c r="H999" s="119">
        <v>1.5277777777777835E-2</v>
      </c>
      <c r="I999" s="81">
        <v>41725</v>
      </c>
      <c r="J999" s="36" t="str">
        <f t="shared" si="332"/>
        <v>Internacional</v>
      </c>
      <c r="K999" s="36">
        <f t="shared" si="332"/>
        <v>1.2202380952380949E-2</v>
      </c>
      <c r="L999" s="36">
        <f t="shared" si="332"/>
        <v>1.3244047619047612E-2</v>
      </c>
      <c r="M999" s="36">
        <f t="shared" si="332"/>
        <v>2.5446428571428561E-2</v>
      </c>
      <c r="N999" s="36" t="str">
        <f t="shared" si="332"/>
        <v>A319</v>
      </c>
      <c r="O999" s="36">
        <f t="shared" si="332"/>
        <v>142</v>
      </c>
      <c r="P999" s="36" t="str">
        <f t="shared" si="332"/>
        <v>MDW</v>
      </c>
      <c r="R999">
        <v>985</v>
      </c>
      <c r="S999" s="36" t="str">
        <f t="shared" si="319"/>
        <v>AEROLINEAS DE AMERICA</v>
      </c>
      <c r="T999" s="55">
        <v>387</v>
      </c>
      <c r="U999" s="56">
        <v>0.54861111111111105</v>
      </c>
      <c r="V999" s="57">
        <v>0.56319444444444444</v>
      </c>
      <c r="W999" s="58">
        <v>1.4583333333333393E-2</v>
      </c>
      <c r="X999" s="57">
        <v>0.57638888888888895</v>
      </c>
      <c r="Y999" s="58">
        <v>1.3194444444444509E-2</v>
      </c>
      <c r="Z999" s="59">
        <v>41731</v>
      </c>
      <c r="AA999" s="60" t="s">
        <v>22</v>
      </c>
      <c r="AB999" s="61">
        <v>1.566666666666669E-2</v>
      </c>
      <c r="AC999" s="61">
        <v>9.6123693379790952E-3</v>
      </c>
      <c r="AD999" s="62">
        <v>2.5279036004645785E-2</v>
      </c>
      <c r="AE999" s="167" t="s">
        <v>56</v>
      </c>
      <c r="AF999" s="167">
        <v>182</v>
      </c>
      <c r="AG999" s="168" t="s">
        <v>23</v>
      </c>
      <c r="AI999">
        <v>985</v>
      </c>
      <c r="AJ999" s="77" t="str">
        <f t="shared" si="333"/>
        <v>INTERAVIÓN</v>
      </c>
      <c r="AK999" s="77">
        <f t="shared" si="333"/>
        <v>3200</v>
      </c>
      <c r="AL999" s="186">
        <v>0.52500000000000002</v>
      </c>
      <c r="AM999" s="79">
        <v>0.52916666666666667</v>
      </c>
      <c r="AN999" s="80">
        <v>4.1666666666666519E-3</v>
      </c>
      <c r="AO999" s="79">
        <v>0.53055555555555556</v>
      </c>
      <c r="AP999" s="80">
        <v>1.388888888888884E-3</v>
      </c>
      <c r="AQ999" s="81">
        <v>41799</v>
      </c>
      <c r="AR999" s="77" t="str">
        <f t="shared" si="337"/>
        <v>Nacional</v>
      </c>
      <c r="AS999" s="77">
        <f t="shared" si="337"/>
        <v>7.9475308641974995E-3</v>
      </c>
      <c r="AT999" s="77">
        <f t="shared" si="337"/>
        <v>6.7129629629629605E-3</v>
      </c>
      <c r="AU999" s="77">
        <f t="shared" si="337"/>
        <v>1.466049382716046E-2</v>
      </c>
      <c r="AV999" s="77" t="str">
        <f t="shared" si="337"/>
        <v>SU1</v>
      </c>
      <c r="AW999" s="77">
        <f t="shared" si="337"/>
        <v>179</v>
      </c>
      <c r="AX999" s="77" t="str">
        <f t="shared" si="337"/>
        <v>MEX</v>
      </c>
    </row>
    <row r="1000" spans="1:50" x14ac:dyDescent="0.25">
      <c r="A1000">
        <v>986</v>
      </c>
      <c r="B1000" s="36" t="str">
        <f t="shared" si="328"/>
        <v>BARATA Y MORADA</v>
      </c>
      <c r="C1000" s="36">
        <f t="shared" si="328"/>
        <v>941</v>
      </c>
      <c r="D1000" s="118">
        <v>0.91736111111111107</v>
      </c>
      <c r="E1000" s="118">
        <v>0.92708333333333337</v>
      </c>
      <c r="F1000" s="119">
        <v>9.7222222222222987E-3</v>
      </c>
      <c r="G1000" s="118">
        <v>0.93958333333333333</v>
      </c>
      <c r="H1000" s="119">
        <v>1.2499999999999956E-2</v>
      </c>
      <c r="I1000" s="81">
        <v>41727</v>
      </c>
      <c r="J1000" s="36" t="str">
        <f t="shared" si="332"/>
        <v>Internacional</v>
      </c>
      <c r="K1000" s="36">
        <f t="shared" si="332"/>
        <v>1.2202380952380949E-2</v>
      </c>
      <c r="L1000" s="36">
        <f t="shared" si="332"/>
        <v>1.3244047619047612E-2</v>
      </c>
      <c r="M1000" s="36">
        <f t="shared" si="332"/>
        <v>2.5446428571428561E-2</v>
      </c>
      <c r="N1000" s="36" t="str">
        <f t="shared" si="332"/>
        <v>A319</v>
      </c>
      <c r="O1000" s="36">
        <f t="shared" si="332"/>
        <v>142</v>
      </c>
      <c r="P1000" s="36" t="str">
        <f t="shared" si="332"/>
        <v>MDW</v>
      </c>
      <c r="R1000">
        <v>986</v>
      </c>
      <c r="S1000" s="36" t="str">
        <f t="shared" si="319"/>
        <v>AEROLINEAS DE AMERICA</v>
      </c>
      <c r="T1000" s="36">
        <f t="shared" si="319"/>
        <v>387</v>
      </c>
      <c r="U1000" s="73">
        <v>0.54861111111111105</v>
      </c>
      <c r="V1000" s="74">
        <v>0.56319444444444444</v>
      </c>
      <c r="W1000" s="75">
        <v>1.4583333333333393E-2</v>
      </c>
      <c r="X1000" s="74">
        <v>0.57638888888888895</v>
      </c>
      <c r="Y1000" s="75">
        <v>1.3194444444444509E-2</v>
      </c>
      <c r="Z1000" s="76">
        <v>41731</v>
      </c>
      <c r="AA1000" s="36" t="str">
        <f t="shared" ref="AA1000:AG1023" si="338">AA999</f>
        <v>Internacional</v>
      </c>
      <c r="AB1000" s="36">
        <f t="shared" si="338"/>
        <v>1.566666666666669E-2</v>
      </c>
      <c r="AC1000" s="36">
        <f t="shared" si="338"/>
        <v>9.6123693379790952E-3</v>
      </c>
      <c r="AD1000" s="36">
        <f t="shared" si="338"/>
        <v>2.5279036004645785E-2</v>
      </c>
      <c r="AE1000" s="36" t="str">
        <f t="shared" si="338"/>
        <v>M80</v>
      </c>
      <c r="AF1000" s="36">
        <f t="shared" si="338"/>
        <v>182</v>
      </c>
      <c r="AG1000" s="36" t="str">
        <f t="shared" si="338"/>
        <v>DFW</v>
      </c>
      <c r="AI1000">
        <v>986</v>
      </c>
      <c r="AJ1000" s="77" t="str">
        <f t="shared" si="333"/>
        <v>INTERAVIÓN</v>
      </c>
      <c r="AK1000" s="77">
        <f t="shared" si="333"/>
        <v>3200</v>
      </c>
      <c r="AL1000" s="186">
        <v>0.88194444444444453</v>
      </c>
      <c r="AM1000" s="79">
        <v>0.89444444444444438</v>
      </c>
      <c r="AN1000" s="80">
        <v>1.2499999999999845E-2</v>
      </c>
      <c r="AO1000" s="79">
        <v>0.90277777777777779</v>
      </c>
      <c r="AP1000" s="80">
        <v>8.3333333333334147E-3</v>
      </c>
      <c r="AQ1000" s="81">
        <v>41801</v>
      </c>
      <c r="AR1000" s="77" t="str">
        <f t="shared" si="337"/>
        <v>Nacional</v>
      </c>
      <c r="AS1000" s="77">
        <f t="shared" si="337"/>
        <v>7.9475308641974995E-3</v>
      </c>
      <c r="AT1000" s="77">
        <f t="shared" si="337"/>
        <v>6.7129629629629605E-3</v>
      </c>
      <c r="AU1000" s="77">
        <f t="shared" si="337"/>
        <v>1.466049382716046E-2</v>
      </c>
      <c r="AV1000" s="77" t="str">
        <f t="shared" si="337"/>
        <v>SU1</v>
      </c>
      <c r="AW1000" s="77">
        <f t="shared" si="337"/>
        <v>179</v>
      </c>
      <c r="AX1000" s="77" t="str">
        <f t="shared" si="337"/>
        <v>MEX</v>
      </c>
    </row>
    <row r="1001" spans="1:50" ht="15.75" thickBot="1" x14ac:dyDescent="0.3">
      <c r="A1001">
        <v>987</v>
      </c>
      <c r="B1001" s="36" t="str">
        <f t="shared" si="328"/>
        <v>BARATA Y MORADA</v>
      </c>
      <c r="C1001" s="36">
        <f t="shared" si="328"/>
        <v>941</v>
      </c>
      <c r="D1001" s="176">
        <v>0.88611111111111107</v>
      </c>
      <c r="E1001" s="176">
        <v>0.8965277777777777</v>
      </c>
      <c r="F1001" s="177">
        <v>1.041666666666663E-2</v>
      </c>
      <c r="G1001" s="176">
        <v>0.91180555555555554</v>
      </c>
      <c r="H1001" s="177">
        <v>1.5277777777777835E-2</v>
      </c>
      <c r="I1001" s="97">
        <v>41728</v>
      </c>
      <c r="J1001" s="36" t="str">
        <f t="shared" si="332"/>
        <v>Internacional</v>
      </c>
      <c r="K1001" s="36">
        <f t="shared" si="332"/>
        <v>1.2202380952380949E-2</v>
      </c>
      <c r="L1001" s="36">
        <f t="shared" si="332"/>
        <v>1.3244047619047612E-2</v>
      </c>
      <c r="M1001" s="36">
        <f t="shared" si="332"/>
        <v>2.5446428571428561E-2</v>
      </c>
      <c r="N1001" s="36" t="str">
        <f t="shared" si="332"/>
        <v>A319</v>
      </c>
      <c r="O1001" s="36">
        <f t="shared" si="332"/>
        <v>142</v>
      </c>
      <c r="P1001" s="36" t="str">
        <f t="shared" si="332"/>
        <v>MDW</v>
      </c>
      <c r="R1001">
        <v>987</v>
      </c>
      <c r="S1001" s="36" t="str">
        <f t="shared" si="319"/>
        <v>AEROLINEAS DE AMERICA</v>
      </c>
      <c r="T1001" s="36">
        <f t="shared" si="319"/>
        <v>387</v>
      </c>
      <c r="U1001" s="73">
        <v>0.5493055555555556</v>
      </c>
      <c r="V1001" s="74">
        <v>0.56111111111111112</v>
      </c>
      <c r="W1001" s="75">
        <v>1.1805555555555514E-2</v>
      </c>
      <c r="X1001" s="74">
        <v>0.59166666666666667</v>
      </c>
      <c r="Y1001" s="75">
        <v>3.0555555555555558E-2</v>
      </c>
      <c r="Z1001" s="76">
        <v>41732</v>
      </c>
      <c r="AA1001" s="36" t="str">
        <f t="shared" si="338"/>
        <v>Internacional</v>
      </c>
      <c r="AB1001" s="36">
        <f t="shared" si="338"/>
        <v>1.566666666666669E-2</v>
      </c>
      <c r="AC1001" s="36">
        <f t="shared" si="338"/>
        <v>9.6123693379790952E-3</v>
      </c>
      <c r="AD1001" s="36">
        <f t="shared" si="338"/>
        <v>2.5279036004645785E-2</v>
      </c>
      <c r="AE1001" s="36" t="str">
        <f t="shared" si="338"/>
        <v>M80</v>
      </c>
      <c r="AF1001" s="36">
        <f t="shared" si="338"/>
        <v>182</v>
      </c>
      <c r="AG1001" s="36" t="str">
        <f t="shared" si="338"/>
        <v>DFW</v>
      </c>
      <c r="AI1001">
        <v>987</v>
      </c>
      <c r="AJ1001" s="77" t="str">
        <f t="shared" si="333"/>
        <v>INTERAVIÓN</v>
      </c>
      <c r="AK1001" s="77">
        <f t="shared" si="333"/>
        <v>3200</v>
      </c>
      <c r="AL1001" s="186">
        <v>0.20347222222222219</v>
      </c>
      <c r="AM1001" s="79">
        <v>0.21527777777777779</v>
      </c>
      <c r="AN1001" s="80">
        <v>1.1805555555555597E-2</v>
      </c>
      <c r="AO1001" s="79">
        <v>0.24097222222222223</v>
      </c>
      <c r="AP1001" s="80">
        <v>2.5694444444444436E-2</v>
      </c>
      <c r="AQ1001" s="81">
        <v>41802</v>
      </c>
      <c r="AR1001" s="77" t="str">
        <f t="shared" si="337"/>
        <v>Nacional</v>
      </c>
      <c r="AS1001" s="77">
        <f t="shared" si="337"/>
        <v>7.9475308641974995E-3</v>
      </c>
      <c r="AT1001" s="77">
        <f t="shared" si="337"/>
        <v>6.7129629629629605E-3</v>
      </c>
      <c r="AU1001" s="77">
        <f t="shared" si="337"/>
        <v>1.466049382716046E-2</v>
      </c>
      <c r="AV1001" s="77" t="str">
        <f t="shared" si="337"/>
        <v>SU1</v>
      </c>
      <c r="AW1001" s="77">
        <f t="shared" si="337"/>
        <v>179</v>
      </c>
      <c r="AX1001" s="77" t="str">
        <f t="shared" si="337"/>
        <v>MEX</v>
      </c>
    </row>
    <row r="1002" spans="1:50" x14ac:dyDescent="0.25">
      <c r="A1002">
        <v>988</v>
      </c>
      <c r="B1002" s="36" t="str">
        <f t="shared" si="328"/>
        <v>BARATA Y MORADA</v>
      </c>
      <c r="C1002" s="151">
        <v>931</v>
      </c>
      <c r="D1002" s="152">
        <v>0.76250000000000007</v>
      </c>
      <c r="E1002" s="152">
        <v>0.77083333333333337</v>
      </c>
      <c r="F1002" s="153">
        <v>8.3333333333333037E-3</v>
      </c>
      <c r="G1002" s="152">
        <v>0.78611111111111109</v>
      </c>
      <c r="H1002" s="153">
        <v>1.5277777777777724E-2</v>
      </c>
      <c r="I1002" s="67">
        <v>41714</v>
      </c>
      <c r="J1002" s="68" t="s">
        <v>22</v>
      </c>
      <c r="K1002" s="135">
        <v>9.4328703703703918E-3</v>
      </c>
      <c r="L1002" s="135">
        <v>1.4293981481481477E-2</v>
      </c>
      <c r="M1002" s="175">
        <v>2.3726851851851867E-2</v>
      </c>
      <c r="N1002" s="90">
        <v>320</v>
      </c>
      <c r="O1002" s="91">
        <v>179</v>
      </c>
      <c r="P1002" s="92" t="s">
        <v>73</v>
      </c>
      <c r="R1002">
        <v>988</v>
      </c>
      <c r="S1002" s="36" t="str">
        <f t="shared" si="319"/>
        <v>AEROLINEAS DE AMERICA</v>
      </c>
      <c r="T1002" s="36">
        <f t="shared" si="319"/>
        <v>387</v>
      </c>
      <c r="U1002" s="73">
        <v>0.55138888888888882</v>
      </c>
      <c r="V1002" s="74">
        <v>0.56944444444444442</v>
      </c>
      <c r="W1002" s="75">
        <v>1.8055555555555602E-2</v>
      </c>
      <c r="X1002" s="74">
        <v>0.5756944444444444</v>
      </c>
      <c r="Y1002" s="75">
        <v>6.2499999999999778E-3</v>
      </c>
      <c r="Z1002" s="76">
        <v>41733</v>
      </c>
      <c r="AA1002" s="36" t="str">
        <f t="shared" si="338"/>
        <v>Internacional</v>
      </c>
      <c r="AB1002" s="36">
        <f t="shared" si="338"/>
        <v>1.566666666666669E-2</v>
      </c>
      <c r="AC1002" s="36">
        <f t="shared" si="338"/>
        <v>9.6123693379790952E-3</v>
      </c>
      <c r="AD1002" s="36">
        <f t="shared" si="338"/>
        <v>2.5279036004645785E-2</v>
      </c>
      <c r="AE1002" s="36" t="str">
        <f t="shared" si="338"/>
        <v>M80</v>
      </c>
      <c r="AF1002" s="36">
        <f t="shared" si="338"/>
        <v>182</v>
      </c>
      <c r="AG1002" s="36" t="str">
        <f t="shared" si="338"/>
        <v>DFW</v>
      </c>
      <c r="AI1002">
        <v>988</v>
      </c>
      <c r="AJ1002" s="77" t="str">
        <f t="shared" si="333"/>
        <v>INTERAVIÓN</v>
      </c>
      <c r="AK1002" s="77">
        <f t="shared" si="333"/>
        <v>3200</v>
      </c>
      <c r="AL1002" s="186">
        <v>0.69861111111111107</v>
      </c>
      <c r="AM1002" s="79">
        <v>0.70347222222222217</v>
      </c>
      <c r="AN1002" s="80">
        <v>4.8611111111110938E-3</v>
      </c>
      <c r="AO1002" s="79">
        <v>0.7090277777777777</v>
      </c>
      <c r="AP1002" s="80">
        <v>5.5555555555555358E-3</v>
      </c>
      <c r="AQ1002" s="81">
        <v>41803</v>
      </c>
      <c r="AR1002" s="77" t="str">
        <f t="shared" si="337"/>
        <v>Nacional</v>
      </c>
      <c r="AS1002" s="77">
        <f t="shared" si="337"/>
        <v>7.9475308641974995E-3</v>
      </c>
      <c r="AT1002" s="77">
        <f t="shared" si="337"/>
        <v>6.7129629629629605E-3</v>
      </c>
      <c r="AU1002" s="77">
        <f t="shared" si="337"/>
        <v>1.466049382716046E-2</v>
      </c>
      <c r="AV1002" s="77" t="str">
        <f t="shared" si="337"/>
        <v>SU1</v>
      </c>
      <c r="AW1002" s="77">
        <f t="shared" si="337"/>
        <v>179</v>
      </c>
      <c r="AX1002" s="77" t="str">
        <f t="shared" si="337"/>
        <v>MEX</v>
      </c>
    </row>
    <row r="1003" spans="1:50" x14ac:dyDescent="0.25">
      <c r="A1003">
        <v>989</v>
      </c>
      <c r="B1003" s="36" t="str">
        <f t="shared" si="328"/>
        <v>BARATA Y MORADA</v>
      </c>
      <c r="C1003" s="36">
        <f t="shared" si="328"/>
        <v>931</v>
      </c>
      <c r="D1003" s="118">
        <v>0.78611111111111109</v>
      </c>
      <c r="E1003" s="118">
        <v>0.79027777777777775</v>
      </c>
      <c r="F1003" s="119">
        <v>4.1666666666666519E-3</v>
      </c>
      <c r="G1003" s="118">
        <v>0.80763888888888891</v>
      </c>
      <c r="H1003" s="119">
        <v>1.736111111111116E-2</v>
      </c>
      <c r="I1003" s="81">
        <v>41715</v>
      </c>
      <c r="J1003" s="36" t="str">
        <f t="shared" ref="J1003:P1013" si="339">J1002</f>
        <v>Internacional</v>
      </c>
      <c r="K1003" s="36">
        <f t="shared" si="339"/>
        <v>9.4328703703703918E-3</v>
      </c>
      <c r="L1003" s="36">
        <f t="shared" si="339"/>
        <v>1.4293981481481477E-2</v>
      </c>
      <c r="M1003" s="36">
        <f t="shared" si="339"/>
        <v>2.3726851851851867E-2</v>
      </c>
      <c r="N1003" s="36">
        <f t="shared" si="339"/>
        <v>320</v>
      </c>
      <c r="O1003" s="36">
        <f t="shared" si="339"/>
        <v>179</v>
      </c>
      <c r="P1003" s="36" t="str">
        <f t="shared" si="339"/>
        <v>SJC</v>
      </c>
      <c r="R1003">
        <v>989</v>
      </c>
      <c r="S1003" s="36" t="str">
        <f t="shared" si="319"/>
        <v>AEROLINEAS DE AMERICA</v>
      </c>
      <c r="T1003" s="36">
        <f t="shared" si="319"/>
        <v>387</v>
      </c>
      <c r="U1003" s="73">
        <v>0.55138888888888882</v>
      </c>
      <c r="V1003" s="74">
        <v>0.56319444444444444</v>
      </c>
      <c r="W1003" s="75">
        <v>1.1805555555555625E-2</v>
      </c>
      <c r="X1003" s="74">
        <v>0.56944444444444442</v>
      </c>
      <c r="Y1003" s="75">
        <v>6.2499999999999778E-3</v>
      </c>
      <c r="Z1003" s="76">
        <v>41734</v>
      </c>
      <c r="AA1003" s="36" t="str">
        <f t="shared" si="338"/>
        <v>Internacional</v>
      </c>
      <c r="AB1003" s="36">
        <f t="shared" si="338"/>
        <v>1.566666666666669E-2</v>
      </c>
      <c r="AC1003" s="36">
        <f t="shared" si="338"/>
        <v>9.6123693379790952E-3</v>
      </c>
      <c r="AD1003" s="36">
        <f t="shared" si="338"/>
        <v>2.5279036004645785E-2</v>
      </c>
      <c r="AE1003" s="36" t="str">
        <f t="shared" si="338"/>
        <v>M80</v>
      </c>
      <c r="AF1003" s="36">
        <f t="shared" si="338"/>
        <v>182</v>
      </c>
      <c r="AG1003" s="36" t="str">
        <f t="shared" si="338"/>
        <v>DFW</v>
      </c>
      <c r="AI1003">
        <v>989</v>
      </c>
      <c r="AJ1003" s="77" t="str">
        <f t="shared" si="333"/>
        <v>INTERAVIÓN</v>
      </c>
      <c r="AK1003" s="77">
        <f t="shared" si="333"/>
        <v>3200</v>
      </c>
      <c r="AL1003" s="186">
        <v>0.52430555555555558</v>
      </c>
      <c r="AM1003" s="79">
        <v>0.53263888888888888</v>
      </c>
      <c r="AN1003" s="80">
        <v>8.3333333333333037E-3</v>
      </c>
      <c r="AO1003" s="79">
        <v>0.53680555555555554</v>
      </c>
      <c r="AP1003" s="80">
        <v>4.1666666666666519E-3</v>
      </c>
      <c r="AQ1003" s="81">
        <v>41809</v>
      </c>
      <c r="AR1003" s="77" t="str">
        <f t="shared" si="337"/>
        <v>Nacional</v>
      </c>
      <c r="AS1003" s="77">
        <f t="shared" si="337"/>
        <v>7.9475308641974995E-3</v>
      </c>
      <c r="AT1003" s="77">
        <f t="shared" si="337"/>
        <v>6.7129629629629605E-3</v>
      </c>
      <c r="AU1003" s="77">
        <f t="shared" si="337"/>
        <v>1.466049382716046E-2</v>
      </c>
      <c r="AV1003" s="77" t="str">
        <f t="shared" si="337"/>
        <v>SU1</v>
      </c>
      <c r="AW1003" s="77">
        <f t="shared" si="337"/>
        <v>179</v>
      </c>
      <c r="AX1003" s="77" t="str">
        <f t="shared" si="337"/>
        <v>MEX</v>
      </c>
    </row>
    <row r="1004" spans="1:50" x14ac:dyDescent="0.25">
      <c r="A1004">
        <v>990</v>
      </c>
      <c r="B1004" s="36" t="str">
        <f t="shared" si="328"/>
        <v>BARATA Y MORADA</v>
      </c>
      <c r="C1004" s="36">
        <f t="shared" si="328"/>
        <v>931</v>
      </c>
      <c r="D1004" s="118">
        <v>0.77222222222222225</v>
      </c>
      <c r="E1004" s="118">
        <v>0.78541666666666676</v>
      </c>
      <c r="F1004" s="119">
        <v>1.3194444444444509E-2</v>
      </c>
      <c r="G1004" s="118">
        <v>0.79513888888888884</v>
      </c>
      <c r="H1004" s="119">
        <v>9.7222222222220767E-3</v>
      </c>
      <c r="I1004" s="81">
        <v>41717</v>
      </c>
      <c r="J1004" s="36" t="str">
        <f t="shared" si="339"/>
        <v>Internacional</v>
      </c>
      <c r="K1004" s="36">
        <f t="shared" si="339"/>
        <v>9.4328703703703918E-3</v>
      </c>
      <c r="L1004" s="36">
        <f t="shared" si="339"/>
        <v>1.4293981481481477E-2</v>
      </c>
      <c r="M1004" s="36">
        <f t="shared" si="339"/>
        <v>2.3726851851851867E-2</v>
      </c>
      <c r="N1004" s="36">
        <f t="shared" si="339"/>
        <v>320</v>
      </c>
      <c r="O1004" s="36">
        <f t="shared" si="339"/>
        <v>179</v>
      </c>
      <c r="P1004" s="36" t="str">
        <f t="shared" si="339"/>
        <v>SJC</v>
      </c>
      <c r="R1004">
        <v>990</v>
      </c>
      <c r="S1004" s="36" t="str">
        <f t="shared" si="319"/>
        <v>AEROLINEAS DE AMERICA</v>
      </c>
      <c r="T1004" s="36">
        <f t="shared" si="319"/>
        <v>387</v>
      </c>
      <c r="U1004" s="73">
        <v>0.625</v>
      </c>
      <c r="V1004" s="74">
        <v>0.63541666666666663</v>
      </c>
      <c r="W1004" s="75">
        <v>1.041666666666663E-2</v>
      </c>
      <c r="X1004" s="74">
        <v>0.64722222222222225</v>
      </c>
      <c r="Y1004" s="75">
        <v>1.1805555555555625E-2</v>
      </c>
      <c r="Z1004" s="76">
        <v>41735</v>
      </c>
      <c r="AA1004" s="36" t="str">
        <f t="shared" si="338"/>
        <v>Internacional</v>
      </c>
      <c r="AB1004" s="36">
        <f t="shared" si="338"/>
        <v>1.566666666666669E-2</v>
      </c>
      <c r="AC1004" s="36">
        <f t="shared" si="338"/>
        <v>9.6123693379790952E-3</v>
      </c>
      <c r="AD1004" s="36">
        <f t="shared" si="338"/>
        <v>2.5279036004645785E-2</v>
      </c>
      <c r="AE1004" s="36" t="str">
        <f t="shared" si="338"/>
        <v>M80</v>
      </c>
      <c r="AF1004" s="36">
        <f t="shared" si="338"/>
        <v>182</v>
      </c>
      <c r="AG1004" s="36" t="str">
        <f t="shared" si="338"/>
        <v>DFW</v>
      </c>
      <c r="AI1004">
        <v>990</v>
      </c>
      <c r="AJ1004" s="77" t="str">
        <f t="shared" si="333"/>
        <v>INTERAVIÓN</v>
      </c>
      <c r="AK1004" s="77">
        <f t="shared" si="333"/>
        <v>3200</v>
      </c>
      <c r="AL1004" s="186">
        <v>0.53680555555555554</v>
      </c>
      <c r="AM1004" s="79">
        <v>0.5444444444444444</v>
      </c>
      <c r="AN1004" s="80">
        <v>7.6388888888888618E-3</v>
      </c>
      <c r="AO1004" s="79">
        <v>0.54861111111111105</v>
      </c>
      <c r="AP1004" s="80">
        <v>4.1666666666666519E-3</v>
      </c>
      <c r="AQ1004" s="81">
        <v>41810</v>
      </c>
      <c r="AR1004" s="77" t="str">
        <f t="shared" si="337"/>
        <v>Nacional</v>
      </c>
      <c r="AS1004" s="77">
        <f t="shared" si="337"/>
        <v>7.9475308641974995E-3</v>
      </c>
      <c r="AT1004" s="77">
        <f t="shared" si="337"/>
        <v>6.7129629629629605E-3</v>
      </c>
      <c r="AU1004" s="77">
        <f t="shared" si="337"/>
        <v>1.466049382716046E-2</v>
      </c>
      <c r="AV1004" s="77" t="str">
        <f t="shared" si="337"/>
        <v>SU1</v>
      </c>
      <c r="AW1004" s="77">
        <f t="shared" si="337"/>
        <v>179</v>
      </c>
      <c r="AX1004" s="77" t="str">
        <f t="shared" si="337"/>
        <v>MEX</v>
      </c>
    </row>
    <row r="1005" spans="1:50" ht="15.75" thickBot="1" x14ac:dyDescent="0.3">
      <c r="A1005">
        <v>991</v>
      </c>
      <c r="B1005" s="36" t="str">
        <f t="shared" si="328"/>
        <v>BARATA Y MORADA</v>
      </c>
      <c r="C1005" s="36">
        <f t="shared" si="328"/>
        <v>931</v>
      </c>
      <c r="D1005" s="118">
        <v>0.7715277777777777</v>
      </c>
      <c r="E1005" s="118">
        <v>0.78333333333333333</v>
      </c>
      <c r="F1005" s="119">
        <v>1.1805555555555625E-2</v>
      </c>
      <c r="G1005" s="118">
        <v>0.80208333333333337</v>
      </c>
      <c r="H1005" s="119">
        <v>1.8750000000000044E-2</v>
      </c>
      <c r="I1005" s="81">
        <v>41718</v>
      </c>
      <c r="J1005" s="36" t="str">
        <f t="shared" si="339"/>
        <v>Internacional</v>
      </c>
      <c r="K1005" s="36">
        <f t="shared" si="339"/>
        <v>9.4328703703703918E-3</v>
      </c>
      <c r="L1005" s="36">
        <f t="shared" si="339"/>
        <v>1.4293981481481477E-2</v>
      </c>
      <c r="M1005" s="36">
        <f t="shared" si="339"/>
        <v>2.3726851851851867E-2</v>
      </c>
      <c r="N1005" s="36">
        <f t="shared" si="339"/>
        <v>320</v>
      </c>
      <c r="O1005" s="36">
        <f t="shared" si="339"/>
        <v>179</v>
      </c>
      <c r="P1005" s="36" t="str">
        <f t="shared" si="339"/>
        <v>SJC</v>
      </c>
      <c r="R1005">
        <v>991</v>
      </c>
      <c r="S1005" s="36" t="str">
        <f t="shared" si="319"/>
        <v>AEROLINEAS DE AMERICA</v>
      </c>
      <c r="T1005" s="36">
        <f t="shared" si="319"/>
        <v>387</v>
      </c>
      <c r="U1005" s="73">
        <v>0.60277777777777775</v>
      </c>
      <c r="V1005" s="74">
        <v>0.61805555555555558</v>
      </c>
      <c r="W1005" s="75">
        <v>1.5277777777777835E-2</v>
      </c>
      <c r="X1005" s="74">
        <v>0.625</v>
      </c>
      <c r="Y1005" s="75">
        <v>6.9444444444444198E-3</v>
      </c>
      <c r="Z1005" s="76">
        <v>41736</v>
      </c>
      <c r="AA1005" s="36" t="str">
        <f t="shared" si="338"/>
        <v>Internacional</v>
      </c>
      <c r="AB1005" s="36">
        <f t="shared" si="338"/>
        <v>1.566666666666669E-2</v>
      </c>
      <c r="AC1005" s="36">
        <f t="shared" si="338"/>
        <v>9.6123693379790952E-3</v>
      </c>
      <c r="AD1005" s="36">
        <f t="shared" si="338"/>
        <v>2.5279036004645785E-2</v>
      </c>
      <c r="AE1005" s="36" t="str">
        <f t="shared" si="338"/>
        <v>M80</v>
      </c>
      <c r="AF1005" s="36">
        <f t="shared" si="338"/>
        <v>182</v>
      </c>
      <c r="AG1005" s="36" t="str">
        <f t="shared" si="338"/>
        <v>DFW</v>
      </c>
      <c r="AI1005">
        <v>991</v>
      </c>
      <c r="AJ1005" s="77" t="str">
        <f t="shared" si="333"/>
        <v>INTERAVIÓN</v>
      </c>
      <c r="AK1005" s="77">
        <f t="shared" si="333"/>
        <v>3200</v>
      </c>
      <c r="AL1005" s="187">
        <v>0.52083333333333337</v>
      </c>
      <c r="AM1005" s="95">
        <v>0.52916666666666667</v>
      </c>
      <c r="AN1005" s="96">
        <v>8.3333333333333037E-3</v>
      </c>
      <c r="AO1005" s="95">
        <v>0.53263888888888888</v>
      </c>
      <c r="AP1005" s="96">
        <v>3.4722222222222099E-3</v>
      </c>
      <c r="AQ1005" s="97">
        <v>41813</v>
      </c>
      <c r="AR1005" s="77" t="str">
        <f t="shared" si="337"/>
        <v>Nacional</v>
      </c>
      <c r="AS1005" s="77">
        <f t="shared" si="337"/>
        <v>7.9475308641974995E-3</v>
      </c>
      <c r="AT1005" s="77">
        <f t="shared" si="337"/>
        <v>6.7129629629629605E-3</v>
      </c>
      <c r="AU1005" s="77">
        <f t="shared" si="337"/>
        <v>1.466049382716046E-2</v>
      </c>
      <c r="AV1005" s="77" t="str">
        <f t="shared" si="337"/>
        <v>SU1</v>
      </c>
      <c r="AW1005" s="77">
        <f t="shared" si="337"/>
        <v>179</v>
      </c>
      <c r="AX1005" s="77" t="str">
        <f t="shared" si="337"/>
        <v>MEX</v>
      </c>
    </row>
    <row r="1006" spans="1:50" x14ac:dyDescent="0.25">
      <c r="A1006">
        <v>992</v>
      </c>
      <c r="B1006" s="36" t="str">
        <f t="shared" si="328"/>
        <v>BARATA Y MORADA</v>
      </c>
      <c r="C1006" s="36">
        <f t="shared" si="328"/>
        <v>931</v>
      </c>
      <c r="D1006" s="118">
        <v>0.75902777777777775</v>
      </c>
      <c r="E1006" s="118">
        <v>0.76944444444444438</v>
      </c>
      <c r="F1006" s="119">
        <v>1.041666666666663E-2</v>
      </c>
      <c r="G1006" s="118">
        <v>0.78402777777777777</v>
      </c>
      <c r="H1006" s="119">
        <v>1.4583333333333393E-2</v>
      </c>
      <c r="I1006" s="81">
        <v>41720</v>
      </c>
      <c r="J1006" s="36" t="str">
        <f t="shared" si="339"/>
        <v>Internacional</v>
      </c>
      <c r="K1006" s="36">
        <f t="shared" si="339"/>
        <v>9.4328703703703918E-3</v>
      </c>
      <c r="L1006" s="36">
        <f t="shared" si="339"/>
        <v>1.4293981481481477E-2</v>
      </c>
      <c r="M1006" s="36">
        <f t="shared" si="339"/>
        <v>2.3726851851851867E-2</v>
      </c>
      <c r="N1006" s="36">
        <f t="shared" si="339"/>
        <v>320</v>
      </c>
      <c r="O1006" s="36">
        <f t="shared" si="339"/>
        <v>179</v>
      </c>
      <c r="P1006" s="36" t="str">
        <f t="shared" si="339"/>
        <v>SJC</v>
      </c>
      <c r="R1006">
        <v>992</v>
      </c>
      <c r="S1006" s="36" t="str">
        <f t="shared" si="319"/>
        <v>AEROLINEAS DE AMERICA</v>
      </c>
      <c r="T1006" s="36">
        <f t="shared" si="319"/>
        <v>387</v>
      </c>
      <c r="U1006" s="73">
        <v>0.58263888888888882</v>
      </c>
      <c r="V1006" s="74">
        <v>0.6</v>
      </c>
      <c r="W1006" s="75">
        <v>1.736111111111116E-2</v>
      </c>
      <c r="X1006" s="74">
        <v>0.61249999999999993</v>
      </c>
      <c r="Y1006" s="75">
        <v>1.2499999999999956E-2</v>
      </c>
      <c r="Z1006" s="76">
        <v>41739</v>
      </c>
      <c r="AA1006" s="36" t="str">
        <f t="shared" si="338"/>
        <v>Internacional</v>
      </c>
      <c r="AB1006" s="36">
        <f t="shared" si="338"/>
        <v>1.566666666666669E-2</v>
      </c>
      <c r="AC1006" s="36">
        <f t="shared" si="338"/>
        <v>9.6123693379790952E-3</v>
      </c>
      <c r="AD1006" s="36">
        <f t="shared" si="338"/>
        <v>2.5279036004645785E-2</v>
      </c>
      <c r="AE1006" s="36" t="str">
        <f t="shared" si="338"/>
        <v>M80</v>
      </c>
      <c r="AF1006" s="36">
        <f t="shared" si="338"/>
        <v>182</v>
      </c>
      <c r="AG1006" s="36" t="str">
        <f t="shared" si="338"/>
        <v>DFW</v>
      </c>
      <c r="AI1006">
        <v>992</v>
      </c>
      <c r="AJ1006" s="77" t="str">
        <f t="shared" si="333"/>
        <v>INTERAVIÓN</v>
      </c>
      <c r="AK1006" s="63">
        <v>2840</v>
      </c>
      <c r="AL1006" s="185">
        <v>0.77083333333333337</v>
      </c>
      <c r="AM1006" s="65">
        <v>0.77916666666666667</v>
      </c>
      <c r="AN1006" s="66">
        <v>8.3333333333333037E-3</v>
      </c>
      <c r="AO1006" s="65">
        <v>0.79583333333333339</v>
      </c>
      <c r="AP1006" s="66">
        <v>1.6666666666666718E-2</v>
      </c>
      <c r="AQ1006" s="67">
        <v>41791</v>
      </c>
      <c r="AR1006" s="68" t="s">
        <v>22</v>
      </c>
      <c r="AS1006" s="69">
        <v>6.5972222222222265E-3</v>
      </c>
      <c r="AT1006" s="70">
        <v>1.5277777777777779E-2</v>
      </c>
      <c r="AU1006" s="70">
        <v>2.1875000000000006E-2</v>
      </c>
      <c r="AV1006" s="71">
        <v>320</v>
      </c>
      <c r="AW1006" s="71">
        <v>179</v>
      </c>
      <c r="AX1006" s="72" t="s">
        <v>21</v>
      </c>
    </row>
    <row r="1007" spans="1:50" ht="15.75" thickBot="1" x14ac:dyDescent="0.3">
      <c r="A1007">
        <v>993</v>
      </c>
      <c r="B1007" s="36" t="str">
        <f t="shared" si="328"/>
        <v>BARATA Y MORADA</v>
      </c>
      <c r="C1007" s="36">
        <f t="shared" si="328"/>
        <v>931</v>
      </c>
      <c r="D1007" s="118">
        <v>0.76944444444444438</v>
      </c>
      <c r="E1007" s="118">
        <v>0.77777777777777779</v>
      </c>
      <c r="F1007" s="119">
        <v>8.3333333333334147E-3</v>
      </c>
      <c r="G1007" s="118">
        <v>0.7944444444444444</v>
      </c>
      <c r="H1007" s="119">
        <v>1.6666666666666607E-2</v>
      </c>
      <c r="I1007" s="81">
        <v>41721</v>
      </c>
      <c r="J1007" s="36" t="str">
        <f t="shared" si="339"/>
        <v>Internacional</v>
      </c>
      <c r="K1007" s="36">
        <f t="shared" si="339"/>
        <v>9.4328703703703918E-3</v>
      </c>
      <c r="L1007" s="36">
        <f t="shared" si="339"/>
        <v>1.4293981481481477E-2</v>
      </c>
      <c r="M1007" s="36">
        <f t="shared" si="339"/>
        <v>2.3726851851851867E-2</v>
      </c>
      <c r="N1007" s="36">
        <f t="shared" si="339"/>
        <v>320</v>
      </c>
      <c r="O1007" s="36">
        <f t="shared" si="339"/>
        <v>179</v>
      </c>
      <c r="P1007" s="36" t="str">
        <f t="shared" si="339"/>
        <v>SJC</v>
      </c>
      <c r="R1007">
        <v>993</v>
      </c>
      <c r="S1007" s="36" t="str">
        <f t="shared" si="319"/>
        <v>AEROLINEAS DE AMERICA</v>
      </c>
      <c r="T1007" s="36">
        <f t="shared" si="319"/>
        <v>387</v>
      </c>
      <c r="U1007" s="73">
        <v>0.59027777777777779</v>
      </c>
      <c r="V1007" s="74">
        <v>0.60277777777777775</v>
      </c>
      <c r="W1007" s="75">
        <v>1.2499999999999956E-2</v>
      </c>
      <c r="X1007" s="74">
        <v>0.62013888888888891</v>
      </c>
      <c r="Y1007" s="75">
        <v>1.736111111111116E-2</v>
      </c>
      <c r="Z1007" s="76">
        <v>41741</v>
      </c>
      <c r="AA1007" s="36" t="str">
        <f t="shared" si="338"/>
        <v>Internacional</v>
      </c>
      <c r="AB1007" s="36">
        <f t="shared" si="338"/>
        <v>1.566666666666669E-2</v>
      </c>
      <c r="AC1007" s="36">
        <f t="shared" si="338"/>
        <v>9.6123693379790952E-3</v>
      </c>
      <c r="AD1007" s="36">
        <f t="shared" si="338"/>
        <v>2.5279036004645785E-2</v>
      </c>
      <c r="AE1007" s="36" t="str">
        <f t="shared" si="338"/>
        <v>M80</v>
      </c>
      <c r="AF1007" s="36">
        <f t="shared" si="338"/>
        <v>182</v>
      </c>
      <c r="AG1007" s="36" t="str">
        <f t="shared" si="338"/>
        <v>DFW</v>
      </c>
      <c r="AI1007">
        <v>993</v>
      </c>
      <c r="AJ1007" s="77" t="str">
        <f t="shared" si="333"/>
        <v>INTERAVIÓN</v>
      </c>
      <c r="AK1007" s="77">
        <f>AK1006</f>
        <v>2840</v>
      </c>
      <c r="AL1007" s="187">
        <v>0.45555555555555555</v>
      </c>
      <c r="AM1007" s="95">
        <v>0.4604166666666667</v>
      </c>
      <c r="AN1007" s="96">
        <v>4.8611111111111494E-3</v>
      </c>
      <c r="AO1007" s="95">
        <v>0.47430555555555554</v>
      </c>
      <c r="AP1007" s="96">
        <v>1.388888888888884E-2</v>
      </c>
      <c r="AQ1007" s="97">
        <v>41805</v>
      </c>
      <c r="AR1007" s="77" t="str">
        <f t="shared" ref="AR1007:AX1008" si="340">AR1006</f>
        <v>Internacional</v>
      </c>
      <c r="AS1007" s="77">
        <f t="shared" si="340"/>
        <v>6.5972222222222265E-3</v>
      </c>
      <c r="AT1007" s="77">
        <f t="shared" si="340"/>
        <v>1.5277777777777779E-2</v>
      </c>
      <c r="AU1007" s="77">
        <f t="shared" si="340"/>
        <v>2.1875000000000006E-2</v>
      </c>
      <c r="AV1007" s="77">
        <f t="shared" si="340"/>
        <v>320</v>
      </c>
      <c r="AW1007" s="77">
        <f t="shared" si="340"/>
        <v>179</v>
      </c>
      <c r="AX1007" s="77" t="str">
        <f t="shared" si="340"/>
        <v>MEX</v>
      </c>
    </row>
    <row r="1008" spans="1:50" ht="15.75" thickBot="1" x14ac:dyDescent="0.3">
      <c r="A1008">
        <v>994</v>
      </c>
      <c r="B1008" s="36" t="str">
        <f t="shared" si="328"/>
        <v>BARATA Y MORADA</v>
      </c>
      <c r="C1008" s="36">
        <f t="shared" si="328"/>
        <v>931</v>
      </c>
      <c r="D1008" s="118">
        <v>0.76111111111111107</v>
      </c>
      <c r="E1008" s="118">
        <v>0.77083333333333337</v>
      </c>
      <c r="F1008" s="119">
        <v>9.7222222222222987E-3</v>
      </c>
      <c r="G1008" s="118">
        <v>0.78819444444444453</v>
      </c>
      <c r="H1008" s="119">
        <v>1.736111111111116E-2</v>
      </c>
      <c r="I1008" s="81">
        <v>41722</v>
      </c>
      <c r="J1008" s="36" t="str">
        <f t="shared" si="339"/>
        <v>Internacional</v>
      </c>
      <c r="K1008" s="36">
        <f t="shared" si="339"/>
        <v>9.4328703703703918E-3</v>
      </c>
      <c r="L1008" s="36">
        <f t="shared" si="339"/>
        <v>1.4293981481481477E-2</v>
      </c>
      <c r="M1008" s="36">
        <f t="shared" si="339"/>
        <v>2.3726851851851867E-2</v>
      </c>
      <c r="N1008" s="36">
        <f t="shared" si="339"/>
        <v>320</v>
      </c>
      <c r="O1008" s="36">
        <f t="shared" si="339"/>
        <v>179</v>
      </c>
      <c r="P1008" s="36" t="str">
        <f t="shared" si="339"/>
        <v>SJC</v>
      </c>
      <c r="R1008">
        <v>994</v>
      </c>
      <c r="S1008" s="36" t="str">
        <f t="shared" si="319"/>
        <v>AEROLINEAS DE AMERICA</v>
      </c>
      <c r="T1008" s="36">
        <f t="shared" si="319"/>
        <v>387</v>
      </c>
      <c r="U1008" s="73">
        <v>0.59930555555555554</v>
      </c>
      <c r="V1008" s="74">
        <v>0.61527777777777781</v>
      </c>
      <c r="W1008" s="75">
        <v>1.5972222222222276E-2</v>
      </c>
      <c r="X1008" s="74">
        <v>0.62013888888888891</v>
      </c>
      <c r="Y1008" s="75">
        <v>4.8611111111110938E-3</v>
      </c>
      <c r="Z1008" s="76">
        <v>41743</v>
      </c>
      <c r="AA1008" s="36" t="str">
        <f t="shared" si="338"/>
        <v>Internacional</v>
      </c>
      <c r="AB1008" s="36">
        <f t="shared" si="338"/>
        <v>1.566666666666669E-2</v>
      </c>
      <c r="AC1008" s="36">
        <f t="shared" si="338"/>
        <v>9.6123693379790952E-3</v>
      </c>
      <c r="AD1008" s="36">
        <f t="shared" si="338"/>
        <v>2.5279036004645785E-2</v>
      </c>
      <c r="AE1008" s="36" t="str">
        <f t="shared" si="338"/>
        <v>M80</v>
      </c>
      <c r="AF1008" s="36">
        <f t="shared" si="338"/>
        <v>182</v>
      </c>
      <c r="AG1008" s="36" t="str">
        <f t="shared" si="338"/>
        <v>DFW</v>
      </c>
      <c r="AI1008">
        <v>994</v>
      </c>
      <c r="AJ1008" s="77" t="str">
        <f t="shared" si="333"/>
        <v>INTERAVIÓN</v>
      </c>
      <c r="AK1008" s="99">
        <v>2236</v>
      </c>
      <c r="AL1008" s="188">
        <v>0.8965277777777777</v>
      </c>
      <c r="AM1008" s="101">
        <v>0.90416666666666667</v>
      </c>
      <c r="AN1008" s="102">
        <v>7.6388888888889728E-3</v>
      </c>
      <c r="AO1008" s="101">
        <v>0.90972222222222221</v>
      </c>
      <c r="AP1008" s="102">
        <v>5.5555555555555358E-3</v>
      </c>
      <c r="AQ1008" s="103">
        <v>41796</v>
      </c>
      <c r="AR1008" s="104" t="s">
        <v>19</v>
      </c>
      <c r="AS1008" s="105">
        <v>7.6388888888889728E-3</v>
      </c>
      <c r="AT1008" s="105">
        <v>5.5555555555555358E-3</v>
      </c>
      <c r="AU1008" s="105">
        <v>1.3194444444444509E-2</v>
      </c>
      <c r="AV1008" s="136" t="s">
        <v>25</v>
      </c>
      <c r="AW1008" s="77">
        <f t="shared" si="340"/>
        <v>179</v>
      </c>
      <c r="AX1008" s="77" t="str">
        <f t="shared" si="340"/>
        <v>MEX</v>
      </c>
    </row>
    <row r="1009" spans="1:50" x14ac:dyDescent="0.25">
      <c r="A1009">
        <v>995</v>
      </c>
      <c r="B1009" s="36" t="str">
        <f t="shared" si="328"/>
        <v>BARATA Y MORADA</v>
      </c>
      <c r="C1009" s="36">
        <f t="shared" si="328"/>
        <v>931</v>
      </c>
      <c r="D1009" s="118">
        <v>0.76041666666666663</v>
      </c>
      <c r="E1009" s="118">
        <v>0.77013888888888893</v>
      </c>
      <c r="F1009" s="119">
        <v>9.7222222222222987E-3</v>
      </c>
      <c r="G1009" s="118">
        <v>0.78333333333333333</v>
      </c>
      <c r="H1009" s="119">
        <v>1.3194444444444398E-2</v>
      </c>
      <c r="I1009" s="81">
        <v>41725</v>
      </c>
      <c r="J1009" s="36" t="str">
        <f t="shared" si="339"/>
        <v>Internacional</v>
      </c>
      <c r="K1009" s="36">
        <f t="shared" si="339"/>
        <v>9.4328703703703918E-3</v>
      </c>
      <c r="L1009" s="36">
        <f t="shared" si="339"/>
        <v>1.4293981481481477E-2</v>
      </c>
      <c r="M1009" s="36">
        <f t="shared" si="339"/>
        <v>2.3726851851851867E-2</v>
      </c>
      <c r="N1009" s="36">
        <f t="shared" si="339"/>
        <v>320</v>
      </c>
      <c r="O1009" s="36">
        <f t="shared" si="339"/>
        <v>179</v>
      </c>
      <c r="P1009" s="36" t="str">
        <f t="shared" si="339"/>
        <v>SJC</v>
      </c>
      <c r="R1009">
        <v>995</v>
      </c>
      <c r="S1009" s="36" t="str">
        <f t="shared" si="319"/>
        <v>AEROLINEAS DE AMERICA</v>
      </c>
      <c r="T1009" s="36">
        <f t="shared" si="319"/>
        <v>387</v>
      </c>
      <c r="U1009" s="73">
        <v>0.6020833333333333</v>
      </c>
      <c r="V1009" s="74">
        <v>0.61875000000000002</v>
      </c>
      <c r="W1009" s="75">
        <v>1.6666666666666718E-2</v>
      </c>
      <c r="X1009" s="74">
        <v>0.625</v>
      </c>
      <c r="Y1009" s="75">
        <v>6.2499999999999778E-3</v>
      </c>
      <c r="Z1009" s="76">
        <v>41744</v>
      </c>
      <c r="AA1009" s="36" t="str">
        <f t="shared" si="338"/>
        <v>Internacional</v>
      </c>
      <c r="AB1009" s="36">
        <f t="shared" si="338"/>
        <v>1.566666666666669E-2</v>
      </c>
      <c r="AC1009" s="36">
        <f t="shared" si="338"/>
        <v>9.6123693379790952E-3</v>
      </c>
      <c r="AD1009" s="36">
        <f t="shared" si="338"/>
        <v>2.5279036004645785E-2</v>
      </c>
      <c r="AE1009" s="36" t="str">
        <f t="shared" si="338"/>
        <v>M80</v>
      </c>
      <c r="AF1009" s="36">
        <f t="shared" si="338"/>
        <v>182</v>
      </c>
      <c r="AG1009" s="36" t="str">
        <f t="shared" si="338"/>
        <v>DFW</v>
      </c>
      <c r="AI1009">
        <v>995</v>
      </c>
      <c r="AJ1009" s="77" t="str">
        <f t="shared" si="333"/>
        <v>INTERAVIÓN</v>
      </c>
      <c r="AK1009" s="63">
        <v>2224</v>
      </c>
      <c r="AL1009" s="185">
        <v>0.59861111111111109</v>
      </c>
      <c r="AM1009" s="65">
        <v>0.60416666666666663</v>
      </c>
      <c r="AN1009" s="66">
        <v>5.5555555555555358E-3</v>
      </c>
      <c r="AO1009" s="65">
        <v>0.60972222222222217</v>
      </c>
      <c r="AP1009" s="66">
        <v>5.5555555555555358E-3</v>
      </c>
      <c r="AQ1009" s="67">
        <v>41792</v>
      </c>
      <c r="AR1009" s="68" t="s">
        <v>19</v>
      </c>
      <c r="AS1009" s="69">
        <v>7.638888888888899E-3</v>
      </c>
      <c r="AT1009" s="70">
        <v>6.8287037037036702E-3</v>
      </c>
      <c r="AU1009" s="70">
        <v>1.446759259259257E-2</v>
      </c>
      <c r="AV1009" s="71">
        <v>320</v>
      </c>
      <c r="AW1009" s="71">
        <v>179</v>
      </c>
      <c r="AX1009" s="72" t="s">
        <v>21</v>
      </c>
    </row>
    <row r="1010" spans="1:50" x14ac:dyDescent="0.25">
      <c r="A1010">
        <v>996</v>
      </c>
      <c r="B1010" s="36" t="str">
        <f t="shared" si="328"/>
        <v>BARATA Y MORADA</v>
      </c>
      <c r="C1010" s="36">
        <f t="shared" si="328"/>
        <v>931</v>
      </c>
      <c r="D1010" s="118">
        <v>0.77916666666666667</v>
      </c>
      <c r="E1010" s="118">
        <v>0.78680555555555554</v>
      </c>
      <c r="F1010" s="119">
        <v>7.6388888888888618E-3</v>
      </c>
      <c r="G1010" s="118">
        <v>0.80208333333333337</v>
      </c>
      <c r="H1010" s="119">
        <v>1.5277777777777835E-2</v>
      </c>
      <c r="I1010" s="81">
        <v>41726</v>
      </c>
      <c r="J1010" s="36" t="str">
        <f t="shared" si="339"/>
        <v>Internacional</v>
      </c>
      <c r="K1010" s="36">
        <f t="shared" si="339"/>
        <v>9.4328703703703918E-3</v>
      </c>
      <c r="L1010" s="36">
        <f t="shared" si="339"/>
        <v>1.4293981481481477E-2</v>
      </c>
      <c r="M1010" s="36">
        <f t="shared" si="339"/>
        <v>2.3726851851851867E-2</v>
      </c>
      <c r="N1010" s="36">
        <f t="shared" si="339"/>
        <v>320</v>
      </c>
      <c r="O1010" s="36">
        <f t="shared" si="339"/>
        <v>179</v>
      </c>
      <c r="P1010" s="36" t="str">
        <f t="shared" si="339"/>
        <v>SJC</v>
      </c>
      <c r="R1010">
        <v>996</v>
      </c>
      <c r="S1010" s="36" t="str">
        <f t="shared" si="319"/>
        <v>AEROLINEAS DE AMERICA</v>
      </c>
      <c r="T1010" s="36">
        <f t="shared" si="319"/>
        <v>387</v>
      </c>
      <c r="U1010" s="73">
        <v>0.58124999999999993</v>
      </c>
      <c r="V1010" s="74">
        <v>0.59236111111111112</v>
      </c>
      <c r="W1010" s="75">
        <v>1.1111111111111183E-2</v>
      </c>
      <c r="X1010" s="74">
        <v>0.6</v>
      </c>
      <c r="Y1010" s="75">
        <v>7.6388888888888618E-3</v>
      </c>
      <c r="Z1010" s="76">
        <v>41745</v>
      </c>
      <c r="AA1010" s="36" t="str">
        <f t="shared" si="338"/>
        <v>Internacional</v>
      </c>
      <c r="AB1010" s="36">
        <f t="shared" si="338"/>
        <v>1.566666666666669E-2</v>
      </c>
      <c r="AC1010" s="36">
        <f t="shared" si="338"/>
        <v>9.6123693379790952E-3</v>
      </c>
      <c r="AD1010" s="36">
        <f t="shared" si="338"/>
        <v>2.5279036004645785E-2</v>
      </c>
      <c r="AE1010" s="36" t="str">
        <f t="shared" si="338"/>
        <v>M80</v>
      </c>
      <c r="AF1010" s="36">
        <f t="shared" si="338"/>
        <v>182</v>
      </c>
      <c r="AG1010" s="36" t="str">
        <f t="shared" si="338"/>
        <v>DFW</v>
      </c>
      <c r="AI1010">
        <v>996</v>
      </c>
      <c r="AJ1010" s="77" t="str">
        <f t="shared" si="333"/>
        <v>INTERAVIÓN</v>
      </c>
      <c r="AK1010" s="77">
        <f t="shared" si="333"/>
        <v>2224</v>
      </c>
      <c r="AL1010" s="186">
        <v>0.58402777777777781</v>
      </c>
      <c r="AM1010" s="79">
        <v>0.59027777777777779</v>
      </c>
      <c r="AN1010" s="80">
        <v>6.2499999999999778E-3</v>
      </c>
      <c r="AO1010" s="79">
        <v>0.59375</v>
      </c>
      <c r="AP1010" s="80">
        <v>3.4722222222222099E-3</v>
      </c>
      <c r="AQ1010" s="81">
        <v>41793</v>
      </c>
      <c r="AR1010" s="77" t="str">
        <f t="shared" ref="AR1010:AX1020" si="341">AR1009</f>
        <v>Nacional</v>
      </c>
      <c r="AS1010" s="77">
        <f t="shared" si="341"/>
        <v>7.638888888888899E-3</v>
      </c>
      <c r="AT1010" s="77">
        <f t="shared" si="341"/>
        <v>6.8287037037036702E-3</v>
      </c>
      <c r="AU1010" s="77">
        <f t="shared" si="341"/>
        <v>1.446759259259257E-2</v>
      </c>
      <c r="AV1010" s="77">
        <f t="shared" si="341"/>
        <v>320</v>
      </c>
      <c r="AW1010" s="77">
        <f t="shared" si="341"/>
        <v>179</v>
      </c>
      <c r="AX1010" s="77" t="str">
        <f t="shared" si="341"/>
        <v>MEX</v>
      </c>
    </row>
    <row r="1011" spans="1:50" x14ac:dyDescent="0.25">
      <c r="A1011">
        <v>997</v>
      </c>
      <c r="B1011" s="36" t="str">
        <f t="shared" si="328"/>
        <v>BARATA Y MORADA</v>
      </c>
      <c r="C1011" s="36">
        <f t="shared" si="328"/>
        <v>931</v>
      </c>
      <c r="D1011" s="118">
        <v>0.76250000000000007</v>
      </c>
      <c r="E1011" s="118">
        <v>0.77361111111111114</v>
      </c>
      <c r="F1011" s="119">
        <v>1.1111111111111072E-2</v>
      </c>
      <c r="G1011" s="118">
        <v>0.78749999999999998</v>
      </c>
      <c r="H1011" s="119">
        <v>1.388888888888884E-2</v>
      </c>
      <c r="I1011" s="81">
        <v>41727</v>
      </c>
      <c r="J1011" s="36" t="str">
        <f t="shared" si="339"/>
        <v>Internacional</v>
      </c>
      <c r="K1011" s="36">
        <f t="shared" si="339"/>
        <v>9.4328703703703918E-3</v>
      </c>
      <c r="L1011" s="36">
        <f t="shared" si="339"/>
        <v>1.4293981481481477E-2</v>
      </c>
      <c r="M1011" s="36">
        <f t="shared" si="339"/>
        <v>2.3726851851851867E-2</v>
      </c>
      <c r="N1011" s="36">
        <f t="shared" si="339"/>
        <v>320</v>
      </c>
      <c r="O1011" s="36">
        <f t="shared" si="339"/>
        <v>179</v>
      </c>
      <c r="P1011" s="36" t="str">
        <f t="shared" si="339"/>
        <v>SJC</v>
      </c>
      <c r="R1011">
        <v>997</v>
      </c>
      <c r="S1011" s="36" t="str">
        <f t="shared" si="319"/>
        <v>AEROLINEAS DE AMERICA</v>
      </c>
      <c r="T1011" s="36">
        <f t="shared" si="319"/>
        <v>387</v>
      </c>
      <c r="U1011" s="73">
        <v>0.58819444444444446</v>
      </c>
      <c r="V1011" s="74">
        <v>0.60763888888888895</v>
      </c>
      <c r="W1011" s="75">
        <v>1.9444444444444486E-2</v>
      </c>
      <c r="X1011" s="74">
        <v>0.61805555555555558</v>
      </c>
      <c r="Y1011" s="75">
        <v>1.041666666666663E-2</v>
      </c>
      <c r="Z1011" s="76">
        <v>41746</v>
      </c>
      <c r="AA1011" s="36" t="str">
        <f t="shared" si="338"/>
        <v>Internacional</v>
      </c>
      <c r="AB1011" s="36">
        <f t="shared" si="338"/>
        <v>1.566666666666669E-2</v>
      </c>
      <c r="AC1011" s="36">
        <f t="shared" si="338"/>
        <v>9.6123693379790952E-3</v>
      </c>
      <c r="AD1011" s="36">
        <f t="shared" si="338"/>
        <v>2.5279036004645785E-2</v>
      </c>
      <c r="AE1011" s="36" t="str">
        <f t="shared" si="338"/>
        <v>M80</v>
      </c>
      <c r="AF1011" s="36">
        <f t="shared" si="338"/>
        <v>182</v>
      </c>
      <c r="AG1011" s="36" t="str">
        <f t="shared" si="338"/>
        <v>DFW</v>
      </c>
      <c r="AI1011">
        <v>997</v>
      </c>
      <c r="AJ1011" s="77" t="str">
        <f t="shared" si="333"/>
        <v>INTERAVIÓN</v>
      </c>
      <c r="AK1011" s="77">
        <f t="shared" si="333"/>
        <v>2224</v>
      </c>
      <c r="AL1011" s="186">
        <v>0.58472222222222225</v>
      </c>
      <c r="AM1011" s="79">
        <v>0.59166666666666667</v>
      </c>
      <c r="AN1011" s="80">
        <v>6.9444444444444198E-3</v>
      </c>
      <c r="AO1011" s="79">
        <v>0.59722222222222221</v>
      </c>
      <c r="AP1011" s="80">
        <v>5.5555555555555358E-3</v>
      </c>
      <c r="AQ1011" s="81">
        <v>41794</v>
      </c>
      <c r="AR1011" s="77" t="str">
        <f t="shared" si="341"/>
        <v>Nacional</v>
      </c>
      <c r="AS1011" s="77">
        <f t="shared" si="341"/>
        <v>7.638888888888899E-3</v>
      </c>
      <c r="AT1011" s="77">
        <f t="shared" si="341"/>
        <v>6.8287037037036702E-3</v>
      </c>
      <c r="AU1011" s="77">
        <f t="shared" si="341"/>
        <v>1.446759259259257E-2</v>
      </c>
      <c r="AV1011" s="77">
        <f t="shared" si="341"/>
        <v>320</v>
      </c>
      <c r="AW1011" s="77">
        <f t="shared" si="341"/>
        <v>179</v>
      </c>
      <c r="AX1011" s="77" t="str">
        <f t="shared" si="341"/>
        <v>MEX</v>
      </c>
    </row>
    <row r="1012" spans="1:50" x14ac:dyDescent="0.25">
      <c r="A1012">
        <v>998</v>
      </c>
      <c r="B1012" s="36" t="str">
        <f t="shared" si="328"/>
        <v>BARATA Y MORADA</v>
      </c>
      <c r="C1012" s="36">
        <f t="shared" si="328"/>
        <v>931</v>
      </c>
      <c r="D1012" s="118">
        <v>0.76944444444444438</v>
      </c>
      <c r="E1012" s="118">
        <v>0.77777777777777779</v>
      </c>
      <c r="F1012" s="119">
        <v>8.3333333333334147E-3</v>
      </c>
      <c r="G1012" s="118">
        <v>0.78125</v>
      </c>
      <c r="H1012" s="119">
        <v>3.4722222222222099E-3</v>
      </c>
      <c r="I1012" s="81">
        <v>41728</v>
      </c>
      <c r="J1012" s="36" t="str">
        <f t="shared" si="339"/>
        <v>Internacional</v>
      </c>
      <c r="K1012" s="36">
        <f t="shared" si="339"/>
        <v>9.4328703703703918E-3</v>
      </c>
      <c r="L1012" s="36">
        <f t="shared" si="339"/>
        <v>1.4293981481481477E-2</v>
      </c>
      <c r="M1012" s="36">
        <f t="shared" si="339"/>
        <v>2.3726851851851867E-2</v>
      </c>
      <c r="N1012" s="36">
        <f t="shared" si="339"/>
        <v>320</v>
      </c>
      <c r="O1012" s="36">
        <f t="shared" si="339"/>
        <v>179</v>
      </c>
      <c r="P1012" s="36" t="str">
        <f t="shared" si="339"/>
        <v>SJC</v>
      </c>
      <c r="R1012">
        <v>998</v>
      </c>
      <c r="S1012" s="36" t="str">
        <f t="shared" si="319"/>
        <v>AEROLINEAS DE AMERICA</v>
      </c>
      <c r="T1012" s="36">
        <f t="shared" si="319"/>
        <v>387</v>
      </c>
      <c r="U1012" s="73">
        <v>0.58263888888888882</v>
      </c>
      <c r="V1012" s="74">
        <v>0.59861111111111109</v>
      </c>
      <c r="W1012" s="75">
        <v>1.5972222222222276E-2</v>
      </c>
      <c r="X1012" s="74">
        <v>0.6069444444444444</v>
      </c>
      <c r="Y1012" s="75">
        <v>8.3333333333333037E-3</v>
      </c>
      <c r="Z1012" s="76">
        <v>41747</v>
      </c>
      <c r="AA1012" s="36" t="str">
        <f t="shared" si="338"/>
        <v>Internacional</v>
      </c>
      <c r="AB1012" s="36">
        <f t="shared" si="338"/>
        <v>1.566666666666669E-2</v>
      </c>
      <c r="AC1012" s="36">
        <f t="shared" si="338"/>
        <v>9.6123693379790952E-3</v>
      </c>
      <c r="AD1012" s="36">
        <f t="shared" si="338"/>
        <v>2.5279036004645785E-2</v>
      </c>
      <c r="AE1012" s="36" t="str">
        <f t="shared" si="338"/>
        <v>M80</v>
      </c>
      <c r="AF1012" s="36">
        <f t="shared" si="338"/>
        <v>182</v>
      </c>
      <c r="AG1012" s="36" t="str">
        <f t="shared" si="338"/>
        <v>DFW</v>
      </c>
      <c r="AI1012">
        <v>998</v>
      </c>
      <c r="AJ1012" s="77" t="str">
        <f t="shared" si="333"/>
        <v>INTERAVIÓN</v>
      </c>
      <c r="AK1012" s="77">
        <f t="shared" si="333"/>
        <v>2224</v>
      </c>
      <c r="AL1012" s="186">
        <v>0.58680555555555558</v>
      </c>
      <c r="AM1012" s="79">
        <v>0.58888888888888891</v>
      </c>
      <c r="AN1012" s="80">
        <v>2.0833333333333259E-3</v>
      </c>
      <c r="AO1012" s="79">
        <v>0.59513888888888888</v>
      </c>
      <c r="AP1012" s="80">
        <v>6.2499999999999778E-3</v>
      </c>
      <c r="AQ1012" s="81">
        <v>41795</v>
      </c>
      <c r="AR1012" s="77" t="str">
        <f t="shared" si="341"/>
        <v>Nacional</v>
      </c>
      <c r="AS1012" s="77">
        <f t="shared" si="341"/>
        <v>7.638888888888899E-3</v>
      </c>
      <c r="AT1012" s="77">
        <f t="shared" si="341"/>
        <v>6.8287037037036702E-3</v>
      </c>
      <c r="AU1012" s="77">
        <f t="shared" si="341"/>
        <v>1.446759259259257E-2</v>
      </c>
      <c r="AV1012" s="77">
        <f t="shared" si="341"/>
        <v>320</v>
      </c>
      <c r="AW1012" s="77">
        <f t="shared" si="341"/>
        <v>179</v>
      </c>
      <c r="AX1012" s="77" t="str">
        <f t="shared" si="341"/>
        <v>MEX</v>
      </c>
    </row>
    <row r="1013" spans="1:50" ht="15.75" thickBot="1" x14ac:dyDescent="0.3">
      <c r="A1013">
        <v>999</v>
      </c>
      <c r="B1013" s="36" t="str">
        <f t="shared" si="328"/>
        <v>BARATA Y MORADA</v>
      </c>
      <c r="C1013" s="36">
        <f t="shared" si="328"/>
        <v>931</v>
      </c>
      <c r="D1013" s="176">
        <v>0.76388888888888884</v>
      </c>
      <c r="E1013" s="176">
        <v>0.77430555555555547</v>
      </c>
      <c r="F1013" s="177">
        <v>1.041666666666663E-2</v>
      </c>
      <c r="G1013" s="176">
        <v>0.79027777777777775</v>
      </c>
      <c r="H1013" s="177">
        <v>1.5972222222222276E-2</v>
      </c>
      <c r="I1013" s="97">
        <v>41729</v>
      </c>
      <c r="J1013" s="36" t="str">
        <f t="shared" si="339"/>
        <v>Internacional</v>
      </c>
      <c r="K1013" s="36">
        <f t="shared" si="339"/>
        <v>9.4328703703703918E-3</v>
      </c>
      <c r="L1013" s="36">
        <f t="shared" si="339"/>
        <v>1.4293981481481477E-2</v>
      </c>
      <c r="M1013" s="36">
        <f t="shared" si="339"/>
        <v>2.3726851851851867E-2</v>
      </c>
      <c r="N1013" s="36">
        <f t="shared" si="339"/>
        <v>320</v>
      </c>
      <c r="O1013" s="36">
        <f t="shared" si="339"/>
        <v>179</v>
      </c>
      <c r="P1013" s="36" t="str">
        <f t="shared" si="339"/>
        <v>SJC</v>
      </c>
      <c r="R1013">
        <v>999</v>
      </c>
      <c r="S1013" s="36" t="str">
        <f t="shared" si="319"/>
        <v>AEROLINEAS DE AMERICA</v>
      </c>
      <c r="T1013" s="36">
        <f t="shared" si="319"/>
        <v>387</v>
      </c>
      <c r="U1013" s="73">
        <v>0.56597222222222221</v>
      </c>
      <c r="V1013" s="74">
        <v>0.59444444444444444</v>
      </c>
      <c r="W1013" s="75">
        <v>2.8472222222222232E-2</v>
      </c>
      <c r="X1013" s="74">
        <v>0.62291666666666667</v>
      </c>
      <c r="Y1013" s="75">
        <v>2.8472222222222232E-2</v>
      </c>
      <c r="Z1013" s="76">
        <v>41748</v>
      </c>
      <c r="AA1013" s="36" t="str">
        <f t="shared" si="338"/>
        <v>Internacional</v>
      </c>
      <c r="AB1013" s="36">
        <f t="shared" si="338"/>
        <v>1.566666666666669E-2</v>
      </c>
      <c r="AC1013" s="36">
        <f t="shared" si="338"/>
        <v>9.6123693379790952E-3</v>
      </c>
      <c r="AD1013" s="36">
        <f t="shared" si="338"/>
        <v>2.5279036004645785E-2</v>
      </c>
      <c r="AE1013" s="36" t="str">
        <f t="shared" si="338"/>
        <v>M80</v>
      </c>
      <c r="AF1013" s="36">
        <f t="shared" si="338"/>
        <v>182</v>
      </c>
      <c r="AG1013" s="36" t="str">
        <f t="shared" si="338"/>
        <v>DFW</v>
      </c>
      <c r="AI1013">
        <v>999</v>
      </c>
      <c r="AJ1013" s="77" t="str">
        <f t="shared" si="333"/>
        <v>INTERAVIÓN</v>
      </c>
      <c r="AK1013" s="77">
        <f t="shared" si="333"/>
        <v>2224</v>
      </c>
      <c r="AL1013" s="186">
        <v>0.58333333333333337</v>
      </c>
      <c r="AM1013" s="79">
        <v>0.58819444444444446</v>
      </c>
      <c r="AN1013" s="80">
        <v>4.8611111111110938E-3</v>
      </c>
      <c r="AO1013" s="79">
        <v>0.59375</v>
      </c>
      <c r="AP1013" s="80">
        <v>5.5555555555555358E-3</v>
      </c>
      <c r="AQ1013" s="81">
        <v>41796</v>
      </c>
      <c r="AR1013" s="77" t="str">
        <f t="shared" si="341"/>
        <v>Nacional</v>
      </c>
      <c r="AS1013" s="77">
        <f t="shared" si="341"/>
        <v>7.638888888888899E-3</v>
      </c>
      <c r="AT1013" s="77">
        <f t="shared" si="341"/>
        <v>6.8287037037036702E-3</v>
      </c>
      <c r="AU1013" s="77">
        <f t="shared" si="341"/>
        <v>1.446759259259257E-2</v>
      </c>
      <c r="AV1013" s="77">
        <f t="shared" si="341"/>
        <v>320</v>
      </c>
      <c r="AW1013" s="77">
        <f t="shared" si="341"/>
        <v>179</v>
      </c>
      <c r="AX1013" s="77" t="str">
        <f t="shared" si="341"/>
        <v>MEX</v>
      </c>
    </row>
    <row r="1014" spans="1:50" ht="15.75" thickBot="1" x14ac:dyDescent="0.3">
      <c r="A1014">
        <v>1000</v>
      </c>
      <c r="B1014" s="36" t="str">
        <f t="shared" si="328"/>
        <v>BARATA Y MORADA</v>
      </c>
      <c r="C1014" s="146">
        <v>930</v>
      </c>
      <c r="D1014" s="147">
        <v>0.76111111111111107</v>
      </c>
      <c r="E1014" s="147">
        <v>0.77083333333333337</v>
      </c>
      <c r="F1014" s="148">
        <v>9.7222222222222987E-3</v>
      </c>
      <c r="G1014" s="147">
        <v>0.79027777777777775</v>
      </c>
      <c r="H1014" s="148">
        <v>1.9444444444444375E-2</v>
      </c>
      <c r="I1014" s="103">
        <v>41727</v>
      </c>
      <c r="J1014" s="184" t="s">
        <v>19</v>
      </c>
      <c r="K1014" s="147">
        <v>9.7222222222222987E-3</v>
      </c>
      <c r="L1014" s="147">
        <v>1.9444444444444375E-2</v>
      </c>
      <c r="M1014" s="150">
        <v>2.9166666666666674E-2</v>
      </c>
      <c r="N1014" s="52" t="s">
        <v>57</v>
      </c>
      <c r="O1014" s="53">
        <v>142</v>
      </c>
      <c r="P1014" s="54" t="s">
        <v>40</v>
      </c>
      <c r="R1014">
        <v>1000</v>
      </c>
      <c r="S1014" s="36" t="str">
        <f t="shared" ref="S1014:T1023" si="342">S1013</f>
        <v>AEROLINEAS DE AMERICA</v>
      </c>
      <c r="T1014" s="36">
        <f t="shared" si="342"/>
        <v>387</v>
      </c>
      <c r="U1014" s="73">
        <v>0.58819444444444446</v>
      </c>
      <c r="V1014" s="74">
        <v>0.60625000000000007</v>
      </c>
      <c r="W1014" s="75">
        <v>1.8055555555555602E-2</v>
      </c>
      <c r="X1014" s="74">
        <v>0.62083333333333335</v>
      </c>
      <c r="Y1014" s="75">
        <v>1.4583333333333282E-2</v>
      </c>
      <c r="Z1014" s="76">
        <v>41749</v>
      </c>
      <c r="AA1014" s="36" t="str">
        <f t="shared" si="338"/>
        <v>Internacional</v>
      </c>
      <c r="AB1014" s="36">
        <f t="shared" si="338"/>
        <v>1.566666666666669E-2</v>
      </c>
      <c r="AC1014" s="36">
        <f t="shared" si="338"/>
        <v>9.6123693379790952E-3</v>
      </c>
      <c r="AD1014" s="36">
        <f t="shared" si="338"/>
        <v>2.5279036004645785E-2</v>
      </c>
      <c r="AE1014" s="36" t="str">
        <f t="shared" si="338"/>
        <v>M80</v>
      </c>
      <c r="AF1014" s="36">
        <f t="shared" si="338"/>
        <v>182</v>
      </c>
      <c r="AG1014" s="36" t="str">
        <f t="shared" si="338"/>
        <v>DFW</v>
      </c>
      <c r="AI1014">
        <v>1000</v>
      </c>
      <c r="AJ1014" s="77" t="str">
        <f t="shared" si="333"/>
        <v>INTERAVIÓN</v>
      </c>
      <c r="AK1014" s="77">
        <f t="shared" si="333"/>
        <v>2224</v>
      </c>
      <c r="AL1014" s="186">
        <v>0.60416666666666663</v>
      </c>
      <c r="AM1014" s="79">
        <v>0.60763888888888895</v>
      </c>
      <c r="AN1014" s="80">
        <v>3.4722222222223209E-3</v>
      </c>
      <c r="AO1014" s="79">
        <v>0.6166666666666667</v>
      </c>
      <c r="AP1014" s="80">
        <v>9.0277777777777457E-3</v>
      </c>
      <c r="AQ1014" s="81">
        <v>41799</v>
      </c>
      <c r="AR1014" s="77" t="str">
        <f t="shared" si="341"/>
        <v>Nacional</v>
      </c>
      <c r="AS1014" s="77">
        <f t="shared" si="341"/>
        <v>7.638888888888899E-3</v>
      </c>
      <c r="AT1014" s="77">
        <f t="shared" si="341"/>
        <v>6.8287037037036702E-3</v>
      </c>
      <c r="AU1014" s="77">
        <f t="shared" si="341"/>
        <v>1.446759259259257E-2</v>
      </c>
      <c r="AV1014" s="77">
        <f t="shared" si="341"/>
        <v>320</v>
      </c>
      <c r="AW1014" s="77">
        <f t="shared" si="341"/>
        <v>179</v>
      </c>
      <c r="AX1014" s="77" t="str">
        <f t="shared" si="341"/>
        <v>MEX</v>
      </c>
    </row>
    <row r="1015" spans="1:50" x14ac:dyDescent="0.25">
      <c r="A1015">
        <v>1001</v>
      </c>
      <c r="B1015" s="36" t="str">
        <f t="shared" si="328"/>
        <v>BARATA Y MORADA</v>
      </c>
      <c r="C1015" s="151">
        <v>917</v>
      </c>
      <c r="D1015" s="152">
        <v>0.96597222222222223</v>
      </c>
      <c r="E1015" s="152">
        <v>0.97361111111111109</v>
      </c>
      <c r="F1015" s="153">
        <v>7.6388888888888618E-3</v>
      </c>
      <c r="G1015" s="152">
        <v>0.99375000000000002</v>
      </c>
      <c r="H1015" s="153">
        <v>2.0138888888888928E-2</v>
      </c>
      <c r="I1015" s="67">
        <v>41721</v>
      </c>
      <c r="J1015" s="68" t="s">
        <v>22</v>
      </c>
      <c r="K1015" s="135">
        <v>1.4236111111111116E-2</v>
      </c>
      <c r="L1015" s="135">
        <v>1.9444444444444486E-2</v>
      </c>
      <c r="M1015" s="175">
        <v>3.3680555555555602E-2</v>
      </c>
      <c r="N1015" s="90" t="s">
        <v>57</v>
      </c>
      <c r="O1015" s="91">
        <v>142</v>
      </c>
      <c r="P1015" s="92" t="s">
        <v>40</v>
      </c>
      <c r="R1015">
        <v>1001</v>
      </c>
      <c r="S1015" s="36" t="str">
        <f t="shared" si="342"/>
        <v>AEROLINEAS DE AMERICA</v>
      </c>
      <c r="T1015" s="36">
        <f t="shared" si="342"/>
        <v>387</v>
      </c>
      <c r="U1015" s="73">
        <v>0.59513888888888888</v>
      </c>
      <c r="V1015" s="74">
        <v>0.60763888888888895</v>
      </c>
      <c r="W1015" s="75">
        <v>1.2500000000000067E-2</v>
      </c>
      <c r="X1015" s="74">
        <v>0.61736111111111114</v>
      </c>
      <c r="Y1015" s="75">
        <v>9.7222222222221877E-3</v>
      </c>
      <c r="Z1015" s="76">
        <v>41750</v>
      </c>
      <c r="AA1015" s="36" t="str">
        <f t="shared" si="338"/>
        <v>Internacional</v>
      </c>
      <c r="AB1015" s="36">
        <f t="shared" si="338"/>
        <v>1.566666666666669E-2</v>
      </c>
      <c r="AC1015" s="36">
        <f t="shared" si="338"/>
        <v>9.6123693379790952E-3</v>
      </c>
      <c r="AD1015" s="36">
        <f t="shared" si="338"/>
        <v>2.5279036004645785E-2</v>
      </c>
      <c r="AE1015" s="36" t="str">
        <f t="shared" si="338"/>
        <v>M80</v>
      </c>
      <c r="AF1015" s="36">
        <f t="shared" si="338"/>
        <v>182</v>
      </c>
      <c r="AG1015" s="36" t="str">
        <f t="shared" si="338"/>
        <v>DFW</v>
      </c>
      <c r="AI1015">
        <v>1001</v>
      </c>
      <c r="AJ1015" s="77" t="str">
        <f t="shared" si="333"/>
        <v>INTERAVIÓN</v>
      </c>
      <c r="AK1015" s="77">
        <f t="shared" si="333"/>
        <v>2224</v>
      </c>
      <c r="AL1015" s="186">
        <v>0.8666666666666667</v>
      </c>
      <c r="AM1015" s="79">
        <v>0.88402777777777775</v>
      </c>
      <c r="AN1015" s="80">
        <v>1.7361111111111049E-2</v>
      </c>
      <c r="AO1015" s="79">
        <v>0.88888888888888884</v>
      </c>
      <c r="AP1015" s="80">
        <v>4.8611111111110938E-3</v>
      </c>
      <c r="AQ1015" s="81">
        <v>41801</v>
      </c>
      <c r="AR1015" s="77" t="str">
        <f t="shared" si="341"/>
        <v>Nacional</v>
      </c>
      <c r="AS1015" s="77">
        <f t="shared" si="341"/>
        <v>7.638888888888899E-3</v>
      </c>
      <c r="AT1015" s="77">
        <f t="shared" si="341"/>
        <v>6.8287037037036702E-3</v>
      </c>
      <c r="AU1015" s="77">
        <f t="shared" si="341"/>
        <v>1.446759259259257E-2</v>
      </c>
      <c r="AV1015" s="77">
        <f t="shared" si="341"/>
        <v>320</v>
      </c>
      <c r="AW1015" s="77">
        <f t="shared" si="341"/>
        <v>179</v>
      </c>
      <c r="AX1015" s="77" t="str">
        <f t="shared" si="341"/>
        <v>MEX</v>
      </c>
    </row>
    <row r="1016" spans="1:50" ht="15.75" thickBot="1" x14ac:dyDescent="0.3">
      <c r="A1016">
        <v>1002</v>
      </c>
      <c r="B1016" s="36" t="str">
        <f t="shared" si="328"/>
        <v>BARATA Y MORADA</v>
      </c>
      <c r="C1016" s="36">
        <f>C1015</f>
        <v>917</v>
      </c>
      <c r="D1016" s="176">
        <v>0.95416666666666661</v>
      </c>
      <c r="E1016" s="176">
        <v>0.97499999999999998</v>
      </c>
      <c r="F1016" s="177">
        <v>2.083333333333337E-2</v>
      </c>
      <c r="G1016" s="176">
        <v>0.99375000000000002</v>
      </c>
      <c r="H1016" s="177">
        <v>1.8750000000000044E-2</v>
      </c>
      <c r="I1016" s="97">
        <v>41728</v>
      </c>
      <c r="J1016" s="36" t="str">
        <f t="shared" ref="J1016:P1016" si="343">J1015</f>
        <v>Internacional</v>
      </c>
      <c r="K1016" s="36">
        <f t="shared" si="343"/>
        <v>1.4236111111111116E-2</v>
      </c>
      <c r="L1016" s="36">
        <f t="shared" si="343"/>
        <v>1.9444444444444486E-2</v>
      </c>
      <c r="M1016" s="36">
        <f t="shared" si="343"/>
        <v>3.3680555555555602E-2</v>
      </c>
      <c r="N1016" s="36" t="str">
        <f t="shared" si="343"/>
        <v>A319</v>
      </c>
      <c r="O1016" s="36">
        <f t="shared" si="343"/>
        <v>142</v>
      </c>
      <c r="P1016" s="36" t="str">
        <f t="shared" si="343"/>
        <v>LAX</v>
      </c>
      <c r="R1016">
        <v>1002</v>
      </c>
      <c r="S1016" s="36" t="str">
        <f t="shared" si="342"/>
        <v>AEROLINEAS DE AMERICA</v>
      </c>
      <c r="T1016" s="36">
        <f t="shared" si="342"/>
        <v>387</v>
      </c>
      <c r="U1016" s="73">
        <v>0.59027777777777779</v>
      </c>
      <c r="V1016" s="74">
        <v>0.60069444444444442</v>
      </c>
      <c r="W1016" s="75">
        <v>1.041666666666663E-2</v>
      </c>
      <c r="X1016" s="74">
        <v>0.625</v>
      </c>
      <c r="Y1016" s="75">
        <v>2.430555555555558E-2</v>
      </c>
      <c r="Z1016" s="76">
        <v>41751</v>
      </c>
      <c r="AA1016" s="36" t="str">
        <f t="shared" si="338"/>
        <v>Internacional</v>
      </c>
      <c r="AB1016" s="36">
        <f t="shared" si="338"/>
        <v>1.566666666666669E-2</v>
      </c>
      <c r="AC1016" s="36">
        <f t="shared" si="338"/>
        <v>9.6123693379790952E-3</v>
      </c>
      <c r="AD1016" s="36">
        <f t="shared" si="338"/>
        <v>2.5279036004645785E-2</v>
      </c>
      <c r="AE1016" s="36" t="str">
        <f t="shared" si="338"/>
        <v>M80</v>
      </c>
      <c r="AF1016" s="36">
        <f t="shared" si="338"/>
        <v>182</v>
      </c>
      <c r="AG1016" s="36" t="str">
        <f t="shared" si="338"/>
        <v>DFW</v>
      </c>
      <c r="AI1016">
        <v>1002</v>
      </c>
      <c r="AJ1016" s="77" t="str">
        <f t="shared" si="333"/>
        <v>INTERAVIÓN</v>
      </c>
      <c r="AK1016" s="77">
        <f t="shared" si="333"/>
        <v>2224</v>
      </c>
      <c r="AL1016" s="189">
        <v>0.58680555555555558</v>
      </c>
      <c r="AM1016" s="144">
        <v>0.59305555555555556</v>
      </c>
      <c r="AN1016" s="80">
        <v>6.2499999999999778E-3</v>
      </c>
      <c r="AO1016" s="144">
        <v>0.60138888888888886</v>
      </c>
      <c r="AP1016" s="80">
        <v>8.3333333333333037E-3</v>
      </c>
      <c r="AQ1016" s="81">
        <v>41801</v>
      </c>
      <c r="AR1016" s="77" t="str">
        <f t="shared" si="341"/>
        <v>Nacional</v>
      </c>
      <c r="AS1016" s="77">
        <f t="shared" si="341"/>
        <v>7.638888888888899E-3</v>
      </c>
      <c r="AT1016" s="77">
        <f t="shared" si="341"/>
        <v>6.8287037037036702E-3</v>
      </c>
      <c r="AU1016" s="77">
        <f t="shared" si="341"/>
        <v>1.446759259259257E-2</v>
      </c>
      <c r="AV1016" s="77">
        <f t="shared" si="341"/>
        <v>320</v>
      </c>
      <c r="AW1016" s="77">
        <f t="shared" si="341"/>
        <v>179</v>
      </c>
      <c r="AX1016" s="77" t="str">
        <f t="shared" si="341"/>
        <v>MEX</v>
      </c>
    </row>
    <row r="1017" spans="1:50" x14ac:dyDescent="0.25">
      <c r="A1017">
        <v>1003</v>
      </c>
      <c r="B1017" s="36" t="str">
        <f t="shared" si="328"/>
        <v>BARATA Y MORADA</v>
      </c>
      <c r="C1017" s="151">
        <v>915</v>
      </c>
      <c r="D1017" s="152">
        <v>0.85069444444444453</v>
      </c>
      <c r="E1017" s="152">
        <v>0.85972222222222217</v>
      </c>
      <c r="F1017" s="153">
        <v>9.0277777777776347E-3</v>
      </c>
      <c r="G1017" s="152">
        <v>0.87986111111111109</v>
      </c>
      <c r="H1017" s="153">
        <v>2.0138888888888928E-2</v>
      </c>
      <c r="I1017" s="67">
        <v>41713</v>
      </c>
      <c r="J1017" s="68" t="s">
        <v>22</v>
      </c>
      <c r="K1017" s="135">
        <v>1.446759259259256E-2</v>
      </c>
      <c r="L1017" s="135">
        <v>2.2222222222222227E-2</v>
      </c>
      <c r="M1017" s="175">
        <v>3.6689814814814786E-2</v>
      </c>
      <c r="N1017" s="90">
        <v>320</v>
      </c>
      <c r="O1017" s="91">
        <v>179</v>
      </c>
      <c r="P1017" s="92" t="s">
        <v>40</v>
      </c>
      <c r="R1017">
        <v>1003</v>
      </c>
      <c r="S1017" s="36" t="str">
        <f t="shared" si="342"/>
        <v>AEROLINEAS DE AMERICA</v>
      </c>
      <c r="T1017" s="36">
        <f t="shared" si="342"/>
        <v>387</v>
      </c>
      <c r="U1017" s="73">
        <v>0.59027777777777779</v>
      </c>
      <c r="V1017" s="74">
        <v>0.60069444444444442</v>
      </c>
      <c r="W1017" s="75">
        <v>1.041666666666663E-2</v>
      </c>
      <c r="X1017" s="74">
        <v>0.625</v>
      </c>
      <c r="Y1017" s="75">
        <v>2.430555555555558E-2</v>
      </c>
      <c r="Z1017" s="76">
        <v>41751</v>
      </c>
      <c r="AA1017" s="36" t="str">
        <f t="shared" si="338"/>
        <v>Internacional</v>
      </c>
      <c r="AB1017" s="36">
        <f t="shared" si="338"/>
        <v>1.566666666666669E-2</v>
      </c>
      <c r="AC1017" s="36">
        <f t="shared" si="338"/>
        <v>9.6123693379790952E-3</v>
      </c>
      <c r="AD1017" s="36">
        <f t="shared" si="338"/>
        <v>2.5279036004645785E-2</v>
      </c>
      <c r="AE1017" s="36" t="str">
        <f t="shared" si="338"/>
        <v>M80</v>
      </c>
      <c r="AF1017" s="36">
        <f t="shared" si="338"/>
        <v>182</v>
      </c>
      <c r="AG1017" s="36" t="str">
        <f t="shared" si="338"/>
        <v>DFW</v>
      </c>
      <c r="AI1017">
        <v>1003</v>
      </c>
      <c r="AJ1017" s="77" t="str">
        <f t="shared" si="333"/>
        <v>INTERAVIÓN</v>
      </c>
      <c r="AK1017" s="77">
        <f t="shared" si="333"/>
        <v>2224</v>
      </c>
      <c r="AL1017" s="186">
        <v>0.69027777777777777</v>
      </c>
      <c r="AM1017" s="79">
        <v>0.7055555555555556</v>
      </c>
      <c r="AN1017" s="80">
        <v>1.5277777777777835E-2</v>
      </c>
      <c r="AO1017" s="79">
        <v>0.71666666666666667</v>
      </c>
      <c r="AP1017" s="80">
        <v>1.1111111111111072E-2</v>
      </c>
      <c r="AQ1017" s="81">
        <v>41802</v>
      </c>
      <c r="AR1017" s="77" t="str">
        <f t="shared" si="341"/>
        <v>Nacional</v>
      </c>
      <c r="AS1017" s="77">
        <f t="shared" si="341"/>
        <v>7.638888888888899E-3</v>
      </c>
      <c r="AT1017" s="77">
        <f t="shared" si="341"/>
        <v>6.8287037037036702E-3</v>
      </c>
      <c r="AU1017" s="77">
        <f t="shared" si="341"/>
        <v>1.446759259259257E-2</v>
      </c>
      <c r="AV1017" s="77">
        <f t="shared" si="341"/>
        <v>320</v>
      </c>
      <c r="AW1017" s="77">
        <f t="shared" si="341"/>
        <v>179</v>
      </c>
      <c r="AX1017" s="77" t="str">
        <f t="shared" si="341"/>
        <v>MEX</v>
      </c>
    </row>
    <row r="1018" spans="1:50" x14ac:dyDescent="0.25">
      <c r="A1018">
        <v>1004</v>
      </c>
      <c r="B1018" s="36" t="str">
        <f t="shared" si="328"/>
        <v>BARATA Y MORADA</v>
      </c>
      <c r="C1018" s="36">
        <f t="shared" si="328"/>
        <v>915</v>
      </c>
      <c r="D1018" s="118">
        <v>0.85</v>
      </c>
      <c r="E1018" s="118">
        <v>0.85763888888888884</v>
      </c>
      <c r="F1018" s="119">
        <v>7.6388888888888618E-3</v>
      </c>
      <c r="G1018" s="118">
        <v>0.8652777777777777</v>
      </c>
      <c r="H1018" s="119">
        <v>7.6388888888888618E-3</v>
      </c>
      <c r="I1018" s="81">
        <v>41716</v>
      </c>
      <c r="J1018" s="36" t="str">
        <f t="shared" ref="J1018:P1028" si="344">J1017</f>
        <v>Internacional</v>
      </c>
      <c r="K1018" s="36">
        <f t="shared" si="344"/>
        <v>1.446759259259256E-2</v>
      </c>
      <c r="L1018" s="36">
        <f t="shared" si="344"/>
        <v>2.2222222222222227E-2</v>
      </c>
      <c r="M1018" s="36">
        <f t="shared" si="344"/>
        <v>3.6689814814814786E-2</v>
      </c>
      <c r="N1018" s="36">
        <f t="shared" si="344"/>
        <v>320</v>
      </c>
      <c r="O1018" s="36">
        <f t="shared" si="344"/>
        <v>179</v>
      </c>
      <c r="P1018" s="36" t="str">
        <f t="shared" si="344"/>
        <v>LAX</v>
      </c>
      <c r="R1018">
        <v>1004</v>
      </c>
      <c r="S1018" s="36" t="str">
        <f t="shared" si="342"/>
        <v>AEROLINEAS DE AMERICA</v>
      </c>
      <c r="T1018" s="36">
        <f t="shared" si="342"/>
        <v>387</v>
      </c>
      <c r="U1018" s="73">
        <v>0.59166666666666667</v>
      </c>
      <c r="V1018" s="74">
        <v>0.60833333333333328</v>
      </c>
      <c r="W1018" s="75">
        <v>1.6666666666666607E-2</v>
      </c>
      <c r="X1018" s="74">
        <v>0.62222222222222223</v>
      </c>
      <c r="Y1018" s="75">
        <v>1.3888888888888951E-2</v>
      </c>
      <c r="Z1018" s="76">
        <v>41754</v>
      </c>
      <c r="AA1018" s="36" t="str">
        <f t="shared" si="338"/>
        <v>Internacional</v>
      </c>
      <c r="AB1018" s="36">
        <f t="shared" si="338"/>
        <v>1.566666666666669E-2</v>
      </c>
      <c r="AC1018" s="36">
        <f t="shared" si="338"/>
        <v>9.6123693379790952E-3</v>
      </c>
      <c r="AD1018" s="36">
        <f t="shared" si="338"/>
        <v>2.5279036004645785E-2</v>
      </c>
      <c r="AE1018" s="36" t="str">
        <f t="shared" si="338"/>
        <v>M80</v>
      </c>
      <c r="AF1018" s="36">
        <f t="shared" si="338"/>
        <v>182</v>
      </c>
      <c r="AG1018" s="36" t="str">
        <f t="shared" si="338"/>
        <v>DFW</v>
      </c>
      <c r="AI1018">
        <v>1004</v>
      </c>
      <c r="AJ1018" s="77" t="str">
        <f t="shared" si="333"/>
        <v>INTERAVIÓN</v>
      </c>
      <c r="AK1018" s="77">
        <f t="shared" si="333"/>
        <v>2224</v>
      </c>
      <c r="AL1018" s="186">
        <v>0.90416666666666667</v>
      </c>
      <c r="AM1018" s="79">
        <v>0.91805555555555562</v>
      </c>
      <c r="AN1018" s="80">
        <v>1.3888888888888951E-2</v>
      </c>
      <c r="AO1018" s="79">
        <v>0.92291666666666661</v>
      </c>
      <c r="AP1018" s="80">
        <v>4.8611111111109828E-3</v>
      </c>
      <c r="AQ1018" s="81">
        <v>41803</v>
      </c>
      <c r="AR1018" s="77" t="str">
        <f t="shared" si="341"/>
        <v>Nacional</v>
      </c>
      <c r="AS1018" s="77">
        <f t="shared" si="341"/>
        <v>7.638888888888899E-3</v>
      </c>
      <c r="AT1018" s="77">
        <f t="shared" si="341"/>
        <v>6.8287037037036702E-3</v>
      </c>
      <c r="AU1018" s="77">
        <f t="shared" si="341"/>
        <v>1.446759259259257E-2</v>
      </c>
      <c r="AV1018" s="77">
        <f t="shared" si="341"/>
        <v>320</v>
      </c>
      <c r="AW1018" s="77">
        <f t="shared" si="341"/>
        <v>179</v>
      </c>
      <c r="AX1018" s="77" t="str">
        <f t="shared" si="341"/>
        <v>MEX</v>
      </c>
    </row>
    <row r="1019" spans="1:50" x14ac:dyDescent="0.25">
      <c r="A1019">
        <v>1005</v>
      </c>
      <c r="B1019" s="36" t="str">
        <f t="shared" si="328"/>
        <v>BARATA Y MORADA</v>
      </c>
      <c r="C1019" s="36">
        <f t="shared" si="328"/>
        <v>915</v>
      </c>
      <c r="D1019" s="118">
        <v>0.8520833333333333</v>
      </c>
      <c r="E1019" s="118">
        <v>0.8618055555555556</v>
      </c>
      <c r="F1019" s="119">
        <v>9.7222222222222987E-3</v>
      </c>
      <c r="G1019" s="118">
        <v>0.88541666666666663</v>
      </c>
      <c r="H1019" s="119">
        <v>2.3611111111111027E-2</v>
      </c>
      <c r="I1019" s="81">
        <v>41717</v>
      </c>
      <c r="J1019" s="36" t="str">
        <f t="shared" si="344"/>
        <v>Internacional</v>
      </c>
      <c r="K1019" s="36">
        <f t="shared" si="344"/>
        <v>1.446759259259256E-2</v>
      </c>
      <c r="L1019" s="36">
        <f t="shared" si="344"/>
        <v>2.2222222222222227E-2</v>
      </c>
      <c r="M1019" s="36">
        <f t="shared" si="344"/>
        <v>3.6689814814814786E-2</v>
      </c>
      <c r="N1019" s="36">
        <f t="shared" si="344"/>
        <v>320</v>
      </c>
      <c r="O1019" s="36">
        <f t="shared" si="344"/>
        <v>179</v>
      </c>
      <c r="P1019" s="36" t="str">
        <f t="shared" si="344"/>
        <v>LAX</v>
      </c>
      <c r="R1019">
        <v>1005</v>
      </c>
      <c r="S1019" s="36" t="str">
        <f t="shared" si="342"/>
        <v>AEROLINEAS DE AMERICA</v>
      </c>
      <c r="T1019" s="36">
        <f t="shared" si="342"/>
        <v>387</v>
      </c>
      <c r="U1019" s="73">
        <v>0.6020833333333333</v>
      </c>
      <c r="V1019" s="74">
        <v>0.61805555555555558</v>
      </c>
      <c r="W1019" s="75">
        <v>1.5972222222222276E-2</v>
      </c>
      <c r="X1019" s="74">
        <v>0.63124999999999998</v>
      </c>
      <c r="Y1019" s="75">
        <v>1.3194444444444398E-2</v>
      </c>
      <c r="Z1019" s="76">
        <v>41754</v>
      </c>
      <c r="AA1019" s="36" t="str">
        <f t="shared" si="338"/>
        <v>Internacional</v>
      </c>
      <c r="AB1019" s="36">
        <f t="shared" si="338"/>
        <v>1.566666666666669E-2</v>
      </c>
      <c r="AC1019" s="36">
        <f t="shared" si="338"/>
        <v>9.6123693379790952E-3</v>
      </c>
      <c r="AD1019" s="36">
        <f t="shared" si="338"/>
        <v>2.5279036004645785E-2</v>
      </c>
      <c r="AE1019" s="36" t="str">
        <f t="shared" si="338"/>
        <v>M80</v>
      </c>
      <c r="AF1019" s="36">
        <f t="shared" si="338"/>
        <v>182</v>
      </c>
      <c r="AG1019" s="36" t="str">
        <f t="shared" si="338"/>
        <v>DFW</v>
      </c>
      <c r="AI1019">
        <v>1005</v>
      </c>
      <c r="AJ1019" s="77" t="str">
        <f t="shared" si="333"/>
        <v>INTERAVIÓN</v>
      </c>
      <c r="AK1019" s="77">
        <f t="shared" si="333"/>
        <v>2224</v>
      </c>
      <c r="AL1019" s="186">
        <v>0.59930555555555554</v>
      </c>
      <c r="AM1019" s="79">
        <v>0.60486111111111118</v>
      </c>
      <c r="AN1019" s="80">
        <v>5.5555555555556468E-3</v>
      </c>
      <c r="AO1019" s="79">
        <v>0.61388888888888882</v>
      </c>
      <c r="AP1019" s="80">
        <v>9.0277777777776347E-3</v>
      </c>
      <c r="AQ1019" s="81">
        <v>41809</v>
      </c>
      <c r="AR1019" s="77" t="str">
        <f t="shared" si="341"/>
        <v>Nacional</v>
      </c>
      <c r="AS1019" s="77">
        <f t="shared" si="341"/>
        <v>7.638888888888899E-3</v>
      </c>
      <c r="AT1019" s="77">
        <f t="shared" si="341"/>
        <v>6.8287037037036702E-3</v>
      </c>
      <c r="AU1019" s="77">
        <f t="shared" si="341"/>
        <v>1.446759259259257E-2</v>
      </c>
      <c r="AV1019" s="77">
        <f t="shared" si="341"/>
        <v>320</v>
      </c>
      <c r="AW1019" s="77">
        <f t="shared" si="341"/>
        <v>179</v>
      </c>
      <c r="AX1019" s="77" t="str">
        <f t="shared" si="341"/>
        <v>MEX</v>
      </c>
    </row>
    <row r="1020" spans="1:50" ht="15.75" thickBot="1" x14ac:dyDescent="0.3">
      <c r="A1020">
        <v>1006</v>
      </c>
      <c r="B1020" s="36" t="str">
        <f t="shared" si="328"/>
        <v>BARATA Y MORADA</v>
      </c>
      <c r="C1020" s="36">
        <f t="shared" si="328"/>
        <v>915</v>
      </c>
      <c r="D1020" s="118">
        <v>0.85486111111111107</v>
      </c>
      <c r="E1020" s="118">
        <v>0.90625</v>
      </c>
      <c r="F1020" s="119">
        <v>5.1388888888888928E-2</v>
      </c>
      <c r="G1020" s="118">
        <v>0.9277777777777777</v>
      </c>
      <c r="H1020" s="119">
        <v>2.1527777777777701E-2</v>
      </c>
      <c r="I1020" s="81">
        <v>41719</v>
      </c>
      <c r="J1020" s="36" t="str">
        <f t="shared" si="344"/>
        <v>Internacional</v>
      </c>
      <c r="K1020" s="36">
        <f t="shared" si="344"/>
        <v>1.446759259259256E-2</v>
      </c>
      <c r="L1020" s="36">
        <f t="shared" si="344"/>
        <v>2.2222222222222227E-2</v>
      </c>
      <c r="M1020" s="36">
        <f t="shared" si="344"/>
        <v>3.6689814814814786E-2</v>
      </c>
      <c r="N1020" s="36">
        <f t="shared" si="344"/>
        <v>320</v>
      </c>
      <c r="O1020" s="36">
        <f t="shared" si="344"/>
        <v>179</v>
      </c>
      <c r="P1020" s="36" t="str">
        <f t="shared" si="344"/>
        <v>LAX</v>
      </c>
      <c r="R1020">
        <v>1006</v>
      </c>
      <c r="S1020" s="36" t="str">
        <f t="shared" si="342"/>
        <v>AEROLINEAS DE AMERICA</v>
      </c>
      <c r="T1020" s="36">
        <f t="shared" si="342"/>
        <v>387</v>
      </c>
      <c r="U1020" s="73">
        <v>0.66319444444444442</v>
      </c>
      <c r="V1020" s="74">
        <v>0.67638888888888893</v>
      </c>
      <c r="W1020" s="75">
        <v>1.3194444444444509E-2</v>
      </c>
      <c r="X1020" s="74">
        <v>0.69305555555555554</v>
      </c>
      <c r="Y1020" s="75">
        <v>1.6666666666666607E-2</v>
      </c>
      <c r="Z1020" s="76">
        <v>41756</v>
      </c>
      <c r="AA1020" s="36" t="str">
        <f t="shared" si="338"/>
        <v>Internacional</v>
      </c>
      <c r="AB1020" s="36">
        <f t="shared" si="338"/>
        <v>1.566666666666669E-2</v>
      </c>
      <c r="AC1020" s="36">
        <f t="shared" si="338"/>
        <v>9.6123693379790952E-3</v>
      </c>
      <c r="AD1020" s="36">
        <f t="shared" si="338"/>
        <v>2.5279036004645785E-2</v>
      </c>
      <c r="AE1020" s="36" t="str">
        <f t="shared" si="338"/>
        <v>M80</v>
      </c>
      <c r="AF1020" s="36">
        <f t="shared" si="338"/>
        <v>182</v>
      </c>
      <c r="AG1020" s="36" t="str">
        <f t="shared" si="338"/>
        <v>DFW</v>
      </c>
      <c r="AI1020">
        <v>1006</v>
      </c>
      <c r="AJ1020" s="77" t="str">
        <f t="shared" si="333"/>
        <v>INTERAVIÓN</v>
      </c>
      <c r="AK1020" s="77">
        <f t="shared" si="333"/>
        <v>2224</v>
      </c>
      <c r="AL1020" s="187">
        <v>0.59652777777777777</v>
      </c>
      <c r="AM1020" s="95">
        <v>0.60069444444444442</v>
      </c>
      <c r="AN1020" s="96">
        <v>4.1666666666666519E-3</v>
      </c>
      <c r="AO1020" s="95">
        <v>0.60902777777777783</v>
      </c>
      <c r="AP1020" s="96">
        <v>8.3333333333334147E-3</v>
      </c>
      <c r="AQ1020" s="97">
        <v>41810</v>
      </c>
      <c r="AR1020" s="77" t="str">
        <f t="shared" si="341"/>
        <v>Nacional</v>
      </c>
      <c r="AS1020" s="77">
        <f t="shared" si="341"/>
        <v>7.638888888888899E-3</v>
      </c>
      <c r="AT1020" s="77">
        <f t="shared" si="341"/>
        <v>6.8287037037036702E-3</v>
      </c>
      <c r="AU1020" s="77">
        <f t="shared" si="341"/>
        <v>1.446759259259257E-2</v>
      </c>
      <c r="AV1020" s="77">
        <f t="shared" si="341"/>
        <v>320</v>
      </c>
      <c r="AW1020" s="77">
        <f t="shared" si="341"/>
        <v>179</v>
      </c>
      <c r="AX1020" s="77" t="str">
        <f t="shared" si="341"/>
        <v>MEX</v>
      </c>
    </row>
    <row r="1021" spans="1:50" x14ac:dyDescent="0.25">
      <c r="A1021">
        <v>1007</v>
      </c>
      <c r="B1021" s="36" t="str">
        <f t="shared" si="328"/>
        <v>BARATA Y MORADA</v>
      </c>
      <c r="C1021" s="36">
        <f t="shared" si="328"/>
        <v>915</v>
      </c>
      <c r="D1021" s="118">
        <v>0.84652777777777777</v>
      </c>
      <c r="E1021" s="118">
        <v>0.86249999999999993</v>
      </c>
      <c r="F1021" s="119">
        <v>1.5972222222222165E-2</v>
      </c>
      <c r="G1021" s="118">
        <v>0.8930555555555556</v>
      </c>
      <c r="H1021" s="119">
        <v>3.0555555555555669E-2</v>
      </c>
      <c r="I1021" s="81">
        <v>41719</v>
      </c>
      <c r="J1021" s="36" t="str">
        <f t="shared" si="344"/>
        <v>Internacional</v>
      </c>
      <c r="K1021" s="36">
        <f t="shared" si="344"/>
        <v>1.446759259259256E-2</v>
      </c>
      <c r="L1021" s="36">
        <f t="shared" si="344"/>
        <v>2.2222222222222227E-2</v>
      </c>
      <c r="M1021" s="36">
        <f t="shared" si="344"/>
        <v>3.6689814814814786E-2</v>
      </c>
      <c r="N1021" s="36">
        <f t="shared" si="344"/>
        <v>320</v>
      </c>
      <c r="O1021" s="36">
        <f t="shared" si="344"/>
        <v>179</v>
      </c>
      <c r="P1021" s="36" t="str">
        <f t="shared" si="344"/>
        <v>LAX</v>
      </c>
      <c r="R1021">
        <v>1007</v>
      </c>
      <c r="S1021" s="36" t="str">
        <f t="shared" si="342"/>
        <v>AEROLINEAS DE AMERICA</v>
      </c>
      <c r="T1021" s="36">
        <f t="shared" si="342"/>
        <v>387</v>
      </c>
      <c r="U1021" s="73">
        <v>0.59236111111111112</v>
      </c>
      <c r="V1021" s="74">
        <v>0.61249999999999993</v>
      </c>
      <c r="W1021" s="75">
        <v>2.0138888888888817E-2</v>
      </c>
      <c r="X1021" s="74">
        <v>0.61944444444444446</v>
      </c>
      <c r="Y1021" s="75">
        <v>6.9444444444445308E-3</v>
      </c>
      <c r="Z1021" s="76">
        <v>41757</v>
      </c>
      <c r="AA1021" s="36" t="str">
        <f t="shared" si="338"/>
        <v>Internacional</v>
      </c>
      <c r="AB1021" s="36">
        <f t="shared" si="338"/>
        <v>1.566666666666669E-2</v>
      </c>
      <c r="AC1021" s="36">
        <f t="shared" si="338"/>
        <v>9.6123693379790952E-3</v>
      </c>
      <c r="AD1021" s="36">
        <f t="shared" si="338"/>
        <v>2.5279036004645785E-2</v>
      </c>
      <c r="AE1021" s="36" t="str">
        <f t="shared" si="338"/>
        <v>M80</v>
      </c>
      <c r="AF1021" s="36">
        <f t="shared" si="338"/>
        <v>182</v>
      </c>
      <c r="AG1021" s="36" t="str">
        <f t="shared" si="338"/>
        <v>DFW</v>
      </c>
      <c r="AI1021">
        <v>1007</v>
      </c>
      <c r="AJ1021" s="77" t="str">
        <f t="shared" si="333"/>
        <v>INTERAVIÓN</v>
      </c>
      <c r="AK1021" s="63">
        <v>2222</v>
      </c>
      <c r="AL1021" s="185">
        <v>0.2388888888888889</v>
      </c>
      <c r="AM1021" s="65">
        <v>0.24513888888888888</v>
      </c>
      <c r="AN1021" s="66">
        <v>6.2499999999999778E-3</v>
      </c>
      <c r="AO1021" s="65">
        <v>0.24861111111111112</v>
      </c>
      <c r="AP1021" s="66">
        <v>3.4722222222222376E-3</v>
      </c>
      <c r="AQ1021" s="67">
        <v>41793</v>
      </c>
      <c r="AR1021" s="68" t="s">
        <v>19</v>
      </c>
      <c r="AS1021" s="69">
        <v>6.0763888888889063E-3</v>
      </c>
      <c r="AT1021" s="70">
        <v>6.5393518518518448E-3</v>
      </c>
      <c r="AU1021" s="70">
        <v>1.261574074074075E-2</v>
      </c>
      <c r="AV1021" s="71">
        <v>320</v>
      </c>
      <c r="AW1021" s="71">
        <v>179</v>
      </c>
      <c r="AX1021" s="72" t="s">
        <v>21</v>
      </c>
    </row>
    <row r="1022" spans="1:50" x14ac:dyDescent="0.25">
      <c r="A1022">
        <v>1008</v>
      </c>
      <c r="B1022" s="36" t="str">
        <f t="shared" si="328"/>
        <v>BARATA Y MORADA</v>
      </c>
      <c r="C1022" s="36">
        <f t="shared" si="328"/>
        <v>915</v>
      </c>
      <c r="D1022" s="118">
        <v>0.85902777777777783</v>
      </c>
      <c r="E1022" s="118">
        <v>0.87222222222222223</v>
      </c>
      <c r="F1022" s="119">
        <v>1.3194444444444398E-2</v>
      </c>
      <c r="G1022" s="118">
        <v>0.89444444444444438</v>
      </c>
      <c r="H1022" s="119">
        <v>2.2222222222222143E-2</v>
      </c>
      <c r="I1022" s="81">
        <v>41721</v>
      </c>
      <c r="J1022" s="36" t="str">
        <f t="shared" si="344"/>
        <v>Internacional</v>
      </c>
      <c r="K1022" s="36">
        <f t="shared" si="344"/>
        <v>1.446759259259256E-2</v>
      </c>
      <c r="L1022" s="36">
        <f t="shared" si="344"/>
        <v>2.2222222222222227E-2</v>
      </c>
      <c r="M1022" s="36">
        <f t="shared" si="344"/>
        <v>3.6689814814814786E-2</v>
      </c>
      <c r="N1022" s="36">
        <f t="shared" si="344"/>
        <v>320</v>
      </c>
      <c r="O1022" s="36">
        <f t="shared" si="344"/>
        <v>179</v>
      </c>
      <c r="P1022" s="36" t="str">
        <f t="shared" si="344"/>
        <v>LAX</v>
      </c>
      <c r="R1022">
        <v>1008</v>
      </c>
      <c r="S1022" s="36" t="str">
        <f t="shared" si="342"/>
        <v>AEROLINEAS DE AMERICA</v>
      </c>
      <c r="T1022" s="36">
        <f t="shared" si="342"/>
        <v>387</v>
      </c>
      <c r="U1022" s="73">
        <v>0.59583333333333333</v>
      </c>
      <c r="V1022" s="74">
        <v>0.61736111111111114</v>
      </c>
      <c r="W1022" s="75">
        <v>2.1527777777777812E-2</v>
      </c>
      <c r="X1022" s="74">
        <v>0.62083333333333335</v>
      </c>
      <c r="Y1022" s="75">
        <v>3.4722222222222099E-3</v>
      </c>
      <c r="Z1022" s="76">
        <v>41758</v>
      </c>
      <c r="AA1022" s="36" t="str">
        <f t="shared" si="338"/>
        <v>Internacional</v>
      </c>
      <c r="AB1022" s="36">
        <f t="shared" si="338"/>
        <v>1.566666666666669E-2</v>
      </c>
      <c r="AC1022" s="36">
        <f t="shared" si="338"/>
        <v>9.6123693379790952E-3</v>
      </c>
      <c r="AD1022" s="36">
        <f t="shared" si="338"/>
        <v>2.5279036004645785E-2</v>
      </c>
      <c r="AE1022" s="36" t="str">
        <f t="shared" si="338"/>
        <v>M80</v>
      </c>
      <c r="AF1022" s="36">
        <f t="shared" si="338"/>
        <v>182</v>
      </c>
      <c r="AG1022" s="36" t="str">
        <f t="shared" si="338"/>
        <v>DFW</v>
      </c>
      <c r="AI1022">
        <v>1008</v>
      </c>
      <c r="AJ1022" s="77" t="str">
        <f t="shared" si="333"/>
        <v>INTERAVIÓN</v>
      </c>
      <c r="AK1022" s="77">
        <f t="shared" si="333"/>
        <v>2222</v>
      </c>
      <c r="AL1022" s="186">
        <v>0.25138888888888888</v>
      </c>
      <c r="AM1022" s="79">
        <v>0.25625000000000003</v>
      </c>
      <c r="AN1022" s="80">
        <v>4.8611111111111494E-3</v>
      </c>
      <c r="AO1022" s="79">
        <v>0.26250000000000001</v>
      </c>
      <c r="AP1022" s="80">
        <v>6.2499999999999778E-3</v>
      </c>
      <c r="AQ1022" s="81">
        <v>41793</v>
      </c>
      <c r="AR1022" s="77" t="str">
        <f t="shared" ref="AR1022:AX1032" si="345">AR1021</f>
        <v>Nacional</v>
      </c>
      <c r="AS1022" s="77">
        <f t="shared" si="345"/>
        <v>6.0763888888889063E-3</v>
      </c>
      <c r="AT1022" s="77">
        <f t="shared" si="345"/>
        <v>6.5393518518518448E-3</v>
      </c>
      <c r="AU1022" s="77">
        <f t="shared" si="345"/>
        <v>1.261574074074075E-2</v>
      </c>
      <c r="AV1022" s="77">
        <f t="shared" si="345"/>
        <v>320</v>
      </c>
      <c r="AW1022" s="77">
        <f t="shared" si="345"/>
        <v>179</v>
      </c>
      <c r="AX1022" s="77" t="str">
        <f t="shared" si="345"/>
        <v>MEX</v>
      </c>
    </row>
    <row r="1023" spans="1:50" ht="15.75" thickBot="1" x14ac:dyDescent="0.3">
      <c r="A1023">
        <v>1009</v>
      </c>
      <c r="B1023" s="36" t="str">
        <f t="shared" si="328"/>
        <v>BARATA Y MORADA</v>
      </c>
      <c r="C1023" s="36">
        <f t="shared" si="328"/>
        <v>915</v>
      </c>
      <c r="D1023" s="118">
        <v>0.85763888888888884</v>
      </c>
      <c r="E1023" s="118">
        <v>0.8666666666666667</v>
      </c>
      <c r="F1023" s="119">
        <v>9.0277777777778567E-3</v>
      </c>
      <c r="G1023" s="118">
        <v>0.89166666666666661</v>
      </c>
      <c r="H1023" s="119">
        <v>2.4999999999999911E-2</v>
      </c>
      <c r="I1023" s="81">
        <v>41721</v>
      </c>
      <c r="J1023" s="36" t="str">
        <f t="shared" si="344"/>
        <v>Internacional</v>
      </c>
      <c r="K1023" s="36">
        <f t="shared" si="344"/>
        <v>1.446759259259256E-2</v>
      </c>
      <c r="L1023" s="36">
        <f t="shared" si="344"/>
        <v>2.2222222222222227E-2</v>
      </c>
      <c r="M1023" s="36">
        <f t="shared" si="344"/>
        <v>3.6689814814814786E-2</v>
      </c>
      <c r="N1023" s="36">
        <f t="shared" si="344"/>
        <v>320</v>
      </c>
      <c r="O1023" s="36">
        <f t="shared" si="344"/>
        <v>179</v>
      </c>
      <c r="P1023" s="36" t="str">
        <f t="shared" si="344"/>
        <v>LAX</v>
      </c>
      <c r="R1023">
        <v>1009</v>
      </c>
      <c r="S1023" s="36" t="str">
        <f t="shared" si="342"/>
        <v>AEROLINEAS DE AMERICA</v>
      </c>
      <c r="T1023" s="36">
        <f t="shared" si="342"/>
        <v>387</v>
      </c>
      <c r="U1023" s="83">
        <v>0.60833333333333328</v>
      </c>
      <c r="V1023" s="84">
        <v>0.62708333333333333</v>
      </c>
      <c r="W1023" s="85">
        <v>1.8750000000000044E-2</v>
      </c>
      <c r="X1023" s="84">
        <v>0.64097222222222217</v>
      </c>
      <c r="Y1023" s="85">
        <v>1.388888888888884E-2</v>
      </c>
      <c r="Z1023" s="86">
        <v>41759</v>
      </c>
      <c r="AA1023" s="36" t="str">
        <f t="shared" si="338"/>
        <v>Internacional</v>
      </c>
      <c r="AB1023" s="36">
        <f t="shared" si="338"/>
        <v>1.566666666666669E-2</v>
      </c>
      <c r="AC1023" s="36">
        <f t="shared" si="338"/>
        <v>9.6123693379790952E-3</v>
      </c>
      <c r="AD1023" s="36">
        <f t="shared" si="338"/>
        <v>2.5279036004645785E-2</v>
      </c>
      <c r="AE1023" s="36" t="str">
        <f t="shared" si="338"/>
        <v>M80</v>
      </c>
      <c r="AF1023" s="36">
        <f t="shared" si="338"/>
        <v>182</v>
      </c>
      <c r="AG1023" s="36" t="str">
        <f t="shared" si="338"/>
        <v>DFW</v>
      </c>
      <c r="AI1023">
        <v>1009</v>
      </c>
      <c r="AJ1023" s="77" t="str">
        <f t="shared" si="333"/>
        <v>INTERAVIÓN</v>
      </c>
      <c r="AK1023" s="77">
        <f t="shared" si="333"/>
        <v>2222</v>
      </c>
      <c r="AL1023" s="186">
        <v>0.25</v>
      </c>
      <c r="AM1023" s="79">
        <v>0.25486111111111109</v>
      </c>
      <c r="AN1023" s="80">
        <v>4.8611111111110938E-3</v>
      </c>
      <c r="AO1023" s="79">
        <v>0.25833333333333336</v>
      </c>
      <c r="AP1023" s="80">
        <v>3.4722222222222654E-3</v>
      </c>
      <c r="AQ1023" s="81">
        <v>41794</v>
      </c>
      <c r="AR1023" s="77" t="str">
        <f t="shared" si="345"/>
        <v>Nacional</v>
      </c>
      <c r="AS1023" s="77">
        <f t="shared" si="345"/>
        <v>6.0763888888889063E-3</v>
      </c>
      <c r="AT1023" s="77">
        <f t="shared" si="345"/>
        <v>6.5393518518518448E-3</v>
      </c>
      <c r="AU1023" s="77">
        <f t="shared" si="345"/>
        <v>1.261574074074075E-2</v>
      </c>
      <c r="AV1023" s="77">
        <f t="shared" si="345"/>
        <v>320</v>
      </c>
      <c r="AW1023" s="77">
        <f t="shared" si="345"/>
        <v>179</v>
      </c>
      <c r="AX1023" s="77" t="str">
        <f t="shared" si="345"/>
        <v>MEX</v>
      </c>
    </row>
    <row r="1024" spans="1:50" x14ac:dyDescent="0.25">
      <c r="A1024">
        <v>1010</v>
      </c>
      <c r="B1024" s="36" t="str">
        <f t="shared" si="328"/>
        <v>BARATA Y MORADA</v>
      </c>
      <c r="C1024" s="36">
        <f t="shared" si="328"/>
        <v>915</v>
      </c>
      <c r="D1024" s="118">
        <v>0.85555555555555562</v>
      </c>
      <c r="E1024" s="118">
        <v>0.86319444444444438</v>
      </c>
      <c r="F1024" s="119">
        <v>7.6388888888887507E-3</v>
      </c>
      <c r="G1024" s="118">
        <v>0.88124999999999998</v>
      </c>
      <c r="H1024" s="119">
        <v>1.8055555555555602E-2</v>
      </c>
      <c r="I1024" s="81">
        <v>41723</v>
      </c>
      <c r="J1024" s="36" t="str">
        <f t="shared" si="344"/>
        <v>Internacional</v>
      </c>
      <c r="K1024" s="36">
        <f t="shared" si="344"/>
        <v>1.446759259259256E-2</v>
      </c>
      <c r="L1024" s="36">
        <f t="shared" si="344"/>
        <v>2.2222222222222227E-2</v>
      </c>
      <c r="M1024" s="36">
        <f t="shared" si="344"/>
        <v>3.6689814814814786E-2</v>
      </c>
      <c r="N1024" s="36">
        <f t="shared" si="344"/>
        <v>320</v>
      </c>
      <c r="O1024" s="36">
        <f t="shared" si="344"/>
        <v>179</v>
      </c>
      <c r="P1024" s="36" t="str">
        <f t="shared" si="344"/>
        <v>LAX</v>
      </c>
      <c r="R1024">
        <v>1010</v>
      </c>
      <c r="S1024" s="190" t="s">
        <v>82</v>
      </c>
      <c r="T1024" s="55">
        <v>722</v>
      </c>
      <c r="U1024" s="56">
        <v>0.94513888888888886</v>
      </c>
      <c r="V1024" s="57">
        <v>0.96111111111111114</v>
      </c>
      <c r="W1024" s="58">
        <v>1.5972222222222276E-2</v>
      </c>
      <c r="X1024" s="57">
        <v>0.97222222222222221</v>
      </c>
      <c r="Y1024" s="58">
        <v>1.1111111111111072E-2</v>
      </c>
      <c r="Z1024" s="59">
        <v>41730</v>
      </c>
      <c r="AA1024" s="60" t="s">
        <v>22</v>
      </c>
      <c r="AB1024" s="61">
        <v>1.6923868312757214E-2</v>
      </c>
      <c r="AC1024" s="61">
        <v>1.1651234567901217E-2</v>
      </c>
      <c r="AD1024" s="62">
        <v>2.8575102880658433E-2</v>
      </c>
      <c r="AE1024" s="167" t="s">
        <v>39</v>
      </c>
      <c r="AF1024" s="167">
        <v>189</v>
      </c>
      <c r="AG1024" s="168" t="s">
        <v>60</v>
      </c>
      <c r="AI1024">
        <v>1010</v>
      </c>
      <c r="AJ1024" s="77" t="str">
        <f t="shared" si="333"/>
        <v>INTERAVIÓN</v>
      </c>
      <c r="AK1024" s="77">
        <f t="shared" si="333"/>
        <v>2222</v>
      </c>
      <c r="AL1024" s="186">
        <v>0.24513888888888888</v>
      </c>
      <c r="AM1024" s="79">
        <v>0.25</v>
      </c>
      <c r="AN1024" s="80">
        <v>4.8611111111111216E-3</v>
      </c>
      <c r="AO1024" s="79">
        <v>0.25555555555555559</v>
      </c>
      <c r="AP1024" s="80">
        <v>5.5555555555555913E-3</v>
      </c>
      <c r="AQ1024" s="81">
        <v>41795</v>
      </c>
      <c r="AR1024" s="77" t="str">
        <f t="shared" si="345"/>
        <v>Nacional</v>
      </c>
      <c r="AS1024" s="77">
        <f t="shared" si="345"/>
        <v>6.0763888888889063E-3</v>
      </c>
      <c r="AT1024" s="77">
        <f t="shared" si="345"/>
        <v>6.5393518518518448E-3</v>
      </c>
      <c r="AU1024" s="77">
        <f t="shared" si="345"/>
        <v>1.261574074074075E-2</v>
      </c>
      <c r="AV1024" s="77">
        <f t="shared" si="345"/>
        <v>320</v>
      </c>
      <c r="AW1024" s="77">
        <f t="shared" si="345"/>
        <v>179</v>
      </c>
      <c r="AX1024" s="77" t="str">
        <f t="shared" si="345"/>
        <v>MEX</v>
      </c>
    </row>
    <row r="1025" spans="1:50" x14ac:dyDescent="0.25">
      <c r="A1025">
        <v>1011</v>
      </c>
      <c r="B1025" s="36" t="str">
        <f t="shared" si="328"/>
        <v>BARATA Y MORADA</v>
      </c>
      <c r="C1025" s="36">
        <f t="shared" si="328"/>
        <v>915</v>
      </c>
      <c r="D1025" s="118">
        <v>0.84583333333333333</v>
      </c>
      <c r="E1025" s="118">
        <v>0.85625000000000007</v>
      </c>
      <c r="F1025" s="119">
        <v>1.0416666666666741E-2</v>
      </c>
      <c r="G1025" s="118">
        <v>0.87152777777777779</v>
      </c>
      <c r="H1025" s="119">
        <v>1.5277777777777724E-2</v>
      </c>
      <c r="I1025" s="81">
        <v>41724</v>
      </c>
      <c r="J1025" s="36" t="str">
        <f t="shared" si="344"/>
        <v>Internacional</v>
      </c>
      <c r="K1025" s="36">
        <f t="shared" si="344"/>
        <v>1.446759259259256E-2</v>
      </c>
      <c r="L1025" s="36">
        <f t="shared" si="344"/>
        <v>2.2222222222222227E-2</v>
      </c>
      <c r="M1025" s="36">
        <f t="shared" si="344"/>
        <v>3.6689814814814786E-2</v>
      </c>
      <c r="N1025" s="36">
        <f t="shared" si="344"/>
        <v>320</v>
      </c>
      <c r="O1025" s="36">
        <f t="shared" si="344"/>
        <v>179</v>
      </c>
      <c r="P1025" s="36" t="str">
        <f t="shared" si="344"/>
        <v>LAX</v>
      </c>
      <c r="R1025">
        <v>1011</v>
      </c>
      <c r="S1025" s="36" t="str">
        <f t="shared" ref="S1025:T1050" si="346">S1024</f>
        <v>COPA AIRLINES</v>
      </c>
      <c r="T1025" s="36">
        <f t="shared" si="346"/>
        <v>722</v>
      </c>
      <c r="U1025" s="73">
        <v>0.9590277777777777</v>
      </c>
      <c r="V1025" s="74">
        <v>0.97986111111111107</v>
      </c>
      <c r="W1025" s="75">
        <v>2.083333333333337E-2</v>
      </c>
      <c r="X1025" s="74">
        <v>0.98472222222222217</v>
      </c>
      <c r="Y1025" s="75">
        <v>4.8611111111110938E-3</v>
      </c>
      <c r="Z1025" s="76">
        <v>41731</v>
      </c>
      <c r="AA1025" s="36" t="str">
        <f t="shared" ref="AA1025:AG1050" si="347">AA1024</f>
        <v>Internacional</v>
      </c>
      <c r="AB1025" s="36">
        <f t="shared" si="347"/>
        <v>1.6923868312757214E-2</v>
      </c>
      <c r="AC1025" s="36">
        <f t="shared" si="347"/>
        <v>1.1651234567901217E-2</v>
      </c>
      <c r="AD1025" s="36">
        <f t="shared" si="347"/>
        <v>2.8575102880658433E-2</v>
      </c>
      <c r="AE1025" s="36" t="str">
        <f t="shared" si="347"/>
        <v>B737-800</v>
      </c>
      <c r="AF1025" s="36">
        <f t="shared" si="347"/>
        <v>189</v>
      </c>
      <c r="AG1025" s="36" t="str">
        <f t="shared" si="347"/>
        <v>PTY</v>
      </c>
      <c r="AI1025">
        <v>1011</v>
      </c>
      <c r="AJ1025" s="77" t="str">
        <f t="shared" si="333"/>
        <v>INTERAVIÓN</v>
      </c>
      <c r="AK1025" s="77">
        <f t="shared" si="333"/>
        <v>2222</v>
      </c>
      <c r="AL1025" s="186">
        <v>0.24305555555555555</v>
      </c>
      <c r="AM1025" s="79">
        <v>0.24791666666666667</v>
      </c>
      <c r="AN1025" s="80">
        <v>4.8611111111111216E-3</v>
      </c>
      <c r="AO1025" s="79">
        <v>0.25208333333333333</v>
      </c>
      <c r="AP1025" s="80">
        <v>4.1666666666666519E-3</v>
      </c>
      <c r="AQ1025" s="81">
        <v>41799</v>
      </c>
      <c r="AR1025" s="77" t="str">
        <f t="shared" si="345"/>
        <v>Nacional</v>
      </c>
      <c r="AS1025" s="77">
        <f t="shared" si="345"/>
        <v>6.0763888888889063E-3</v>
      </c>
      <c r="AT1025" s="77">
        <f t="shared" si="345"/>
        <v>6.5393518518518448E-3</v>
      </c>
      <c r="AU1025" s="77">
        <f t="shared" si="345"/>
        <v>1.261574074074075E-2</v>
      </c>
      <c r="AV1025" s="77">
        <f t="shared" si="345"/>
        <v>320</v>
      </c>
      <c r="AW1025" s="77">
        <f t="shared" si="345"/>
        <v>179</v>
      </c>
      <c r="AX1025" s="77" t="str">
        <f t="shared" si="345"/>
        <v>MEX</v>
      </c>
    </row>
    <row r="1026" spans="1:50" ht="15.75" thickBot="1" x14ac:dyDescent="0.3">
      <c r="A1026">
        <v>1012</v>
      </c>
      <c r="B1026" s="36" t="str">
        <f t="shared" si="328"/>
        <v>BARATA Y MORADA</v>
      </c>
      <c r="C1026" s="36">
        <f t="shared" si="328"/>
        <v>915</v>
      </c>
      <c r="D1026" s="118">
        <v>0.85069444444444453</v>
      </c>
      <c r="E1026" s="118">
        <v>0.86319444444444438</v>
      </c>
      <c r="F1026" s="119">
        <v>1.2499999999999845E-2</v>
      </c>
      <c r="G1026" s="118">
        <v>0.8979166666666667</v>
      </c>
      <c r="H1026" s="119">
        <v>3.4722222222222321E-2</v>
      </c>
      <c r="I1026" s="81">
        <v>41725</v>
      </c>
      <c r="J1026" s="36" t="str">
        <f t="shared" si="344"/>
        <v>Internacional</v>
      </c>
      <c r="K1026" s="36">
        <f t="shared" si="344"/>
        <v>1.446759259259256E-2</v>
      </c>
      <c r="L1026" s="36">
        <f t="shared" si="344"/>
        <v>2.2222222222222227E-2</v>
      </c>
      <c r="M1026" s="36">
        <f t="shared" si="344"/>
        <v>3.6689814814814786E-2</v>
      </c>
      <c r="N1026" s="36">
        <f t="shared" si="344"/>
        <v>320</v>
      </c>
      <c r="O1026" s="36">
        <f t="shared" si="344"/>
        <v>179</v>
      </c>
      <c r="P1026" s="36" t="str">
        <f t="shared" si="344"/>
        <v>LAX</v>
      </c>
      <c r="R1026">
        <v>1012</v>
      </c>
      <c r="S1026" s="36" t="str">
        <f t="shared" si="346"/>
        <v>COPA AIRLINES</v>
      </c>
      <c r="T1026" s="36">
        <f t="shared" si="346"/>
        <v>722</v>
      </c>
      <c r="U1026" s="73">
        <v>0.97083333333333333</v>
      </c>
      <c r="V1026" s="74">
        <v>0.98541666666666661</v>
      </c>
      <c r="W1026" s="75">
        <v>1.4583333333333282E-2</v>
      </c>
      <c r="X1026" s="74">
        <v>0.99305555555555547</v>
      </c>
      <c r="Y1026" s="75">
        <v>7.6388888888888618E-3</v>
      </c>
      <c r="Z1026" s="76">
        <v>41732</v>
      </c>
      <c r="AA1026" s="36" t="str">
        <f t="shared" si="347"/>
        <v>Internacional</v>
      </c>
      <c r="AB1026" s="36">
        <f t="shared" si="347"/>
        <v>1.6923868312757214E-2</v>
      </c>
      <c r="AC1026" s="36">
        <f t="shared" si="347"/>
        <v>1.1651234567901217E-2</v>
      </c>
      <c r="AD1026" s="36">
        <f t="shared" si="347"/>
        <v>2.8575102880658433E-2</v>
      </c>
      <c r="AE1026" s="36" t="str">
        <f t="shared" si="347"/>
        <v>B737-800</v>
      </c>
      <c r="AF1026" s="36">
        <f t="shared" si="347"/>
        <v>189</v>
      </c>
      <c r="AG1026" s="36" t="str">
        <f t="shared" si="347"/>
        <v>PTY</v>
      </c>
      <c r="AI1026">
        <v>1012</v>
      </c>
      <c r="AJ1026" s="77" t="str">
        <f t="shared" si="333"/>
        <v>INTERAVIÓN</v>
      </c>
      <c r="AK1026" s="77">
        <f t="shared" si="333"/>
        <v>2222</v>
      </c>
      <c r="AL1026" s="186">
        <v>0.39374999999999999</v>
      </c>
      <c r="AM1026" s="79">
        <v>0.39930555555555558</v>
      </c>
      <c r="AN1026" s="80">
        <v>5.5555555555555913E-3</v>
      </c>
      <c r="AO1026" s="79">
        <v>0.40625</v>
      </c>
      <c r="AP1026" s="80">
        <v>6.9444444444444198E-3</v>
      </c>
      <c r="AQ1026" s="81">
        <v>41800</v>
      </c>
      <c r="AR1026" s="77" t="str">
        <f t="shared" si="345"/>
        <v>Nacional</v>
      </c>
      <c r="AS1026" s="77">
        <f t="shared" si="345"/>
        <v>6.0763888888889063E-3</v>
      </c>
      <c r="AT1026" s="77">
        <f t="shared" si="345"/>
        <v>6.5393518518518448E-3</v>
      </c>
      <c r="AU1026" s="77">
        <f t="shared" si="345"/>
        <v>1.261574074074075E-2</v>
      </c>
      <c r="AV1026" s="77">
        <f t="shared" si="345"/>
        <v>320</v>
      </c>
      <c r="AW1026" s="77">
        <f t="shared" si="345"/>
        <v>179</v>
      </c>
      <c r="AX1026" s="77" t="str">
        <f t="shared" si="345"/>
        <v>MEX</v>
      </c>
    </row>
    <row r="1027" spans="1:50" x14ac:dyDescent="0.25">
      <c r="A1027">
        <v>1013</v>
      </c>
      <c r="B1027" s="63" t="s">
        <v>77</v>
      </c>
      <c r="C1027" s="36">
        <f t="shared" ref="C1027:C1037" si="348">C1026</f>
        <v>915</v>
      </c>
      <c r="D1027" s="118">
        <v>0.8520833333333333</v>
      </c>
      <c r="E1027" s="118">
        <v>0.86458333333333337</v>
      </c>
      <c r="F1027" s="119">
        <v>1.2500000000000067E-2</v>
      </c>
      <c r="G1027" s="118">
        <v>0.89583333333333337</v>
      </c>
      <c r="H1027" s="119">
        <v>3.125E-2</v>
      </c>
      <c r="I1027" s="81">
        <v>41727</v>
      </c>
      <c r="J1027" s="36" t="str">
        <f t="shared" si="344"/>
        <v>Internacional</v>
      </c>
      <c r="K1027" s="36">
        <f t="shared" si="344"/>
        <v>1.446759259259256E-2</v>
      </c>
      <c r="L1027" s="36">
        <f t="shared" si="344"/>
        <v>2.2222222222222227E-2</v>
      </c>
      <c r="M1027" s="36">
        <f t="shared" si="344"/>
        <v>3.6689814814814786E-2</v>
      </c>
      <c r="N1027" s="36">
        <f t="shared" si="344"/>
        <v>320</v>
      </c>
      <c r="O1027" s="36">
        <f t="shared" si="344"/>
        <v>179</v>
      </c>
      <c r="P1027" s="36" t="str">
        <f t="shared" si="344"/>
        <v>LAX</v>
      </c>
      <c r="R1027">
        <v>1013</v>
      </c>
      <c r="S1027" s="36" t="str">
        <f t="shared" si="346"/>
        <v>COPA AIRLINES</v>
      </c>
      <c r="T1027" s="36">
        <f t="shared" si="346"/>
        <v>722</v>
      </c>
      <c r="U1027" s="73">
        <v>0.94305555555555554</v>
      </c>
      <c r="V1027" s="74">
        <v>0.95833333333333337</v>
      </c>
      <c r="W1027" s="75">
        <v>1.5277777777777835E-2</v>
      </c>
      <c r="X1027" s="74">
        <v>0.96736111111111101</v>
      </c>
      <c r="Y1027" s="75">
        <v>9.0277777777776347E-3</v>
      </c>
      <c r="Z1027" s="76">
        <v>41734</v>
      </c>
      <c r="AA1027" s="36" t="str">
        <f t="shared" si="347"/>
        <v>Internacional</v>
      </c>
      <c r="AB1027" s="36">
        <f t="shared" si="347"/>
        <v>1.6923868312757214E-2</v>
      </c>
      <c r="AC1027" s="36">
        <f t="shared" si="347"/>
        <v>1.1651234567901217E-2</v>
      </c>
      <c r="AD1027" s="36">
        <f t="shared" si="347"/>
        <v>2.8575102880658433E-2</v>
      </c>
      <c r="AE1027" s="36" t="str">
        <f t="shared" si="347"/>
        <v>B737-800</v>
      </c>
      <c r="AF1027" s="36">
        <f t="shared" si="347"/>
        <v>189</v>
      </c>
      <c r="AG1027" s="36" t="str">
        <f t="shared" si="347"/>
        <v>PTY</v>
      </c>
      <c r="AI1027">
        <v>1013</v>
      </c>
      <c r="AJ1027" s="77" t="str">
        <f t="shared" si="333"/>
        <v>INTERAVIÓN</v>
      </c>
      <c r="AK1027" s="77">
        <f t="shared" si="333"/>
        <v>2222</v>
      </c>
      <c r="AL1027" s="189">
        <v>0.58611111111111114</v>
      </c>
      <c r="AM1027" s="144">
        <v>0.59166666666666667</v>
      </c>
      <c r="AN1027" s="80">
        <v>5.5555555555555358E-3</v>
      </c>
      <c r="AO1027" s="144">
        <v>0.59930555555555554</v>
      </c>
      <c r="AP1027" s="80">
        <v>7.6388888888888618E-3</v>
      </c>
      <c r="AQ1027" s="81">
        <v>41801</v>
      </c>
      <c r="AR1027" s="77" t="str">
        <f t="shared" si="345"/>
        <v>Nacional</v>
      </c>
      <c r="AS1027" s="77">
        <f t="shared" si="345"/>
        <v>6.0763888888889063E-3</v>
      </c>
      <c r="AT1027" s="77">
        <f t="shared" si="345"/>
        <v>6.5393518518518448E-3</v>
      </c>
      <c r="AU1027" s="77">
        <f t="shared" si="345"/>
        <v>1.261574074074075E-2</v>
      </c>
      <c r="AV1027" s="77">
        <f t="shared" si="345"/>
        <v>320</v>
      </c>
      <c r="AW1027" s="77">
        <f t="shared" si="345"/>
        <v>179</v>
      </c>
      <c r="AX1027" s="77" t="str">
        <f t="shared" si="345"/>
        <v>MEX</v>
      </c>
    </row>
    <row r="1028" spans="1:50" ht="15.75" thickBot="1" x14ac:dyDescent="0.3">
      <c r="A1028">
        <v>1014</v>
      </c>
      <c r="B1028" s="36" t="str">
        <f t="shared" ref="B1028:C1083" si="349">B1027</f>
        <v>BARATA Y MORADA</v>
      </c>
      <c r="C1028" s="36">
        <f t="shared" si="348"/>
        <v>915</v>
      </c>
      <c r="D1028" s="176">
        <v>0.85069444444444453</v>
      </c>
      <c r="E1028" s="176">
        <v>0.8652777777777777</v>
      </c>
      <c r="F1028" s="177">
        <v>1.4583333333333171E-2</v>
      </c>
      <c r="G1028" s="176">
        <v>0.88194444444444453</v>
      </c>
      <c r="H1028" s="177">
        <v>1.6666666666666829E-2</v>
      </c>
      <c r="I1028" s="97">
        <v>41728</v>
      </c>
      <c r="J1028" s="36" t="str">
        <f t="shared" si="344"/>
        <v>Internacional</v>
      </c>
      <c r="K1028" s="36">
        <f t="shared" si="344"/>
        <v>1.446759259259256E-2</v>
      </c>
      <c r="L1028" s="36">
        <f t="shared" si="344"/>
        <v>2.2222222222222227E-2</v>
      </c>
      <c r="M1028" s="36">
        <f t="shared" si="344"/>
        <v>3.6689814814814786E-2</v>
      </c>
      <c r="N1028" s="36">
        <f t="shared" si="344"/>
        <v>320</v>
      </c>
      <c r="O1028" s="36">
        <f t="shared" si="344"/>
        <v>179</v>
      </c>
      <c r="P1028" s="36" t="str">
        <f t="shared" si="344"/>
        <v>LAX</v>
      </c>
      <c r="R1028">
        <v>1014</v>
      </c>
      <c r="S1028" s="36" t="str">
        <f t="shared" si="346"/>
        <v>COPA AIRLINES</v>
      </c>
      <c r="T1028" s="36">
        <f t="shared" si="346"/>
        <v>722</v>
      </c>
      <c r="U1028" s="73">
        <v>0.94166666666666676</v>
      </c>
      <c r="V1028" s="74">
        <v>0.95138888888888884</v>
      </c>
      <c r="W1028" s="75">
        <v>9.7222222222220767E-3</v>
      </c>
      <c r="X1028" s="74">
        <v>0.9604166666666667</v>
      </c>
      <c r="Y1028" s="75">
        <v>9.0277777777778567E-3</v>
      </c>
      <c r="Z1028" s="76">
        <v>41733</v>
      </c>
      <c r="AA1028" s="36" t="str">
        <f t="shared" si="347"/>
        <v>Internacional</v>
      </c>
      <c r="AB1028" s="36">
        <f t="shared" si="347"/>
        <v>1.6923868312757214E-2</v>
      </c>
      <c r="AC1028" s="36">
        <f t="shared" si="347"/>
        <v>1.1651234567901217E-2</v>
      </c>
      <c r="AD1028" s="36">
        <f t="shared" si="347"/>
        <v>2.8575102880658433E-2</v>
      </c>
      <c r="AE1028" s="36" t="str">
        <f t="shared" si="347"/>
        <v>B737-800</v>
      </c>
      <c r="AF1028" s="36">
        <f t="shared" si="347"/>
        <v>189</v>
      </c>
      <c r="AG1028" s="36" t="str">
        <f t="shared" si="347"/>
        <v>PTY</v>
      </c>
      <c r="AI1028">
        <v>1014</v>
      </c>
      <c r="AJ1028" s="77" t="str">
        <f t="shared" si="333"/>
        <v>INTERAVIÓN</v>
      </c>
      <c r="AK1028" s="77">
        <f t="shared" si="333"/>
        <v>2222</v>
      </c>
      <c r="AL1028" s="186">
        <v>0.56805555555555554</v>
      </c>
      <c r="AM1028" s="79">
        <v>0.57500000000000007</v>
      </c>
      <c r="AN1028" s="80">
        <v>6.9444444444445308E-3</v>
      </c>
      <c r="AO1028" s="79">
        <v>0.58680555555555558</v>
      </c>
      <c r="AP1028" s="80">
        <v>1.1805555555555514E-2</v>
      </c>
      <c r="AQ1028" s="81">
        <v>41802</v>
      </c>
      <c r="AR1028" s="77" t="str">
        <f t="shared" si="345"/>
        <v>Nacional</v>
      </c>
      <c r="AS1028" s="77">
        <f t="shared" si="345"/>
        <v>6.0763888888889063E-3</v>
      </c>
      <c r="AT1028" s="77">
        <f t="shared" si="345"/>
        <v>6.5393518518518448E-3</v>
      </c>
      <c r="AU1028" s="77">
        <f t="shared" si="345"/>
        <v>1.261574074074075E-2</v>
      </c>
      <c r="AV1028" s="77">
        <f t="shared" si="345"/>
        <v>320</v>
      </c>
      <c r="AW1028" s="77">
        <f t="shared" si="345"/>
        <v>179</v>
      </c>
      <c r="AX1028" s="77" t="str">
        <f t="shared" si="345"/>
        <v>MEX</v>
      </c>
    </row>
    <row r="1029" spans="1:50" x14ac:dyDescent="0.25">
      <c r="A1029">
        <v>1015</v>
      </c>
      <c r="B1029" s="36" t="str">
        <f t="shared" si="349"/>
        <v>BARATA Y MORADA</v>
      </c>
      <c r="C1029" s="151">
        <v>913</v>
      </c>
      <c r="D1029" s="152">
        <v>0.25416666666666665</v>
      </c>
      <c r="E1029" s="152">
        <v>0.26944444444444443</v>
      </c>
      <c r="F1029" s="153">
        <v>1.5277777777777779E-2</v>
      </c>
      <c r="G1029" s="152">
        <v>0.28611111111111115</v>
      </c>
      <c r="H1029" s="153">
        <v>1.6666666666666718E-2</v>
      </c>
      <c r="I1029" s="67">
        <v>41715</v>
      </c>
      <c r="J1029" s="68" t="s">
        <v>22</v>
      </c>
      <c r="K1029" s="135">
        <v>1.1666666666666669E-2</v>
      </c>
      <c r="L1029" s="135">
        <v>2.1527777777777785E-2</v>
      </c>
      <c r="M1029" s="175">
        <v>3.3194444444444457E-2</v>
      </c>
      <c r="N1029" s="90">
        <v>320</v>
      </c>
      <c r="O1029" s="91">
        <v>179</v>
      </c>
      <c r="P1029" s="92" t="s">
        <v>40</v>
      </c>
      <c r="R1029">
        <v>1015</v>
      </c>
      <c r="S1029" s="36" t="str">
        <f t="shared" si="346"/>
        <v>COPA AIRLINES</v>
      </c>
      <c r="T1029" s="36">
        <f t="shared" si="346"/>
        <v>722</v>
      </c>
      <c r="U1029" s="73">
        <v>1.0006944444444443</v>
      </c>
      <c r="V1029" s="74">
        <v>1.01875</v>
      </c>
      <c r="W1029" s="75">
        <v>1.8055555555555713E-2</v>
      </c>
      <c r="X1029" s="74">
        <v>1.0250000000000001</v>
      </c>
      <c r="Y1029" s="75">
        <v>6.2500000000000888E-3</v>
      </c>
      <c r="Z1029" s="76">
        <v>41735</v>
      </c>
      <c r="AA1029" s="36" t="str">
        <f t="shared" si="347"/>
        <v>Internacional</v>
      </c>
      <c r="AB1029" s="36">
        <f t="shared" si="347"/>
        <v>1.6923868312757214E-2</v>
      </c>
      <c r="AC1029" s="36">
        <f t="shared" si="347"/>
        <v>1.1651234567901217E-2</v>
      </c>
      <c r="AD1029" s="36">
        <f t="shared" si="347"/>
        <v>2.8575102880658433E-2</v>
      </c>
      <c r="AE1029" s="36" t="str">
        <f t="shared" si="347"/>
        <v>B737-800</v>
      </c>
      <c r="AF1029" s="36">
        <f t="shared" si="347"/>
        <v>189</v>
      </c>
      <c r="AG1029" s="36" t="str">
        <f t="shared" si="347"/>
        <v>PTY</v>
      </c>
      <c r="AI1029">
        <v>1015</v>
      </c>
      <c r="AJ1029" s="77" t="str">
        <f t="shared" si="333"/>
        <v>INTERAVIÓN</v>
      </c>
      <c r="AK1029" s="77">
        <f t="shared" si="333"/>
        <v>2222</v>
      </c>
      <c r="AL1029" s="186">
        <v>0.91388888888888886</v>
      </c>
      <c r="AM1029" s="79">
        <v>0.9243055555555556</v>
      </c>
      <c r="AN1029" s="80">
        <v>1.0416666666666741E-2</v>
      </c>
      <c r="AO1029" s="79">
        <v>0.94305555555555554</v>
      </c>
      <c r="AP1029" s="80">
        <v>1.8749999999999933E-2</v>
      </c>
      <c r="AQ1029" s="81">
        <v>41806</v>
      </c>
      <c r="AR1029" s="77" t="str">
        <f t="shared" si="345"/>
        <v>Nacional</v>
      </c>
      <c r="AS1029" s="77">
        <f t="shared" si="345"/>
        <v>6.0763888888889063E-3</v>
      </c>
      <c r="AT1029" s="77">
        <f t="shared" si="345"/>
        <v>6.5393518518518448E-3</v>
      </c>
      <c r="AU1029" s="77">
        <f t="shared" si="345"/>
        <v>1.261574074074075E-2</v>
      </c>
      <c r="AV1029" s="77">
        <f t="shared" si="345"/>
        <v>320</v>
      </c>
      <c r="AW1029" s="77">
        <f t="shared" si="345"/>
        <v>179</v>
      </c>
      <c r="AX1029" s="77" t="str">
        <f t="shared" si="345"/>
        <v>MEX</v>
      </c>
    </row>
    <row r="1030" spans="1:50" x14ac:dyDescent="0.25">
      <c r="A1030">
        <v>1016</v>
      </c>
      <c r="B1030" s="36" t="str">
        <f t="shared" si="349"/>
        <v>BARATA Y MORADA</v>
      </c>
      <c r="C1030" s="36">
        <f t="shared" si="349"/>
        <v>913</v>
      </c>
      <c r="D1030" s="118">
        <v>0.25138888888888888</v>
      </c>
      <c r="E1030" s="118">
        <v>0.25972222222222224</v>
      </c>
      <c r="F1030" s="119">
        <v>8.3333333333333592E-3</v>
      </c>
      <c r="G1030" s="118">
        <v>0.29375000000000001</v>
      </c>
      <c r="H1030" s="119">
        <v>3.4027777777777768E-2</v>
      </c>
      <c r="I1030" s="81">
        <v>41716</v>
      </c>
      <c r="J1030" s="36" t="str">
        <f t="shared" ref="J1030:P1038" si="350">J1029</f>
        <v>Internacional</v>
      </c>
      <c r="K1030" s="36">
        <f t="shared" si="350"/>
        <v>1.1666666666666669E-2</v>
      </c>
      <c r="L1030" s="36">
        <f t="shared" si="350"/>
        <v>2.1527777777777785E-2</v>
      </c>
      <c r="M1030" s="36">
        <f t="shared" si="350"/>
        <v>3.3194444444444457E-2</v>
      </c>
      <c r="N1030" s="36">
        <f t="shared" si="350"/>
        <v>320</v>
      </c>
      <c r="O1030" s="36">
        <f t="shared" si="350"/>
        <v>179</v>
      </c>
      <c r="P1030" s="36" t="str">
        <f t="shared" si="350"/>
        <v>LAX</v>
      </c>
      <c r="R1030">
        <v>1016</v>
      </c>
      <c r="S1030" s="36" t="str">
        <f t="shared" si="346"/>
        <v>COPA AIRLINES</v>
      </c>
      <c r="T1030" s="36">
        <f t="shared" si="346"/>
        <v>722</v>
      </c>
      <c r="U1030" s="73">
        <v>0.97638888888888886</v>
      </c>
      <c r="V1030" s="74">
        <v>0.99583333333333324</v>
      </c>
      <c r="W1030" s="75">
        <v>1.9444444444444375E-2</v>
      </c>
      <c r="X1030" s="74">
        <v>1.0097222222222222</v>
      </c>
      <c r="Y1030" s="75">
        <v>1.3888888888888951E-2</v>
      </c>
      <c r="Z1030" s="76">
        <v>41736</v>
      </c>
      <c r="AA1030" s="36" t="str">
        <f t="shared" si="347"/>
        <v>Internacional</v>
      </c>
      <c r="AB1030" s="36">
        <f t="shared" si="347"/>
        <v>1.6923868312757214E-2</v>
      </c>
      <c r="AC1030" s="36">
        <f t="shared" si="347"/>
        <v>1.1651234567901217E-2</v>
      </c>
      <c r="AD1030" s="36">
        <f t="shared" si="347"/>
        <v>2.8575102880658433E-2</v>
      </c>
      <c r="AE1030" s="36" t="str">
        <f t="shared" si="347"/>
        <v>B737-800</v>
      </c>
      <c r="AF1030" s="36">
        <f t="shared" si="347"/>
        <v>189</v>
      </c>
      <c r="AG1030" s="36" t="str">
        <f t="shared" si="347"/>
        <v>PTY</v>
      </c>
      <c r="AI1030">
        <v>1016</v>
      </c>
      <c r="AJ1030" s="77" t="str">
        <f t="shared" si="333"/>
        <v>INTERAVIÓN</v>
      </c>
      <c r="AK1030" s="77">
        <f t="shared" si="333"/>
        <v>2222</v>
      </c>
      <c r="AL1030" s="186">
        <v>0.24236111111111111</v>
      </c>
      <c r="AM1030" s="79">
        <v>0.24861111111111112</v>
      </c>
      <c r="AN1030" s="80">
        <v>6.2500000000000056E-3</v>
      </c>
      <c r="AO1030" s="79">
        <v>0.25138888888888888</v>
      </c>
      <c r="AP1030" s="80">
        <v>2.7777777777777679E-3</v>
      </c>
      <c r="AQ1030" s="81">
        <v>41808</v>
      </c>
      <c r="AR1030" s="77" t="str">
        <f t="shared" si="345"/>
        <v>Nacional</v>
      </c>
      <c r="AS1030" s="77">
        <f t="shared" si="345"/>
        <v>6.0763888888889063E-3</v>
      </c>
      <c r="AT1030" s="77">
        <f t="shared" si="345"/>
        <v>6.5393518518518448E-3</v>
      </c>
      <c r="AU1030" s="77">
        <f t="shared" si="345"/>
        <v>1.261574074074075E-2</v>
      </c>
      <c r="AV1030" s="77">
        <f t="shared" si="345"/>
        <v>320</v>
      </c>
      <c r="AW1030" s="77">
        <f t="shared" si="345"/>
        <v>179</v>
      </c>
      <c r="AX1030" s="77" t="str">
        <f t="shared" si="345"/>
        <v>MEX</v>
      </c>
    </row>
    <row r="1031" spans="1:50" x14ac:dyDescent="0.25">
      <c r="A1031">
        <v>1017</v>
      </c>
      <c r="B1031" s="36" t="str">
        <f t="shared" si="349"/>
        <v>BARATA Y MORADA</v>
      </c>
      <c r="C1031" s="36">
        <f t="shared" si="349"/>
        <v>913</v>
      </c>
      <c r="D1031" s="118">
        <v>0.25763888888888892</v>
      </c>
      <c r="E1031" s="118">
        <v>0.26944444444444443</v>
      </c>
      <c r="F1031" s="119">
        <v>1.1805555555555514E-2</v>
      </c>
      <c r="G1031" s="118">
        <v>0.29097222222222224</v>
      </c>
      <c r="H1031" s="119">
        <v>2.1527777777777812E-2</v>
      </c>
      <c r="I1031" s="81">
        <v>41717</v>
      </c>
      <c r="J1031" s="36" t="str">
        <f t="shared" si="350"/>
        <v>Internacional</v>
      </c>
      <c r="K1031" s="36">
        <f t="shared" si="350"/>
        <v>1.1666666666666669E-2</v>
      </c>
      <c r="L1031" s="36">
        <f t="shared" si="350"/>
        <v>2.1527777777777785E-2</v>
      </c>
      <c r="M1031" s="36">
        <f t="shared" si="350"/>
        <v>3.3194444444444457E-2</v>
      </c>
      <c r="N1031" s="36">
        <f t="shared" si="350"/>
        <v>320</v>
      </c>
      <c r="O1031" s="36">
        <f t="shared" si="350"/>
        <v>179</v>
      </c>
      <c r="P1031" s="36" t="str">
        <f t="shared" si="350"/>
        <v>LAX</v>
      </c>
      <c r="R1031">
        <v>1017</v>
      </c>
      <c r="S1031" s="36" t="str">
        <f t="shared" si="346"/>
        <v>COPA AIRLINES</v>
      </c>
      <c r="T1031" s="36">
        <f t="shared" si="346"/>
        <v>722</v>
      </c>
      <c r="U1031" s="73">
        <v>1.0048611111111112</v>
      </c>
      <c r="V1031" s="74">
        <v>1.0222222222222224</v>
      </c>
      <c r="W1031" s="75">
        <v>1.736111111111116E-2</v>
      </c>
      <c r="X1031" s="74">
        <v>1.0354166666666667</v>
      </c>
      <c r="Y1031" s="75">
        <v>1.3194444444444287E-2</v>
      </c>
      <c r="Z1031" s="76">
        <v>41738</v>
      </c>
      <c r="AA1031" s="36" t="str">
        <f t="shared" si="347"/>
        <v>Internacional</v>
      </c>
      <c r="AB1031" s="36">
        <f t="shared" si="347"/>
        <v>1.6923868312757214E-2</v>
      </c>
      <c r="AC1031" s="36">
        <f t="shared" si="347"/>
        <v>1.1651234567901217E-2</v>
      </c>
      <c r="AD1031" s="36">
        <f t="shared" si="347"/>
        <v>2.8575102880658433E-2</v>
      </c>
      <c r="AE1031" s="36" t="str">
        <f t="shared" si="347"/>
        <v>B737-800</v>
      </c>
      <c r="AF1031" s="36">
        <f t="shared" si="347"/>
        <v>189</v>
      </c>
      <c r="AG1031" s="36" t="str">
        <f t="shared" si="347"/>
        <v>PTY</v>
      </c>
      <c r="AI1031">
        <v>1017</v>
      </c>
      <c r="AJ1031" s="77" t="str">
        <f t="shared" si="333"/>
        <v>INTERAVIÓN</v>
      </c>
      <c r="AK1031" s="77">
        <f t="shared" si="333"/>
        <v>2222</v>
      </c>
      <c r="AL1031" s="186">
        <v>0.24791666666666667</v>
      </c>
      <c r="AM1031" s="79">
        <v>0.25625000000000003</v>
      </c>
      <c r="AN1031" s="80">
        <v>8.3333333333333592E-3</v>
      </c>
      <c r="AO1031" s="79">
        <v>0.25833333333333336</v>
      </c>
      <c r="AP1031" s="80">
        <v>2.0833333333333259E-3</v>
      </c>
      <c r="AQ1031" s="81">
        <v>41809</v>
      </c>
      <c r="AR1031" s="77" t="str">
        <f t="shared" si="345"/>
        <v>Nacional</v>
      </c>
      <c r="AS1031" s="77">
        <f t="shared" si="345"/>
        <v>6.0763888888889063E-3</v>
      </c>
      <c r="AT1031" s="77">
        <f t="shared" si="345"/>
        <v>6.5393518518518448E-3</v>
      </c>
      <c r="AU1031" s="77">
        <f t="shared" si="345"/>
        <v>1.261574074074075E-2</v>
      </c>
      <c r="AV1031" s="77">
        <f t="shared" si="345"/>
        <v>320</v>
      </c>
      <c r="AW1031" s="77">
        <f t="shared" si="345"/>
        <v>179</v>
      </c>
      <c r="AX1031" s="77" t="str">
        <f t="shared" si="345"/>
        <v>MEX</v>
      </c>
    </row>
    <row r="1032" spans="1:50" ht="15.75" thickBot="1" x14ac:dyDescent="0.3">
      <c r="A1032">
        <v>1018</v>
      </c>
      <c r="B1032" s="36" t="str">
        <f t="shared" si="349"/>
        <v>BARATA Y MORADA</v>
      </c>
      <c r="C1032" s="36">
        <f t="shared" si="349"/>
        <v>913</v>
      </c>
      <c r="D1032" s="118">
        <v>0.26319444444444445</v>
      </c>
      <c r="E1032" s="118">
        <v>0.27430555555555552</v>
      </c>
      <c r="F1032" s="119">
        <v>1.1111111111111072E-2</v>
      </c>
      <c r="G1032" s="118">
        <v>0.29583333333333334</v>
      </c>
      <c r="H1032" s="119">
        <v>2.1527777777777812E-2</v>
      </c>
      <c r="I1032" s="81">
        <v>41719</v>
      </c>
      <c r="J1032" s="36" t="str">
        <f t="shared" si="350"/>
        <v>Internacional</v>
      </c>
      <c r="K1032" s="36">
        <f t="shared" si="350"/>
        <v>1.1666666666666669E-2</v>
      </c>
      <c r="L1032" s="36">
        <f t="shared" si="350"/>
        <v>2.1527777777777785E-2</v>
      </c>
      <c r="M1032" s="36">
        <f t="shared" si="350"/>
        <v>3.3194444444444457E-2</v>
      </c>
      <c r="N1032" s="36">
        <f t="shared" si="350"/>
        <v>320</v>
      </c>
      <c r="O1032" s="36">
        <f t="shared" si="350"/>
        <v>179</v>
      </c>
      <c r="P1032" s="36" t="str">
        <f t="shared" si="350"/>
        <v>LAX</v>
      </c>
      <c r="R1032">
        <v>1018</v>
      </c>
      <c r="S1032" s="36" t="str">
        <f t="shared" si="346"/>
        <v>COPA AIRLINES</v>
      </c>
      <c r="T1032" s="36">
        <f t="shared" si="346"/>
        <v>722</v>
      </c>
      <c r="U1032" s="73">
        <v>1.0013888888888889</v>
      </c>
      <c r="V1032" s="74">
        <v>1.0104166666666667</v>
      </c>
      <c r="W1032" s="75">
        <v>9.0277777777778567E-3</v>
      </c>
      <c r="X1032" s="74">
        <v>1.0263888888888888</v>
      </c>
      <c r="Y1032" s="75">
        <v>1.5972222222222054E-2</v>
      </c>
      <c r="Z1032" s="76">
        <v>41739</v>
      </c>
      <c r="AA1032" s="36" t="str">
        <f t="shared" si="347"/>
        <v>Internacional</v>
      </c>
      <c r="AB1032" s="36">
        <f t="shared" si="347"/>
        <v>1.6923868312757214E-2</v>
      </c>
      <c r="AC1032" s="36">
        <f t="shared" si="347"/>
        <v>1.1651234567901217E-2</v>
      </c>
      <c r="AD1032" s="36">
        <f t="shared" si="347"/>
        <v>2.8575102880658433E-2</v>
      </c>
      <c r="AE1032" s="36" t="str">
        <f t="shared" si="347"/>
        <v>B737-800</v>
      </c>
      <c r="AF1032" s="36">
        <f t="shared" si="347"/>
        <v>189</v>
      </c>
      <c r="AG1032" s="36" t="str">
        <f t="shared" si="347"/>
        <v>PTY</v>
      </c>
      <c r="AI1032">
        <v>1018</v>
      </c>
      <c r="AJ1032" s="77" t="str">
        <f t="shared" si="333"/>
        <v>INTERAVIÓN</v>
      </c>
      <c r="AK1032" s="77">
        <f t="shared" si="333"/>
        <v>2222</v>
      </c>
      <c r="AL1032" s="187">
        <v>0.24722222222222223</v>
      </c>
      <c r="AM1032" s="95">
        <v>0.25138888888888888</v>
      </c>
      <c r="AN1032" s="96">
        <v>4.1666666666666519E-3</v>
      </c>
      <c r="AO1032" s="95">
        <v>0.25694444444444448</v>
      </c>
      <c r="AP1032" s="96">
        <v>5.5555555555555913E-3</v>
      </c>
      <c r="AQ1032" s="97">
        <v>41813</v>
      </c>
      <c r="AR1032" s="77" t="str">
        <f t="shared" si="345"/>
        <v>Nacional</v>
      </c>
      <c r="AS1032" s="77">
        <f t="shared" si="345"/>
        <v>6.0763888888889063E-3</v>
      </c>
      <c r="AT1032" s="77">
        <f t="shared" si="345"/>
        <v>6.5393518518518448E-3</v>
      </c>
      <c r="AU1032" s="77">
        <f t="shared" si="345"/>
        <v>1.261574074074075E-2</v>
      </c>
      <c r="AV1032" s="77">
        <f t="shared" si="345"/>
        <v>320</v>
      </c>
      <c r="AW1032" s="77">
        <f t="shared" si="345"/>
        <v>179</v>
      </c>
      <c r="AX1032" s="77" t="str">
        <f t="shared" si="345"/>
        <v>MEX</v>
      </c>
    </row>
    <row r="1033" spans="1:50" x14ac:dyDescent="0.25">
      <c r="A1033">
        <v>1019</v>
      </c>
      <c r="B1033" s="36" t="str">
        <f t="shared" si="349"/>
        <v>BARATA Y MORADA</v>
      </c>
      <c r="C1033" s="36">
        <f t="shared" si="349"/>
        <v>913</v>
      </c>
      <c r="D1033" s="118">
        <v>0.25416666666666665</v>
      </c>
      <c r="E1033" s="118">
        <v>0.26805555555555555</v>
      </c>
      <c r="F1033" s="119">
        <v>1.3888888888888895E-2</v>
      </c>
      <c r="G1033" s="118">
        <v>0.28611111111111115</v>
      </c>
      <c r="H1033" s="119">
        <v>1.8055555555555602E-2</v>
      </c>
      <c r="I1033" s="81">
        <v>41721</v>
      </c>
      <c r="J1033" s="36" t="str">
        <f t="shared" si="350"/>
        <v>Internacional</v>
      </c>
      <c r="K1033" s="36">
        <f t="shared" si="350"/>
        <v>1.1666666666666669E-2</v>
      </c>
      <c r="L1033" s="36">
        <f t="shared" si="350"/>
        <v>2.1527777777777785E-2</v>
      </c>
      <c r="M1033" s="36">
        <f t="shared" si="350"/>
        <v>3.3194444444444457E-2</v>
      </c>
      <c r="N1033" s="36">
        <f t="shared" si="350"/>
        <v>320</v>
      </c>
      <c r="O1033" s="36">
        <f t="shared" si="350"/>
        <v>179</v>
      </c>
      <c r="P1033" s="36" t="str">
        <f t="shared" si="350"/>
        <v>LAX</v>
      </c>
      <c r="R1033">
        <v>1019</v>
      </c>
      <c r="S1033" s="36" t="str">
        <f t="shared" si="346"/>
        <v>COPA AIRLINES</v>
      </c>
      <c r="T1033" s="36">
        <f t="shared" si="346"/>
        <v>722</v>
      </c>
      <c r="U1033" s="73">
        <v>0.99305555555555547</v>
      </c>
      <c r="V1033" s="74">
        <v>1.0131944444444445</v>
      </c>
      <c r="W1033" s="75">
        <v>2.0138888888889039E-2</v>
      </c>
      <c r="X1033" s="74">
        <v>1.0402777777777776</v>
      </c>
      <c r="Y1033" s="75">
        <v>2.7083333333333126E-2</v>
      </c>
      <c r="Z1033" s="76">
        <v>41740</v>
      </c>
      <c r="AA1033" s="36" t="str">
        <f t="shared" si="347"/>
        <v>Internacional</v>
      </c>
      <c r="AB1033" s="36">
        <f t="shared" si="347"/>
        <v>1.6923868312757214E-2</v>
      </c>
      <c r="AC1033" s="36">
        <f t="shared" si="347"/>
        <v>1.1651234567901217E-2</v>
      </c>
      <c r="AD1033" s="36">
        <f t="shared" si="347"/>
        <v>2.8575102880658433E-2</v>
      </c>
      <c r="AE1033" s="36" t="str">
        <f t="shared" si="347"/>
        <v>B737-800</v>
      </c>
      <c r="AF1033" s="36">
        <f t="shared" si="347"/>
        <v>189</v>
      </c>
      <c r="AG1033" s="36" t="str">
        <f t="shared" si="347"/>
        <v>PTY</v>
      </c>
      <c r="AI1033">
        <v>1019</v>
      </c>
      <c r="AJ1033" s="77" t="str">
        <f t="shared" si="333"/>
        <v>INTERAVIÓN</v>
      </c>
      <c r="AK1033" s="63">
        <v>2220</v>
      </c>
      <c r="AL1033" s="185">
        <v>0.8340277777777777</v>
      </c>
      <c r="AM1033" s="65">
        <v>0.84027777777777779</v>
      </c>
      <c r="AN1033" s="66">
        <v>6.2500000000000888E-3</v>
      </c>
      <c r="AO1033" s="65">
        <v>0.84583333333333333</v>
      </c>
      <c r="AP1033" s="66">
        <v>5.5555555555555358E-3</v>
      </c>
      <c r="AQ1033" s="67">
        <v>41791</v>
      </c>
      <c r="AR1033" s="68" t="s">
        <v>19</v>
      </c>
      <c r="AS1033" s="69">
        <v>8.2561728395061929E-3</v>
      </c>
      <c r="AT1033" s="70">
        <v>6.6358024691357785E-3</v>
      </c>
      <c r="AU1033" s="70">
        <v>1.4891975308641971E-2</v>
      </c>
      <c r="AV1033" s="71">
        <v>320</v>
      </c>
      <c r="AW1033" s="71">
        <v>179</v>
      </c>
      <c r="AX1033" s="72" t="s">
        <v>21</v>
      </c>
    </row>
    <row r="1034" spans="1:50" ht="15.75" thickBot="1" x14ac:dyDescent="0.3">
      <c r="A1034">
        <v>1020</v>
      </c>
      <c r="B1034" s="36" t="str">
        <f t="shared" si="349"/>
        <v>BARATA Y MORADA</v>
      </c>
      <c r="C1034" s="36">
        <f t="shared" si="349"/>
        <v>913</v>
      </c>
      <c r="D1034" s="118">
        <v>0.24930555555555556</v>
      </c>
      <c r="E1034" s="118">
        <v>0.26597222222222222</v>
      </c>
      <c r="F1034" s="119">
        <v>1.6666666666666663E-2</v>
      </c>
      <c r="G1034" s="118">
        <v>0.28194444444444444</v>
      </c>
      <c r="H1034" s="119">
        <v>1.5972222222222221E-2</v>
      </c>
      <c r="I1034" s="81">
        <v>41722</v>
      </c>
      <c r="J1034" s="36" t="str">
        <f t="shared" si="350"/>
        <v>Internacional</v>
      </c>
      <c r="K1034" s="36">
        <f t="shared" si="350"/>
        <v>1.1666666666666669E-2</v>
      </c>
      <c r="L1034" s="36">
        <f t="shared" si="350"/>
        <v>2.1527777777777785E-2</v>
      </c>
      <c r="M1034" s="36">
        <f t="shared" si="350"/>
        <v>3.3194444444444457E-2</v>
      </c>
      <c r="N1034" s="36">
        <f t="shared" si="350"/>
        <v>320</v>
      </c>
      <c r="O1034" s="36">
        <f t="shared" si="350"/>
        <v>179</v>
      </c>
      <c r="P1034" s="36" t="str">
        <f t="shared" si="350"/>
        <v>LAX</v>
      </c>
      <c r="R1034">
        <v>1020</v>
      </c>
      <c r="S1034" s="36" t="str">
        <f t="shared" si="346"/>
        <v>COPA AIRLINES</v>
      </c>
      <c r="T1034" s="36">
        <f t="shared" si="346"/>
        <v>722</v>
      </c>
      <c r="U1034" s="73">
        <v>0.94513888888888886</v>
      </c>
      <c r="V1034" s="74">
        <v>0.96111111111111114</v>
      </c>
      <c r="W1034" s="75">
        <v>1.5972222222222276E-2</v>
      </c>
      <c r="X1034" s="74">
        <v>0.97222222222222221</v>
      </c>
      <c r="Y1034" s="75">
        <v>1.1111111111111072E-2</v>
      </c>
      <c r="Z1034" s="76">
        <v>41742</v>
      </c>
      <c r="AA1034" s="36" t="str">
        <f t="shared" si="347"/>
        <v>Internacional</v>
      </c>
      <c r="AB1034" s="36">
        <f t="shared" si="347"/>
        <v>1.6923868312757214E-2</v>
      </c>
      <c r="AC1034" s="36">
        <f t="shared" si="347"/>
        <v>1.1651234567901217E-2</v>
      </c>
      <c r="AD1034" s="36">
        <f t="shared" si="347"/>
        <v>2.8575102880658433E-2</v>
      </c>
      <c r="AE1034" s="36" t="str">
        <f t="shared" si="347"/>
        <v>B737-800</v>
      </c>
      <c r="AF1034" s="36">
        <f t="shared" si="347"/>
        <v>189</v>
      </c>
      <c r="AG1034" s="36" t="str">
        <f t="shared" si="347"/>
        <v>PTY</v>
      </c>
      <c r="AI1034">
        <v>1020</v>
      </c>
      <c r="AJ1034" s="77" t="str">
        <f t="shared" si="333"/>
        <v>INTERAVIÓN</v>
      </c>
      <c r="AK1034" s="77">
        <f t="shared" si="333"/>
        <v>2220</v>
      </c>
      <c r="AL1034" s="186">
        <v>0.8569444444444444</v>
      </c>
      <c r="AM1034" s="79">
        <v>0.8666666666666667</v>
      </c>
      <c r="AN1034" s="80">
        <v>9.7222222222222987E-3</v>
      </c>
      <c r="AO1034" s="79">
        <v>0.88194444444444453</v>
      </c>
      <c r="AP1034" s="80">
        <v>1.5277777777777835E-2</v>
      </c>
      <c r="AQ1034" s="81">
        <v>41796</v>
      </c>
      <c r="AR1034" s="77" t="str">
        <f t="shared" ref="AR1034:AX1041" si="351">AR1033</f>
        <v>Nacional</v>
      </c>
      <c r="AS1034" s="77">
        <f t="shared" si="351"/>
        <v>8.2561728395061929E-3</v>
      </c>
      <c r="AT1034" s="77">
        <f t="shared" si="351"/>
        <v>6.6358024691357785E-3</v>
      </c>
      <c r="AU1034" s="77">
        <f t="shared" si="351"/>
        <v>1.4891975308641971E-2</v>
      </c>
      <c r="AV1034" s="77">
        <f t="shared" si="351"/>
        <v>320</v>
      </c>
      <c r="AW1034" s="77">
        <f t="shared" si="351"/>
        <v>179</v>
      </c>
      <c r="AX1034" s="77" t="str">
        <f t="shared" si="351"/>
        <v>MEX</v>
      </c>
    </row>
    <row r="1035" spans="1:50" x14ac:dyDescent="0.25">
      <c r="A1035">
        <v>1021</v>
      </c>
      <c r="B1035" s="36" t="str">
        <f t="shared" si="349"/>
        <v>BARATA Y MORADA</v>
      </c>
      <c r="C1035" s="36">
        <f t="shared" si="349"/>
        <v>913</v>
      </c>
      <c r="D1035" s="118">
        <v>0.24791666666666667</v>
      </c>
      <c r="E1035" s="118">
        <v>0.25555555555555559</v>
      </c>
      <c r="F1035" s="119">
        <v>7.6388888888889173E-3</v>
      </c>
      <c r="G1035" s="118">
        <v>0.27361111111111108</v>
      </c>
      <c r="H1035" s="119">
        <v>1.8055555555555491E-2</v>
      </c>
      <c r="I1035" s="81">
        <v>41723</v>
      </c>
      <c r="J1035" s="36" t="str">
        <f t="shared" si="350"/>
        <v>Internacional</v>
      </c>
      <c r="K1035" s="36">
        <f t="shared" si="350"/>
        <v>1.1666666666666669E-2</v>
      </c>
      <c r="L1035" s="36">
        <f t="shared" si="350"/>
        <v>2.1527777777777785E-2</v>
      </c>
      <c r="M1035" s="36">
        <f t="shared" si="350"/>
        <v>3.3194444444444457E-2</v>
      </c>
      <c r="N1035" s="36">
        <f t="shared" si="350"/>
        <v>320</v>
      </c>
      <c r="O1035" s="36">
        <f t="shared" si="350"/>
        <v>179</v>
      </c>
      <c r="P1035" s="36" t="str">
        <f t="shared" si="350"/>
        <v>LAX</v>
      </c>
      <c r="R1035">
        <v>1021</v>
      </c>
      <c r="S1035" s="36" t="str">
        <f t="shared" si="346"/>
        <v>COPA AIRLINES</v>
      </c>
      <c r="T1035" s="36">
        <f t="shared" si="346"/>
        <v>722</v>
      </c>
      <c r="U1035" s="73">
        <v>0.99722222222222223</v>
      </c>
      <c r="V1035" s="74">
        <v>1.0145833333333334</v>
      </c>
      <c r="W1035" s="75">
        <v>1.736111111111116E-2</v>
      </c>
      <c r="X1035" s="74">
        <v>1.0222222222222224</v>
      </c>
      <c r="Y1035" s="75">
        <v>7.6388888888889728E-3</v>
      </c>
      <c r="Z1035" s="76">
        <v>41743</v>
      </c>
      <c r="AA1035" s="36" t="str">
        <f t="shared" si="347"/>
        <v>Internacional</v>
      </c>
      <c r="AB1035" s="36">
        <f t="shared" si="347"/>
        <v>1.6923868312757214E-2</v>
      </c>
      <c r="AC1035" s="36">
        <f t="shared" si="347"/>
        <v>1.1651234567901217E-2</v>
      </c>
      <c r="AD1035" s="36">
        <f t="shared" si="347"/>
        <v>2.8575102880658433E-2</v>
      </c>
      <c r="AE1035" s="36" t="str">
        <f t="shared" si="347"/>
        <v>B737-800</v>
      </c>
      <c r="AF1035" s="36">
        <f t="shared" si="347"/>
        <v>189</v>
      </c>
      <c r="AG1035" s="36" t="str">
        <f t="shared" si="347"/>
        <v>PTY</v>
      </c>
      <c r="AI1035">
        <v>1021</v>
      </c>
      <c r="AJ1035" s="63" t="s">
        <v>65</v>
      </c>
      <c r="AK1035" s="77">
        <f t="shared" ref="AK1035:AK1042" si="352">AK1034</f>
        <v>2220</v>
      </c>
      <c r="AL1035" s="186">
        <v>0.71597222222222223</v>
      </c>
      <c r="AM1035" s="79">
        <v>0.72083333333333333</v>
      </c>
      <c r="AN1035" s="80">
        <v>4.8611111111110938E-3</v>
      </c>
      <c r="AO1035" s="79">
        <v>0.72569444444444453</v>
      </c>
      <c r="AP1035" s="80">
        <v>4.8611111111112049E-3</v>
      </c>
      <c r="AQ1035" s="81">
        <v>41797</v>
      </c>
      <c r="AR1035" s="77" t="str">
        <f t="shared" si="351"/>
        <v>Nacional</v>
      </c>
      <c r="AS1035" s="77">
        <f t="shared" si="351"/>
        <v>8.2561728395061929E-3</v>
      </c>
      <c r="AT1035" s="77">
        <f t="shared" si="351"/>
        <v>6.6358024691357785E-3</v>
      </c>
      <c r="AU1035" s="77">
        <f t="shared" si="351"/>
        <v>1.4891975308641971E-2</v>
      </c>
      <c r="AV1035" s="77">
        <f t="shared" si="351"/>
        <v>320</v>
      </c>
      <c r="AW1035" s="77">
        <f t="shared" si="351"/>
        <v>179</v>
      </c>
      <c r="AX1035" s="77" t="str">
        <f t="shared" si="351"/>
        <v>MEX</v>
      </c>
    </row>
    <row r="1036" spans="1:50" x14ac:dyDescent="0.25">
      <c r="A1036">
        <v>1022</v>
      </c>
      <c r="B1036" s="36" t="str">
        <f t="shared" si="349"/>
        <v>BARATA Y MORADA</v>
      </c>
      <c r="C1036" s="36">
        <f t="shared" si="349"/>
        <v>913</v>
      </c>
      <c r="D1036" s="118">
        <v>0.25069444444444444</v>
      </c>
      <c r="E1036" s="118">
        <v>0.26180555555555557</v>
      </c>
      <c r="F1036" s="119">
        <v>1.1111111111111127E-2</v>
      </c>
      <c r="G1036" s="118">
        <v>0.28819444444444448</v>
      </c>
      <c r="H1036" s="119">
        <v>2.6388888888888906E-2</v>
      </c>
      <c r="I1036" s="81">
        <v>41724</v>
      </c>
      <c r="J1036" s="36" t="str">
        <f t="shared" si="350"/>
        <v>Internacional</v>
      </c>
      <c r="K1036" s="36">
        <f t="shared" si="350"/>
        <v>1.1666666666666669E-2</v>
      </c>
      <c r="L1036" s="36">
        <f t="shared" si="350"/>
        <v>2.1527777777777785E-2</v>
      </c>
      <c r="M1036" s="36">
        <f t="shared" si="350"/>
        <v>3.3194444444444457E-2</v>
      </c>
      <c r="N1036" s="36">
        <f t="shared" si="350"/>
        <v>320</v>
      </c>
      <c r="O1036" s="36">
        <f t="shared" si="350"/>
        <v>179</v>
      </c>
      <c r="P1036" s="36" t="str">
        <f t="shared" si="350"/>
        <v>LAX</v>
      </c>
      <c r="R1036">
        <v>1022</v>
      </c>
      <c r="S1036" s="36" t="str">
        <f t="shared" si="346"/>
        <v>COPA AIRLINES</v>
      </c>
      <c r="T1036" s="36">
        <f t="shared" si="346"/>
        <v>722</v>
      </c>
      <c r="U1036" s="73">
        <v>0.98819444444444438</v>
      </c>
      <c r="V1036" s="74">
        <v>1.0083333333333333</v>
      </c>
      <c r="W1036" s="75">
        <v>2.0138888888888928E-2</v>
      </c>
      <c r="X1036" s="74">
        <v>1.0173611111111112</v>
      </c>
      <c r="Y1036" s="75">
        <v>9.0277777777778567E-3</v>
      </c>
      <c r="Z1036" s="76">
        <v>41754</v>
      </c>
      <c r="AA1036" s="36" t="str">
        <f t="shared" si="347"/>
        <v>Internacional</v>
      </c>
      <c r="AB1036" s="36">
        <f t="shared" si="347"/>
        <v>1.6923868312757214E-2</v>
      </c>
      <c r="AC1036" s="36">
        <f t="shared" si="347"/>
        <v>1.1651234567901217E-2</v>
      </c>
      <c r="AD1036" s="36">
        <f t="shared" si="347"/>
        <v>2.8575102880658433E-2</v>
      </c>
      <c r="AE1036" s="36" t="str">
        <f t="shared" si="347"/>
        <v>B737-800</v>
      </c>
      <c r="AF1036" s="36">
        <f t="shared" si="347"/>
        <v>189</v>
      </c>
      <c r="AG1036" s="36" t="str">
        <f t="shared" si="347"/>
        <v>PTY</v>
      </c>
      <c r="AI1036">
        <v>1022</v>
      </c>
      <c r="AJ1036" s="77" t="str">
        <f t="shared" ref="AJ1036:AK1082" si="353">AJ1035</f>
        <v>INTERAVIÓN</v>
      </c>
      <c r="AK1036" s="77">
        <f t="shared" si="352"/>
        <v>2220</v>
      </c>
      <c r="AL1036" s="186">
        <v>0.7993055555555556</v>
      </c>
      <c r="AM1036" s="79">
        <v>0.80486111111111114</v>
      </c>
      <c r="AN1036" s="80">
        <v>5.5555555555555358E-3</v>
      </c>
      <c r="AO1036" s="79">
        <v>0.81111111111111101</v>
      </c>
      <c r="AP1036" s="80">
        <v>6.2499999999998668E-3</v>
      </c>
      <c r="AQ1036" s="81">
        <v>41799</v>
      </c>
      <c r="AR1036" s="77" t="str">
        <f t="shared" si="351"/>
        <v>Nacional</v>
      </c>
      <c r="AS1036" s="77">
        <f t="shared" si="351"/>
        <v>8.2561728395061929E-3</v>
      </c>
      <c r="AT1036" s="77">
        <f t="shared" si="351"/>
        <v>6.6358024691357785E-3</v>
      </c>
      <c r="AU1036" s="77">
        <f t="shared" si="351"/>
        <v>1.4891975308641971E-2</v>
      </c>
      <c r="AV1036" s="77">
        <f t="shared" si="351"/>
        <v>320</v>
      </c>
      <c r="AW1036" s="77">
        <f t="shared" si="351"/>
        <v>179</v>
      </c>
      <c r="AX1036" s="77" t="str">
        <f t="shared" si="351"/>
        <v>MEX</v>
      </c>
    </row>
    <row r="1037" spans="1:50" x14ac:dyDescent="0.25">
      <c r="A1037">
        <v>1023</v>
      </c>
      <c r="B1037" s="36" t="str">
        <f t="shared" si="349"/>
        <v>BARATA Y MORADA</v>
      </c>
      <c r="C1037" s="36">
        <f t="shared" si="349"/>
        <v>913</v>
      </c>
      <c r="D1037" s="118">
        <v>0.24652777777777779</v>
      </c>
      <c r="E1037" s="118">
        <v>0.25555555555555559</v>
      </c>
      <c r="F1037" s="119">
        <v>9.0277777777778012E-3</v>
      </c>
      <c r="G1037" s="118">
        <v>0.28125</v>
      </c>
      <c r="H1037" s="119">
        <v>2.5694444444444409E-2</v>
      </c>
      <c r="I1037" s="81">
        <v>41727</v>
      </c>
      <c r="J1037" s="36" t="str">
        <f t="shared" si="350"/>
        <v>Internacional</v>
      </c>
      <c r="K1037" s="36">
        <f t="shared" si="350"/>
        <v>1.1666666666666669E-2</v>
      </c>
      <c r="L1037" s="36">
        <f t="shared" si="350"/>
        <v>2.1527777777777785E-2</v>
      </c>
      <c r="M1037" s="36">
        <f t="shared" si="350"/>
        <v>3.3194444444444457E-2</v>
      </c>
      <c r="N1037" s="36">
        <f t="shared" si="350"/>
        <v>320</v>
      </c>
      <c r="O1037" s="36">
        <f t="shared" si="350"/>
        <v>179</v>
      </c>
      <c r="P1037" s="36" t="str">
        <f t="shared" si="350"/>
        <v>LAX</v>
      </c>
      <c r="R1037">
        <v>1023</v>
      </c>
      <c r="S1037" s="36" t="str">
        <f t="shared" si="346"/>
        <v>COPA AIRLINES</v>
      </c>
      <c r="T1037" s="36">
        <f t="shared" si="346"/>
        <v>722</v>
      </c>
      <c r="U1037" s="73">
        <v>0.99791666666666667</v>
      </c>
      <c r="V1037" s="74">
        <v>1.0152777777777777</v>
      </c>
      <c r="W1037" s="75">
        <v>1.7361111111111049E-2</v>
      </c>
      <c r="X1037" s="74">
        <v>1.0263888888888888</v>
      </c>
      <c r="Y1037" s="75">
        <v>1.1111111111111072E-2</v>
      </c>
      <c r="Z1037" s="76">
        <v>41755</v>
      </c>
      <c r="AA1037" s="36" t="str">
        <f t="shared" si="347"/>
        <v>Internacional</v>
      </c>
      <c r="AB1037" s="36">
        <f t="shared" si="347"/>
        <v>1.6923868312757214E-2</v>
      </c>
      <c r="AC1037" s="36">
        <f t="shared" si="347"/>
        <v>1.1651234567901217E-2</v>
      </c>
      <c r="AD1037" s="36">
        <f t="shared" si="347"/>
        <v>2.8575102880658433E-2</v>
      </c>
      <c r="AE1037" s="36" t="str">
        <f t="shared" si="347"/>
        <v>B737-800</v>
      </c>
      <c r="AF1037" s="36">
        <f t="shared" si="347"/>
        <v>189</v>
      </c>
      <c r="AG1037" s="36" t="str">
        <f t="shared" si="347"/>
        <v>PTY</v>
      </c>
      <c r="AI1037">
        <v>1023</v>
      </c>
      <c r="AJ1037" s="77" t="str">
        <f t="shared" si="353"/>
        <v>INTERAVIÓN</v>
      </c>
      <c r="AK1037" s="77">
        <f t="shared" si="352"/>
        <v>2220</v>
      </c>
      <c r="AL1037" s="186">
        <v>0.88888888888888884</v>
      </c>
      <c r="AM1037" s="79">
        <v>0.90277777777777779</v>
      </c>
      <c r="AN1037" s="80">
        <v>1.3888888888888951E-2</v>
      </c>
      <c r="AO1037" s="79">
        <v>0.91249999999999998</v>
      </c>
      <c r="AP1037" s="80">
        <v>9.7222222222221877E-3</v>
      </c>
      <c r="AQ1037" s="81">
        <v>41804</v>
      </c>
      <c r="AR1037" s="77" t="str">
        <f t="shared" si="351"/>
        <v>Nacional</v>
      </c>
      <c r="AS1037" s="77">
        <f t="shared" si="351"/>
        <v>8.2561728395061929E-3</v>
      </c>
      <c r="AT1037" s="77">
        <f t="shared" si="351"/>
        <v>6.6358024691357785E-3</v>
      </c>
      <c r="AU1037" s="77">
        <f t="shared" si="351"/>
        <v>1.4891975308641971E-2</v>
      </c>
      <c r="AV1037" s="77">
        <f t="shared" si="351"/>
        <v>320</v>
      </c>
      <c r="AW1037" s="77">
        <f t="shared" si="351"/>
        <v>179</v>
      </c>
      <c r="AX1037" s="77" t="str">
        <f t="shared" si="351"/>
        <v>MEX</v>
      </c>
    </row>
    <row r="1038" spans="1:50" ht="15.75" thickBot="1" x14ac:dyDescent="0.3">
      <c r="A1038">
        <v>1024</v>
      </c>
      <c r="B1038" s="36" t="str">
        <f t="shared" si="349"/>
        <v>BARATA Y MORADA</v>
      </c>
      <c r="C1038" s="36">
        <f t="shared" si="349"/>
        <v>913</v>
      </c>
      <c r="D1038" s="176">
        <v>0.25</v>
      </c>
      <c r="E1038" s="176">
        <v>0.26180555555555557</v>
      </c>
      <c r="F1038" s="177">
        <v>1.1805555555555569E-2</v>
      </c>
      <c r="G1038" s="176">
        <v>0.27916666666666667</v>
      </c>
      <c r="H1038" s="177">
        <v>1.7361111111111105E-2</v>
      </c>
      <c r="I1038" s="97">
        <v>41728</v>
      </c>
      <c r="J1038" s="36" t="str">
        <f t="shared" si="350"/>
        <v>Internacional</v>
      </c>
      <c r="K1038" s="36">
        <f t="shared" si="350"/>
        <v>1.1666666666666669E-2</v>
      </c>
      <c r="L1038" s="36">
        <f t="shared" si="350"/>
        <v>2.1527777777777785E-2</v>
      </c>
      <c r="M1038" s="36">
        <f t="shared" si="350"/>
        <v>3.3194444444444457E-2</v>
      </c>
      <c r="N1038" s="36">
        <f t="shared" si="350"/>
        <v>320</v>
      </c>
      <c r="O1038" s="36">
        <f t="shared" si="350"/>
        <v>179</v>
      </c>
      <c r="P1038" s="36" t="str">
        <f t="shared" si="350"/>
        <v>LAX</v>
      </c>
      <c r="R1038">
        <v>1024</v>
      </c>
      <c r="S1038" s="36" t="str">
        <f t="shared" si="346"/>
        <v>COPA AIRLINES</v>
      </c>
      <c r="T1038" s="36">
        <f t="shared" si="346"/>
        <v>722</v>
      </c>
      <c r="U1038" s="73">
        <v>0.99305555555555547</v>
      </c>
      <c r="V1038" s="74">
        <v>1.0145833333333334</v>
      </c>
      <c r="W1038" s="75">
        <v>2.1527777777777923E-2</v>
      </c>
      <c r="X1038" s="74">
        <v>1.023611111111111</v>
      </c>
      <c r="Y1038" s="75">
        <v>9.0277777777776347E-3</v>
      </c>
      <c r="Z1038" s="76">
        <v>41756</v>
      </c>
      <c r="AA1038" s="36" t="str">
        <f t="shared" si="347"/>
        <v>Internacional</v>
      </c>
      <c r="AB1038" s="36">
        <f t="shared" si="347"/>
        <v>1.6923868312757214E-2</v>
      </c>
      <c r="AC1038" s="36">
        <f t="shared" si="347"/>
        <v>1.1651234567901217E-2</v>
      </c>
      <c r="AD1038" s="36">
        <f t="shared" si="347"/>
        <v>2.8575102880658433E-2</v>
      </c>
      <c r="AE1038" s="36" t="str">
        <f t="shared" si="347"/>
        <v>B737-800</v>
      </c>
      <c r="AF1038" s="36">
        <f t="shared" si="347"/>
        <v>189</v>
      </c>
      <c r="AG1038" s="36" t="str">
        <f t="shared" si="347"/>
        <v>PTY</v>
      </c>
      <c r="AI1038">
        <v>1024</v>
      </c>
      <c r="AJ1038" s="77" t="str">
        <f t="shared" si="353"/>
        <v>INTERAVIÓN</v>
      </c>
      <c r="AK1038" s="77">
        <f t="shared" si="352"/>
        <v>2220</v>
      </c>
      <c r="AL1038" s="186">
        <v>0.72569444444444453</v>
      </c>
      <c r="AM1038" s="79">
        <v>0.7319444444444444</v>
      </c>
      <c r="AN1038" s="80">
        <v>6.2499999999998668E-3</v>
      </c>
      <c r="AO1038" s="79">
        <v>0.73819444444444438</v>
      </c>
      <c r="AP1038" s="80">
        <v>6.2499999999999778E-3</v>
      </c>
      <c r="AQ1038" s="81">
        <v>41805</v>
      </c>
      <c r="AR1038" s="77" t="str">
        <f t="shared" si="351"/>
        <v>Nacional</v>
      </c>
      <c r="AS1038" s="77">
        <f t="shared" si="351"/>
        <v>8.2561728395061929E-3</v>
      </c>
      <c r="AT1038" s="77">
        <f t="shared" si="351"/>
        <v>6.6358024691357785E-3</v>
      </c>
      <c r="AU1038" s="77">
        <f t="shared" si="351"/>
        <v>1.4891975308641971E-2</v>
      </c>
      <c r="AV1038" s="77">
        <f t="shared" si="351"/>
        <v>320</v>
      </c>
      <c r="AW1038" s="77">
        <f t="shared" si="351"/>
        <v>179</v>
      </c>
      <c r="AX1038" s="77" t="str">
        <f t="shared" si="351"/>
        <v>MEX</v>
      </c>
    </row>
    <row r="1039" spans="1:50" x14ac:dyDescent="0.25">
      <c r="A1039">
        <v>1025</v>
      </c>
      <c r="B1039" s="36" t="str">
        <f t="shared" si="349"/>
        <v>BARATA Y MORADA</v>
      </c>
      <c r="C1039" s="151">
        <v>903</v>
      </c>
      <c r="D1039" s="152">
        <v>0.21249999999999999</v>
      </c>
      <c r="E1039" s="152">
        <v>0.22500000000000001</v>
      </c>
      <c r="F1039" s="153">
        <v>1.2500000000000011E-2</v>
      </c>
      <c r="G1039" s="152">
        <v>0.23333333333333331</v>
      </c>
      <c r="H1039" s="153">
        <v>8.3333333333333037E-3</v>
      </c>
      <c r="I1039" s="67">
        <v>41719</v>
      </c>
      <c r="J1039" s="68" t="s">
        <v>22</v>
      </c>
      <c r="K1039" s="135">
        <v>1.3888888888888895E-2</v>
      </c>
      <c r="L1039" s="135">
        <v>1.0185185185185167E-2</v>
      </c>
      <c r="M1039" s="175">
        <v>2.407407407407406E-2</v>
      </c>
      <c r="N1039" s="90">
        <v>320</v>
      </c>
      <c r="O1039" s="91">
        <v>179</v>
      </c>
      <c r="P1039" s="92" t="s">
        <v>78</v>
      </c>
      <c r="R1039">
        <v>1025</v>
      </c>
      <c r="S1039" s="36" t="str">
        <f t="shared" si="346"/>
        <v>COPA AIRLINES</v>
      </c>
      <c r="T1039" s="36">
        <f t="shared" si="346"/>
        <v>722</v>
      </c>
      <c r="U1039" s="73">
        <v>0.9916666666666667</v>
      </c>
      <c r="V1039" s="74">
        <v>1</v>
      </c>
      <c r="W1039" s="75">
        <v>8.3333333333333037E-3</v>
      </c>
      <c r="X1039" s="74">
        <v>1.0347222222222221</v>
      </c>
      <c r="Y1039" s="75">
        <v>3.4722222222222099E-2</v>
      </c>
      <c r="Z1039" s="76">
        <v>41757</v>
      </c>
      <c r="AA1039" s="36" t="str">
        <f t="shared" si="347"/>
        <v>Internacional</v>
      </c>
      <c r="AB1039" s="36">
        <f t="shared" si="347"/>
        <v>1.6923868312757214E-2</v>
      </c>
      <c r="AC1039" s="36">
        <f t="shared" si="347"/>
        <v>1.1651234567901217E-2</v>
      </c>
      <c r="AD1039" s="36">
        <f t="shared" si="347"/>
        <v>2.8575102880658433E-2</v>
      </c>
      <c r="AE1039" s="36" t="str">
        <f t="shared" si="347"/>
        <v>B737-800</v>
      </c>
      <c r="AF1039" s="36">
        <f t="shared" si="347"/>
        <v>189</v>
      </c>
      <c r="AG1039" s="36" t="str">
        <f t="shared" si="347"/>
        <v>PTY</v>
      </c>
      <c r="AI1039">
        <v>1025</v>
      </c>
      <c r="AJ1039" s="77" t="str">
        <f t="shared" si="353"/>
        <v>INTERAVIÓN</v>
      </c>
      <c r="AK1039" s="77">
        <f t="shared" si="352"/>
        <v>2220</v>
      </c>
      <c r="AL1039" s="186">
        <v>0.85972222222222217</v>
      </c>
      <c r="AM1039" s="79">
        <v>0.87013888888888891</v>
      </c>
      <c r="AN1039" s="80">
        <v>1.0416666666666741E-2</v>
      </c>
      <c r="AO1039" s="79">
        <v>0.87361111111111101</v>
      </c>
      <c r="AP1039" s="80">
        <v>3.4722222222220989E-3</v>
      </c>
      <c r="AQ1039" s="81">
        <v>41810</v>
      </c>
      <c r="AR1039" s="77" t="str">
        <f t="shared" si="351"/>
        <v>Nacional</v>
      </c>
      <c r="AS1039" s="77">
        <f t="shared" si="351"/>
        <v>8.2561728395061929E-3</v>
      </c>
      <c r="AT1039" s="77">
        <f t="shared" si="351"/>
        <v>6.6358024691357785E-3</v>
      </c>
      <c r="AU1039" s="77">
        <f t="shared" si="351"/>
        <v>1.4891975308641971E-2</v>
      </c>
      <c r="AV1039" s="77">
        <f t="shared" si="351"/>
        <v>320</v>
      </c>
      <c r="AW1039" s="77">
        <f t="shared" si="351"/>
        <v>179</v>
      </c>
      <c r="AX1039" s="77" t="str">
        <f t="shared" si="351"/>
        <v>MEX</v>
      </c>
    </row>
    <row r="1040" spans="1:50" x14ac:dyDescent="0.25">
      <c r="A1040">
        <v>1026</v>
      </c>
      <c r="B1040" s="36" t="str">
        <f t="shared" si="349"/>
        <v>BARATA Y MORADA</v>
      </c>
      <c r="C1040" s="36">
        <f t="shared" si="349"/>
        <v>903</v>
      </c>
      <c r="D1040" s="118">
        <v>0.27569444444444446</v>
      </c>
      <c r="E1040" s="118">
        <v>0.29166666666666669</v>
      </c>
      <c r="F1040" s="119">
        <v>1.5972222222222221E-2</v>
      </c>
      <c r="G1040" s="118">
        <v>0.30208333333333331</v>
      </c>
      <c r="H1040" s="119">
        <v>1.041666666666663E-2</v>
      </c>
      <c r="I1040" s="81">
        <v>41724</v>
      </c>
      <c r="J1040" s="36" t="str">
        <f t="shared" ref="J1040:P1041" si="354">J1039</f>
        <v>Internacional</v>
      </c>
      <c r="K1040" s="36">
        <f t="shared" si="354"/>
        <v>1.3888888888888895E-2</v>
      </c>
      <c r="L1040" s="36">
        <f t="shared" si="354"/>
        <v>1.0185185185185167E-2</v>
      </c>
      <c r="M1040" s="36">
        <f t="shared" si="354"/>
        <v>2.407407407407406E-2</v>
      </c>
      <c r="N1040" s="36">
        <f t="shared" si="354"/>
        <v>320</v>
      </c>
      <c r="O1040" s="36">
        <f t="shared" si="354"/>
        <v>179</v>
      </c>
      <c r="P1040" s="36" t="str">
        <f t="shared" si="354"/>
        <v>OAK</v>
      </c>
      <c r="R1040">
        <v>1026</v>
      </c>
      <c r="S1040" s="36" t="str">
        <f t="shared" si="346"/>
        <v>COPA AIRLINES</v>
      </c>
      <c r="T1040" s="36">
        <f t="shared" si="346"/>
        <v>722</v>
      </c>
      <c r="U1040" s="73">
        <v>0.99305555555555547</v>
      </c>
      <c r="V1040" s="74">
        <v>1.0208333333333333</v>
      </c>
      <c r="W1040" s="75">
        <v>2.777777777777779E-2</v>
      </c>
      <c r="X1040" s="74">
        <v>1.0347222222222221</v>
      </c>
      <c r="Y1040" s="75">
        <v>1.388888888888884E-2</v>
      </c>
      <c r="Z1040" s="76">
        <v>41758</v>
      </c>
      <c r="AA1040" s="36" t="str">
        <f t="shared" si="347"/>
        <v>Internacional</v>
      </c>
      <c r="AB1040" s="36">
        <f t="shared" si="347"/>
        <v>1.6923868312757214E-2</v>
      </c>
      <c r="AC1040" s="36">
        <f t="shared" si="347"/>
        <v>1.1651234567901217E-2</v>
      </c>
      <c r="AD1040" s="36">
        <f t="shared" si="347"/>
        <v>2.8575102880658433E-2</v>
      </c>
      <c r="AE1040" s="36" t="str">
        <f t="shared" si="347"/>
        <v>B737-800</v>
      </c>
      <c r="AF1040" s="36">
        <f t="shared" si="347"/>
        <v>189</v>
      </c>
      <c r="AG1040" s="36" t="str">
        <f t="shared" si="347"/>
        <v>PTY</v>
      </c>
      <c r="AI1040">
        <v>1026</v>
      </c>
      <c r="AJ1040" s="77" t="str">
        <f t="shared" si="353"/>
        <v>INTERAVIÓN</v>
      </c>
      <c r="AK1040" s="77">
        <f t="shared" si="352"/>
        <v>2220</v>
      </c>
      <c r="AL1040" s="186">
        <v>0.69236111111111109</v>
      </c>
      <c r="AM1040" s="79">
        <v>0.70000000000000007</v>
      </c>
      <c r="AN1040" s="80">
        <v>7.6388888888889728E-3</v>
      </c>
      <c r="AO1040" s="79">
        <v>0.70208333333333339</v>
      </c>
      <c r="AP1040" s="80">
        <v>2.0833333333333259E-3</v>
      </c>
      <c r="AQ1040" s="81">
        <v>41811</v>
      </c>
      <c r="AR1040" s="77" t="str">
        <f t="shared" si="351"/>
        <v>Nacional</v>
      </c>
      <c r="AS1040" s="77">
        <f t="shared" si="351"/>
        <v>8.2561728395061929E-3</v>
      </c>
      <c r="AT1040" s="77">
        <f t="shared" si="351"/>
        <v>6.6358024691357785E-3</v>
      </c>
      <c r="AU1040" s="77">
        <f t="shared" si="351"/>
        <v>1.4891975308641971E-2</v>
      </c>
      <c r="AV1040" s="77">
        <f t="shared" si="351"/>
        <v>320</v>
      </c>
      <c r="AW1040" s="77">
        <f t="shared" si="351"/>
        <v>179</v>
      </c>
      <c r="AX1040" s="77" t="str">
        <f t="shared" si="351"/>
        <v>MEX</v>
      </c>
    </row>
    <row r="1041" spans="1:50" ht="15.75" thickBot="1" x14ac:dyDescent="0.3">
      <c r="A1041">
        <v>1027</v>
      </c>
      <c r="B1041" s="36" t="str">
        <f t="shared" si="349"/>
        <v>BARATA Y MORADA</v>
      </c>
      <c r="C1041" s="36">
        <f t="shared" si="349"/>
        <v>903</v>
      </c>
      <c r="D1041" s="176">
        <v>0.27152777777777776</v>
      </c>
      <c r="E1041" s="176">
        <v>0.28472222222222221</v>
      </c>
      <c r="F1041" s="177">
        <v>1.3194444444444453E-2</v>
      </c>
      <c r="G1041" s="176">
        <v>0.29652777777777778</v>
      </c>
      <c r="H1041" s="177">
        <v>1.1805555555555569E-2</v>
      </c>
      <c r="I1041" s="97">
        <v>41727</v>
      </c>
      <c r="J1041" s="36" t="str">
        <f t="shared" si="354"/>
        <v>Internacional</v>
      </c>
      <c r="K1041" s="36">
        <f t="shared" si="354"/>
        <v>1.3888888888888895E-2</v>
      </c>
      <c r="L1041" s="36">
        <f t="shared" si="354"/>
        <v>1.0185185185185167E-2</v>
      </c>
      <c r="M1041" s="36">
        <f t="shared" si="354"/>
        <v>2.407407407407406E-2</v>
      </c>
      <c r="N1041" s="36">
        <f t="shared" si="354"/>
        <v>320</v>
      </c>
      <c r="O1041" s="36">
        <f t="shared" si="354"/>
        <v>179</v>
      </c>
      <c r="P1041" s="36" t="str">
        <f t="shared" si="354"/>
        <v>OAK</v>
      </c>
      <c r="R1041">
        <v>1027</v>
      </c>
      <c r="S1041" s="36" t="str">
        <f t="shared" si="346"/>
        <v>COPA AIRLINES</v>
      </c>
      <c r="T1041" s="36">
        <f t="shared" si="346"/>
        <v>722</v>
      </c>
      <c r="U1041" s="73">
        <v>0.98958333333333337</v>
      </c>
      <c r="V1041" s="74">
        <v>1.0062499999999999</v>
      </c>
      <c r="W1041" s="75">
        <v>1.6666666666666496E-2</v>
      </c>
      <c r="X1041" s="74">
        <v>1.0201388888888889</v>
      </c>
      <c r="Y1041" s="75">
        <v>1.3888888888889062E-2</v>
      </c>
      <c r="Z1041" s="76">
        <v>41759</v>
      </c>
      <c r="AA1041" s="36" t="str">
        <f t="shared" si="347"/>
        <v>Internacional</v>
      </c>
      <c r="AB1041" s="36">
        <f t="shared" si="347"/>
        <v>1.6923868312757214E-2</v>
      </c>
      <c r="AC1041" s="36">
        <f t="shared" si="347"/>
        <v>1.1651234567901217E-2</v>
      </c>
      <c r="AD1041" s="36">
        <f t="shared" si="347"/>
        <v>2.8575102880658433E-2</v>
      </c>
      <c r="AE1041" s="36" t="str">
        <f t="shared" si="347"/>
        <v>B737-800</v>
      </c>
      <c r="AF1041" s="36">
        <f t="shared" si="347"/>
        <v>189</v>
      </c>
      <c r="AG1041" s="36" t="str">
        <f t="shared" si="347"/>
        <v>PTY</v>
      </c>
      <c r="AI1041">
        <v>1027</v>
      </c>
      <c r="AJ1041" s="77" t="str">
        <f t="shared" si="353"/>
        <v>INTERAVIÓN</v>
      </c>
      <c r="AK1041" s="77">
        <f t="shared" si="352"/>
        <v>2220</v>
      </c>
      <c r="AL1041" s="187">
        <v>0.89583333333333337</v>
      </c>
      <c r="AM1041" s="95">
        <v>0.90555555555555556</v>
      </c>
      <c r="AN1041" s="96">
        <v>9.7222222222221877E-3</v>
      </c>
      <c r="AO1041" s="95">
        <v>0.91180555555555554</v>
      </c>
      <c r="AP1041" s="96">
        <v>6.2499999999999778E-3</v>
      </c>
      <c r="AQ1041" s="97">
        <v>41812</v>
      </c>
      <c r="AR1041" s="77" t="str">
        <f t="shared" si="351"/>
        <v>Nacional</v>
      </c>
      <c r="AS1041" s="77">
        <f t="shared" si="351"/>
        <v>8.2561728395061929E-3</v>
      </c>
      <c r="AT1041" s="77">
        <f t="shared" si="351"/>
        <v>6.6358024691357785E-3</v>
      </c>
      <c r="AU1041" s="77">
        <f t="shared" si="351"/>
        <v>1.4891975308641971E-2</v>
      </c>
      <c r="AV1041" s="77">
        <f t="shared" si="351"/>
        <v>320</v>
      </c>
      <c r="AW1041" s="77">
        <f t="shared" si="351"/>
        <v>179</v>
      </c>
      <c r="AX1041" s="77" t="str">
        <f t="shared" si="351"/>
        <v>MEX</v>
      </c>
    </row>
    <row r="1042" spans="1:50" x14ac:dyDescent="0.25">
      <c r="A1042">
        <v>1028</v>
      </c>
      <c r="B1042" s="36" t="str">
        <f t="shared" si="349"/>
        <v>BARATA Y MORADA</v>
      </c>
      <c r="C1042" s="151">
        <v>775</v>
      </c>
      <c r="D1042" s="152">
        <v>0.22222222222222221</v>
      </c>
      <c r="E1042" s="152">
        <v>0.22569444444444445</v>
      </c>
      <c r="F1042" s="153">
        <v>3.4722222222222376E-3</v>
      </c>
      <c r="G1042" s="152">
        <v>0.22916666666666666</v>
      </c>
      <c r="H1042" s="153">
        <v>3.4722222222222099E-3</v>
      </c>
      <c r="I1042" s="67">
        <v>41716</v>
      </c>
      <c r="J1042" s="174" t="s">
        <v>19</v>
      </c>
      <c r="K1042" s="135">
        <v>3.4722222222222376E-3</v>
      </c>
      <c r="L1042" s="135">
        <v>3.4722222222222099E-3</v>
      </c>
      <c r="M1042" s="175">
        <v>6.9444444444444475E-3</v>
      </c>
      <c r="N1042" s="90" t="s">
        <v>39</v>
      </c>
      <c r="O1042" s="91">
        <v>189</v>
      </c>
      <c r="P1042" s="92" t="s">
        <v>34</v>
      </c>
      <c r="R1042">
        <v>1028</v>
      </c>
      <c r="S1042" s="36" t="str">
        <f t="shared" si="346"/>
        <v>COPA AIRLINES</v>
      </c>
      <c r="T1042" s="36">
        <f t="shared" si="346"/>
        <v>722</v>
      </c>
      <c r="U1042" s="73">
        <v>0.99722222222222223</v>
      </c>
      <c r="V1042" s="74">
        <v>1.0152777777777777</v>
      </c>
      <c r="W1042" s="75">
        <v>1.8055555555555491E-2</v>
      </c>
      <c r="X1042" s="74">
        <v>1.0243055555555556</v>
      </c>
      <c r="Y1042" s="75">
        <v>9.0277777777778567E-3</v>
      </c>
      <c r="Z1042" s="76">
        <v>41745</v>
      </c>
      <c r="AA1042" s="36" t="str">
        <f t="shared" si="347"/>
        <v>Internacional</v>
      </c>
      <c r="AB1042" s="36">
        <f t="shared" si="347"/>
        <v>1.6923868312757214E-2</v>
      </c>
      <c r="AC1042" s="36">
        <f t="shared" si="347"/>
        <v>1.1651234567901217E-2</v>
      </c>
      <c r="AD1042" s="36">
        <f t="shared" si="347"/>
        <v>2.8575102880658433E-2</v>
      </c>
      <c r="AE1042" s="36" t="str">
        <f t="shared" si="347"/>
        <v>B737-800</v>
      </c>
      <c r="AF1042" s="36">
        <f t="shared" si="347"/>
        <v>189</v>
      </c>
      <c r="AG1042" s="36" t="str">
        <f t="shared" si="347"/>
        <v>PTY</v>
      </c>
      <c r="AI1042">
        <v>1028</v>
      </c>
      <c r="AJ1042" s="77" t="str">
        <f t="shared" si="353"/>
        <v>INTERAVIÓN</v>
      </c>
      <c r="AK1042" s="63">
        <v>2218</v>
      </c>
      <c r="AL1042" s="185">
        <v>4.6527777777777779E-2</v>
      </c>
      <c r="AM1042" s="65">
        <v>5.2083333333333336E-2</v>
      </c>
      <c r="AN1042" s="66">
        <v>5.5555555555555566E-3</v>
      </c>
      <c r="AO1042" s="65">
        <v>6.0416666666666667E-2</v>
      </c>
      <c r="AP1042" s="66">
        <v>8.3333333333333315E-3</v>
      </c>
      <c r="AQ1042" s="67">
        <v>41791</v>
      </c>
      <c r="AR1042" s="68" t="s">
        <v>19</v>
      </c>
      <c r="AS1042" s="69">
        <v>8.5763888888888626E-3</v>
      </c>
      <c r="AT1042" s="70">
        <v>7.4305555555555973E-3</v>
      </c>
      <c r="AU1042" s="70">
        <v>1.6006944444444459E-2</v>
      </c>
      <c r="AV1042" s="71">
        <v>320</v>
      </c>
      <c r="AW1042" s="71">
        <v>179</v>
      </c>
      <c r="AX1042" s="72" t="s">
        <v>21</v>
      </c>
    </row>
    <row r="1043" spans="1:50" ht="15.75" thickBot="1" x14ac:dyDescent="0.3">
      <c r="A1043">
        <v>1029</v>
      </c>
      <c r="B1043" s="36" t="str">
        <f t="shared" si="349"/>
        <v>BARATA Y MORADA</v>
      </c>
      <c r="C1043" s="36">
        <f>C1042</f>
        <v>775</v>
      </c>
      <c r="D1043" s="176">
        <v>0.22222222222222221</v>
      </c>
      <c r="E1043" s="176">
        <v>0.22569444444444445</v>
      </c>
      <c r="F1043" s="177">
        <v>3.4722222222222376E-3</v>
      </c>
      <c r="G1043" s="176">
        <v>0.22916666666666666</v>
      </c>
      <c r="H1043" s="177">
        <v>3.4722222222222099E-3</v>
      </c>
      <c r="I1043" s="97">
        <v>41716</v>
      </c>
      <c r="J1043" s="36" t="str">
        <f t="shared" ref="J1043:P1044" si="355">J1042</f>
        <v>Nacional</v>
      </c>
      <c r="K1043" s="36">
        <f t="shared" si="355"/>
        <v>3.4722222222222376E-3</v>
      </c>
      <c r="L1043" s="36">
        <f t="shared" si="355"/>
        <v>3.4722222222222099E-3</v>
      </c>
      <c r="M1043" s="36">
        <f t="shared" si="355"/>
        <v>6.9444444444444475E-3</v>
      </c>
      <c r="N1043" s="36" t="str">
        <f t="shared" si="355"/>
        <v>B737-800</v>
      </c>
      <c r="O1043" s="36">
        <f t="shared" si="355"/>
        <v>189</v>
      </c>
      <c r="P1043" s="36" t="str">
        <f t="shared" si="355"/>
        <v>TIJ</v>
      </c>
      <c r="R1043">
        <v>1029</v>
      </c>
      <c r="S1043" s="36" t="str">
        <f t="shared" si="346"/>
        <v>COPA AIRLINES</v>
      </c>
      <c r="T1043" s="36">
        <f t="shared" si="346"/>
        <v>722</v>
      </c>
      <c r="U1043" s="73">
        <v>0.9916666666666667</v>
      </c>
      <c r="V1043" s="74">
        <v>1.0048611111111112</v>
      </c>
      <c r="W1043" s="75">
        <v>1.3194444444444509E-2</v>
      </c>
      <c r="X1043" s="74">
        <v>1.01875</v>
      </c>
      <c r="Y1043" s="75">
        <v>1.388888888888884E-2</v>
      </c>
      <c r="Z1043" s="76">
        <v>41744</v>
      </c>
      <c r="AA1043" s="36" t="str">
        <f t="shared" si="347"/>
        <v>Internacional</v>
      </c>
      <c r="AB1043" s="36">
        <f t="shared" si="347"/>
        <v>1.6923868312757214E-2</v>
      </c>
      <c r="AC1043" s="36">
        <f t="shared" si="347"/>
        <v>1.1651234567901217E-2</v>
      </c>
      <c r="AD1043" s="36">
        <f t="shared" si="347"/>
        <v>2.8575102880658433E-2</v>
      </c>
      <c r="AE1043" s="36" t="str">
        <f t="shared" si="347"/>
        <v>B737-800</v>
      </c>
      <c r="AF1043" s="36">
        <f t="shared" si="347"/>
        <v>189</v>
      </c>
      <c r="AG1043" s="36" t="str">
        <f t="shared" si="347"/>
        <v>PTY</v>
      </c>
      <c r="AI1043">
        <v>1029</v>
      </c>
      <c r="AJ1043" s="77" t="str">
        <f t="shared" si="353"/>
        <v>INTERAVIÓN</v>
      </c>
      <c r="AK1043" s="77">
        <f t="shared" si="353"/>
        <v>2218</v>
      </c>
      <c r="AL1043" s="186">
        <v>0.89583333333333337</v>
      </c>
      <c r="AM1043" s="79">
        <v>0.90208333333333324</v>
      </c>
      <c r="AN1043" s="80">
        <v>6.2499999999998668E-3</v>
      </c>
      <c r="AO1043" s="79">
        <v>0.90625</v>
      </c>
      <c r="AP1043" s="80">
        <v>4.1666666666667629E-3</v>
      </c>
      <c r="AQ1043" s="81">
        <v>41792</v>
      </c>
      <c r="AR1043" s="77" t="str">
        <f t="shared" ref="AR1043:AX1061" si="356">AR1042</f>
        <v>Nacional</v>
      </c>
      <c r="AS1043" s="77">
        <f t="shared" si="356"/>
        <v>8.5763888888888626E-3</v>
      </c>
      <c r="AT1043" s="77">
        <f t="shared" si="356"/>
        <v>7.4305555555555973E-3</v>
      </c>
      <c r="AU1043" s="77">
        <f t="shared" si="356"/>
        <v>1.6006944444444459E-2</v>
      </c>
      <c r="AV1043" s="77">
        <f t="shared" si="356"/>
        <v>320</v>
      </c>
      <c r="AW1043" s="77">
        <f t="shared" si="356"/>
        <v>179</v>
      </c>
      <c r="AX1043" s="77" t="str">
        <f t="shared" si="356"/>
        <v>MEX</v>
      </c>
    </row>
    <row r="1044" spans="1:50" ht="15.75" thickBot="1" x14ac:dyDescent="0.3">
      <c r="A1044">
        <v>1030</v>
      </c>
      <c r="B1044" s="36" t="str">
        <f t="shared" si="349"/>
        <v>BARATA Y MORADA</v>
      </c>
      <c r="C1044" s="146">
        <v>752</v>
      </c>
      <c r="D1044" s="147">
        <v>0.89930555555555547</v>
      </c>
      <c r="E1044" s="147">
        <v>0.90416666666666667</v>
      </c>
      <c r="F1044" s="148">
        <v>4.8611111111112049E-3</v>
      </c>
      <c r="G1044" s="147">
        <v>0.90902777777777777</v>
      </c>
      <c r="H1044" s="148">
        <v>4.8611111111110938E-3</v>
      </c>
      <c r="I1044" s="103">
        <v>41724</v>
      </c>
      <c r="J1044" s="184" t="s">
        <v>19</v>
      </c>
      <c r="K1044" s="147">
        <v>4.8611111111112049E-3</v>
      </c>
      <c r="L1044" s="147">
        <v>4.8611111111110938E-3</v>
      </c>
      <c r="M1044" s="150">
        <v>9.7222222222222987E-3</v>
      </c>
      <c r="N1044" s="82" t="s">
        <v>25</v>
      </c>
      <c r="O1044" s="36">
        <f t="shared" si="355"/>
        <v>189</v>
      </c>
      <c r="P1044" s="36" t="str">
        <f t="shared" si="355"/>
        <v>TIJ</v>
      </c>
      <c r="R1044">
        <v>1030</v>
      </c>
      <c r="S1044" s="36" t="str">
        <f t="shared" si="346"/>
        <v>COPA AIRLINES</v>
      </c>
      <c r="T1044" s="36">
        <f t="shared" si="346"/>
        <v>722</v>
      </c>
      <c r="U1044" s="73">
        <v>0.99305555555555547</v>
      </c>
      <c r="V1044" s="74">
        <v>1.0020833333333334</v>
      </c>
      <c r="W1044" s="75">
        <v>9.0277777777779677E-3</v>
      </c>
      <c r="X1044" s="74">
        <v>1.0166666666666666</v>
      </c>
      <c r="Y1044" s="75">
        <v>1.4583333333333171E-2</v>
      </c>
      <c r="Z1044" s="76">
        <v>41746</v>
      </c>
      <c r="AA1044" s="36" t="str">
        <f t="shared" si="347"/>
        <v>Internacional</v>
      </c>
      <c r="AB1044" s="36">
        <f t="shared" si="347"/>
        <v>1.6923868312757214E-2</v>
      </c>
      <c r="AC1044" s="36">
        <f t="shared" si="347"/>
        <v>1.1651234567901217E-2</v>
      </c>
      <c r="AD1044" s="36">
        <f t="shared" si="347"/>
        <v>2.8575102880658433E-2</v>
      </c>
      <c r="AE1044" s="36" t="str">
        <f t="shared" si="347"/>
        <v>B737-800</v>
      </c>
      <c r="AF1044" s="36">
        <f t="shared" si="347"/>
        <v>189</v>
      </c>
      <c r="AG1044" s="36" t="str">
        <f t="shared" si="347"/>
        <v>PTY</v>
      </c>
      <c r="AI1044">
        <v>1030</v>
      </c>
      <c r="AJ1044" s="77" t="str">
        <f t="shared" si="353"/>
        <v>INTERAVIÓN</v>
      </c>
      <c r="AK1044" s="77">
        <f t="shared" si="353"/>
        <v>2218</v>
      </c>
      <c r="AL1044" s="186">
        <v>0.90069444444444446</v>
      </c>
      <c r="AM1044" s="79">
        <v>0.90694444444444444</v>
      </c>
      <c r="AN1044" s="80">
        <v>6.2499999999999778E-3</v>
      </c>
      <c r="AO1044" s="79">
        <v>0.90972222222222221</v>
      </c>
      <c r="AP1044" s="80">
        <v>2.7777777777777679E-3</v>
      </c>
      <c r="AQ1044" s="81">
        <v>41793</v>
      </c>
      <c r="AR1044" s="77" t="str">
        <f t="shared" si="356"/>
        <v>Nacional</v>
      </c>
      <c r="AS1044" s="77">
        <f t="shared" si="356"/>
        <v>8.5763888888888626E-3</v>
      </c>
      <c r="AT1044" s="77">
        <f t="shared" si="356"/>
        <v>7.4305555555555973E-3</v>
      </c>
      <c r="AU1044" s="77">
        <f t="shared" si="356"/>
        <v>1.6006944444444459E-2</v>
      </c>
      <c r="AV1044" s="77">
        <f t="shared" si="356"/>
        <v>320</v>
      </c>
      <c r="AW1044" s="77">
        <f t="shared" si="356"/>
        <v>179</v>
      </c>
      <c r="AX1044" s="77" t="str">
        <f t="shared" si="356"/>
        <v>MEX</v>
      </c>
    </row>
    <row r="1045" spans="1:50" x14ac:dyDescent="0.25">
      <c r="A1045">
        <v>1031</v>
      </c>
      <c r="B1045" s="36" t="str">
        <f t="shared" si="349"/>
        <v>BARATA Y MORADA</v>
      </c>
      <c r="C1045" s="151">
        <v>747</v>
      </c>
      <c r="D1045" s="152">
        <v>0.71805555555555556</v>
      </c>
      <c r="E1045" s="152">
        <v>0.72569444444444453</v>
      </c>
      <c r="F1045" s="153">
        <v>7.6388888888889728E-3</v>
      </c>
      <c r="G1045" s="152">
        <v>0.73263888888888884</v>
      </c>
      <c r="H1045" s="153">
        <v>6.9444444444443088E-3</v>
      </c>
      <c r="I1045" s="67">
        <v>41714</v>
      </c>
      <c r="J1045" s="174" t="s">
        <v>19</v>
      </c>
      <c r="K1045" s="135">
        <v>6.3888888888888884E-3</v>
      </c>
      <c r="L1045" s="135">
        <v>8.4722222222221918E-3</v>
      </c>
      <c r="M1045" s="175">
        <v>1.486111111111108E-2</v>
      </c>
      <c r="N1045" s="90" t="s">
        <v>57</v>
      </c>
      <c r="O1045" s="91">
        <v>142</v>
      </c>
      <c r="P1045" s="92" t="s">
        <v>66</v>
      </c>
      <c r="R1045">
        <v>1031</v>
      </c>
      <c r="S1045" s="36" t="str">
        <f t="shared" si="346"/>
        <v>COPA AIRLINES</v>
      </c>
      <c r="T1045" s="36">
        <f t="shared" si="346"/>
        <v>722</v>
      </c>
      <c r="U1045" s="73">
        <v>1.0208333333333333</v>
      </c>
      <c r="V1045" s="74">
        <v>1.03125</v>
      </c>
      <c r="W1045" s="75">
        <v>1.0416666666666741E-2</v>
      </c>
      <c r="X1045" s="74">
        <v>1.0347222222222221</v>
      </c>
      <c r="Y1045" s="75">
        <v>3.4722222222220989E-3</v>
      </c>
      <c r="Z1045" s="76">
        <v>41747</v>
      </c>
      <c r="AA1045" s="36" t="str">
        <f t="shared" si="347"/>
        <v>Internacional</v>
      </c>
      <c r="AB1045" s="36">
        <f t="shared" si="347"/>
        <v>1.6923868312757214E-2</v>
      </c>
      <c r="AC1045" s="36">
        <f t="shared" si="347"/>
        <v>1.1651234567901217E-2</v>
      </c>
      <c r="AD1045" s="36">
        <f t="shared" si="347"/>
        <v>2.8575102880658433E-2</v>
      </c>
      <c r="AE1045" s="36" t="str">
        <f t="shared" si="347"/>
        <v>B737-800</v>
      </c>
      <c r="AF1045" s="36">
        <f t="shared" si="347"/>
        <v>189</v>
      </c>
      <c r="AG1045" s="36" t="str">
        <f t="shared" si="347"/>
        <v>PTY</v>
      </c>
      <c r="AI1045">
        <v>1031</v>
      </c>
      <c r="AJ1045" s="77" t="str">
        <f t="shared" si="353"/>
        <v>INTERAVIÓN</v>
      </c>
      <c r="AK1045" s="77">
        <f t="shared" si="353"/>
        <v>2218</v>
      </c>
      <c r="AL1045" s="186">
        <v>0.89583333333333337</v>
      </c>
      <c r="AM1045" s="79">
        <v>0.90277777777777779</v>
      </c>
      <c r="AN1045" s="80">
        <v>6.9444444444444198E-3</v>
      </c>
      <c r="AO1045" s="79">
        <v>0.90763888888888899</v>
      </c>
      <c r="AP1045" s="80">
        <v>4.8611111111112049E-3</v>
      </c>
      <c r="AQ1045" s="81">
        <v>41794</v>
      </c>
      <c r="AR1045" s="77" t="str">
        <f t="shared" si="356"/>
        <v>Nacional</v>
      </c>
      <c r="AS1045" s="77">
        <f t="shared" si="356"/>
        <v>8.5763888888888626E-3</v>
      </c>
      <c r="AT1045" s="77">
        <f t="shared" si="356"/>
        <v>7.4305555555555973E-3</v>
      </c>
      <c r="AU1045" s="77">
        <f t="shared" si="356"/>
        <v>1.6006944444444459E-2</v>
      </c>
      <c r="AV1045" s="77">
        <f t="shared" si="356"/>
        <v>320</v>
      </c>
      <c r="AW1045" s="77">
        <f t="shared" si="356"/>
        <v>179</v>
      </c>
      <c r="AX1045" s="77" t="str">
        <f t="shared" si="356"/>
        <v>MEX</v>
      </c>
    </row>
    <row r="1046" spans="1:50" x14ac:dyDescent="0.25">
      <c r="A1046">
        <v>1032</v>
      </c>
      <c r="B1046" s="36" t="str">
        <f t="shared" si="349"/>
        <v>BARATA Y MORADA</v>
      </c>
      <c r="C1046" s="36">
        <f t="shared" si="349"/>
        <v>747</v>
      </c>
      <c r="D1046" s="118">
        <v>0.71805555555555556</v>
      </c>
      <c r="E1046" s="118">
        <v>0.72777777777777775</v>
      </c>
      <c r="F1046" s="119">
        <v>9.7222222222221877E-3</v>
      </c>
      <c r="G1046" s="118">
        <v>0.73263888888888884</v>
      </c>
      <c r="H1046" s="119">
        <v>4.8611111111110938E-3</v>
      </c>
      <c r="I1046" s="81">
        <v>41718</v>
      </c>
      <c r="J1046" s="36" t="str">
        <f t="shared" ref="J1046:P1049" si="357">J1045</f>
        <v>Nacional</v>
      </c>
      <c r="K1046" s="36">
        <f t="shared" si="357"/>
        <v>6.3888888888888884E-3</v>
      </c>
      <c r="L1046" s="36">
        <f t="shared" si="357"/>
        <v>8.4722222222221918E-3</v>
      </c>
      <c r="M1046" s="36">
        <f t="shared" si="357"/>
        <v>1.486111111111108E-2</v>
      </c>
      <c r="N1046" s="36" t="str">
        <f t="shared" si="357"/>
        <v>A319</v>
      </c>
      <c r="O1046" s="36">
        <f t="shared" si="357"/>
        <v>142</v>
      </c>
      <c r="P1046" s="36" t="str">
        <f t="shared" si="357"/>
        <v>SJD</v>
      </c>
      <c r="R1046">
        <v>1032</v>
      </c>
      <c r="S1046" s="36" t="str">
        <f t="shared" si="346"/>
        <v>COPA AIRLINES</v>
      </c>
      <c r="T1046" s="36">
        <f t="shared" si="346"/>
        <v>722</v>
      </c>
      <c r="U1046" s="73">
        <v>0.99513888888888891</v>
      </c>
      <c r="V1046" s="74">
        <v>1.0111111111111111</v>
      </c>
      <c r="W1046" s="75">
        <v>1.5972222222222165E-2</v>
      </c>
      <c r="X1046" s="74">
        <v>1.0145833333333334</v>
      </c>
      <c r="Y1046" s="75">
        <v>3.4722222222223209E-3</v>
      </c>
      <c r="Z1046" s="76">
        <v>41749</v>
      </c>
      <c r="AA1046" s="36" t="str">
        <f t="shared" si="347"/>
        <v>Internacional</v>
      </c>
      <c r="AB1046" s="36">
        <f t="shared" si="347"/>
        <v>1.6923868312757214E-2</v>
      </c>
      <c r="AC1046" s="36">
        <f t="shared" si="347"/>
        <v>1.1651234567901217E-2</v>
      </c>
      <c r="AD1046" s="36">
        <f t="shared" si="347"/>
        <v>2.8575102880658433E-2</v>
      </c>
      <c r="AE1046" s="36" t="str">
        <f t="shared" si="347"/>
        <v>B737-800</v>
      </c>
      <c r="AF1046" s="36">
        <f t="shared" si="347"/>
        <v>189</v>
      </c>
      <c r="AG1046" s="36" t="str">
        <f t="shared" si="347"/>
        <v>PTY</v>
      </c>
      <c r="AI1046">
        <v>1032</v>
      </c>
      <c r="AJ1046" s="77" t="str">
        <f t="shared" si="353"/>
        <v>INTERAVIÓN</v>
      </c>
      <c r="AK1046" s="77">
        <f t="shared" si="353"/>
        <v>2218</v>
      </c>
      <c r="AL1046" s="186">
        <v>0.89027777777777783</v>
      </c>
      <c r="AM1046" s="79">
        <v>0.91111111111111109</v>
      </c>
      <c r="AN1046" s="80">
        <v>2.0833333333333259E-2</v>
      </c>
      <c r="AO1046" s="79">
        <v>0.91527777777777775</v>
      </c>
      <c r="AP1046" s="80">
        <v>4.1666666666666519E-3</v>
      </c>
      <c r="AQ1046" s="81">
        <v>41795</v>
      </c>
      <c r="AR1046" s="77" t="str">
        <f t="shared" si="356"/>
        <v>Nacional</v>
      </c>
      <c r="AS1046" s="77">
        <f t="shared" si="356"/>
        <v>8.5763888888888626E-3</v>
      </c>
      <c r="AT1046" s="77">
        <f t="shared" si="356"/>
        <v>7.4305555555555973E-3</v>
      </c>
      <c r="AU1046" s="77">
        <f t="shared" si="356"/>
        <v>1.6006944444444459E-2</v>
      </c>
      <c r="AV1046" s="77">
        <f t="shared" si="356"/>
        <v>320</v>
      </c>
      <c r="AW1046" s="77">
        <f t="shared" si="356"/>
        <v>179</v>
      </c>
      <c r="AX1046" s="77" t="str">
        <f t="shared" si="356"/>
        <v>MEX</v>
      </c>
    </row>
    <row r="1047" spans="1:50" x14ac:dyDescent="0.25">
      <c r="A1047">
        <v>1033</v>
      </c>
      <c r="B1047" s="36" t="str">
        <f t="shared" si="349"/>
        <v>BARATA Y MORADA</v>
      </c>
      <c r="C1047" s="36">
        <f t="shared" si="349"/>
        <v>747</v>
      </c>
      <c r="D1047" s="118">
        <v>0.71527777777777779</v>
      </c>
      <c r="E1047" s="118">
        <v>0.71875</v>
      </c>
      <c r="F1047" s="119">
        <v>3.4722222222222099E-3</v>
      </c>
      <c r="G1047" s="118">
        <v>0.72916666666666663</v>
      </c>
      <c r="H1047" s="119">
        <v>1.041666666666663E-2</v>
      </c>
      <c r="I1047" s="81">
        <v>41720</v>
      </c>
      <c r="J1047" s="36" t="str">
        <f t="shared" si="357"/>
        <v>Nacional</v>
      </c>
      <c r="K1047" s="36">
        <f t="shared" si="357"/>
        <v>6.3888888888888884E-3</v>
      </c>
      <c r="L1047" s="36">
        <f t="shared" si="357"/>
        <v>8.4722222222221918E-3</v>
      </c>
      <c r="M1047" s="36">
        <f t="shared" si="357"/>
        <v>1.486111111111108E-2</v>
      </c>
      <c r="N1047" s="36" t="str">
        <f t="shared" si="357"/>
        <v>A319</v>
      </c>
      <c r="O1047" s="36">
        <f t="shared" si="357"/>
        <v>142</v>
      </c>
      <c r="P1047" s="36" t="str">
        <f t="shared" si="357"/>
        <v>SJD</v>
      </c>
      <c r="R1047">
        <v>1033</v>
      </c>
      <c r="S1047" s="36" t="str">
        <f t="shared" si="346"/>
        <v>COPA AIRLINES</v>
      </c>
      <c r="T1047" s="36">
        <f t="shared" si="346"/>
        <v>722</v>
      </c>
      <c r="U1047" s="73">
        <v>0.98333333333333339</v>
      </c>
      <c r="V1047" s="74">
        <v>1.0013888888888889</v>
      </c>
      <c r="W1047" s="75">
        <v>1.8055555555555491E-2</v>
      </c>
      <c r="X1047" s="74">
        <v>1.0069444444444444</v>
      </c>
      <c r="Y1047" s="75">
        <v>5.5555555555555358E-3</v>
      </c>
      <c r="Z1047" s="76">
        <v>41748</v>
      </c>
      <c r="AA1047" s="36" t="str">
        <f t="shared" si="347"/>
        <v>Internacional</v>
      </c>
      <c r="AB1047" s="36">
        <f t="shared" si="347"/>
        <v>1.6923868312757214E-2</v>
      </c>
      <c r="AC1047" s="36">
        <f t="shared" si="347"/>
        <v>1.1651234567901217E-2</v>
      </c>
      <c r="AD1047" s="36">
        <f t="shared" si="347"/>
        <v>2.8575102880658433E-2</v>
      </c>
      <c r="AE1047" s="36" t="str">
        <f t="shared" si="347"/>
        <v>B737-800</v>
      </c>
      <c r="AF1047" s="36">
        <f t="shared" si="347"/>
        <v>189</v>
      </c>
      <c r="AG1047" s="36" t="str">
        <f t="shared" si="347"/>
        <v>PTY</v>
      </c>
      <c r="AI1047">
        <v>1033</v>
      </c>
      <c r="AJ1047" s="77" t="str">
        <f t="shared" si="353"/>
        <v>INTERAVIÓN</v>
      </c>
      <c r="AK1047" s="77">
        <f t="shared" si="353"/>
        <v>2218</v>
      </c>
      <c r="AL1047" s="186">
        <v>0.91041666666666676</v>
      </c>
      <c r="AM1047" s="79">
        <v>0.91666666666666663</v>
      </c>
      <c r="AN1047" s="80">
        <v>6.2499999999998668E-3</v>
      </c>
      <c r="AO1047" s="79">
        <v>0.93333333333333324</v>
      </c>
      <c r="AP1047" s="80">
        <v>1.6666666666666607E-2</v>
      </c>
      <c r="AQ1047" s="81">
        <v>41796</v>
      </c>
      <c r="AR1047" s="77" t="str">
        <f t="shared" si="356"/>
        <v>Nacional</v>
      </c>
      <c r="AS1047" s="77">
        <f t="shared" si="356"/>
        <v>8.5763888888888626E-3</v>
      </c>
      <c r="AT1047" s="77">
        <f t="shared" si="356"/>
        <v>7.4305555555555973E-3</v>
      </c>
      <c r="AU1047" s="77">
        <f t="shared" si="356"/>
        <v>1.6006944444444459E-2</v>
      </c>
      <c r="AV1047" s="77">
        <f t="shared" si="356"/>
        <v>320</v>
      </c>
      <c r="AW1047" s="77">
        <f t="shared" si="356"/>
        <v>179</v>
      </c>
      <c r="AX1047" s="77" t="str">
        <f t="shared" si="356"/>
        <v>MEX</v>
      </c>
    </row>
    <row r="1048" spans="1:50" x14ac:dyDescent="0.25">
      <c r="A1048">
        <v>1034</v>
      </c>
      <c r="B1048" s="36" t="str">
        <f t="shared" si="349"/>
        <v>BARATA Y MORADA</v>
      </c>
      <c r="C1048" s="36">
        <f t="shared" si="349"/>
        <v>747</v>
      </c>
      <c r="D1048" s="118">
        <v>0.71597222222222223</v>
      </c>
      <c r="E1048" s="118">
        <v>0.71736111111111101</v>
      </c>
      <c r="F1048" s="119">
        <v>1.3888888888887729E-3</v>
      </c>
      <c r="G1048" s="118">
        <v>0.7284722222222223</v>
      </c>
      <c r="H1048" s="119">
        <v>1.1111111111111294E-2</v>
      </c>
      <c r="I1048" s="81">
        <v>41726</v>
      </c>
      <c r="J1048" s="36" t="str">
        <f t="shared" si="357"/>
        <v>Nacional</v>
      </c>
      <c r="K1048" s="36">
        <f t="shared" si="357"/>
        <v>6.3888888888888884E-3</v>
      </c>
      <c r="L1048" s="36">
        <f t="shared" si="357"/>
        <v>8.4722222222221918E-3</v>
      </c>
      <c r="M1048" s="36">
        <f t="shared" si="357"/>
        <v>1.486111111111108E-2</v>
      </c>
      <c r="N1048" s="36" t="str">
        <f t="shared" si="357"/>
        <v>A319</v>
      </c>
      <c r="O1048" s="36">
        <f t="shared" si="357"/>
        <v>142</v>
      </c>
      <c r="P1048" s="36" t="str">
        <f t="shared" si="357"/>
        <v>SJD</v>
      </c>
      <c r="R1048">
        <v>1034</v>
      </c>
      <c r="S1048" s="36" t="str">
        <f t="shared" si="346"/>
        <v>COPA AIRLINES</v>
      </c>
      <c r="T1048" s="36">
        <f t="shared" si="346"/>
        <v>722</v>
      </c>
      <c r="U1048" s="73">
        <v>0.99236111111111114</v>
      </c>
      <c r="V1048" s="74">
        <v>1.0083333333333333</v>
      </c>
      <c r="W1048" s="75">
        <v>1.5972222222222165E-2</v>
      </c>
      <c r="X1048" s="74">
        <v>1.0277777777777779</v>
      </c>
      <c r="Y1048" s="75">
        <v>1.9444444444444597E-2</v>
      </c>
      <c r="Z1048" s="76">
        <v>41751</v>
      </c>
      <c r="AA1048" s="36" t="str">
        <f t="shared" si="347"/>
        <v>Internacional</v>
      </c>
      <c r="AB1048" s="36">
        <f t="shared" si="347"/>
        <v>1.6923868312757214E-2</v>
      </c>
      <c r="AC1048" s="36">
        <f t="shared" si="347"/>
        <v>1.1651234567901217E-2</v>
      </c>
      <c r="AD1048" s="36">
        <f t="shared" si="347"/>
        <v>2.8575102880658433E-2</v>
      </c>
      <c r="AE1048" s="36" t="str">
        <f t="shared" si="347"/>
        <v>B737-800</v>
      </c>
      <c r="AF1048" s="36">
        <f t="shared" si="347"/>
        <v>189</v>
      </c>
      <c r="AG1048" s="36" t="str">
        <f t="shared" si="347"/>
        <v>PTY</v>
      </c>
      <c r="AI1048">
        <v>1034</v>
      </c>
      <c r="AJ1048" s="77" t="str">
        <f t="shared" si="353"/>
        <v>INTERAVIÓN</v>
      </c>
      <c r="AK1048" s="77">
        <f t="shared" si="353"/>
        <v>2218</v>
      </c>
      <c r="AL1048" s="186">
        <v>0.98749999999999993</v>
      </c>
      <c r="AM1048" s="79">
        <v>0.99861111111111101</v>
      </c>
      <c r="AN1048" s="80">
        <v>1.1111111111111072E-2</v>
      </c>
      <c r="AO1048" s="79">
        <v>1.0041666666666667</v>
      </c>
      <c r="AP1048" s="80">
        <v>5.5555555555556468E-3</v>
      </c>
      <c r="AQ1048" s="81">
        <v>41798</v>
      </c>
      <c r="AR1048" s="77" t="str">
        <f t="shared" si="356"/>
        <v>Nacional</v>
      </c>
      <c r="AS1048" s="77">
        <f t="shared" si="356"/>
        <v>8.5763888888888626E-3</v>
      </c>
      <c r="AT1048" s="77">
        <f t="shared" si="356"/>
        <v>7.4305555555555973E-3</v>
      </c>
      <c r="AU1048" s="77">
        <f t="shared" si="356"/>
        <v>1.6006944444444459E-2</v>
      </c>
      <c r="AV1048" s="77">
        <f t="shared" si="356"/>
        <v>320</v>
      </c>
      <c r="AW1048" s="77">
        <f t="shared" si="356"/>
        <v>179</v>
      </c>
      <c r="AX1048" s="77" t="str">
        <f t="shared" si="356"/>
        <v>MEX</v>
      </c>
    </row>
    <row r="1049" spans="1:50" ht="15.75" thickBot="1" x14ac:dyDescent="0.3">
      <c r="A1049">
        <v>1035</v>
      </c>
      <c r="B1049" s="36" t="str">
        <f t="shared" si="349"/>
        <v>BARATA Y MORADA</v>
      </c>
      <c r="C1049" s="36">
        <f t="shared" si="349"/>
        <v>747</v>
      </c>
      <c r="D1049" s="176">
        <v>0.7416666666666667</v>
      </c>
      <c r="E1049" s="176">
        <v>0.75138888888888899</v>
      </c>
      <c r="F1049" s="177">
        <v>9.7222222222222987E-3</v>
      </c>
      <c r="G1049" s="176">
        <v>0.76041666666666663</v>
      </c>
      <c r="H1049" s="177">
        <v>9.0277777777776347E-3</v>
      </c>
      <c r="I1049" s="97">
        <v>41727</v>
      </c>
      <c r="J1049" s="36" t="str">
        <f t="shared" si="357"/>
        <v>Nacional</v>
      </c>
      <c r="K1049" s="36">
        <f t="shared" si="357"/>
        <v>6.3888888888888884E-3</v>
      </c>
      <c r="L1049" s="36">
        <f t="shared" si="357"/>
        <v>8.4722222222221918E-3</v>
      </c>
      <c r="M1049" s="36">
        <f t="shared" si="357"/>
        <v>1.486111111111108E-2</v>
      </c>
      <c r="N1049" s="36" t="str">
        <f t="shared" si="357"/>
        <v>A319</v>
      </c>
      <c r="O1049" s="36">
        <f t="shared" si="357"/>
        <v>142</v>
      </c>
      <c r="P1049" s="36" t="str">
        <f t="shared" si="357"/>
        <v>SJD</v>
      </c>
      <c r="R1049">
        <v>1035</v>
      </c>
      <c r="S1049" s="36" t="str">
        <f t="shared" si="346"/>
        <v>COPA AIRLINES</v>
      </c>
      <c r="T1049" s="36">
        <f t="shared" si="346"/>
        <v>722</v>
      </c>
      <c r="U1049" s="73">
        <v>0.99652777777777779</v>
      </c>
      <c r="V1049" s="74">
        <v>1.0166666666666666</v>
      </c>
      <c r="W1049" s="75">
        <v>2.0138888888888817E-2</v>
      </c>
      <c r="X1049" s="74">
        <v>1.0222222222222224</v>
      </c>
      <c r="Y1049" s="75">
        <v>5.5555555555557579E-3</v>
      </c>
      <c r="Z1049" s="76">
        <v>41752</v>
      </c>
      <c r="AA1049" s="36" t="str">
        <f t="shared" si="347"/>
        <v>Internacional</v>
      </c>
      <c r="AB1049" s="36">
        <f t="shared" si="347"/>
        <v>1.6923868312757214E-2</v>
      </c>
      <c r="AC1049" s="36">
        <f t="shared" si="347"/>
        <v>1.1651234567901217E-2</v>
      </c>
      <c r="AD1049" s="36">
        <f t="shared" si="347"/>
        <v>2.8575102880658433E-2</v>
      </c>
      <c r="AE1049" s="36" t="str">
        <f t="shared" si="347"/>
        <v>B737-800</v>
      </c>
      <c r="AF1049" s="36">
        <f t="shared" si="347"/>
        <v>189</v>
      </c>
      <c r="AG1049" s="36" t="str">
        <f t="shared" si="347"/>
        <v>PTY</v>
      </c>
      <c r="AI1049">
        <v>1035</v>
      </c>
      <c r="AJ1049" s="77" t="str">
        <f t="shared" si="353"/>
        <v>INTERAVIÓN</v>
      </c>
      <c r="AK1049" s="77">
        <f t="shared" si="353"/>
        <v>2218</v>
      </c>
      <c r="AL1049" s="186">
        <v>0.90486111111111101</v>
      </c>
      <c r="AM1049" s="79">
        <v>0.90833333333333333</v>
      </c>
      <c r="AN1049" s="80">
        <v>3.4722222222223209E-3</v>
      </c>
      <c r="AO1049" s="79">
        <v>0.91319444444444453</v>
      </c>
      <c r="AP1049" s="80">
        <v>4.8611111111112049E-3</v>
      </c>
      <c r="AQ1049" s="81">
        <v>41799</v>
      </c>
      <c r="AR1049" s="77" t="str">
        <f t="shared" si="356"/>
        <v>Nacional</v>
      </c>
      <c r="AS1049" s="77">
        <f t="shared" si="356"/>
        <v>8.5763888888888626E-3</v>
      </c>
      <c r="AT1049" s="77">
        <f t="shared" si="356"/>
        <v>7.4305555555555973E-3</v>
      </c>
      <c r="AU1049" s="77">
        <f t="shared" si="356"/>
        <v>1.6006944444444459E-2</v>
      </c>
      <c r="AV1049" s="77">
        <f t="shared" si="356"/>
        <v>320</v>
      </c>
      <c r="AW1049" s="77">
        <f t="shared" si="356"/>
        <v>179</v>
      </c>
      <c r="AX1049" s="77" t="str">
        <f t="shared" si="356"/>
        <v>MEX</v>
      </c>
    </row>
    <row r="1050" spans="1:50" ht="15.75" thickBot="1" x14ac:dyDescent="0.3">
      <c r="A1050">
        <v>1036</v>
      </c>
      <c r="B1050" s="36" t="str">
        <f t="shared" si="349"/>
        <v>BARATA Y MORADA</v>
      </c>
      <c r="C1050" s="151">
        <v>744</v>
      </c>
      <c r="D1050" s="152">
        <v>0.79513888888888884</v>
      </c>
      <c r="E1050" s="152">
        <v>0.80555555555555547</v>
      </c>
      <c r="F1050" s="153">
        <v>1.041666666666663E-2</v>
      </c>
      <c r="G1050" s="152">
        <v>0.81388888888888899</v>
      </c>
      <c r="H1050" s="153">
        <v>8.3333333333335258E-3</v>
      </c>
      <c r="I1050" s="67">
        <v>41716</v>
      </c>
      <c r="J1050" s="174" t="s">
        <v>19</v>
      </c>
      <c r="K1050" s="135">
        <v>7.9861111111110827E-3</v>
      </c>
      <c r="L1050" s="135">
        <v>1.9791666666666763E-2</v>
      </c>
      <c r="M1050" s="175">
        <v>2.7777777777777846E-2</v>
      </c>
      <c r="N1050" s="90" t="s">
        <v>57</v>
      </c>
      <c r="O1050" s="91">
        <v>142</v>
      </c>
      <c r="P1050" s="92" t="s">
        <v>21</v>
      </c>
      <c r="R1050">
        <v>1036</v>
      </c>
      <c r="S1050" s="36" t="str">
        <f t="shared" si="346"/>
        <v>COPA AIRLINES</v>
      </c>
      <c r="T1050" s="36">
        <f t="shared" si="346"/>
        <v>722</v>
      </c>
      <c r="U1050" s="83">
        <v>0.99930555555555556</v>
      </c>
      <c r="V1050" s="84">
        <v>1.0298611111111111</v>
      </c>
      <c r="W1050" s="85">
        <v>3.0555555555555558E-2</v>
      </c>
      <c r="X1050" s="84">
        <v>1.0409722222222222</v>
      </c>
      <c r="Y1050" s="85">
        <v>1.1111111111111072E-2</v>
      </c>
      <c r="Z1050" s="86">
        <v>41752</v>
      </c>
      <c r="AA1050" s="36" t="str">
        <f t="shared" si="347"/>
        <v>Internacional</v>
      </c>
      <c r="AB1050" s="36">
        <f t="shared" si="347"/>
        <v>1.6923868312757214E-2</v>
      </c>
      <c r="AC1050" s="36">
        <f t="shared" si="347"/>
        <v>1.1651234567901217E-2</v>
      </c>
      <c r="AD1050" s="36">
        <f t="shared" si="347"/>
        <v>2.8575102880658433E-2</v>
      </c>
      <c r="AE1050" s="36" t="str">
        <f t="shared" si="347"/>
        <v>B737-800</v>
      </c>
      <c r="AF1050" s="36">
        <f t="shared" si="347"/>
        <v>189</v>
      </c>
      <c r="AG1050" s="36" t="str">
        <f t="shared" si="347"/>
        <v>PTY</v>
      </c>
      <c r="AI1050">
        <v>1036</v>
      </c>
      <c r="AJ1050" s="77" t="str">
        <f t="shared" si="353"/>
        <v>INTERAVIÓN</v>
      </c>
      <c r="AK1050" s="77">
        <f t="shared" si="353"/>
        <v>2218</v>
      </c>
      <c r="AL1050" s="186">
        <v>0.5756944444444444</v>
      </c>
      <c r="AM1050" s="79">
        <v>0.58263888888888882</v>
      </c>
      <c r="AN1050" s="80">
        <v>6.9444444444444198E-3</v>
      </c>
      <c r="AO1050" s="79">
        <v>0.59305555555555556</v>
      </c>
      <c r="AP1050" s="80">
        <v>1.0416666666666741E-2</v>
      </c>
      <c r="AQ1050" s="81">
        <v>41800</v>
      </c>
      <c r="AR1050" s="77" t="str">
        <f t="shared" si="356"/>
        <v>Nacional</v>
      </c>
      <c r="AS1050" s="77">
        <f t="shared" si="356"/>
        <v>8.5763888888888626E-3</v>
      </c>
      <c r="AT1050" s="77">
        <f t="shared" si="356"/>
        <v>7.4305555555555973E-3</v>
      </c>
      <c r="AU1050" s="77">
        <f t="shared" si="356"/>
        <v>1.6006944444444459E-2</v>
      </c>
      <c r="AV1050" s="77">
        <f t="shared" si="356"/>
        <v>320</v>
      </c>
      <c r="AW1050" s="77">
        <f t="shared" si="356"/>
        <v>179</v>
      </c>
      <c r="AX1050" s="77" t="str">
        <f t="shared" si="356"/>
        <v>MEX</v>
      </c>
    </row>
    <row r="1051" spans="1:50" ht="15.75" thickBot="1" x14ac:dyDescent="0.3">
      <c r="A1051">
        <v>1037</v>
      </c>
      <c r="B1051" s="36" t="str">
        <f t="shared" si="349"/>
        <v>BARATA Y MORADA</v>
      </c>
      <c r="C1051" s="36">
        <f>C1050</f>
        <v>744</v>
      </c>
      <c r="D1051" s="176">
        <v>0.79652777777777783</v>
      </c>
      <c r="E1051" s="176">
        <v>0.80208333333333337</v>
      </c>
      <c r="F1051" s="177">
        <v>5.5555555555555358E-3</v>
      </c>
      <c r="G1051" s="176">
        <v>0.83333333333333337</v>
      </c>
      <c r="H1051" s="177">
        <v>3.125E-2</v>
      </c>
      <c r="I1051" s="97">
        <v>41720</v>
      </c>
      <c r="J1051" s="36" t="str">
        <f t="shared" ref="J1051:P1051" si="358">J1050</f>
        <v>Nacional</v>
      </c>
      <c r="K1051" s="36">
        <f t="shared" si="358"/>
        <v>7.9861111111110827E-3</v>
      </c>
      <c r="L1051" s="36">
        <f t="shared" si="358"/>
        <v>1.9791666666666763E-2</v>
      </c>
      <c r="M1051" s="36">
        <f t="shared" si="358"/>
        <v>2.7777777777777846E-2</v>
      </c>
      <c r="N1051" s="36" t="str">
        <f t="shared" si="358"/>
        <v>A319</v>
      </c>
      <c r="O1051" s="36">
        <f t="shared" si="358"/>
        <v>142</v>
      </c>
      <c r="P1051" s="36" t="str">
        <f t="shared" si="358"/>
        <v>MEX</v>
      </c>
      <c r="R1051">
        <v>1037</v>
      </c>
      <c r="S1051" s="45" t="s">
        <v>83</v>
      </c>
      <c r="T1051" s="55">
        <v>4559</v>
      </c>
      <c r="U1051" s="56">
        <v>0.57500000000000007</v>
      </c>
      <c r="V1051" s="57">
        <v>0.58680555555555558</v>
      </c>
      <c r="W1051" s="58">
        <v>1.1805555555555514E-2</v>
      </c>
      <c r="X1051" s="57">
        <v>0.59861111111111109</v>
      </c>
      <c r="Y1051" s="58">
        <v>1.1805555555555514E-2</v>
      </c>
      <c r="Z1051" s="59">
        <v>41734</v>
      </c>
      <c r="AA1051" s="60" t="s">
        <v>22</v>
      </c>
      <c r="AB1051" s="61">
        <v>8.3333333333333592E-3</v>
      </c>
      <c r="AC1051" s="61">
        <v>1.2673611111111066E-2</v>
      </c>
      <c r="AD1051" s="62">
        <v>2.1006944444444425E-2</v>
      </c>
      <c r="AE1051" s="167" t="s">
        <v>62</v>
      </c>
      <c r="AF1051" s="167">
        <v>78</v>
      </c>
      <c r="AG1051" s="168" t="s">
        <v>63</v>
      </c>
      <c r="AI1051">
        <v>1037</v>
      </c>
      <c r="AJ1051" s="77" t="str">
        <f t="shared" si="353"/>
        <v>INTERAVIÓN</v>
      </c>
      <c r="AK1051" s="77">
        <f t="shared" si="353"/>
        <v>2218</v>
      </c>
      <c r="AL1051" s="186">
        <v>0.52083333333333337</v>
      </c>
      <c r="AM1051" s="79">
        <v>0.52638888888888891</v>
      </c>
      <c r="AN1051" s="80">
        <v>5.5555555555555358E-3</v>
      </c>
      <c r="AO1051" s="79">
        <v>0.53541666666666665</v>
      </c>
      <c r="AP1051" s="80">
        <v>9.0277777777777457E-3</v>
      </c>
      <c r="AQ1051" s="81">
        <v>41801</v>
      </c>
      <c r="AR1051" s="77" t="str">
        <f t="shared" si="356"/>
        <v>Nacional</v>
      </c>
      <c r="AS1051" s="77">
        <f t="shared" si="356"/>
        <v>8.5763888888888626E-3</v>
      </c>
      <c r="AT1051" s="77">
        <f t="shared" si="356"/>
        <v>7.4305555555555973E-3</v>
      </c>
      <c r="AU1051" s="77">
        <f t="shared" si="356"/>
        <v>1.6006944444444459E-2</v>
      </c>
      <c r="AV1051" s="77">
        <f t="shared" si="356"/>
        <v>320</v>
      </c>
      <c r="AW1051" s="77">
        <f t="shared" si="356"/>
        <v>179</v>
      </c>
      <c r="AX1051" s="77" t="str">
        <f t="shared" si="356"/>
        <v>MEX</v>
      </c>
    </row>
    <row r="1052" spans="1:50" x14ac:dyDescent="0.25">
      <c r="A1052">
        <v>1038</v>
      </c>
      <c r="B1052" s="36" t="str">
        <f t="shared" si="349"/>
        <v>BARATA Y MORADA</v>
      </c>
      <c r="C1052" s="151">
        <v>742</v>
      </c>
      <c r="D1052" s="152">
        <v>0.90625</v>
      </c>
      <c r="E1052" s="152">
        <v>0.91666666666666663</v>
      </c>
      <c r="F1052" s="153">
        <v>1.041666666666663E-2</v>
      </c>
      <c r="G1052" s="152">
        <v>0.92152777777777783</v>
      </c>
      <c r="H1052" s="153">
        <v>4.8611111111112049E-3</v>
      </c>
      <c r="I1052" s="67">
        <v>41715</v>
      </c>
      <c r="J1052" s="174" t="s">
        <v>19</v>
      </c>
      <c r="K1052" s="135">
        <v>8.5317460317459858E-3</v>
      </c>
      <c r="L1052" s="135">
        <v>6.150793650793661E-3</v>
      </c>
      <c r="M1052" s="175">
        <v>1.4682539682539648E-2</v>
      </c>
      <c r="N1052" s="90">
        <v>320</v>
      </c>
      <c r="O1052" s="91">
        <v>179</v>
      </c>
      <c r="P1052" s="92" t="s">
        <v>21</v>
      </c>
      <c r="R1052">
        <v>1038</v>
      </c>
      <c r="S1052" s="36" t="str">
        <f t="shared" ref="S1052:T1078" si="359">S1051</f>
        <v>AVIONES ROJOS AIRLINES</v>
      </c>
      <c r="T1052" s="36">
        <f t="shared" si="359"/>
        <v>4559</v>
      </c>
      <c r="U1052" s="73">
        <v>0.60347222222222219</v>
      </c>
      <c r="V1052" s="74">
        <v>0.61041666666666672</v>
      </c>
      <c r="W1052" s="75">
        <v>6.9444444444445308E-3</v>
      </c>
      <c r="X1052" s="74">
        <v>0.62291666666666667</v>
      </c>
      <c r="Y1052" s="75">
        <v>1.2499999999999956E-2</v>
      </c>
      <c r="Z1052" s="76">
        <v>41741</v>
      </c>
      <c r="AA1052" s="36" t="str">
        <f t="shared" ref="AA1052:AG1054" si="360">AA1051</f>
        <v>Internacional</v>
      </c>
      <c r="AB1052" s="36">
        <f t="shared" si="360"/>
        <v>8.3333333333333592E-3</v>
      </c>
      <c r="AC1052" s="36">
        <f t="shared" si="360"/>
        <v>1.2673611111111066E-2</v>
      </c>
      <c r="AD1052" s="36">
        <f t="shared" si="360"/>
        <v>2.1006944444444425E-2</v>
      </c>
      <c r="AE1052" s="36" t="str">
        <f t="shared" si="360"/>
        <v>CR9</v>
      </c>
      <c r="AF1052" s="36">
        <f t="shared" si="360"/>
        <v>78</v>
      </c>
      <c r="AG1052" s="36" t="str">
        <f t="shared" si="360"/>
        <v>SLC</v>
      </c>
      <c r="AI1052">
        <v>1038</v>
      </c>
      <c r="AJ1052" s="77" t="str">
        <f t="shared" si="353"/>
        <v>INTERAVIÓN</v>
      </c>
      <c r="AK1052" s="77">
        <f t="shared" si="353"/>
        <v>2218</v>
      </c>
      <c r="AL1052" s="186">
        <v>0.56597222222222221</v>
      </c>
      <c r="AM1052" s="79">
        <v>0.57430555555555551</v>
      </c>
      <c r="AN1052" s="80">
        <v>8.3333333333333037E-3</v>
      </c>
      <c r="AO1052" s="79">
        <v>0.58472222222222225</v>
      </c>
      <c r="AP1052" s="80">
        <v>1.0416666666666741E-2</v>
      </c>
      <c r="AQ1052" s="81">
        <v>41802</v>
      </c>
      <c r="AR1052" s="77" t="str">
        <f t="shared" si="356"/>
        <v>Nacional</v>
      </c>
      <c r="AS1052" s="77">
        <f t="shared" si="356"/>
        <v>8.5763888888888626E-3</v>
      </c>
      <c r="AT1052" s="77">
        <f t="shared" si="356"/>
        <v>7.4305555555555973E-3</v>
      </c>
      <c r="AU1052" s="77">
        <f t="shared" si="356"/>
        <v>1.6006944444444459E-2</v>
      </c>
      <c r="AV1052" s="77">
        <f t="shared" si="356"/>
        <v>320</v>
      </c>
      <c r="AW1052" s="77">
        <f t="shared" si="356"/>
        <v>179</v>
      </c>
      <c r="AX1052" s="77" t="str">
        <f t="shared" si="356"/>
        <v>MEX</v>
      </c>
    </row>
    <row r="1053" spans="1:50" x14ac:dyDescent="0.25">
      <c r="A1053">
        <v>1039</v>
      </c>
      <c r="B1053" s="36" t="str">
        <f t="shared" si="349"/>
        <v>BARATA Y MORADA</v>
      </c>
      <c r="C1053" s="36">
        <f t="shared" si="349"/>
        <v>742</v>
      </c>
      <c r="D1053" s="118">
        <v>0.89027777777777783</v>
      </c>
      <c r="E1053" s="118">
        <v>0.90208333333333324</v>
      </c>
      <c r="F1053" s="119">
        <v>1.1805555555555403E-2</v>
      </c>
      <c r="G1053" s="118">
        <v>0.90277777777777779</v>
      </c>
      <c r="H1053" s="119">
        <v>6.94444444444553E-4</v>
      </c>
      <c r="I1053" s="81">
        <v>41716</v>
      </c>
      <c r="J1053" s="36" t="str">
        <f t="shared" ref="J1053:P1058" si="361">J1052</f>
        <v>Nacional</v>
      </c>
      <c r="K1053" s="36">
        <f t="shared" si="361"/>
        <v>8.5317460317459858E-3</v>
      </c>
      <c r="L1053" s="36">
        <f t="shared" si="361"/>
        <v>6.150793650793661E-3</v>
      </c>
      <c r="M1053" s="36">
        <f t="shared" si="361"/>
        <v>1.4682539682539648E-2</v>
      </c>
      <c r="N1053" s="36">
        <f t="shared" si="361"/>
        <v>320</v>
      </c>
      <c r="O1053" s="36">
        <f t="shared" si="361"/>
        <v>179</v>
      </c>
      <c r="P1053" s="36" t="str">
        <f t="shared" si="361"/>
        <v>MEX</v>
      </c>
      <c r="R1053">
        <v>1039</v>
      </c>
      <c r="S1053" s="36" t="str">
        <f t="shared" si="359"/>
        <v>AVIONES ROJOS AIRLINES</v>
      </c>
      <c r="T1053" s="36">
        <f t="shared" si="359"/>
        <v>4559</v>
      </c>
      <c r="U1053" s="73">
        <v>0.61111111111111105</v>
      </c>
      <c r="V1053" s="74">
        <v>0.61805555555555558</v>
      </c>
      <c r="W1053" s="75">
        <v>6.9444444444445308E-3</v>
      </c>
      <c r="X1053" s="74">
        <v>0.63263888888888886</v>
      </c>
      <c r="Y1053" s="75">
        <v>1.4583333333333282E-2</v>
      </c>
      <c r="Z1053" s="76">
        <v>41748</v>
      </c>
      <c r="AA1053" s="36" t="str">
        <f t="shared" si="360"/>
        <v>Internacional</v>
      </c>
      <c r="AB1053" s="36">
        <f t="shared" si="360"/>
        <v>8.3333333333333592E-3</v>
      </c>
      <c r="AC1053" s="36">
        <f t="shared" si="360"/>
        <v>1.2673611111111066E-2</v>
      </c>
      <c r="AD1053" s="36">
        <f t="shared" si="360"/>
        <v>2.1006944444444425E-2</v>
      </c>
      <c r="AE1053" s="36" t="str">
        <f t="shared" si="360"/>
        <v>CR9</v>
      </c>
      <c r="AF1053" s="36">
        <f t="shared" si="360"/>
        <v>78</v>
      </c>
      <c r="AG1053" s="36" t="str">
        <f t="shared" si="360"/>
        <v>SLC</v>
      </c>
      <c r="AI1053">
        <v>1039</v>
      </c>
      <c r="AJ1053" s="77" t="str">
        <f t="shared" si="353"/>
        <v>INTERAVIÓN</v>
      </c>
      <c r="AK1053" s="77">
        <f t="shared" si="353"/>
        <v>2218</v>
      </c>
      <c r="AL1053" s="186">
        <v>0.44444444444444442</v>
      </c>
      <c r="AM1053" s="79">
        <v>0.45</v>
      </c>
      <c r="AN1053" s="80">
        <v>5.5555555555555913E-3</v>
      </c>
      <c r="AO1053" s="79">
        <v>0.45208333333333334</v>
      </c>
      <c r="AP1053" s="80">
        <v>2.0833333333333259E-3</v>
      </c>
      <c r="AQ1053" s="81">
        <v>41803</v>
      </c>
      <c r="AR1053" s="77" t="str">
        <f t="shared" si="356"/>
        <v>Nacional</v>
      </c>
      <c r="AS1053" s="77">
        <f t="shared" si="356"/>
        <v>8.5763888888888626E-3</v>
      </c>
      <c r="AT1053" s="77">
        <f t="shared" si="356"/>
        <v>7.4305555555555973E-3</v>
      </c>
      <c r="AU1053" s="77">
        <f t="shared" si="356"/>
        <v>1.6006944444444459E-2</v>
      </c>
      <c r="AV1053" s="77">
        <f t="shared" si="356"/>
        <v>320</v>
      </c>
      <c r="AW1053" s="77">
        <f t="shared" si="356"/>
        <v>179</v>
      </c>
      <c r="AX1053" s="77" t="str">
        <f t="shared" si="356"/>
        <v>MEX</v>
      </c>
    </row>
    <row r="1054" spans="1:50" ht="15.75" thickBot="1" x14ac:dyDescent="0.3">
      <c r="A1054">
        <v>1040</v>
      </c>
      <c r="B1054" s="36" t="str">
        <f t="shared" si="349"/>
        <v>BARATA Y MORADA</v>
      </c>
      <c r="C1054" s="36">
        <f t="shared" si="349"/>
        <v>742</v>
      </c>
      <c r="D1054" s="118">
        <v>0.9159722222222223</v>
      </c>
      <c r="E1054" s="118">
        <v>0.92361111111111116</v>
      </c>
      <c r="F1054" s="119">
        <v>7.6388888888888618E-3</v>
      </c>
      <c r="G1054" s="118">
        <v>0.93055555555555547</v>
      </c>
      <c r="H1054" s="119">
        <v>6.9444444444443088E-3</v>
      </c>
      <c r="I1054" s="81">
        <v>41719</v>
      </c>
      <c r="J1054" s="36" t="str">
        <f t="shared" si="361"/>
        <v>Nacional</v>
      </c>
      <c r="K1054" s="36">
        <f t="shared" si="361"/>
        <v>8.5317460317459858E-3</v>
      </c>
      <c r="L1054" s="36">
        <f t="shared" si="361"/>
        <v>6.150793650793661E-3</v>
      </c>
      <c r="M1054" s="36">
        <f t="shared" si="361"/>
        <v>1.4682539682539648E-2</v>
      </c>
      <c r="N1054" s="36">
        <f t="shared" si="361"/>
        <v>320</v>
      </c>
      <c r="O1054" s="36">
        <f t="shared" si="361"/>
        <v>179</v>
      </c>
      <c r="P1054" s="36" t="str">
        <f t="shared" si="361"/>
        <v>MEX</v>
      </c>
      <c r="R1054">
        <v>1040</v>
      </c>
      <c r="S1054" s="36" t="str">
        <f t="shared" si="359"/>
        <v>AVIONES ROJOS AIRLINES</v>
      </c>
      <c r="T1054" s="36">
        <f t="shared" si="359"/>
        <v>4559</v>
      </c>
      <c r="U1054" s="83">
        <v>0.60763888888888895</v>
      </c>
      <c r="V1054" s="84">
        <v>0.61527777777777781</v>
      </c>
      <c r="W1054" s="85">
        <v>7.6388888888888618E-3</v>
      </c>
      <c r="X1054" s="84">
        <v>0.62708333333333333</v>
      </c>
      <c r="Y1054" s="85">
        <v>1.1805555555555514E-2</v>
      </c>
      <c r="Z1054" s="86">
        <v>41754</v>
      </c>
      <c r="AA1054" s="36" t="str">
        <f t="shared" si="360"/>
        <v>Internacional</v>
      </c>
      <c r="AB1054" s="36">
        <f t="shared" si="360"/>
        <v>8.3333333333333592E-3</v>
      </c>
      <c r="AC1054" s="36">
        <f t="shared" si="360"/>
        <v>1.2673611111111066E-2</v>
      </c>
      <c r="AD1054" s="36">
        <f t="shared" si="360"/>
        <v>2.1006944444444425E-2</v>
      </c>
      <c r="AE1054" s="36" t="str">
        <f t="shared" si="360"/>
        <v>CR9</v>
      </c>
      <c r="AF1054" s="36">
        <f t="shared" si="360"/>
        <v>78</v>
      </c>
      <c r="AG1054" s="36" t="str">
        <f t="shared" si="360"/>
        <v>SLC</v>
      </c>
      <c r="AI1054">
        <v>1040</v>
      </c>
      <c r="AJ1054" s="77" t="str">
        <f t="shared" si="353"/>
        <v>INTERAVIÓN</v>
      </c>
      <c r="AK1054" s="77">
        <f t="shared" si="353"/>
        <v>2218</v>
      </c>
      <c r="AL1054" s="186">
        <v>0.78333333333333333</v>
      </c>
      <c r="AM1054" s="79">
        <v>0.79166666666666663</v>
      </c>
      <c r="AN1054" s="80">
        <v>8.3333333333333037E-3</v>
      </c>
      <c r="AO1054" s="79">
        <v>0.79652777777777783</v>
      </c>
      <c r="AP1054" s="80">
        <v>4.8611111111112049E-3</v>
      </c>
      <c r="AQ1054" s="81">
        <v>41805</v>
      </c>
      <c r="AR1054" s="77" t="str">
        <f t="shared" si="356"/>
        <v>Nacional</v>
      </c>
      <c r="AS1054" s="77">
        <f t="shared" si="356"/>
        <v>8.5763888888888626E-3</v>
      </c>
      <c r="AT1054" s="77">
        <f t="shared" si="356"/>
        <v>7.4305555555555973E-3</v>
      </c>
      <c r="AU1054" s="77">
        <f t="shared" si="356"/>
        <v>1.6006944444444459E-2</v>
      </c>
      <c r="AV1054" s="77">
        <f t="shared" si="356"/>
        <v>320</v>
      </c>
      <c r="AW1054" s="77">
        <f t="shared" si="356"/>
        <v>179</v>
      </c>
      <c r="AX1054" s="77" t="str">
        <f t="shared" si="356"/>
        <v>MEX</v>
      </c>
    </row>
    <row r="1055" spans="1:50" x14ac:dyDescent="0.25">
      <c r="A1055">
        <v>1041</v>
      </c>
      <c r="B1055" s="36" t="str">
        <f t="shared" si="349"/>
        <v>BARATA Y MORADA</v>
      </c>
      <c r="C1055" s="36">
        <f t="shared" si="349"/>
        <v>742</v>
      </c>
      <c r="D1055" s="118">
        <v>0.89583333333333337</v>
      </c>
      <c r="E1055" s="118">
        <v>0.90486111111111101</v>
      </c>
      <c r="F1055" s="119">
        <v>9.0277777777776347E-3</v>
      </c>
      <c r="G1055" s="118">
        <v>0.91527777777777775</v>
      </c>
      <c r="H1055" s="119">
        <v>1.0416666666666741E-2</v>
      </c>
      <c r="I1055" s="81">
        <v>41722</v>
      </c>
      <c r="J1055" s="36" t="str">
        <f t="shared" si="361"/>
        <v>Nacional</v>
      </c>
      <c r="K1055" s="36">
        <f t="shared" si="361"/>
        <v>8.5317460317459858E-3</v>
      </c>
      <c r="L1055" s="36">
        <f t="shared" si="361"/>
        <v>6.150793650793661E-3</v>
      </c>
      <c r="M1055" s="36">
        <f t="shared" si="361"/>
        <v>1.4682539682539648E-2</v>
      </c>
      <c r="N1055" s="36">
        <f t="shared" si="361"/>
        <v>320</v>
      </c>
      <c r="O1055" s="36">
        <f t="shared" si="361"/>
        <v>179</v>
      </c>
      <c r="P1055" s="36" t="str">
        <f t="shared" si="361"/>
        <v>MEX</v>
      </c>
      <c r="R1055">
        <v>1041</v>
      </c>
      <c r="S1055" s="36" t="str">
        <f t="shared" si="359"/>
        <v>AVIONES ROJOS AIRLINES</v>
      </c>
      <c r="T1055" s="55">
        <v>966</v>
      </c>
      <c r="U1055" s="56">
        <v>0.86249999999999993</v>
      </c>
      <c r="V1055" s="57">
        <v>0.86944444444444446</v>
      </c>
      <c r="W1055" s="58">
        <v>6.9444444444445308E-3</v>
      </c>
      <c r="X1055" s="57">
        <v>0.89583333333333337</v>
      </c>
      <c r="Y1055" s="58">
        <v>2.6388888888888906E-2</v>
      </c>
      <c r="Z1055" s="59">
        <v>41735</v>
      </c>
      <c r="AA1055" s="60" t="s">
        <v>22</v>
      </c>
      <c r="AB1055" s="61">
        <v>8.0808080808080981E-3</v>
      </c>
      <c r="AC1055" s="61">
        <v>1.6445707070707069E-2</v>
      </c>
      <c r="AD1055" s="62">
        <v>2.4526515151515167E-2</v>
      </c>
      <c r="AE1055" s="167">
        <v>320</v>
      </c>
      <c r="AF1055" s="167">
        <v>179</v>
      </c>
      <c r="AG1055" s="168" t="s">
        <v>64</v>
      </c>
      <c r="AI1055">
        <v>1041</v>
      </c>
      <c r="AJ1055" s="77" t="str">
        <f t="shared" si="353"/>
        <v>INTERAVIÓN</v>
      </c>
      <c r="AK1055" s="77">
        <f t="shared" si="353"/>
        <v>2218</v>
      </c>
      <c r="AL1055" s="186">
        <v>0.91249999999999998</v>
      </c>
      <c r="AM1055" s="79">
        <v>0.92222222222222217</v>
      </c>
      <c r="AN1055" s="80">
        <v>9.7222222222221877E-3</v>
      </c>
      <c r="AO1055" s="79">
        <v>0.93819444444444444</v>
      </c>
      <c r="AP1055" s="80">
        <v>1.5972222222222276E-2</v>
      </c>
      <c r="AQ1055" s="81">
        <v>41806</v>
      </c>
      <c r="AR1055" s="77" t="str">
        <f t="shared" si="356"/>
        <v>Nacional</v>
      </c>
      <c r="AS1055" s="77">
        <f t="shared" si="356"/>
        <v>8.5763888888888626E-3</v>
      </c>
      <c r="AT1055" s="77">
        <f t="shared" si="356"/>
        <v>7.4305555555555973E-3</v>
      </c>
      <c r="AU1055" s="77">
        <f t="shared" si="356"/>
        <v>1.6006944444444459E-2</v>
      </c>
      <c r="AV1055" s="77">
        <f t="shared" si="356"/>
        <v>320</v>
      </c>
      <c r="AW1055" s="77">
        <f t="shared" si="356"/>
        <v>179</v>
      </c>
      <c r="AX1055" s="77" t="str">
        <f t="shared" si="356"/>
        <v>MEX</v>
      </c>
    </row>
    <row r="1056" spans="1:50" x14ac:dyDescent="0.25">
      <c r="A1056">
        <v>1042</v>
      </c>
      <c r="B1056" s="36" t="str">
        <f t="shared" si="349"/>
        <v>BARATA Y MORADA</v>
      </c>
      <c r="C1056" s="36">
        <f t="shared" si="349"/>
        <v>742</v>
      </c>
      <c r="D1056" s="118">
        <v>0.8930555555555556</v>
      </c>
      <c r="E1056" s="118">
        <v>0.89722222222222225</v>
      </c>
      <c r="F1056" s="119">
        <v>4.1666666666666519E-3</v>
      </c>
      <c r="G1056" s="118">
        <v>0.90625</v>
      </c>
      <c r="H1056" s="119">
        <v>9.0277777777777457E-3</v>
      </c>
      <c r="I1056" s="81">
        <v>41723</v>
      </c>
      <c r="J1056" s="36" t="str">
        <f t="shared" si="361"/>
        <v>Nacional</v>
      </c>
      <c r="K1056" s="36">
        <f t="shared" si="361"/>
        <v>8.5317460317459858E-3</v>
      </c>
      <c r="L1056" s="36">
        <f t="shared" si="361"/>
        <v>6.150793650793661E-3</v>
      </c>
      <c r="M1056" s="36">
        <f t="shared" si="361"/>
        <v>1.4682539682539648E-2</v>
      </c>
      <c r="N1056" s="36">
        <f t="shared" si="361"/>
        <v>320</v>
      </c>
      <c r="O1056" s="36">
        <f t="shared" si="361"/>
        <v>179</v>
      </c>
      <c r="P1056" s="36" t="str">
        <f t="shared" si="361"/>
        <v>MEX</v>
      </c>
      <c r="R1056">
        <v>1042</v>
      </c>
      <c r="S1056" s="36" t="str">
        <f t="shared" si="359"/>
        <v>AVIONES ROJOS AIRLINES</v>
      </c>
      <c r="T1056" s="36">
        <f t="shared" si="359"/>
        <v>966</v>
      </c>
      <c r="U1056" s="73">
        <v>0.87569444444444444</v>
      </c>
      <c r="V1056" s="74">
        <v>0.88194444444444453</v>
      </c>
      <c r="W1056" s="75">
        <v>6.2500000000000888E-3</v>
      </c>
      <c r="X1056" s="74">
        <v>0.89583333333333337</v>
      </c>
      <c r="Y1056" s="75">
        <v>1.388888888888884E-2</v>
      </c>
      <c r="Z1056" s="76">
        <v>41736</v>
      </c>
      <c r="AA1056" s="36" t="str">
        <f t="shared" ref="AA1056:AG1076" si="362">AA1055</f>
        <v>Internacional</v>
      </c>
      <c r="AB1056" s="36">
        <f t="shared" si="362"/>
        <v>8.0808080808080981E-3</v>
      </c>
      <c r="AC1056" s="36">
        <f t="shared" si="362"/>
        <v>1.6445707070707069E-2</v>
      </c>
      <c r="AD1056" s="36">
        <f t="shared" si="362"/>
        <v>2.4526515151515167E-2</v>
      </c>
      <c r="AE1056" s="36">
        <f t="shared" si="362"/>
        <v>320</v>
      </c>
      <c r="AF1056" s="36">
        <f t="shared" si="362"/>
        <v>179</v>
      </c>
      <c r="AG1056" s="36" t="str">
        <f t="shared" si="362"/>
        <v>ATL</v>
      </c>
      <c r="AI1056">
        <v>1042</v>
      </c>
      <c r="AJ1056" s="77" t="str">
        <f t="shared" si="353"/>
        <v>INTERAVIÓN</v>
      </c>
      <c r="AK1056" s="77">
        <f t="shared" si="353"/>
        <v>2218</v>
      </c>
      <c r="AL1056" s="186">
        <v>0.68194444444444446</v>
      </c>
      <c r="AM1056" s="79">
        <v>0.69236111111111109</v>
      </c>
      <c r="AN1056" s="80">
        <v>1.041666666666663E-2</v>
      </c>
      <c r="AO1056" s="79">
        <v>0.69444444444444453</v>
      </c>
      <c r="AP1056" s="80">
        <v>2.083333333333437E-3</v>
      </c>
      <c r="AQ1056" s="81">
        <v>41807</v>
      </c>
      <c r="AR1056" s="77" t="str">
        <f t="shared" si="356"/>
        <v>Nacional</v>
      </c>
      <c r="AS1056" s="77">
        <f t="shared" si="356"/>
        <v>8.5763888888888626E-3</v>
      </c>
      <c r="AT1056" s="77">
        <f t="shared" si="356"/>
        <v>7.4305555555555973E-3</v>
      </c>
      <c r="AU1056" s="77">
        <f t="shared" si="356"/>
        <v>1.6006944444444459E-2</v>
      </c>
      <c r="AV1056" s="77">
        <f t="shared" si="356"/>
        <v>320</v>
      </c>
      <c r="AW1056" s="77">
        <f t="shared" si="356"/>
        <v>179</v>
      </c>
      <c r="AX1056" s="77" t="str">
        <f t="shared" si="356"/>
        <v>MEX</v>
      </c>
    </row>
    <row r="1057" spans="1:50" x14ac:dyDescent="0.25">
      <c r="A1057">
        <v>1043</v>
      </c>
      <c r="B1057" s="36" t="str">
        <f t="shared" si="349"/>
        <v>BARATA Y MORADA</v>
      </c>
      <c r="C1057" s="36">
        <f t="shared" si="349"/>
        <v>742</v>
      </c>
      <c r="D1057" s="118">
        <v>0.92222222222222217</v>
      </c>
      <c r="E1057" s="118">
        <v>0.92847222222222225</v>
      </c>
      <c r="F1057" s="119">
        <v>6.2500000000000888E-3</v>
      </c>
      <c r="G1057" s="118">
        <v>0.93263888888888891</v>
      </c>
      <c r="H1057" s="119">
        <v>4.1666666666666519E-3</v>
      </c>
      <c r="I1057" s="81">
        <v>41724</v>
      </c>
      <c r="J1057" s="36" t="str">
        <f t="shared" si="361"/>
        <v>Nacional</v>
      </c>
      <c r="K1057" s="36">
        <f t="shared" si="361"/>
        <v>8.5317460317459858E-3</v>
      </c>
      <c r="L1057" s="36">
        <f t="shared" si="361"/>
        <v>6.150793650793661E-3</v>
      </c>
      <c r="M1057" s="36">
        <f t="shared" si="361"/>
        <v>1.4682539682539648E-2</v>
      </c>
      <c r="N1057" s="36">
        <f t="shared" si="361"/>
        <v>320</v>
      </c>
      <c r="O1057" s="36">
        <f t="shared" si="361"/>
        <v>179</v>
      </c>
      <c r="P1057" s="36" t="str">
        <f t="shared" si="361"/>
        <v>MEX</v>
      </c>
      <c r="R1057">
        <v>1043</v>
      </c>
      <c r="S1057" s="36" t="str">
        <f t="shared" si="359"/>
        <v>AVIONES ROJOS AIRLINES</v>
      </c>
      <c r="T1057" s="36">
        <f t="shared" si="359"/>
        <v>966</v>
      </c>
      <c r="U1057" s="73">
        <v>0.8569444444444444</v>
      </c>
      <c r="V1057" s="74">
        <v>0.86388888888888893</v>
      </c>
      <c r="W1057" s="75">
        <v>6.9444444444445308E-3</v>
      </c>
      <c r="X1057" s="74">
        <v>0.89027777777777783</v>
      </c>
      <c r="Y1057" s="75">
        <v>2.6388888888888906E-2</v>
      </c>
      <c r="Z1057" s="76">
        <v>41737</v>
      </c>
      <c r="AA1057" s="36" t="str">
        <f t="shared" si="362"/>
        <v>Internacional</v>
      </c>
      <c r="AB1057" s="36">
        <f t="shared" si="362"/>
        <v>8.0808080808080981E-3</v>
      </c>
      <c r="AC1057" s="36">
        <f t="shared" si="362"/>
        <v>1.6445707070707069E-2</v>
      </c>
      <c r="AD1057" s="36">
        <f t="shared" si="362"/>
        <v>2.4526515151515167E-2</v>
      </c>
      <c r="AE1057" s="36">
        <f t="shared" si="362"/>
        <v>320</v>
      </c>
      <c r="AF1057" s="36">
        <f t="shared" si="362"/>
        <v>179</v>
      </c>
      <c r="AG1057" s="36" t="str">
        <f t="shared" si="362"/>
        <v>ATL</v>
      </c>
      <c r="AI1057">
        <v>1043</v>
      </c>
      <c r="AJ1057" s="77" t="str">
        <f t="shared" si="353"/>
        <v>INTERAVIÓN</v>
      </c>
      <c r="AK1057" s="77">
        <f t="shared" si="353"/>
        <v>2218</v>
      </c>
      <c r="AL1057" s="186">
        <v>0.90902777777777777</v>
      </c>
      <c r="AM1057" s="79">
        <v>0.9159722222222223</v>
      </c>
      <c r="AN1057" s="80">
        <v>6.9444444444445308E-3</v>
      </c>
      <c r="AO1057" s="79">
        <v>0.92361111111111116</v>
      </c>
      <c r="AP1057" s="80">
        <v>7.6388888888888618E-3</v>
      </c>
      <c r="AQ1057" s="81">
        <v>41808</v>
      </c>
      <c r="AR1057" s="77" t="str">
        <f t="shared" si="356"/>
        <v>Nacional</v>
      </c>
      <c r="AS1057" s="77">
        <f t="shared" si="356"/>
        <v>8.5763888888888626E-3</v>
      </c>
      <c r="AT1057" s="77">
        <f t="shared" si="356"/>
        <v>7.4305555555555973E-3</v>
      </c>
      <c r="AU1057" s="77">
        <f t="shared" si="356"/>
        <v>1.6006944444444459E-2</v>
      </c>
      <c r="AV1057" s="77">
        <f t="shared" si="356"/>
        <v>320</v>
      </c>
      <c r="AW1057" s="77">
        <f t="shared" si="356"/>
        <v>179</v>
      </c>
      <c r="AX1057" s="77" t="str">
        <f t="shared" si="356"/>
        <v>MEX</v>
      </c>
    </row>
    <row r="1058" spans="1:50" ht="15.75" thickBot="1" x14ac:dyDescent="0.3">
      <c r="A1058">
        <v>1044</v>
      </c>
      <c r="B1058" s="36" t="str">
        <f t="shared" si="349"/>
        <v>BARATA Y MORADA</v>
      </c>
      <c r="C1058" s="36">
        <f t="shared" si="349"/>
        <v>742</v>
      </c>
      <c r="D1058" s="176">
        <v>0.95486111111111116</v>
      </c>
      <c r="E1058" s="176">
        <v>0.96527777777777779</v>
      </c>
      <c r="F1058" s="177">
        <v>1.041666666666663E-2</v>
      </c>
      <c r="G1058" s="176">
        <v>0.97222222222222221</v>
      </c>
      <c r="H1058" s="177">
        <v>6.9444444444444198E-3</v>
      </c>
      <c r="I1058" s="97">
        <v>41725</v>
      </c>
      <c r="J1058" s="36" t="str">
        <f t="shared" si="361"/>
        <v>Nacional</v>
      </c>
      <c r="K1058" s="36">
        <f t="shared" si="361"/>
        <v>8.5317460317459858E-3</v>
      </c>
      <c r="L1058" s="36">
        <f t="shared" si="361"/>
        <v>6.150793650793661E-3</v>
      </c>
      <c r="M1058" s="36">
        <f t="shared" si="361"/>
        <v>1.4682539682539648E-2</v>
      </c>
      <c r="N1058" s="36">
        <f t="shared" si="361"/>
        <v>320</v>
      </c>
      <c r="O1058" s="36">
        <f t="shared" si="361"/>
        <v>179</v>
      </c>
      <c r="P1058" s="36" t="str">
        <f t="shared" si="361"/>
        <v>MEX</v>
      </c>
      <c r="R1058">
        <v>1044</v>
      </c>
      <c r="S1058" s="36" t="str">
        <f t="shared" si="359"/>
        <v>AVIONES ROJOS AIRLINES</v>
      </c>
      <c r="T1058" s="36">
        <f t="shared" si="359"/>
        <v>966</v>
      </c>
      <c r="U1058" s="73">
        <v>0.85763888888888884</v>
      </c>
      <c r="V1058" s="74">
        <v>0.8666666666666667</v>
      </c>
      <c r="W1058" s="75">
        <v>9.0277777777778567E-3</v>
      </c>
      <c r="X1058" s="74">
        <v>0.87847222222222221</v>
      </c>
      <c r="Y1058" s="75">
        <v>1.1805555555555514E-2</v>
      </c>
      <c r="Z1058" s="76">
        <v>41738</v>
      </c>
      <c r="AA1058" s="36" t="str">
        <f t="shared" si="362"/>
        <v>Internacional</v>
      </c>
      <c r="AB1058" s="36">
        <f t="shared" si="362"/>
        <v>8.0808080808080981E-3</v>
      </c>
      <c r="AC1058" s="36">
        <f t="shared" si="362"/>
        <v>1.6445707070707069E-2</v>
      </c>
      <c r="AD1058" s="36">
        <f t="shared" si="362"/>
        <v>2.4526515151515167E-2</v>
      </c>
      <c r="AE1058" s="36">
        <f t="shared" si="362"/>
        <v>320</v>
      </c>
      <c r="AF1058" s="36">
        <f t="shared" si="362"/>
        <v>179</v>
      </c>
      <c r="AG1058" s="36" t="str">
        <f t="shared" si="362"/>
        <v>ATL</v>
      </c>
      <c r="AI1058">
        <v>1044</v>
      </c>
      <c r="AJ1058" s="77" t="str">
        <f t="shared" si="353"/>
        <v>INTERAVIÓN</v>
      </c>
      <c r="AK1058" s="77">
        <f t="shared" si="353"/>
        <v>2218</v>
      </c>
      <c r="AL1058" s="186">
        <v>0.91875000000000007</v>
      </c>
      <c r="AM1058" s="79">
        <v>0.9277777777777777</v>
      </c>
      <c r="AN1058" s="80">
        <v>9.0277777777776347E-3</v>
      </c>
      <c r="AO1058" s="79">
        <v>0.93263888888888891</v>
      </c>
      <c r="AP1058" s="80">
        <v>4.8611111111112049E-3</v>
      </c>
      <c r="AQ1058" s="81">
        <v>41809</v>
      </c>
      <c r="AR1058" s="77" t="str">
        <f t="shared" si="356"/>
        <v>Nacional</v>
      </c>
      <c r="AS1058" s="77">
        <f t="shared" si="356"/>
        <v>8.5763888888888626E-3</v>
      </c>
      <c r="AT1058" s="77">
        <f t="shared" si="356"/>
        <v>7.4305555555555973E-3</v>
      </c>
      <c r="AU1058" s="77">
        <f t="shared" si="356"/>
        <v>1.6006944444444459E-2</v>
      </c>
      <c r="AV1058" s="77">
        <f t="shared" si="356"/>
        <v>320</v>
      </c>
      <c r="AW1058" s="77">
        <f t="shared" si="356"/>
        <v>179</v>
      </c>
      <c r="AX1058" s="77" t="str">
        <f t="shared" si="356"/>
        <v>MEX</v>
      </c>
    </row>
    <row r="1059" spans="1:50" x14ac:dyDescent="0.25">
      <c r="A1059">
        <v>1045</v>
      </c>
      <c r="B1059" s="36" t="str">
        <f t="shared" si="349"/>
        <v>BARATA Y MORADA</v>
      </c>
      <c r="C1059" s="151">
        <v>741</v>
      </c>
      <c r="D1059" s="152">
        <v>0.4777777777777778</v>
      </c>
      <c r="E1059" s="152">
        <v>0.48541666666666666</v>
      </c>
      <c r="F1059" s="153">
        <v>7.6388888888888618E-3</v>
      </c>
      <c r="G1059" s="152">
        <v>0.49444444444444446</v>
      </c>
      <c r="H1059" s="153">
        <v>9.0277777777778012E-3</v>
      </c>
      <c r="I1059" s="67">
        <v>41714</v>
      </c>
      <c r="J1059" s="174" t="s">
        <v>19</v>
      </c>
      <c r="K1059" s="135">
        <v>7.070707070707046E-3</v>
      </c>
      <c r="L1059" s="135">
        <v>8.9015151515151551E-3</v>
      </c>
      <c r="M1059" s="175">
        <v>1.59722222222222E-2</v>
      </c>
      <c r="N1059" s="90">
        <v>320</v>
      </c>
      <c r="O1059" s="91">
        <v>179</v>
      </c>
      <c r="P1059" s="92" t="s">
        <v>27</v>
      </c>
      <c r="R1059">
        <v>1045</v>
      </c>
      <c r="S1059" s="36" t="str">
        <f t="shared" si="359"/>
        <v>AVIONES ROJOS AIRLINES</v>
      </c>
      <c r="T1059" s="36">
        <f t="shared" si="359"/>
        <v>966</v>
      </c>
      <c r="U1059" s="73">
        <v>0.84305555555555556</v>
      </c>
      <c r="V1059" s="74">
        <v>0.85069444444444453</v>
      </c>
      <c r="W1059" s="75">
        <v>7.6388888888889728E-3</v>
      </c>
      <c r="X1059" s="74">
        <v>0.8666666666666667</v>
      </c>
      <c r="Y1059" s="75">
        <v>1.5972222222222165E-2</v>
      </c>
      <c r="Z1059" s="76">
        <v>41739</v>
      </c>
      <c r="AA1059" s="36" t="str">
        <f t="shared" si="362"/>
        <v>Internacional</v>
      </c>
      <c r="AB1059" s="36">
        <f t="shared" si="362"/>
        <v>8.0808080808080981E-3</v>
      </c>
      <c r="AC1059" s="36">
        <f t="shared" si="362"/>
        <v>1.6445707070707069E-2</v>
      </c>
      <c r="AD1059" s="36">
        <f t="shared" si="362"/>
        <v>2.4526515151515167E-2</v>
      </c>
      <c r="AE1059" s="36">
        <f t="shared" si="362"/>
        <v>320</v>
      </c>
      <c r="AF1059" s="36">
        <f t="shared" si="362"/>
        <v>179</v>
      </c>
      <c r="AG1059" s="36" t="str">
        <f t="shared" si="362"/>
        <v>ATL</v>
      </c>
      <c r="AI1059">
        <v>1045</v>
      </c>
      <c r="AJ1059" s="77" t="str">
        <f t="shared" si="353"/>
        <v>INTERAVIÓN</v>
      </c>
      <c r="AK1059" s="77">
        <f t="shared" si="353"/>
        <v>2218</v>
      </c>
      <c r="AL1059" s="186">
        <v>0.96250000000000002</v>
      </c>
      <c r="AM1059" s="79">
        <v>0.97916666666666663</v>
      </c>
      <c r="AN1059" s="80">
        <v>1.6666666666666607E-2</v>
      </c>
      <c r="AO1059" s="79">
        <v>0.98402777777777783</v>
      </c>
      <c r="AP1059" s="80">
        <v>4.8611111111112049E-3</v>
      </c>
      <c r="AQ1059" s="81">
        <v>41810</v>
      </c>
      <c r="AR1059" s="77" t="str">
        <f t="shared" si="356"/>
        <v>Nacional</v>
      </c>
      <c r="AS1059" s="77">
        <f t="shared" si="356"/>
        <v>8.5763888888888626E-3</v>
      </c>
      <c r="AT1059" s="77">
        <f t="shared" si="356"/>
        <v>7.4305555555555973E-3</v>
      </c>
      <c r="AU1059" s="77">
        <f t="shared" si="356"/>
        <v>1.6006944444444459E-2</v>
      </c>
      <c r="AV1059" s="77">
        <f t="shared" si="356"/>
        <v>320</v>
      </c>
      <c r="AW1059" s="77">
        <f t="shared" si="356"/>
        <v>179</v>
      </c>
      <c r="AX1059" s="77" t="str">
        <f t="shared" si="356"/>
        <v>MEX</v>
      </c>
    </row>
    <row r="1060" spans="1:50" x14ac:dyDescent="0.25">
      <c r="A1060">
        <v>1046</v>
      </c>
      <c r="B1060" s="36" t="str">
        <f t="shared" si="349"/>
        <v>BARATA Y MORADA</v>
      </c>
      <c r="C1060" s="36">
        <f t="shared" si="349"/>
        <v>741</v>
      </c>
      <c r="D1060" s="118">
        <v>0.48472222222222222</v>
      </c>
      <c r="E1060" s="118">
        <v>0.49374999999999997</v>
      </c>
      <c r="F1060" s="119">
        <v>9.0277777777777457E-3</v>
      </c>
      <c r="G1060" s="118">
        <v>0.50694444444444442</v>
      </c>
      <c r="H1060" s="119">
        <v>1.3194444444444453E-2</v>
      </c>
      <c r="I1060" s="81">
        <v>41715</v>
      </c>
      <c r="J1060" s="36" t="str">
        <f t="shared" ref="J1060:P1069" si="363">J1059</f>
        <v>Nacional</v>
      </c>
      <c r="K1060" s="36">
        <f t="shared" si="363"/>
        <v>7.070707070707046E-3</v>
      </c>
      <c r="L1060" s="36">
        <f t="shared" si="363"/>
        <v>8.9015151515151551E-3</v>
      </c>
      <c r="M1060" s="36">
        <f t="shared" si="363"/>
        <v>1.59722222222222E-2</v>
      </c>
      <c r="N1060" s="36">
        <f t="shared" si="363"/>
        <v>320</v>
      </c>
      <c r="O1060" s="36">
        <f t="shared" si="363"/>
        <v>179</v>
      </c>
      <c r="P1060" s="36" t="str">
        <f t="shared" si="363"/>
        <v>HMO</v>
      </c>
      <c r="R1060">
        <v>1046</v>
      </c>
      <c r="S1060" s="36" t="str">
        <f t="shared" si="359"/>
        <v>AVIONES ROJOS AIRLINES</v>
      </c>
      <c r="T1060" s="36">
        <f t="shared" si="359"/>
        <v>966</v>
      </c>
      <c r="U1060" s="73">
        <v>0.84166666666666667</v>
      </c>
      <c r="V1060" s="74">
        <v>0.84861111111111109</v>
      </c>
      <c r="W1060" s="75">
        <v>6.9444444444444198E-3</v>
      </c>
      <c r="X1060" s="74">
        <v>0.86041666666666661</v>
      </c>
      <c r="Y1060" s="75">
        <v>1.1805555555555514E-2</v>
      </c>
      <c r="Z1060" s="76">
        <v>41740</v>
      </c>
      <c r="AA1060" s="36" t="str">
        <f t="shared" si="362"/>
        <v>Internacional</v>
      </c>
      <c r="AB1060" s="36">
        <f t="shared" si="362"/>
        <v>8.0808080808080981E-3</v>
      </c>
      <c r="AC1060" s="36">
        <f t="shared" si="362"/>
        <v>1.6445707070707069E-2</v>
      </c>
      <c r="AD1060" s="36">
        <f t="shared" si="362"/>
        <v>2.4526515151515167E-2</v>
      </c>
      <c r="AE1060" s="36">
        <f t="shared" si="362"/>
        <v>320</v>
      </c>
      <c r="AF1060" s="36">
        <f t="shared" si="362"/>
        <v>179</v>
      </c>
      <c r="AG1060" s="36" t="str">
        <f t="shared" si="362"/>
        <v>ATL</v>
      </c>
      <c r="AI1060">
        <v>1046</v>
      </c>
      <c r="AJ1060" s="77" t="str">
        <f t="shared" si="353"/>
        <v>INTERAVIÓN</v>
      </c>
      <c r="AK1060" s="77">
        <f t="shared" si="353"/>
        <v>2218</v>
      </c>
      <c r="AL1060" s="186">
        <v>0.92222222222222217</v>
      </c>
      <c r="AM1060" s="79">
        <v>0.93263888888888891</v>
      </c>
      <c r="AN1060" s="80">
        <v>1.0416666666666741E-2</v>
      </c>
      <c r="AO1060" s="79">
        <v>0.94236111111111109</v>
      </c>
      <c r="AP1060" s="80">
        <v>9.7222222222221877E-3</v>
      </c>
      <c r="AQ1060" s="81">
        <v>41812</v>
      </c>
      <c r="AR1060" s="77" t="str">
        <f t="shared" si="356"/>
        <v>Nacional</v>
      </c>
      <c r="AS1060" s="77">
        <f t="shared" si="356"/>
        <v>8.5763888888888626E-3</v>
      </c>
      <c r="AT1060" s="77">
        <f t="shared" si="356"/>
        <v>7.4305555555555973E-3</v>
      </c>
      <c r="AU1060" s="77">
        <f t="shared" si="356"/>
        <v>1.6006944444444459E-2</v>
      </c>
      <c r="AV1060" s="77">
        <f t="shared" si="356"/>
        <v>320</v>
      </c>
      <c r="AW1060" s="77">
        <f t="shared" si="356"/>
        <v>179</v>
      </c>
      <c r="AX1060" s="77" t="str">
        <f t="shared" si="356"/>
        <v>MEX</v>
      </c>
    </row>
    <row r="1061" spans="1:50" ht="15.75" thickBot="1" x14ac:dyDescent="0.3">
      <c r="A1061">
        <v>1047</v>
      </c>
      <c r="B1061" s="36" t="str">
        <f t="shared" si="349"/>
        <v>BARATA Y MORADA</v>
      </c>
      <c r="C1061" s="36">
        <f t="shared" si="349"/>
        <v>741</v>
      </c>
      <c r="D1061" s="118">
        <v>0.47500000000000003</v>
      </c>
      <c r="E1061" s="118">
        <v>0.4826388888888889</v>
      </c>
      <c r="F1061" s="119">
        <v>7.6388888888888618E-3</v>
      </c>
      <c r="G1061" s="118">
        <v>0.49374999999999997</v>
      </c>
      <c r="H1061" s="119">
        <v>1.1111111111111072E-2</v>
      </c>
      <c r="I1061" s="81">
        <v>41716</v>
      </c>
      <c r="J1061" s="36" t="str">
        <f t="shared" si="363"/>
        <v>Nacional</v>
      </c>
      <c r="K1061" s="36">
        <f t="shared" si="363"/>
        <v>7.070707070707046E-3</v>
      </c>
      <c r="L1061" s="36">
        <f t="shared" si="363"/>
        <v>8.9015151515151551E-3</v>
      </c>
      <c r="M1061" s="36">
        <f t="shared" si="363"/>
        <v>1.59722222222222E-2</v>
      </c>
      <c r="N1061" s="36">
        <f t="shared" si="363"/>
        <v>320</v>
      </c>
      <c r="O1061" s="36">
        <f t="shared" si="363"/>
        <v>179</v>
      </c>
      <c r="P1061" s="36" t="str">
        <f t="shared" si="363"/>
        <v>HMO</v>
      </c>
      <c r="R1061">
        <v>1047</v>
      </c>
      <c r="S1061" s="36" t="str">
        <f t="shared" si="359"/>
        <v>AVIONES ROJOS AIRLINES</v>
      </c>
      <c r="T1061" s="36">
        <f t="shared" si="359"/>
        <v>966</v>
      </c>
      <c r="U1061" s="73">
        <v>0.8652777777777777</v>
      </c>
      <c r="V1061" s="74">
        <v>0.86736111111111114</v>
      </c>
      <c r="W1061" s="75">
        <v>2.083333333333437E-3</v>
      </c>
      <c r="X1061" s="74">
        <v>0.87916666666666676</v>
      </c>
      <c r="Y1061" s="75">
        <v>1.1805555555555625E-2</v>
      </c>
      <c r="Z1061" s="76">
        <v>41743</v>
      </c>
      <c r="AA1061" s="36" t="str">
        <f t="shared" si="362"/>
        <v>Internacional</v>
      </c>
      <c r="AB1061" s="36">
        <f t="shared" si="362"/>
        <v>8.0808080808080981E-3</v>
      </c>
      <c r="AC1061" s="36">
        <f t="shared" si="362"/>
        <v>1.6445707070707069E-2</v>
      </c>
      <c r="AD1061" s="36">
        <f t="shared" si="362"/>
        <v>2.4526515151515167E-2</v>
      </c>
      <c r="AE1061" s="36">
        <f t="shared" si="362"/>
        <v>320</v>
      </c>
      <c r="AF1061" s="36">
        <f t="shared" si="362"/>
        <v>179</v>
      </c>
      <c r="AG1061" s="36" t="str">
        <f t="shared" si="362"/>
        <v>ATL</v>
      </c>
      <c r="AI1061">
        <v>1047</v>
      </c>
      <c r="AJ1061" s="77" t="str">
        <f t="shared" si="353"/>
        <v>INTERAVIÓN</v>
      </c>
      <c r="AK1061" s="77">
        <f t="shared" si="353"/>
        <v>2218</v>
      </c>
      <c r="AL1061" s="187">
        <v>0.89583333333333337</v>
      </c>
      <c r="AM1061" s="95">
        <v>0.90277777777777779</v>
      </c>
      <c r="AN1061" s="96">
        <v>6.9444444444444198E-3</v>
      </c>
      <c r="AO1061" s="95">
        <v>0.91805555555555562</v>
      </c>
      <c r="AP1061" s="96">
        <v>1.5277777777777835E-2</v>
      </c>
      <c r="AQ1061" s="97">
        <v>41813</v>
      </c>
      <c r="AR1061" s="77" t="str">
        <f t="shared" si="356"/>
        <v>Nacional</v>
      </c>
      <c r="AS1061" s="77">
        <f t="shared" si="356"/>
        <v>8.5763888888888626E-3</v>
      </c>
      <c r="AT1061" s="77">
        <f t="shared" si="356"/>
        <v>7.4305555555555973E-3</v>
      </c>
      <c r="AU1061" s="77">
        <f t="shared" si="356"/>
        <v>1.6006944444444459E-2</v>
      </c>
      <c r="AV1061" s="77">
        <f t="shared" si="356"/>
        <v>320</v>
      </c>
      <c r="AW1061" s="77">
        <f t="shared" si="356"/>
        <v>179</v>
      </c>
      <c r="AX1061" s="77" t="str">
        <f t="shared" si="356"/>
        <v>MEX</v>
      </c>
    </row>
    <row r="1062" spans="1:50" x14ac:dyDescent="0.25">
      <c r="A1062">
        <v>1048</v>
      </c>
      <c r="B1062" s="36" t="str">
        <f t="shared" si="349"/>
        <v>BARATA Y MORADA</v>
      </c>
      <c r="C1062" s="36">
        <f t="shared" si="349"/>
        <v>741</v>
      </c>
      <c r="D1062" s="118">
        <v>0.48402777777777778</v>
      </c>
      <c r="E1062" s="118">
        <v>0.48958333333333331</v>
      </c>
      <c r="F1062" s="119">
        <v>5.5555555555555358E-3</v>
      </c>
      <c r="G1062" s="118">
        <v>0.49513888888888885</v>
      </c>
      <c r="H1062" s="119">
        <v>5.5555555555555358E-3</v>
      </c>
      <c r="I1062" s="81">
        <v>41720</v>
      </c>
      <c r="J1062" s="36" t="str">
        <f t="shared" si="363"/>
        <v>Nacional</v>
      </c>
      <c r="K1062" s="36">
        <f t="shared" si="363"/>
        <v>7.070707070707046E-3</v>
      </c>
      <c r="L1062" s="36">
        <f t="shared" si="363"/>
        <v>8.9015151515151551E-3</v>
      </c>
      <c r="M1062" s="36">
        <f t="shared" si="363"/>
        <v>1.59722222222222E-2</v>
      </c>
      <c r="N1062" s="36">
        <f t="shared" si="363"/>
        <v>320</v>
      </c>
      <c r="O1062" s="36">
        <f t="shared" si="363"/>
        <v>179</v>
      </c>
      <c r="P1062" s="36" t="str">
        <f t="shared" si="363"/>
        <v>HMO</v>
      </c>
      <c r="R1062">
        <v>1048</v>
      </c>
      <c r="S1062" s="36" t="str">
        <f t="shared" si="359"/>
        <v>AVIONES ROJOS AIRLINES</v>
      </c>
      <c r="T1062" s="36">
        <f t="shared" si="359"/>
        <v>966</v>
      </c>
      <c r="U1062" s="73">
        <v>0.84722222222222221</v>
      </c>
      <c r="V1062" s="74">
        <v>0.8534722222222223</v>
      </c>
      <c r="W1062" s="75">
        <v>6.2500000000000888E-3</v>
      </c>
      <c r="X1062" s="74">
        <v>0.87013888888888891</v>
      </c>
      <c r="Y1062" s="75">
        <v>1.6666666666666607E-2</v>
      </c>
      <c r="Z1062" s="76">
        <v>41745</v>
      </c>
      <c r="AA1062" s="36" t="str">
        <f t="shared" si="362"/>
        <v>Internacional</v>
      </c>
      <c r="AB1062" s="36">
        <f t="shared" si="362"/>
        <v>8.0808080808080981E-3</v>
      </c>
      <c r="AC1062" s="36">
        <f t="shared" si="362"/>
        <v>1.6445707070707069E-2</v>
      </c>
      <c r="AD1062" s="36">
        <f t="shared" si="362"/>
        <v>2.4526515151515167E-2</v>
      </c>
      <c r="AE1062" s="36">
        <f t="shared" si="362"/>
        <v>320</v>
      </c>
      <c r="AF1062" s="36">
        <f t="shared" si="362"/>
        <v>179</v>
      </c>
      <c r="AG1062" s="36" t="str">
        <f t="shared" si="362"/>
        <v>ATL</v>
      </c>
      <c r="AI1062">
        <v>1048</v>
      </c>
      <c r="AJ1062" s="77" t="str">
        <f t="shared" si="353"/>
        <v>INTERAVIÓN</v>
      </c>
      <c r="AK1062" s="63">
        <v>2216</v>
      </c>
      <c r="AL1062" s="185">
        <v>0.68125000000000002</v>
      </c>
      <c r="AM1062" s="65">
        <v>0.68819444444444444</v>
      </c>
      <c r="AN1062" s="66">
        <v>6.9444444444444198E-3</v>
      </c>
      <c r="AO1062" s="65">
        <v>0.69305555555555554</v>
      </c>
      <c r="AP1062" s="66">
        <v>4.8611111111110938E-3</v>
      </c>
      <c r="AQ1062" s="67">
        <v>41791</v>
      </c>
      <c r="AR1062" s="68" t="s">
        <v>19</v>
      </c>
      <c r="AS1062" s="69">
        <v>8.2516339869281152E-3</v>
      </c>
      <c r="AT1062" s="70">
        <v>7.4346405228758036E-3</v>
      </c>
      <c r="AU1062" s="70">
        <v>1.5686274509803918E-2</v>
      </c>
      <c r="AV1062" s="71">
        <v>320</v>
      </c>
      <c r="AW1062" s="71">
        <v>179</v>
      </c>
      <c r="AX1062" s="72" t="s">
        <v>21</v>
      </c>
    </row>
    <row r="1063" spans="1:50" x14ac:dyDescent="0.25">
      <c r="A1063">
        <v>1049</v>
      </c>
      <c r="B1063" s="36" t="str">
        <f t="shared" si="349"/>
        <v>BARATA Y MORADA</v>
      </c>
      <c r="C1063" s="36">
        <f t="shared" si="349"/>
        <v>741</v>
      </c>
      <c r="D1063" s="118">
        <v>0.47361111111111115</v>
      </c>
      <c r="E1063" s="118">
        <v>0.4770833333333333</v>
      </c>
      <c r="F1063" s="119">
        <v>3.4722222222221544E-3</v>
      </c>
      <c r="G1063" s="118">
        <v>0.48541666666666666</v>
      </c>
      <c r="H1063" s="119">
        <v>8.3333333333333592E-3</v>
      </c>
      <c r="I1063" s="81">
        <v>41721</v>
      </c>
      <c r="J1063" s="36" t="str">
        <f t="shared" si="363"/>
        <v>Nacional</v>
      </c>
      <c r="K1063" s="36">
        <f t="shared" si="363"/>
        <v>7.070707070707046E-3</v>
      </c>
      <c r="L1063" s="36">
        <f t="shared" si="363"/>
        <v>8.9015151515151551E-3</v>
      </c>
      <c r="M1063" s="36">
        <f t="shared" si="363"/>
        <v>1.59722222222222E-2</v>
      </c>
      <c r="N1063" s="36">
        <f t="shared" si="363"/>
        <v>320</v>
      </c>
      <c r="O1063" s="36">
        <f t="shared" si="363"/>
        <v>179</v>
      </c>
      <c r="P1063" s="36" t="str">
        <f t="shared" si="363"/>
        <v>HMO</v>
      </c>
      <c r="R1063">
        <v>1049</v>
      </c>
      <c r="S1063" s="36" t="str">
        <f t="shared" si="359"/>
        <v>AVIONES ROJOS AIRLINES</v>
      </c>
      <c r="T1063" s="36">
        <f t="shared" si="359"/>
        <v>966</v>
      </c>
      <c r="U1063" s="73">
        <v>0.84930555555555554</v>
      </c>
      <c r="V1063" s="74">
        <v>0.85763888888888884</v>
      </c>
      <c r="W1063" s="75">
        <v>8.3333333333333037E-3</v>
      </c>
      <c r="X1063" s="74">
        <v>0.87361111111111101</v>
      </c>
      <c r="Y1063" s="75">
        <v>1.5972222222222165E-2</v>
      </c>
      <c r="Z1063" s="76">
        <v>41744</v>
      </c>
      <c r="AA1063" s="36" t="str">
        <f t="shared" si="362"/>
        <v>Internacional</v>
      </c>
      <c r="AB1063" s="36">
        <f t="shared" si="362"/>
        <v>8.0808080808080981E-3</v>
      </c>
      <c r="AC1063" s="36">
        <f t="shared" si="362"/>
        <v>1.6445707070707069E-2</v>
      </c>
      <c r="AD1063" s="36">
        <f t="shared" si="362"/>
        <v>2.4526515151515167E-2</v>
      </c>
      <c r="AE1063" s="36">
        <f t="shared" si="362"/>
        <v>320</v>
      </c>
      <c r="AF1063" s="36">
        <f t="shared" si="362"/>
        <v>179</v>
      </c>
      <c r="AG1063" s="36" t="str">
        <f t="shared" si="362"/>
        <v>ATL</v>
      </c>
      <c r="AI1063">
        <v>1049</v>
      </c>
      <c r="AJ1063" s="77" t="str">
        <f t="shared" si="353"/>
        <v>INTERAVIÓN</v>
      </c>
      <c r="AK1063" s="77">
        <f t="shared" si="353"/>
        <v>2216</v>
      </c>
      <c r="AL1063" s="186">
        <v>0.84791666666666676</v>
      </c>
      <c r="AM1063" s="79">
        <v>0.8534722222222223</v>
      </c>
      <c r="AN1063" s="80">
        <v>5.5555555555555358E-3</v>
      </c>
      <c r="AO1063" s="79">
        <v>0.85833333333333339</v>
      </c>
      <c r="AP1063" s="80">
        <v>4.8611111111110938E-3</v>
      </c>
      <c r="AQ1063" s="81">
        <v>41792</v>
      </c>
      <c r="AR1063" s="77" t="str">
        <f t="shared" ref="AR1063:AX1078" si="364">AR1062</f>
        <v>Nacional</v>
      </c>
      <c r="AS1063" s="77">
        <f t="shared" si="364"/>
        <v>8.2516339869281152E-3</v>
      </c>
      <c r="AT1063" s="77">
        <f t="shared" si="364"/>
        <v>7.4346405228758036E-3</v>
      </c>
      <c r="AU1063" s="77">
        <f t="shared" si="364"/>
        <v>1.5686274509803918E-2</v>
      </c>
      <c r="AV1063" s="77">
        <f t="shared" si="364"/>
        <v>320</v>
      </c>
      <c r="AW1063" s="77">
        <f t="shared" si="364"/>
        <v>179</v>
      </c>
      <c r="AX1063" s="77" t="str">
        <f t="shared" si="364"/>
        <v>MEX</v>
      </c>
    </row>
    <row r="1064" spans="1:50" x14ac:dyDescent="0.25">
      <c r="A1064">
        <v>1050</v>
      </c>
      <c r="B1064" s="36" t="str">
        <f t="shared" si="349"/>
        <v>BARATA Y MORADA</v>
      </c>
      <c r="C1064" s="36">
        <f t="shared" si="349"/>
        <v>741</v>
      </c>
      <c r="D1064" s="118">
        <v>0.48819444444444443</v>
      </c>
      <c r="E1064" s="118">
        <v>0.49791666666666662</v>
      </c>
      <c r="F1064" s="119">
        <v>9.7222222222221877E-3</v>
      </c>
      <c r="G1064" s="118">
        <v>0.50555555555555554</v>
      </c>
      <c r="H1064" s="119">
        <v>7.6388888888889173E-3</v>
      </c>
      <c r="I1064" s="81">
        <v>41722</v>
      </c>
      <c r="J1064" s="36" t="str">
        <f t="shared" si="363"/>
        <v>Nacional</v>
      </c>
      <c r="K1064" s="36">
        <f t="shared" si="363"/>
        <v>7.070707070707046E-3</v>
      </c>
      <c r="L1064" s="36">
        <f t="shared" si="363"/>
        <v>8.9015151515151551E-3</v>
      </c>
      <c r="M1064" s="36">
        <f t="shared" si="363"/>
        <v>1.59722222222222E-2</v>
      </c>
      <c r="N1064" s="36">
        <f t="shared" si="363"/>
        <v>320</v>
      </c>
      <c r="O1064" s="36">
        <f t="shared" si="363"/>
        <v>179</v>
      </c>
      <c r="P1064" s="36" t="str">
        <f t="shared" si="363"/>
        <v>HMO</v>
      </c>
      <c r="R1064">
        <v>1050</v>
      </c>
      <c r="S1064" s="36" t="str">
        <f t="shared" si="359"/>
        <v>AVIONES ROJOS AIRLINES</v>
      </c>
      <c r="T1064" s="36">
        <f t="shared" si="359"/>
        <v>966</v>
      </c>
      <c r="U1064" s="73">
        <v>0.85138888888888886</v>
      </c>
      <c r="V1064" s="74">
        <v>0.8652777777777777</v>
      </c>
      <c r="W1064" s="75">
        <v>1.388888888888884E-2</v>
      </c>
      <c r="X1064" s="74">
        <v>0.87708333333333333</v>
      </c>
      <c r="Y1064" s="75">
        <v>1.1805555555555625E-2</v>
      </c>
      <c r="Z1064" s="76">
        <v>41746</v>
      </c>
      <c r="AA1064" s="36" t="str">
        <f t="shared" si="362"/>
        <v>Internacional</v>
      </c>
      <c r="AB1064" s="36">
        <f t="shared" si="362"/>
        <v>8.0808080808080981E-3</v>
      </c>
      <c r="AC1064" s="36">
        <f t="shared" si="362"/>
        <v>1.6445707070707069E-2</v>
      </c>
      <c r="AD1064" s="36">
        <f t="shared" si="362"/>
        <v>2.4526515151515167E-2</v>
      </c>
      <c r="AE1064" s="36">
        <f t="shared" si="362"/>
        <v>320</v>
      </c>
      <c r="AF1064" s="36">
        <f t="shared" si="362"/>
        <v>179</v>
      </c>
      <c r="AG1064" s="36" t="str">
        <f t="shared" si="362"/>
        <v>ATL</v>
      </c>
      <c r="AI1064">
        <v>1050</v>
      </c>
      <c r="AJ1064" s="77" t="str">
        <f t="shared" si="353"/>
        <v>INTERAVIÓN</v>
      </c>
      <c r="AK1064" s="77">
        <f t="shared" si="353"/>
        <v>2216</v>
      </c>
      <c r="AL1064" s="186">
        <v>0.84722222222222221</v>
      </c>
      <c r="AM1064" s="79">
        <v>0.85416666666666663</v>
      </c>
      <c r="AN1064" s="80">
        <v>6.9444444444444198E-3</v>
      </c>
      <c r="AO1064" s="79">
        <v>0.86111111111111116</v>
      </c>
      <c r="AP1064" s="80">
        <v>6.9444444444445308E-3</v>
      </c>
      <c r="AQ1064" s="81">
        <v>41793</v>
      </c>
      <c r="AR1064" s="77" t="str">
        <f t="shared" si="364"/>
        <v>Nacional</v>
      </c>
      <c r="AS1064" s="77">
        <f t="shared" si="364"/>
        <v>8.2516339869281152E-3</v>
      </c>
      <c r="AT1064" s="77">
        <f t="shared" si="364"/>
        <v>7.4346405228758036E-3</v>
      </c>
      <c r="AU1064" s="77">
        <f t="shared" si="364"/>
        <v>1.5686274509803918E-2</v>
      </c>
      <c r="AV1064" s="77">
        <f t="shared" si="364"/>
        <v>320</v>
      </c>
      <c r="AW1064" s="77">
        <f t="shared" si="364"/>
        <v>179</v>
      </c>
      <c r="AX1064" s="77" t="str">
        <f t="shared" si="364"/>
        <v>MEX</v>
      </c>
    </row>
    <row r="1065" spans="1:50" x14ac:dyDescent="0.25">
      <c r="A1065">
        <v>1051</v>
      </c>
      <c r="B1065" s="36" t="str">
        <f t="shared" si="349"/>
        <v>BARATA Y MORADA</v>
      </c>
      <c r="C1065" s="36">
        <f t="shared" si="349"/>
        <v>741</v>
      </c>
      <c r="D1065" s="118">
        <v>0.48125000000000001</v>
      </c>
      <c r="E1065" s="118">
        <v>0.48888888888888887</v>
      </c>
      <c r="F1065" s="119">
        <v>7.6388888888888618E-3</v>
      </c>
      <c r="G1065" s="118">
        <v>0.49861111111111112</v>
      </c>
      <c r="H1065" s="119">
        <v>9.7222222222222432E-3</v>
      </c>
      <c r="I1065" s="81">
        <v>41725</v>
      </c>
      <c r="J1065" s="36" t="str">
        <f t="shared" si="363"/>
        <v>Nacional</v>
      </c>
      <c r="K1065" s="36">
        <f t="shared" si="363"/>
        <v>7.070707070707046E-3</v>
      </c>
      <c r="L1065" s="36">
        <f t="shared" si="363"/>
        <v>8.9015151515151551E-3</v>
      </c>
      <c r="M1065" s="36">
        <f t="shared" si="363"/>
        <v>1.59722222222222E-2</v>
      </c>
      <c r="N1065" s="36">
        <f t="shared" si="363"/>
        <v>320</v>
      </c>
      <c r="O1065" s="36">
        <f t="shared" si="363"/>
        <v>179</v>
      </c>
      <c r="P1065" s="36" t="str">
        <f t="shared" si="363"/>
        <v>HMO</v>
      </c>
      <c r="R1065">
        <v>1051</v>
      </c>
      <c r="S1065" s="36" t="str">
        <f t="shared" si="359"/>
        <v>AVIONES ROJOS AIRLINES</v>
      </c>
      <c r="T1065" s="36">
        <f t="shared" si="359"/>
        <v>966</v>
      </c>
      <c r="U1065" s="73">
        <v>0.87777777777777777</v>
      </c>
      <c r="V1065" s="74">
        <v>0.8847222222222223</v>
      </c>
      <c r="W1065" s="75">
        <v>6.9444444444445308E-3</v>
      </c>
      <c r="X1065" s="74">
        <v>0.9</v>
      </c>
      <c r="Y1065" s="75">
        <v>1.5277777777777724E-2</v>
      </c>
      <c r="Z1065" s="76">
        <v>41747</v>
      </c>
      <c r="AA1065" s="36" t="str">
        <f t="shared" si="362"/>
        <v>Internacional</v>
      </c>
      <c r="AB1065" s="36">
        <f t="shared" si="362"/>
        <v>8.0808080808080981E-3</v>
      </c>
      <c r="AC1065" s="36">
        <f t="shared" si="362"/>
        <v>1.6445707070707069E-2</v>
      </c>
      <c r="AD1065" s="36">
        <f t="shared" si="362"/>
        <v>2.4526515151515167E-2</v>
      </c>
      <c r="AE1065" s="36">
        <f t="shared" si="362"/>
        <v>320</v>
      </c>
      <c r="AF1065" s="36">
        <f t="shared" si="362"/>
        <v>179</v>
      </c>
      <c r="AG1065" s="36" t="str">
        <f t="shared" si="362"/>
        <v>ATL</v>
      </c>
      <c r="AI1065">
        <v>1051</v>
      </c>
      <c r="AJ1065" s="77" t="str">
        <f t="shared" si="353"/>
        <v>INTERAVIÓN</v>
      </c>
      <c r="AK1065" s="77">
        <f t="shared" si="353"/>
        <v>2216</v>
      </c>
      <c r="AL1065" s="186">
        <v>0.85138888888888886</v>
      </c>
      <c r="AM1065" s="79">
        <v>0.86111111111111116</v>
      </c>
      <c r="AN1065" s="80">
        <v>9.7222222222222987E-3</v>
      </c>
      <c r="AO1065" s="79">
        <v>0.8666666666666667</v>
      </c>
      <c r="AP1065" s="80">
        <v>5.5555555555555358E-3</v>
      </c>
      <c r="AQ1065" s="81">
        <v>41796</v>
      </c>
      <c r="AR1065" s="77" t="str">
        <f t="shared" si="364"/>
        <v>Nacional</v>
      </c>
      <c r="AS1065" s="77">
        <f t="shared" si="364"/>
        <v>8.2516339869281152E-3</v>
      </c>
      <c r="AT1065" s="77">
        <f t="shared" si="364"/>
        <v>7.4346405228758036E-3</v>
      </c>
      <c r="AU1065" s="77">
        <f t="shared" si="364"/>
        <v>1.5686274509803918E-2</v>
      </c>
      <c r="AV1065" s="77">
        <f t="shared" si="364"/>
        <v>320</v>
      </c>
      <c r="AW1065" s="77">
        <f t="shared" si="364"/>
        <v>179</v>
      </c>
      <c r="AX1065" s="77" t="str">
        <f t="shared" si="364"/>
        <v>MEX</v>
      </c>
    </row>
    <row r="1066" spans="1:50" x14ac:dyDescent="0.25">
      <c r="A1066">
        <v>1052</v>
      </c>
      <c r="B1066" s="36" t="str">
        <f t="shared" si="349"/>
        <v>BARATA Y MORADA</v>
      </c>
      <c r="C1066" s="36">
        <f t="shared" si="349"/>
        <v>741</v>
      </c>
      <c r="D1066" s="118">
        <v>0.48125000000000001</v>
      </c>
      <c r="E1066" s="118">
        <v>0.48819444444444443</v>
      </c>
      <c r="F1066" s="119">
        <v>6.9444444444444198E-3</v>
      </c>
      <c r="G1066" s="118">
        <v>0.49305555555555558</v>
      </c>
      <c r="H1066" s="119">
        <v>4.8611111111111494E-3</v>
      </c>
      <c r="I1066" s="81">
        <v>41725</v>
      </c>
      <c r="J1066" s="36" t="str">
        <f t="shared" si="363"/>
        <v>Nacional</v>
      </c>
      <c r="K1066" s="36">
        <f t="shared" si="363"/>
        <v>7.070707070707046E-3</v>
      </c>
      <c r="L1066" s="36">
        <f t="shared" si="363"/>
        <v>8.9015151515151551E-3</v>
      </c>
      <c r="M1066" s="36">
        <f t="shared" si="363"/>
        <v>1.59722222222222E-2</v>
      </c>
      <c r="N1066" s="36">
        <f t="shared" si="363"/>
        <v>320</v>
      </c>
      <c r="O1066" s="36">
        <f t="shared" si="363"/>
        <v>179</v>
      </c>
      <c r="P1066" s="36" t="str">
        <f t="shared" si="363"/>
        <v>HMO</v>
      </c>
      <c r="R1066">
        <v>1052</v>
      </c>
      <c r="S1066" s="36" t="str">
        <f t="shared" si="359"/>
        <v>AVIONES ROJOS AIRLINES</v>
      </c>
      <c r="T1066" s="36">
        <f t="shared" si="359"/>
        <v>966</v>
      </c>
      <c r="U1066" s="73">
        <v>0.85069444444444453</v>
      </c>
      <c r="V1066" s="74">
        <v>0.85486111111111107</v>
      </c>
      <c r="W1066" s="75">
        <v>4.1666666666665408E-3</v>
      </c>
      <c r="X1066" s="74">
        <v>0.86805555555555547</v>
      </c>
      <c r="Y1066" s="75">
        <v>1.3194444444444398E-2</v>
      </c>
      <c r="Z1066" s="76">
        <v>41749</v>
      </c>
      <c r="AA1066" s="36" t="str">
        <f t="shared" si="362"/>
        <v>Internacional</v>
      </c>
      <c r="AB1066" s="36">
        <f t="shared" si="362"/>
        <v>8.0808080808080981E-3</v>
      </c>
      <c r="AC1066" s="36">
        <f t="shared" si="362"/>
        <v>1.6445707070707069E-2</v>
      </c>
      <c r="AD1066" s="36">
        <f t="shared" si="362"/>
        <v>2.4526515151515167E-2</v>
      </c>
      <c r="AE1066" s="36">
        <f t="shared" si="362"/>
        <v>320</v>
      </c>
      <c r="AF1066" s="36">
        <f t="shared" si="362"/>
        <v>179</v>
      </c>
      <c r="AG1066" s="36" t="str">
        <f t="shared" si="362"/>
        <v>ATL</v>
      </c>
      <c r="AI1066">
        <v>1052</v>
      </c>
      <c r="AJ1066" s="77" t="str">
        <f t="shared" si="353"/>
        <v>INTERAVIÓN</v>
      </c>
      <c r="AK1066" s="77">
        <f t="shared" si="353"/>
        <v>2216</v>
      </c>
      <c r="AL1066" s="186">
        <v>0.65972222222222221</v>
      </c>
      <c r="AM1066" s="79">
        <v>0.66527777777777775</v>
      </c>
      <c r="AN1066" s="80">
        <v>5.5555555555555358E-3</v>
      </c>
      <c r="AO1066" s="79">
        <v>0.67222222222222217</v>
      </c>
      <c r="AP1066" s="80">
        <v>6.9444444444444198E-3</v>
      </c>
      <c r="AQ1066" s="81">
        <v>41798</v>
      </c>
      <c r="AR1066" s="77" t="str">
        <f t="shared" si="364"/>
        <v>Nacional</v>
      </c>
      <c r="AS1066" s="77">
        <f t="shared" si="364"/>
        <v>8.2516339869281152E-3</v>
      </c>
      <c r="AT1066" s="77">
        <f t="shared" si="364"/>
        <v>7.4346405228758036E-3</v>
      </c>
      <c r="AU1066" s="77">
        <f t="shared" si="364"/>
        <v>1.5686274509803918E-2</v>
      </c>
      <c r="AV1066" s="77">
        <f t="shared" si="364"/>
        <v>320</v>
      </c>
      <c r="AW1066" s="77">
        <f t="shared" si="364"/>
        <v>179</v>
      </c>
      <c r="AX1066" s="77" t="str">
        <f t="shared" si="364"/>
        <v>MEX</v>
      </c>
    </row>
    <row r="1067" spans="1:50" x14ac:dyDescent="0.25">
      <c r="A1067">
        <v>1053</v>
      </c>
      <c r="B1067" s="36" t="str">
        <f t="shared" si="349"/>
        <v>BARATA Y MORADA</v>
      </c>
      <c r="C1067" s="36">
        <f t="shared" si="349"/>
        <v>741</v>
      </c>
      <c r="D1067" s="118">
        <v>0.4770833333333333</v>
      </c>
      <c r="E1067" s="118">
        <v>0.48402777777777778</v>
      </c>
      <c r="F1067" s="119">
        <v>6.9444444444444753E-3</v>
      </c>
      <c r="G1067" s="118">
        <v>0.48749999999999999</v>
      </c>
      <c r="H1067" s="119">
        <v>3.4722222222222099E-3</v>
      </c>
      <c r="I1067" s="81">
        <v>41726</v>
      </c>
      <c r="J1067" s="36" t="str">
        <f t="shared" si="363"/>
        <v>Nacional</v>
      </c>
      <c r="K1067" s="36">
        <f t="shared" si="363"/>
        <v>7.070707070707046E-3</v>
      </c>
      <c r="L1067" s="36">
        <f t="shared" si="363"/>
        <v>8.9015151515151551E-3</v>
      </c>
      <c r="M1067" s="36">
        <f t="shared" si="363"/>
        <v>1.59722222222222E-2</v>
      </c>
      <c r="N1067" s="36">
        <f t="shared" si="363"/>
        <v>320</v>
      </c>
      <c r="O1067" s="36">
        <f t="shared" si="363"/>
        <v>179</v>
      </c>
      <c r="P1067" s="36" t="str">
        <f t="shared" si="363"/>
        <v>HMO</v>
      </c>
      <c r="R1067">
        <v>1053</v>
      </c>
      <c r="S1067" s="36" t="str">
        <f t="shared" si="359"/>
        <v>AVIONES ROJOS AIRLINES</v>
      </c>
      <c r="T1067" s="36">
        <f t="shared" si="359"/>
        <v>966</v>
      </c>
      <c r="U1067" s="73">
        <v>0.8520833333333333</v>
      </c>
      <c r="V1067" s="74">
        <v>0.8569444444444444</v>
      </c>
      <c r="W1067" s="75">
        <v>4.8611111111110938E-3</v>
      </c>
      <c r="X1067" s="74">
        <v>0.87569444444444444</v>
      </c>
      <c r="Y1067" s="75">
        <v>1.8750000000000044E-2</v>
      </c>
      <c r="Z1067" s="76">
        <v>41748</v>
      </c>
      <c r="AA1067" s="36" t="str">
        <f t="shared" si="362"/>
        <v>Internacional</v>
      </c>
      <c r="AB1067" s="36">
        <f t="shared" si="362"/>
        <v>8.0808080808080981E-3</v>
      </c>
      <c r="AC1067" s="36">
        <f t="shared" si="362"/>
        <v>1.6445707070707069E-2</v>
      </c>
      <c r="AD1067" s="36">
        <f t="shared" si="362"/>
        <v>2.4526515151515167E-2</v>
      </c>
      <c r="AE1067" s="36">
        <f t="shared" si="362"/>
        <v>320</v>
      </c>
      <c r="AF1067" s="36">
        <f t="shared" si="362"/>
        <v>179</v>
      </c>
      <c r="AG1067" s="36" t="str">
        <f t="shared" si="362"/>
        <v>ATL</v>
      </c>
      <c r="AI1067">
        <v>1053</v>
      </c>
      <c r="AJ1067" s="77" t="str">
        <f t="shared" si="353"/>
        <v>INTERAVIÓN</v>
      </c>
      <c r="AK1067" s="77">
        <f t="shared" si="353"/>
        <v>2216</v>
      </c>
      <c r="AL1067" s="186">
        <v>0.84027777777777779</v>
      </c>
      <c r="AM1067" s="79">
        <v>0.84583333333333333</v>
      </c>
      <c r="AN1067" s="80">
        <v>5.5555555555555358E-3</v>
      </c>
      <c r="AO1067" s="79">
        <v>0.8520833333333333</v>
      </c>
      <c r="AP1067" s="80">
        <v>6.2499999999999778E-3</v>
      </c>
      <c r="AQ1067" s="81">
        <v>41799</v>
      </c>
      <c r="AR1067" s="77" t="str">
        <f t="shared" si="364"/>
        <v>Nacional</v>
      </c>
      <c r="AS1067" s="77">
        <f t="shared" si="364"/>
        <v>8.2516339869281152E-3</v>
      </c>
      <c r="AT1067" s="77">
        <f t="shared" si="364"/>
        <v>7.4346405228758036E-3</v>
      </c>
      <c r="AU1067" s="77">
        <f t="shared" si="364"/>
        <v>1.5686274509803918E-2</v>
      </c>
      <c r="AV1067" s="77">
        <f t="shared" si="364"/>
        <v>320</v>
      </c>
      <c r="AW1067" s="77">
        <f t="shared" si="364"/>
        <v>179</v>
      </c>
      <c r="AX1067" s="77" t="str">
        <f t="shared" si="364"/>
        <v>MEX</v>
      </c>
    </row>
    <row r="1068" spans="1:50" x14ac:dyDescent="0.25">
      <c r="A1068">
        <v>1054</v>
      </c>
      <c r="B1068" s="36" t="str">
        <f t="shared" si="349"/>
        <v>BARATA Y MORADA</v>
      </c>
      <c r="C1068" s="36">
        <f t="shared" si="349"/>
        <v>741</v>
      </c>
      <c r="D1068" s="118">
        <v>0.4777777777777778</v>
      </c>
      <c r="E1068" s="118">
        <v>0.48194444444444445</v>
      </c>
      <c r="F1068" s="119">
        <v>4.1666666666666519E-3</v>
      </c>
      <c r="G1068" s="118">
        <v>0.49513888888888885</v>
      </c>
      <c r="H1068" s="119">
        <v>1.3194444444444398E-2</v>
      </c>
      <c r="I1068" s="81">
        <v>41727</v>
      </c>
      <c r="J1068" s="36" t="str">
        <f t="shared" si="363"/>
        <v>Nacional</v>
      </c>
      <c r="K1068" s="36">
        <f t="shared" si="363"/>
        <v>7.070707070707046E-3</v>
      </c>
      <c r="L1068" s="36">
        <f t="shared" si="363"/>
        <v>8.9015151515151551E-3</v>
      </c>
      <c r="M1068" s="36">
        <f t="shared" si="363"/>
        <v>1.59722222222222E-2</v>
      </c>
      <c r="N1068" s="36">
        <f t="shared" si="363"/>
        <v>320</v>
      </c>
      <c r="O1068" s="36">
        <f t="shared" si="363"/>
        <v>179</v>
      </c>
      <c r="P1068" s="36" t="str">
        <f t="shared" si="363"/>
        <v>HMO</v>
      </c>
      <c r="R1068">
        <v>1054</v>
      </c>
      <c r="S1068" s="36" t="str">
        <f t="shared" si="359"/>
        <v>AVIONES ROJOS AIRLINES</v>
      </c>
      <c r="T1068" s="36">
        <f t="shared" si="359"/>
        <v>966</v>
      </c>
      <c r="U1068" s="73">
        <v>0.83333333333333337</v>
      </c>
      <c r="V1068" s="74">
        <v>0.84027777777777779</v>
      </c>
      <c r="W1068" s="75">
        <v>6.9444444444444198E-3</v>
      </c>
      <c r="X1068" s="74">
        <v>0.86805555555555547</v>
      </c>
      <c r="Y1068" s="75">
        <v>2.7777777777777679E-2</v>
      </c>
      <c r="Z1068" s="76">
        <v>41751</v>
      </c>
      <c r="AA1068" s="36" t="str">
        <f t="shared" si="362"/>
        <v>Internacional</v>
      </c>
      <c r="AB1068" s="36">
        <f t="shared" si="362"/>
        <v>8.0808080808080981E-3</v>
      </c>
      <c r="AC1068" s="36">
        <f t="shared" si="362"/>
        <v>1.6445707070707069E-2</v>
      </c>
      <c r="AD1068" s="36">
        <f t="shared" si="362"/>
        <v>2.4526515151515167E-2</v>
      </c>
      <c r="AE1068" s="36">
        <f t="shared" si="362"/>
        <v>320</v>
      </c>
      <c r="AF1068" s="36">
        <f t="shared" si="362"/>
        <v>179</v>
      </c>
      <c r="AG1068" s="36" t="str">
        <f t="shared" si="362"/>
        <v>ATL</v>
      </c>
      <c r="AI1068">
        <v>1054</v>
      </c>
      <c r="AJ1068" s="77" t="str">
        <f t="shared" si="353"/>
        <v>INTERAVIÓN</v>
      </c>
      <c r="AK1068" s="77">
        <f t="shared" si="353"/>
        <v>2216</v>
      </c>
      <c r="AL1068" s="189">
        <v>0.84166666666666667</v>
      </c>
      <c r="AM1068" s="144">
        <v>0.84722222222222221</v>
      </c>
      <c r="AN1068" s="80">
        <v>5.5555555555555358E-3</v>
      </c>
      <c r="AO1068" s="144">
        <v>0.8520833333333333</v>
      </c>
      <c r="AP1068" s="80">
        <v>4.8611111111110938E-3</v>
      </c>
      <c r="AQ1068" s="81">
        <v>41801</v>
      </c>
      <c r="AR1068" s="77" t="str">
        <f t="shared" si="364"/>
        <v>Nacional</v>
      </c>
      <c r="AS1068" s="77">
        <f t="shared" si="364"/>
        <v>8.2516339869281152E-3</v>
      </c>
      <c r="AT1068" s="77">
        <f t="shared" si="364"/>
        <v>7.4346405228758036E-3</v>
      </c>
      <c r="AU1068" s="77">
        <f t="shared" si="364"/>
        <v>1.5686274509803918E-2</v>
      </c>
      <c r="AV1068" s="77">
        <f t="shared" si="364"/>
        <v>320</v>
      </c>
      <c r="AW1068" s="77">
        <f t="shared" si="364"/>
        <v>179</v>
      </c>
      <c r="AX1068" s="77" t="str">
        <f t="shared" si="364"/>
        <v>MEX</v>
      </c>
    </row>
    <row r="1069" spans="1:50" ht="15.75" thickBot="1" x14ac:dyDescent="0.3">
      <c r="A1069">
        <v>1055</v>
      </c>
      <c r="B1069" s="36" t="str">
        <f t="shared" si="349"/>
        <v>BARATA Y MORADA</v>
      </c>
      <c r="C1069" s="36">
        <f t="shared" si="349"/>
        <v>741</v>
      </c>
      <c r="D1069" s="176">
        <v>0.47916666666666669</v>
      </c>
      <c r="E1069" s="176">
        <v>0.48819444444444443</v>
      </c>
      <c r="F1069" s="177">
        <v>9.0277777777777457E-3</v>
      </c>
      <c r="G1069" s="176">
        <v>0.5</v>
      </c>
      <c r="H1069" s="177">
        <v>1.1805555555555569E-2</v>
      </c>
      <c r="I1069" s="97">
        <v>41729</v>
      </c>
      <c r="J1069" s="36" t="str">
        <f t="shared" si="363"/>
        <v>Nacional</v>
      </c>
      <c r="K1069" s="36">
        <f t="shared" si="363"/>
        <v>7.070707070707046E-3</v>
      </c>
      <c r="L1069" s="36">
        <f t="shared" si="363"/>
        <v>8.9015151515151551E-3</v>
      </c>
      <c r="M1069" s="36">
        <f t="shared" si="363"/>
        <v>1.59722222222222E-2</v>
      </c>
      <c r="N1069" s="36">
        <f t="shared" si="363"/>
        <v>320</v>
      </c>
      <c r="O1069" s="36">
        <f t="shared" si="363"/>
        <v>179</v>
      </c>
      <c r="P1069" s="36" t="str">
        <f t="shared" si="363"/>
        <v>HMO</v>
      </c>
      <c r="R1069">
        <v>1055</v>
      </c>
      <c r="S1069" s="36" t="str">
        <f t="shared" si="359"/>
        <v>AVIONES ROJOS AIRLINES</v>
      </c>
      <c r="T1069" s="36">
        <f t="shared" si="359"/>
        <v>966</v>
      </c>
      <c r="U1069" s="73">
        <v>0.85069444444444453</v>
      </c>
      <c r="V1069" s="74">
        <v>0.85972222222222217</v>
      </c>
      <c r="W1069" s="75">
        <v>9.0277777777776347E-3</v>
      </c>
      <c r="X1069" s="74">
        <v>0.86388888888888893</v>
      </c>
      <c r="Y1069" s="75">
        <v>4.1666666666667629E-3</v>
      </c>
      <c r="Z1069" s="76">
        <v>41752</v>
      </c>
      <c r="AA1069" s="36" t="str">
        <f t="shared" si="362"/>
        <v>Internacional</v>
      </c>
      <c r="AB1069" s="36">
        <f t="shared" si="362"/>
        <v>8.0808080808080981E-3</v>
      </c>
      <c r="AC1069" s="36">
        <f t="shared" si="362"/>
        <v>1.6445707070707069E-2</v>
      </c>
      <c r="AD1069" s="36">
        <f t="shared" si="362"/>
        <v>2.4526515151515167E-2</v>
      </c>
      <c r="AE1069" s="36">
        <f t="shared" si="362"/>
        <v>320</v>
      </c>
      <c r="AF1069" s="36">
        <f t="shared" si="362"/>
        <v>179</v>
      </c>
      <c r="AG1069" s="36" t="str">
        <f t="shared" si="362"/>
        <v>ATL</v>
      </c>
      <c r="AI1069">
        <v>1055</v>
      </c>
      <c r="AJ1069" s="77" t="str">
        <f t="shared" si="353"/>
        <v>INTERAVIÓN</v>
      </c>
      <c r="AK1069" s="77">
        <f t="shared" si="353"/>
        <v>2216</v>
      </c>
      <c r="AL1069" s="186">
        <v>0.56458333333333333</v>
      </c>
      <c r="AM1069" s="79">
        <v>0.57361111111111118</v>
      </c>
      <c r="AN1069" s="80">
        <v>9.0277777777778567E-3</v>
      </c>
      <c r="AO1069" s="79">
        <v>0.58333333333333337</v>
      </c>
      <c r="AP1069" s="80">
        <v>9.7222222222221877E-3</v>
      </c>
      <c r="AQ1069" s="81">
        <v>41802</v>
      </c>
      <c r="AR1069" s="77" t="str">
        <f t="shared" si="364"/>
        <v>Nacional</v>
      </c>
      <c r="AS1069" s="77">
        <f t="shared" si="364"/>
        <v>8.2516339869281152E-3</v>
      </c>
      <c r="AT1069" s="77">
        <f t="shared" si="364"/>
        <v>7.4346405228758036E-3</v>
      </c>
      <c r="AU1069" s="77">
        <f t="shared" si="364"/>
        <v>1.5686274509803918E-2</v>
      </c>
      <c r="AV1069" s="77">
        <f t="shared" si="364"/>
        <v>320</v>
      </c>
      <c r="AW1069" s="77">
        <f t="shared" si="364"/>
        <v>179</v>
      </c>
      <c r="AX1069" s="77" t="str">
        <f t="shared" si="364"/>
        <v>MEX</v>
      </c>
    </row>
    <row r="1070" spans="1:50" x14ac:dyDescent="0.25">
      <c r="A1070">
        <v>1056</v>
      </c>
      <c r="B1070" s="36" t="str">
        <f t="shared" si="349"/>
        <v>BARATA Y MORADA</v>
      </c>
      <c r="C1070" s="151">
        <v>738</v>
      </c>
      <c r="D1070" s="152">
        <v>0.59097222222222223</v>
      </c>
      <c r="E1070" s="152">
        <v>0.60069444444444442</v>
      </c>
      <c r="F1070" s="153">
        <v>9.7222222222221877E-3</v>
      </c>
      <c r="G1070" s="152">
        <v>0.60486111111111118</v>
      </c>
      <c r="H1070" s="153">
        <v>4.1666666666667629E-3</v>
      </c>
      <c r="I1070" s="67">
        <v>41717</v>
      </c>
      <c r="J1070" s="174" t="s">
        <v>19</v>
      </c>
      <c r="K1070" s="135">
        <v>8.3333333333333037E-3</v>
      </c>
      <c r="L1070" s="135">
        <v>7.2916666666667518E-3</v>
      </c>
      <c r="M1070" s="175">
        <v>1.5625000000000056E-2</v>
      </c>
      <c r="N1070" s="90" t="s">
        <v>57</v>
      </c>
      <c r="O1070" s="91">
        <v>142</v>
      </c>
      <c r="P1070" s="92" t="s">
        <v>21</v>
      </c>
      <c r="R1070">
        <v>1056</v>
      </c>
      <c r="S1070" s="36" t="str">
        <f t="shared" si="359"/>
        <v>AVIONES ROJOS AIRLINES</v>
      </c>
      <c r="T1070" s="36">
        <f t="shared" si="359"/>
        <v>966</v>
      </c>
      <c r="U1070" s="73">
        <v>0.84097222222222223</v>
      </c>
      <c r="V1070" s="74">
        <v>0.86458333333333337</v>
      </c>
      <c r="W1070" s="75">
        <v>2.3611111111111138E-2</v>
      </c>
      <c r="X1070" s="74">
        <v>0.87152777777777779</v>
      </c>
      <c r="Y1070" s="75">
        <v>6.9444444444444198E-3</v>
      </c>
      <c r="Z1070" s="76">
        <v>41752</v>
      </c>
      <c r="AA1070" s="36" t="str">
        <f t="shared" si="362"/>
        <v>Internacional</v>
      </c>
      <c r="AB1070" s="36">
        <f t="shared" si="362"/>
        <v>8.0808080808080981E-3</v>
      </c>
      <c r="AC1070" s="36">
        <f t="shared" si="362"/>
        <v>1.6445707070707069E-2</v>
      </c>
      <c r="AD1070" s="36">
        <f t="shared" si="362"/>
        <v>2.4526515151515167E-2</v>
      </c>
      <c r="AE1070" s="36">
        <f t="shared" si="362"/>
        <v>320</v>
      </c>
      <c r="AF1070" s="36">
        <f t="shared" si="362"/>
        <v>179</v>
      </c>
      <c r="AG1070" s="36" t="str">
        <f t="shared" si="362"/>
        <v>ATL</v>
      </c>
      <c r="AI1070">
        <v>1056</v>
      </c>
      <c r="AJ1070" s="77" t="str">
        <f t="shared" si="353"/>
        <v>INTERAVIÓN</v>
      </c>
      <c r="AK1070" s="77">
        <f t="shared" si="353"/>
        <v>2216</v>
      </c>
      <c r="AL1070" s="186">
        <v>0.44444444444444442</v>
      </c>
      <c r="AM1070" s="79">
        <v>0.45555555555555555</v>
      </c>
      <c r="AN1070" s="80">
        <v>1.1111111111111127E-2</v>
      </c>
      <c r="AO1070" s="79">
        <v>0.46180555555555558</v>
      </c>
      <c r="AP1070" s="80">
        <v>6.2500000000000333E-3</v>
      </c>
      <c r="AQ1070" s="81">
        <v>41803</v>
      </c>
      <c r="AR1070" s="77" t="str">
        <f t="shared" si="364"/>
        <v>Nacional</v>
      </c>
      <c r="AS1070" s="77">
        <f t="shared" si="364"/>
        <v>8.2516339869281152E-3</v>
      </c>
      <c r="AT1070" s="77">
        <f t="shared" si="364"/>
        <v>7.4346405228758036E-3</v>
      </c>
      <c r="AU1070" s="77">
        <f t="shared" si="364"/>
        <v>1.5686274509803918E-2</v>
      </c>
      <c r="AV1070" s="77">
        <f t="shared" si="364"/>
        <v>320</v>
      </c>
      <c r="AW1070" s="77">
        <f t="shared" si="364"/>
        <v>179</v>
      </c>
      <c r="AX1070" s="77" t="str">
        <f t="shared" si="364"/>
        <v>MEX</v>
      </c>
    </row>
    <row r="1071" spans="1:50" ht="15.75" thickBot="1" x14ac:dyDescent="0.3">
      <c r="A1071">
        <v>1057</v>
      </c>
      <c r="B1071" s="36" t="str">
        <f t="shared" si="349"/>
        <v>BARATA Y MORADA</v>
      </c>
      <c r="C1071" s="36">
        <f>C1070</f>
        <v>738</v>
      </c>
      <c r="D1071" s="176">
        <v>0.5756944444444444</v>
      </c>
      <c r="E1071" s="176">
        <v>0.58263888888888882</v>
      </c>
      <c r="F1071" s="177">
        <v>6.9444444444444198E-3</v>
      </c>
      <c r="G1071" s="176">
        <v>0.59305555555555556</v>
      </c>
      <c r="H1071" s="177">
        <v>1.0416666666666741E-2</v>
      </c>
      <c r="I1071" s="97">
        <v>41725</v>
      </c>
      <c r="J1071" s="36" t="str">
        <f t="shared" ref="J1071:P1071" si="365">J1070</f>
        <v>Nacional</v>
      </c>
      <c r="K1071" s="36">
        <f t="shared" si="365"/>
        <v>8.3333333333333037E-3</v>
      </c>
      <c r="L1071" s="36">
        <f t="shared" si="365"/>
        <v>7.2916666666667518E-3</v>
      </c>
      <c r="M1071" s="36">
        <f t="shared" si="365"/>
        <v>1.5625000000000056E-2</v>
      </c>
      <c r="N1071" s="36" t="str">
        <f t="shared" si="365"/>
        <v>A319</v>
      </c>
      <c r="O1071" s="36">
        <f t="shared" si="365"/>
        <v>142</v>
      </c>
      <c r="P1071" s="36" t="str">
        <f t="shared" si="365"/>
        <v>MEX</v>
      </c>
      <c r="R1071">
        <v>1057</v>
      </c>
      <c r="S1071" s="36" t="str">
        <f t="shared" si="359"/>
        <v>AVIONES ROJOS AIRLINES</v>
      </c>
      <c r="T1071" s="36">
        <f t="shared" si="359"/>
        <v>966</v>
      </c>
      <c r="U1071" s="73">
        <v>0.84375</v>
      </c>
      <c r="V1071" s="74">
        <v>0.85069444444444453</v>
      </c>
      <c r="W1071" s="75">
        <v>6.9444444444445308E-3</v>
      </c>
      <c r="X1071" s="74">
        <v>0.86111111111111116</v>
      </c>
      <c r="Y1071" s="75">
        <v>1.041666666666663E-2</v>
      </c>
      <c r="Z1071" s="76">
        <v>41754</v>
      </c>
      <c r="AA1071" s="36" t="str">
        <f t="shared" si="362"/>
        <v>Internacional</v>
      </c>
      <c r="AB1071" s="36">
        <f t="shared" si="362"/>
        <v>8.0808080808080981E-3</v>
      </c>
      <c r="AC1071" s="36">
        <f t="shared" si="362"/>
        <v>1.6445707070707069E-2</v>
      </c>
      <c r="AD1071" s="36">
        <f t="shared" si="362"/>
        <v>2.4526515151515167E-2</v>
      </c>
      <c r="AE1071" s="36">
        <f t="shared" si="362"/>
        <v>320</v>
      </c>
      <c r="AF1071" s="36">
        <f t="shared" si="362"/>
        <v>179</v>
      </c>
      <c r="AG1071" s="36" t="str">
        <f t="shared" si="362"/>
        <v>ATL</v>
      </c>
      <c r="AI1071">
        <v>1057</v>
      </c>
      <c r="AJ1071" s="77" t="str">
        <f t="shared" si="353"/>
        <v>INTERAVIÓN</v>
      </c>
      <c r="AK1071" s="77">
        <f t="shared" si="353"/>
        <v>2216</v>
      </c>
      <c r="AL1071" s="186">
        <v>0.45416666666666666</v>
      </c>
      <c r="AM1071" s="79">
        <v>0.46458333333333335</v>
      </c>
      <c r="AN1071" s="80">
        <v>1.0416666666666685E-2</v>
      </c>
      <c r="AO1071" s="79">
        <v>0.47986111111111113</v>
      </c>
      <c r="AP1071" s="80">
        <v>1.5277777777777779E-2</v>
      </c>
      <c r="AQ1071" s="81">
        <v>41805</v>
      </c>
      <c r="AR1071" s="77" t="str">
        <f t="shared" si="364"/>
        <v>Nacional</v>
      </c>
      <c r="AS1071" s="77">
        <f t="shared" si="364"/>
        <v>8.2516339869281152E-3</v>
      </c>
      <c r="AT1071" s="77">
        <f t="shared" si="364"/>
        <v>7.4346405228758036E-3</v>
      </c>
      <c r="AU1071" s="77">
        <f t="shared" si="364"/>
        <v>1.5686274509803918E-2</v>
      </c>
      <c r="AV1071" s="77">
        <f t="shared" si="364"/>
        <v>320</v>
      </c>
      <c r="AW1071" s="77">
        <f t="shared" si="364"/>
        <v>179</v>
      </c>
      <c r="AX1071" s="77" t="str">
        <f t="shared" si="364"/>
        <v>MEX</v>
      </c>
    </row>
    <row r="1072" spans="1:50" x14ac:dyDescent="0.25">
      <c r="A1072">
        <v>1058</v>
      </c>
      <c r="B1072" s="36" t="str">
        <f t="shared" si="349"/>
        <v>BARATA Y MORADA</v>
      </c>
      <c r="C1072" s="151">
        <v>732</v>
      </c>
      <c r="D1072" s="152">
        <v>0.37638888888888888</v>
      </c>
      <c r="E1072" s="152">
        <v>0.38125000000000003</v>
      </c>
      <c r="F1072" s="153">
        <v>4.8611111111111494E-3</v>
      </c>
      <c r="G1072" s="152">
        <v>0.38958333333333334</v>
      </c>
      <c r="H1072" s="153">
        <v>8.3333333333333037E-3</v>
      </c>
      <c r="I1072" s="67">
        <v>41714</v>
      </c>
      <c r="J1072" s="174" t="s">
        <v>19</v>
      </c>
      <c r="K1072" s="135">
        <v>6.3131313131313113E-3</v>
      </c>
      <c r="L1072" s="135">
        <v>8.7752525252525141E-3</v>
      </c>
      <c r="M1072" s="175">
        <v>1.5088383838383825E-2</v>
      </c>
      <c r="N1072" s="90" t="s">
        <v>57</v>
      </c>
      <c r="O1072" s="91">
        <v>142</v>
      </c>
      <c r="P1072" s="92" t="s">
        <v>21</v>
      </c>
      <c r="R1072">
        <v>1058</v>
      </c>
      <c r="S1072" s="36" t="str">
        <f t="shared" si="359"/>
        <v>AVIONES ROJOS AIRLINES</v>
      </c>
      <c r="T1072" s="36">
        <f t="shared" si="359"/>
        <v>966</v>
      </c>
      <c r="U1072" s="73">
        <v>0.84652777777777777</v>
      </c>
      <c r="V1072" s="74">
        <v>0.85555555555555562</v>
      </c>
      <c r="W1072" s="75">
        <v>9.0277777777778567E-3</v>
      </c>
      <c r="X1072" s="74">
        <v>0.87708333333333333</v>
      </c>
      <c r="Y1072" s="75">
        <v>2.1527777777777701E-2</v>
      </c>
      <c r="Z1072" s="76">
        <v>41755</v>
      </c>
      <c r="AA1072" s="36" t="str">
        <f t="shared" si="362"/>
        <v>Internacional</v>
      </c>
      <c r="AB1072" s="36">
        <f t="shared" si="362"/>
        <v>8.0808080808080981E-3</v>
      </c>
      <c r="AC1072" s="36">
        <f t="shared" si="362"/>
        <v>1.6445707070707069E-2</v>
      </c>
      <c r="AD1072" s="36">
        <f t="shared" si="362"/>
        <v>2.4526515151515167E-2</v>
      </c>
      <c r="AE1072" s="36">
        <f t="shared" si="362"/>
        <v>320</v>
      </c>
      <c r="AF1072" s="36">
        <f t="shared" si="362"/>
        <v>179</v>
      </c>
      <c r="AG1072" s="36" t="str">
        <f t="shared" si="362"/>
        <v>ATL</v>
      </c>
      <c r="AI1072">
        <v>1058</v>
      </c>
      <c r="AJ1072" s="77" t="str">
        <f t="shared" si="353"/>
        <v>INTERAVIÓN</v>
      </c>
      <c r="AK1072" s="77">
        <f t="shared" si="353"/>
        <v>2216</v>
      </c>
      <c r="AL1072" s="186">
        <v>0.90902777777777777</v>
      </c>
      <c r="AM1072" s="79">
        <v>0.9194444444444444</v>
      </c>
      <c r="AN1072" s="80">
        <v>1.041666666666663E-2</v>
      </c>
      <c r="AO1072" s="79">
        <v>0.93472222222222223</v>
      </c>
      <c r="AP1072" s="80">
        <v>1.5277777777777835E-2</v>
      </c>
      <c r="AQ1072" s="81">
        <v>41806</v>
      </c>
      <c r="AR1072" s="77" t="str">
        <f t="shared" si="364"/>
        <v>Nacional</v>
      </c>
      <c r="AS1072" s="77">
        <f t="shared" si="364"/>
        <v>8.2516339869281152E-3</v>
      </c>
      <c r="AT1072" s="77">
        <f t="shared" si="364"/>
        <v>7.4346405228758036E-3</v>
      </c>
      <c r="AU1072" s="77">
        <f t="shared" si="364"/>
        <v>1.5686274509803918E-2</v>
      </c>
      <c r="AV1072" s="77">
        <f t="shared" si="364"/>
        <v>320</v>
      </c>
      <c r="AW1072" s="77">
        <f t="shared" si="364"/>
        <v>179</v>
      </c>
      <c r="AX1072" s="77" t="str">
        <f t="shared" si="364"/>
        <v>MEX</v>
      </c>
    </row>
    <row r="1073" spans="1:50" x14ac:dyDescent="0.25">
      <c r="A1073">
        <v>1059</v>
      </c>
      <c r="B1073" s="36" t="str">
        <f t="shared" si="349"/>
        <v>BARATA Y MORADA</v>
      </c>
      <c r="C1073" s="36">
        <f t="shared" si="349"/>
        <v>732</v>
      </c>
      <c r="D1073" s="118">
        <v>0.375</v>
      </c>
      <c r="E1073" s="118">
        <v>0.3833333333333333</v>
      </c>
      <c r="F1073" s="119">
        <v>8.3333333333333037E-3</v>
      </c>
      <c r="G1073" s="118">
        <v>0.39374999999999999</v>
      </c>
      <c r="H1073" s="119">
        <v>1.0416666666666685E-2</v>
      </c>
      <c r="I1073" s="81">
        <v>41715</v>
      </c>
      <c r="J1073" s="36" t="str">
        <f t="shared" ref="J1073:P1082" si="366">J1072</f>
        <v>Nacional</v>
      </c>
      <c r="K1073" s="36">
        <f t="shared" si="366"/>
        <v>6.3131313131313113E-3</v>
      </c>
      <c r="L1073" s="36">
        <f t="shared" si="366"/>
        <v>8.7752525252525141E-3</v>
      </c>
      <c r="M1073" s="36">
        <f t="shared" si="366"/>
        <v>1.5088383838383825E-2</v>
      </c>
      <c r="N1073" s="36" t="str">
        <f t="shared" si="366"/>
        <v>A319</v>
      </c>
      <c r="O1073" s="36">
        <f t="shared" si="366"/>
        <v>142</v>
      </c>
      <c r="P1073" s="36" t="str">
        <f t="shared" si="366"/>
        <v>MEX</v>
      </c>
      <c r="R1073">
        <v>1059</v>
      </c>
      <c r="S1073" s="36" t="str">
        <f t="shared" si="359"/>
        <v>AVIONES ROJOS AIRLINES</v>
      </c>
      <c r="T1073" s="36">
        <f t="shared" si="359"/>
        <v>966</v>
      </c>
      <c r="U1073" s="73">
        <v>0.875</v>
      </c>
      <c r="V1073" s="74">
        <v>0.88402777777777775</v>
      </c>
      <c r="W1073" s="75">
        <v>9.0277777777777457E-3</v>
      </c>
      <c r="X1073" s="74">
        <v>0.89722222222222225</v>
      </c>
      <c r="Y1073" s="75">
        <v>1.3194444444444509E-2</v>
      </c>
      <c r="Z1073" s="76">
        <v>41756</v>
      </c>
      <c r="AA1073" s="36" t="str">
        <f t="shared" si="362"/>
        <v>Internacional</v>
      </c>
      <c r="AB1073" s="36">
        <f t="shared" si="362"/>
        <v>8.0808080808080981E-3</v>
      </c>
      <c r="AC1073" s="36">
        <f t="shared" si="362"/>
        <v>1.6445707070707069E-2</v>
      </c>
      <c r="AD1073" s="36">
        <f t="shared" si="362"/>
        <v>2.4526515151515167E-2</v>
      </c>
      <c r="AE1073" s="36">
        <f t="shared" si="362"/>
        <v>320</v>
      </c>
      <c r="AF1073" s="36">
        <f t="shared" si="362"/>
        <v>179</v>
      </c>
      <c r="AG1073" s="36" t="str">
        <f t="shared" si="362"/>
        <v>ATL</v>
      </c>
      <c r="AI1073">
        <v>1059</v>
      </c>
      <c r="AJ1073" s="77" t="str">
        <f t="shared" si="353"/>
        <v>INTERAVIÓN</v>
      </c>
      <c r="AK1073" s="77">
        <f t="shared" si="353"/>
        <v>2216</v>
      </c>
      <c r="AL1073" s="186">
        <v>0.87777777777777777</v>
      </c>
      <c r="AM1073" s="79">
        <v>0.89097222222222217</v>
      </c>
      <c r="AN1073" s="80">
        <v>1.3194444444444398E-2</v>
      </c>
      <c r="AO1073" s="79">
        <v>0.8965277777777777</v>
      </c>
      <c r="AP1073" s="80">
        <v>5.5555555555555358E-3</v>
      </c>
      <c r="AQ1073" s="81">
        <v>41807</v>
      </c>
      <c r="AR1073" s="77" t="str">
        <f t="shared" si="364"/>
        <v>Nacional</v>
      </c>
      <c r="AS1073" s="77">
        <f t="shared" si="364"/>
        <v>8.2516339869281152E-3</v>
      </c>
      <c r="AT1073" s="77">
        <f t="shared" si="364"/>
        <v>7.4346405228758036E-3</v>
      </c>
      <c r="AU1073" s="77">
        <f t="shared" si="364"/>
        <v>1.5686274509803918E-2</v>
      </c>
      <c r="AV1073" s="77">
        <f t="shared" si="364"/>
        <v>320</v>
      </c>
      <c r="AW1073" s="77">
        <f t="shared" si="364"/>
        <v>179</v>
      </c>
      <c r="AX1073" s="77" t="str">
        <f t="shared" si="364"/>
        <v>MEX</v>
      </c>
    </row>
    <row r="1074" spans="1:50" x14ac:dyDescent="0.25">
      <c r="A1074">
        <v>1060</v>
      </c>
      <c r="B1074" s="36" t="str">
        <f t="shared" si="349"/>
        <v>BARATA Y MORADA</v>
      </c>
      <c r="C1074" s="36">
        <f t="shared" si="349"/>
        <v>732</v>
      </c>
      <c r="D1074" s="118">
        <v>0.39374999999999999</v>
      </c>
      <c r="E1074" s="118">
        <v>0.39930555555555558</v>
      </c>
      <c r="F1074" s="119">
        <v>5.5555555555555913E-3</v>
      </c>
      <c r="G1074" s="118">
        <v>0.40625</v>
      </c>
      <c r="H1074" s="119">
        <v>6.9444444444444198E-3</v>
      </c>
      <c r="I1074" s="81">
        <v>41717</v>
      </c>
      <c r="J1074" s="36" t="str">
        <f t="shared" si="366"/>
        <v>Nacional</v>
      </c>
      <c r="K1074" s="36">
        <f t="shared" si="366"/>
        <v>6.3131313131313113E-3</v>
      </c>
      <c r="L1074" s="36">
        <f t="shared" si="366"/>
        <v>8.7752525252525141E-3</v>
      </c>
      <c r="M1074" s="36">
        <f t="shared" si="366"/>
        <v>1.5088383838383825E-2</v>
      </c>
      <c r="N1074" s="36" t="str">
        <f t="shared" si="366"/>
        <v>A319</v>
      </c>
      <c r="O1074" s="36">
        <f t="shared" si="366"/>
        <v>142</v>
      </c>
      <c r="P1074" s="36" t="str">
        <f t="shared" si="366"/>
        <v>MEX</v>
      </c>
      <c r="R1074">
        <v>1060</v>
      </c>
      <c r="S1074" s="36" t="str">
        <f t="shared" si="359"/>
        <v>AVIONES ROJOS AIRLINES</v>
      </c>
      <c r="T1074" s="36">
        <f t="shared" si="359"/>
        <v>966</v>
      </c>
      <c r="U1074" s="73">
        <v>0.88263888888888886</v>
      </c>
      <c r="V1074" s="74">
        <v>0.89166666666666661</v>
      </c>
      <c r="W1074" s="75">
        <v>9.0277777777777457E-3</v>
      </c>
      <c r="X1074" s="74">
        <v>0.90694444444444444</v>
      </c>
      <c r="Y1074" s="75">
        <v>1.5277777777777835E-2</v>
      </c>
      <c r="Z1074" s="76">
        <v>41757</v>
      </c>
      <c r="AA1074" s="36" t="str">
        <f t="shared" si="362"/>
        <v>Internacional</v>
      </c>
      <c r="AB1074" s="36">
        <f t="shared" si="362"/>
        <v>8.0808080808080981E-3</v>
      </c>
      <c r="AC1074" s="36">
        <f t="shared" si="362"/>
        <v>1.6445707070707069E-2</v>
      </c>
      <c r="AD1074" s="36">
        <f t="shared" si="362"/>
        <v>2.4526515151515167E-2</v>
      </c>
      <c r="AE1074" s="36">
        <f t="shared" si="362"/>
        <v>320</v>
      </c>
      <c r="AF1074" s="36">
        <f t="shared" si="362"/>
        <v>179</v>
      </c>
      <c r="AG1074" s="36" t="str">
        <f t="shared" si="362"/>
        <v>ATL</v>
      </c>
      <c r="AI1074">
        <v>1060</v>
      </c>
      <c r="AJ1074" s="77" t="str">
        <f t="shared" si="353"/>
        <v>INTERAVIÓN</v>
      </c>
      <c r="AK1074" s="77">
        <f t="shared" si="353"/>
        <v>2216</v>
      </c>
      <c r="AL1074" s="186">
        <v>0.85486111111111107</v>
      </c>
      <c r="AM1074" s="79">
        <v>0.8618055555555556</v>
      </c>
      <c r="AN1074" s="80">
        <v>6.9444444444445308E-3</v>
      </c>
      <c r="AO1074" s="79">
        <v>0.86736111111111114</v>
      </c>
      <c r="AP1074" s="80">
        <v>5.5555555555555358E-3</v>
      </c>
      <c r="AQ1074" s="81">
        <v>41808</v>
      </c>
      <c r="AR1074" s="77" t="str">
        <f t="shared" si="364"/>
        <v>Nacional</v>
      </c>
      <c r="AS1074" s="77">
        <f t="shared" si="364"/>
        <v>8.2516339869281152E-3</v>
      </c>
      <c r="AT1074" s="77">
        <f t="shared" si="364"/>
        <v>7.4346405228758036E-3</v>
      </c>
      <c r="AU1074" s="77">
        <f t="shared" si="364"/>
        <v>1.5686274509803918E-2</v>
      </c>
      <c r="AV1074" s="77">
        <f t="shared" si="364"/>
        <v>320</v>
      </c>
      <c r="AW1074" s="77">
        <f t="shared" si="364"/>
        <v>179</v>
      </c>
      <c r="AX1074" s="77" t="str">
        <f t="shared" si="364"/>
        <v>MEX</v>
      </c>
    </row>
    <row r="1075" spans="1:50" x14ac:dyDescent="0.25">
      <c r="A1075">
        <v>1061</v>
      </c>
      <c r="B1075" s="36" t="str">
        <f t="shared" si="349"/>
        <v>BARATA Y MORADA</v>
      </c>
      <c r="C1075" s="36">
        <f t="shared" si="349"/>
        <v>732</v>
      </c>
      <c r="D1075" s="118">
        <v>0.37847222222222227</v>
      </c>
      <c r="E1075" s="118">
        <v>0.38750000000000001</v>
      </c>
      <c r="F1075" s="119">
        <v>9.0277777777777457E-3</v>
      </c>
      <c r="G1075" s="118">
        <v>0.39513888888888887</v>
      </c>
      <c r="H1075" s="119">
        <v>7.6388888888888618E-3</v>
      </c>
      <c r="I1075" s="81">
        <v>41718</v>
      </c>
      <c r="J1075" s="36" t="str">
        <f t="shared" si="366"/>
        <v>Nacional</v>
      </c>
      <c r="K1075" s="36">
        <f t="shared" si="366"/>
        <v>6.3131313131313113E-3</v>
      </c>
      <c r="L1075" s="36">
        <f t="shared" si="366"/>
        <v>8.7752525252525141E-3</v>
      </c>
      <c r="M1075" s="36">
        <f t="shared" si="366"/>
        <v>1.5088383838383825E-2</v>
      </c>
      <c r="N1075" s="36" t="str">
        <f t="shared" si="366"/>
        <v>A319</v>
      </c>
      <c r="O1075" s="36">
        <f t="shared" si="366"/>
        <v>142</v>
      </c>
      <c r="P1075" s="36" t="str">
        <f t="shared" si="366"/>
        <v>MEX</v>
      </c>
      <c r="R1075">
        <v>1061</v>
      </c>
      <c r="S1075" s="36" t="str">
        <f t="shared" si="359"/>
        <v>AVIONES ROJOS AIRLINES</v>
      </c>
      <c r="T1075" s="36">
        <f t="shared" si="359"/>
        <v>966</v>
      </c>
      <c r="U1075" s="73">
        <v>0.87083333333333324</v>
      </c>
      <c r="V1075" s="74">
        <v>0.87777777777777777</v>
      </c>
      <c r="W1075" s="75">
        <v>6.9444444444445308E-3</v>
      </c>
      <c r="X1075" s="74">
        <v>0.90625</v>
      </c>
      <c r="Y1075" s="75">
        <v>2.8472222222222232E-2</v>
      </c>
      <c r="Z1075" s="76">
        <v>41758</v>
      </c>
      <c r="AA1075" s="36" t="str">
        <f t="shared" si="362"/>
        <v>Internacional</v>
      </c>
      <c r="AB1075" s="36">
        <f t="shared" si="362"/>
        <v>8.0808080808080981E-3</v>
      </c>
      <c r="AC1075" s="36">
        <f t="shared" si="362"/>
        <v>1.6445707070707069E-2</v>
      </c>
      <c r="AD1075" s="36">
        <f t="shared" si="362"/>
        <v>2.4526515151515167E-2</v>
      </c>
      <c r="AE1075" s="36">
        <f t="shared" si="362"/>
        <v>320</v>
      </c>
      <c r="AF1075" s="36">
        <f t="shared" si="362"/>
        <v>179</v>
      </c>
      <c r="AG1075" s="36" t="str">
        <f t="shared" si="362"/>
        <v>ATL</v>
      </c>
      <c r="AI1075">
        <v>1061</v>
      </c>
      <c r="AJ1075" s="77" t="str">
        <f t="shared" si="353"/>
        <v>INTERAVIÓN</v>
      </c>
      <c r="AK1075" s="77">
        <f t="shared" si="353"/>
        <v>2216</v>
      </c>
      <c r="AL1075" s="186">
        <v>0.87708333333333333</v>
      </c>
      <c r="AM1075" s="79">
        <v>0.88680555555555562</v>
      </c>
      <c r="AN1075" s="80">
        <v>9.7222222222222987E-3</v>
      </c>
      <c r="AO1075" s="79">
        <v>0.89097222222222217</v>
      </c>
      <c r="AP1075" s="80">
        <v>4.1666666666665408E-3</v>
      </c>
      <c r="AQ1075" s="81">
        <v>41809</v>
      </c>
      <c r="AR1075" s="77" t="str">
        <f t="shared" si="364"/>
        <v>Nacional</v>
      </c>
      <c r="AS1075" s="77">
        <f t="shared" si="364"/>
        <v>8.2516339869281152E-3</v>
      </c>
      <c r="AT1075" s="77">
        <f t="shared" si="364"/>
        <v>7.4346405228758036E-3</v>
      </c>
      <c r="AU1075" s="77">
        <f t="shared" si="364"/>
        <v>1.5686274509803918E-2</v>
      </c>
      <c r="AV1075" s="77">
        <f t="shared" si="364"/>
        <v>320</v>
      </c>
      <c r="AW1075" s="77">
        <f t="shared" si="364"/>
        <v>179</v>
      </c>
      <c r="AX1075" s="77" t="str">
        <f t="shared" si="364"/>
        <v>MEX</v>
      </c>
    </row>
    <row r="1076" spans="1:50" ht="15.75" thickBot="1" x14ac:dyDescent="0.3">
      <c r="A1076">
        <v>1062</v>
      </c>
      <c r="B1076" s="36" t="str">
        <f t="shared" si="349"/>
        <v>BARATA Y MORADA</v>
      </c>
      <c r="C1076" s="36">
        <f t="shared" si="349"/>
        <v>732</v>
      </c>
      <c r="D1076" s="118">
        <v>0.37013888888888885</v>
      </c>
      <c r="E1076" s="118">
        <v>0.37638888888888888</v>
      </c>
      <c r="F1076" s="119">
        <v>6.2500000000000333E-3</v>
      </c>
      <c r="G1076" s="118">
        <v>0.38680555555555557</v>
      </c>
      <c r="H1076" s="119">
        <v>1.0416666666666685E-2</v>
      </c>
      <c r="I1076" s="81">
        <v>41721</v>
      </c>
      <c r="J1076" s="36" t="str">
        <f t="shared" si="366"/>
        <v>Nacional</v>
      </c>
      <c r="K1076" s="36">
        <f t="shared" si="366"/>
        <v>6.3131313131313113E-3</v>
      </c>
      <c r="L1076" s="36">
        <f t="shared" si="366"/>
        <v>8.7752525252525141E-3</v>
      </c>
      <c r="M1076" s="36">
        <f t="shared" si="366"/>
        <v>1.5088383838383825E-2</v>
      </c>
      <c r="N1076" s="36" t="str">
        <f t="shared" si="366"/>
        <v>A319</v>
      </c>
      <c r="O1076" s="36">
        <f t="shared" si="366"/>
        <v>142</v>
      </c>
      <c r="P1076" s="36" t="str">
        <f t="shared" si="366"/>
        <v>MEX</v>
      </c>
      <c r="R1076">
        <v>1062</v>
      </c>
      <c r="S1076" s="36" t="str">
        <f t="shared" si="359"/>
        <v>AVIONES ROJOS AIRLINES</v>
      </c>
      <c r="T1076" s="36">
        <f t="shared" si="359"/>
        <v>966</v>
      </c>
      <c r="U1076" s="83">
        <v>0.87638888888888899</v>
      </c>
      <c r="V1076" s="84">
        <v>0.8833333333333333</v>
      </c>
      <c r="W1076" s="85">
        <v>6.9444444444443088E-3</v>
      </c>
      <c r="X1076" s="84">
        <v>0.90763888888888899</v>
      </c>
      <c r="Y1076" s="85">
        <v>2.4305555555555691E-2</v>
      </c>
      <c r="Z1076" s="86">
        <v>41759</v>
      </c>
      <c r="AA1076" s="36" t="str">
        <f t="shared" si="362"/>
        <v>Internacional</v>
      </c>
      <c r="AB1076" s="36">
        <f t="shared" si="362"/>
        <v>8.0808080808080981E-3</v>
      </c>
      <c r="AC1076" s="36">
        <f t="shared" si="362"/>
        <v>1.6445707070707069E-2</v>
      </c>
      <c r="AD1076" s="36">
        <f t="shared" si="362"/>
        <v>2.4526515151515167E-2</v>
      </c>
      <c r="AE1076" s="36">
        <f t="shared" si="362"/>
        <v>320</v>
      </c>
      <c r="AF1076" s="36">
        <f t="shared" si="362"/>
        <v>179</v>
      </c>
      <c r="AG1076" s="36" t="str">
        <f t="shared" si="362"/>
        <v>ATL</v>
      </c>
      <c r="AI1076">
        <v>1062</v>
      </c>
      <c r="AJ1076" s="77" t="str">
        <f t="shared" si="353"/>
        <v>INTERAVIÓN</v>
      </c>
      <c r="AK1076" s="77">
        <f t="shared" si="353"/>
        <v>2216</v>
      </c>
      <c r="AL1076" s="186">
        <v>0.8666666666666667</v>
      </c>
      <c r="AM1076" s="79">
        <v>0.87777777777777777</v>
      </c>
      <c r="AN1076" s="80">
        <v>1.1111111111111072E-2</v>
      </c>
      <c r="AO1076" s="79">
        <v>0.88680555555555562</v>
      </c>
      <c r="AP1076" s="80">
        <v>9.0277777777778567E-3</v>
      </c>
      <c r="AQ1076" s="81">
        <v>41810</v>
      </c>
      <c r="AR1076" s="77" t="str">
        <f t="shared" si="364"/>
        <v>Nacional</v>
      </c>
      <c r="AS1076" s="77">
        <f t="shared" si="364"/>
        <v>8.2516339869281152E-3</v>
      </c>
      <c r="AT1076" s="77">
        <f t="shared" si="364"/>
        <v>7.4346405228758036E-3</v>
      </c>
      <c r="AU1076" s="77">
        <f t="shared" si="364"/>
        <v>1.5686274509803918E-2</v>
      </c>
      <c r="AV1076" s="77">
        <f t="shared" si="364"/>
        <v>320</v>
      </c>
      <c r="AW1076" s="77">
        <f t="shared" si="364"/>
        <v>179</v>
      </c>
      <c r="AX1076" s="77" t="str">
        <f t="shared" si="364"/>
        <v>MEX</v>
      </c>
    </row>
    <row r="1077" spans="1:50" x14ac:dyDescent="0.25">
      <c r="A1077">
        <v>1063</v>
      </c>
      <c r="B1077" s="36" t="str">
        <f t="shared" si="349"/>
        <v>BARATA Y MORADA</v>
      </c>
      <c r="C1077" s="36">
        <f t="shared" si="349"/>
        <v>732</v>
      </c>
      <c r="D1077" s="118">
        <v>0.37291666666666662</v>
      </c>
      <c r="E1077" s="118">
        <v>0.38055555555555554</v>
      </c>
      <c r="F1077" s="119">
        <v>7.6388888888889173E-3</v>
      </c>
      <c r="G1077" s="118">
        <v>0.39027777777777778</v>
      </c>
      <c r="H1077" s="119">
        <v>9.7222222222222432E-3</v>
      </c>
      <c r="I1077" s="81">
        <v>41722</v>
      </c>
      <c r="J1077" s="36" t="str">
        <f t="shared" si="366"/>
        <v>Nacional</v>
      </c>
      <c r="K1077" s="36">
        <f t="shared" si="366"/>
        <v>6.3131313131313113E-3</v>
      </c>
      <c r="L1077" s="36">
        <f t="shared" si="366"/>
        <v>8.7752525252525141E-3</v>
      </c>
      <c r="M1077" s="36">
        <f t="shared" si="366"/>
        <v>1.5088383838383825E-2</v>
      </c>
      <c r="N1077" s="36" t="str">
        <f t="shared" si="366"/>
        <v>A319</v>
      </c>
      <c r="O1077" s="36">
        <f t="shared" si="366"/>
        <v>142</v>
      </c>
      <c r="P1077" s="36" t="str">
        <f t="shared" si="366"/>
        <v>MEX</v>
      </c>
      <c r="R1077">
        <v>1063</v>
      </c>
      <c r="S1077" s="36" t="str">
        <f t="shared" si="359"/>
        <v>AVIONES ROJOS AIRLINES</v>
      </c>
      <c r="T1077" s="55">
        <v>573</v>
      </c>
      <c r="U1077" s="56">
        <v>0.22500000000000001</v>
      </c>
      <c r="V1077" s="57">
        <v>0.2298611111111111</v>
      </c>
      <c r="W1077" s="58">
        <v>4.8611111111110938E-3</v>
      </c>
      <c r="X1077" s="57">
        <v>0.25</v>
      </c>
      <c r="Y1077" s="58">
        <v>2.0138888888888901E-2</v>
      </c>
      <c r="Z1077" s="59">
        <v>41740</v>
      </c>
      <c r="AA1077" s="60" t="s">
        <v>22</v>
      </c>
      <c r="AB1077" s="61">
        <v>7.9861111111111105E-3</v>
      </c>
      <c r="AC1077" s="61">
        <v>2.2569444444444448E-2</v>
      </c>
      <c r="AD1077" s="62">
        <v>3.0555555555555558E-2</v>
      </c>
      <c r="AE1077" s="167">
        <v>320</v>
      </c>
      <c r="AF1077" s="167">
        <v>179</v>
      </c>
      <c r="AG1077" s="168" t="s">
        <v>40</v>
      </c>
      <c r="AI1077">
        <v>1063</v>
      </c>
      <c r="AJ1077" s="77" t="str">
        <f t="shared" si="353"/>
        <v>INTERAVIÓN</v>
      </c>
      <c r="AK1077" s="77">
        <f t="shared" si="353"/>
        <v>2216</v>
      </c>
      <c r="AL1077" s="186">
        <v>0.82986111111111116</v>
      </c>
      <c r="AM1077" s="79">
        <v>0.83819444444444446</v>
      </c>
      <c r="AN1077" s="80">
        <v>8.3333333333333037E-3</v>
      </c>
      <c r="AO1077" s="79">
        <v>0.84652777777777777</v>
      </c>
      <c r="AP1077" s="80">
        <v>8.3333333333333037E-3</v>
      </c>
      <c r="AQ1077" s="81">
        <v>41811</v>
      </c>
      <c r="AR1077" s="77" t="str">
        <f t="shared" si="364"/>
        <v>Nacional</v>
      </c>
      <c r="AS1077" s="77">
        <f t="shared" si="364"/>
        <v>8.2516339869281152E-3</v>
      </c>
      <c r="AT1077" s="77">
        <f t="shared" si="364"/>
        <v>7.4346405228758036E-3</v>
      </c>
      <c r="AU1077" s="77">
        <f t="shared" si="364"/>
        <v>1.5686274509803918E-2</v>
      </c>
      <c r="AV1077" s="77">
        <f t="shared" si="364"/>
        <v>320</v>
      </c>
      <c r="AW1077" s="77">
        <f t="shared" si="364"/>
        <v>179</v>
      </c>
      <c r="AX1077" s="77" t="str">
        <f t="shared" si="364"/>
        <v>MEX</v>
      </c>
    </row>
    <row r="1078" spans="1:50" ht="15.75" thickBot="1" x14ac:dyDescent="0.3">
      <c r="A1078">
        <v>1064</v>
      </c>
      <c r="B1078" s="36" t="str">
        <f t="shared" si="349"/>
        <v>BARATA Y MORADA</v>
      </c>
      <c r="C1078" s="36">
        <f t="shared" si="349"/>
        <v>732</v>
      </c>
      <c r="D1078" s="118">
        <v>0.3840277777777778</v>
      </c>
      <c r="E1078" s="118">
        <v>0.39166666666666666</v>
      </c>
      <c r="F1078" s="119">
        <v>7.6388888888888618E-3</v>
      </c>
      <c r="G1078" s="118">
        <v>0.40138888888888885</v>
      </c>
      <c r="H1078" s="119">
        <v>9.7222222222221877E-3</v>
      </c>
      <c r="I1078" s="81">
        <v>41725</v>
      </c>
      <c r="J1078" s="36" t="str">
        <f t="shared" si="366"/>
        <v>Nacional</v>
      </c>
      <c r="K1078" s="36">
        <f t="shared" si="366"/>
        <v>6.3131313131313113E-3</v>
      </c>
      <c r="L1078" s="36">
        <f t="shared" si="366"/>
        <v>8.7752525252525141E-3</v>
      </c>
      <c r="M1078" s="36">
        <f t="shared" si="366"/>
        <v>1.5088383838383825E-2</v>
      </c>
      <c r="N1078" s="36" t="str">
        <f t="shared" si="366"/>
        <v>A319</v>
      </c>
      <c r="O1078" s="36">
        <f t="shared" si="366"/>
        <v>142</v>
      </c>
      <c r="P1078" s="36" t="str">
        <f t="shared" si="366"/>
        <v>MEX</v>
      </c>
      <c r="R1078">
        <v>1064</v>
      </c>
      <c r="S1078" s="36" t="str">
        <f t="shared" si="359"/>
        <v>AVIONES ROJOS AIRLINES</v>
      </c>
      <c r="T1078" s="36">
        <f t="shared" si="359"/>
        <v>573</v>
      </c>
      <c r="U1078" s="83">
        <v>0.23263888888888887</v>
      </c>
      <c r="V1078" s="84">
        <v>0.24374999999999999</v>
      </c>
      <c r="W1078" s="85">
        <v>1.1111111111111127E-2</v>
      </c>
      <c r="X1078" s="84">
        <v>0.26874999999999999</v>
      </c>
      <c r="Y1078" s="85">
        <v>2.4999999999999994E-2</v>
      </c>
      <c r="Z1078" s="86">
        <v>41756</v>
      </c>
      <c r="AA1078" s="36" t="str">
        <f t="shared" ref="AA1078:AG1078" si="367">AA1077</f>
        <v>Internacional</v>
      </c>
      <c r="AB1078" s="36">
        <f t="shared" si="367"/>
        <v>7.9861111111111105E-3</v>
      </c>
      <c r="AC1078" s="36">
        <f t="shared" si="367"/>
        <v>2.2569444444444448E-2</v>
      </c>
      <c r="AD1078" s="36">
        <f t="shared" si="367"/>
        <v>3.0555555555555558E-2</v>
      </c>
      <c r="AE1078" s="36">
        <f t="shared" si="367"/>
        <v>320</v>
      </c>
      <c r="AF1078" s="36">
        <f t="shared" si="367"/>
        <v>179</v>
      </c>
      <c r="AG1078" s="36" t="str">
        <f t="shared" si="367"/>
        <v>LAX</v>
      </c>
      <c r="AI1078">
        <v>1064</v>
      </c>
      <c r="AJ1078" s="77" t="str">
        <f t="shared" si="353"/>
        <v>INTERAVIÓN</v>
      </c>
      <c r="AK1078" s="77">
        <f t="shared" si="353"/>
        <v>2216</v>
      </c>
      <c r="AL1078" s="187">
        <v>0.69027777777777777</v>
      </c>
      <c r="AM1078" s="95">
        <v>0.69444444444444453</v>
      </c>
      <c r="AN1078" s="96">
        <v>4.1666666666667629E-3</v>
      </c>
      <c r="AO1078" s="95">
        <v>0.70138888888888884</v>
      </c>
      <c r="AP1078" s="96">
        <v>6.9444444444443088E-3</v>
      </c>
      <c r="AQ1078" s="97">
        <v>41812</v>
      </c>
      <c r="AR1078" s="77" t="str">
        <f t="shared" si="364"/>
        <v>Nacional</v>
      </c>
      <c r="AS1078" s="77">
        <f t="shared" si="364"/>
        <v>8.2516339869281152E-3</v>
      </c>
      <c r="AT1078" s="77">
        <f t="shared" si="364"/>
        <v>7.4346405228758036E-3</v>
      </c>
      <c r="AU1078" s="77">
        <f t="shared" si="364"/>
        <v>1.5686274509803918E-2</v>
      </c>
      <c r="AV1078" s="77">
        <f t="shared" si="364"/>
        <v>320</v>
      </c>
      <c r="AW1078" s="77">
        <f t="shared" si="364"/>
        <v>179</v>
      </c>
      <c r="AX1078" s="77" t="str">
        <f t="shared" si="364"/>
        <v>MEX</v>
      </c>
    </row>
    <row r="1079" spans="1:50" x14ac:dyDescent="0.25">
      <c r="A1079">
        <v>1065</v>
      </c>
      <c r="B1079" s="36" t="str">
        <f t="shared" si="349"/>
        <v>BARATA Y MORADA</v>
      </c>
      <c r="C1079" s="36">
        <f t="shared" si="349"/>
        <v>732</v>
      </c>
      <c r="D1079" s="118">
        <v>0.38125000000000003</v>
      </c>
      <c r="E1079" s="118">
        <v>0.3888888888888889</v>
      </c>
      <c r="F1079" s="119">
        <v>7.6388888888888618E-3</v>
      </c>
      <c r="G1079" s="118">
        <v>0.39374999999999999</v>
      </c>
      <c r="H1079" s="119">
        <v>4.8611111111110938E-3</v>
      </c>
      <c r="I1079" s="81">
        <v>41725</v>
      </c>
      <c r="J1079" s="36" t="str">
        <f t="shared" si="366"/>
        <v>Nacional</v>
      </c>
      <c r="K1079" s="36">
        <f t="shared" si="366"/>
        <v>6.3131313131313113E-3</v>
      </c>
      <c r="L1079" s="36">
        <f t="shared" si="366"/>
        <v>8.7752525252525141E-3</v>
      </c>
      <c r="M1079" s="36">
        <f t="shared" si="366"/>
        <v>1.5088383838383825E-2</v>
      </c>
      <c r="N1079" s="36" t="str">
        <f t="shared" si="366"/>
        <v>A319</v>
      </c>
      <c r="O1079" s="36">
        <f t="shared" si="366"/>
        <v>142</v>
      </c>
      <c r="P1079" s="36" t="str">
        <f t="shared" si="366"/>
        <v>MEX</v>
      </c>
      <c r="R1079">
        <v>1065</v>
      </c>
      <c r="S1079" s="45" t="s">
        <v>65</v>
      </c>
      <c r="T1079" s="55">
        <v>6957</v>
      </c>
      <c r="U1079" s="56">
        <v>0.71527777777777779</v>
      </c>
      <c r="V1079" s="57">
        <v>0.72569444444444453</v>
      </c>
      <c r="W1079" s="58">
        <v>1.0416666666666741E-2</v>
      </c>
      <c r="X1079" s="57">
        <v>0.73402777777777783</v>
      </c>
      <c r="Y1079" s="58">
        <v>8.3333333333333037E-3</v>
      </c>
      <c r="Z1079" s="59">
        <v>41741</v>
      </c>
      <c r="AA1079" s="60" t="s">
        <v>22</v>
      </c>
      <c r="AB1079" s="61">
        <v>8.1018518518518601E-3</v>
      </c>
      <c r="AC1079" s="61">
        <v>1.1111111111111146E-2</v>
      </c>
      <c r="AD1079" s="62">
        <v>1.9212962962963008E-2</v>
      </c>
      <c r="AE1079" s="191">
        <v>320</v>
      </c>
      <c r="AF1079" s="191">
        <v>179</v>
      </c>
      <c r="AG1079" s="192" t="s">
        <v>32</v>
      </c>
      <c r="AI1079">
        <v>1065</v>
      </c>
      <c r="AJ1079" s="77" t="str">
        <f t="shared" si="353"/>
        <v>INTERAVIÓN</v>
      </c>
      <c r="AK1079" s="63">
        <v>2214</v>
      </c>
      <c r="AL1079" s="193">
        <v>0.73472222222222217</v>
      </c>
      <c r="AM1079" s="194">
        <v>0.74444444444444446</v>
      </c>
      <c r="AN1079" s="66">
        <v>9.7222222222222987E-3</v>
      </c>
      <c r="AO1079" s="194">
        <v>0.75</v>
      </c>
      <c r="AP1079" s="66">
        <v>5.5555555555555358E-3</v>
      </c>
      <c r="AQ1079" s="67">
        <v>41801</v>
      </c>
      <c r="AR1079" s="68" t="s">
        <v>19</v>
      </c>
      <c r="AS1079" s="69">
        <v>9.37500000000005E-3</v>
      </c>
      <c r="AT1079" s="70">
        <v>5.2083333333333148E-3</v>
      </c>
      <c r="AU1079" s="70">
        <v>1.4583333333333365E-2</v>
      </c>
      <c r="AV1079" s="71">
        <v>320</v>
      </c>
      <c r="AW1079" s="71">
        <v>179</v>
      </c>
      <c r="AX1079" s="72" t="s">
        <v>21</v>
      </c>
    </row>
    <row r="1080" spans="1:50" ht="15.75" thickBot="1" x14ac:dyDescent="0.3">
      <c r="A1080">
        <v>1066</v>
      </c>
      <c r="B1080" s="36" t="str">
        <f t="shared" si="349"/>
        <v>BARATA Y MORADA</v>
      </c>
      <c r="C1080" s="36">
        <f t="shared" si="349"/>
        <v>732</v>
      </c>
      <c r="D1080" s="118">
        <v>0.39583333333333331</v>
      </c>
      <c r="E1080" s="118">
        <v>0.39652777777777781</v>
      </c>
      <c r="F1080" s="119">
        <v>6.9444444444449749E-4</v>
      </c>
      <c r="G1080" s="118">
        <v>0.40416666666666662</v>
      </c>
      <c r="H1080" s="119">
        <v>7.6388888888888062E-3</v>
      </c>
      <c r="I1080" s="81">
        <v>41726</v>
      </c>
      <c r="J1080" s="36" t="str">
        <f t="shared" si="366"/>
        <v>Nacional</v>
      </c>
      <c r="K1080" s="36">
        <f t="shared" si="366"/>
        <v>6.3131313131313113E-3</v>
      </c>
      <c r="L1080" s="36">
        <f t="shared" si="366"/>
        <v>8.7752525252525141E-3</v>
      </c>
      <c r="M1080" s="36">
        <f t="shared" si="366"/>
        <v>1.5088383838383825E-2</v>
      </c>
      <c r="N1080" s="36" t="str">
        <f t="shared" si="366"/>
        <v>A319</v>
      </c>
      <c r="O1080" s="36">
        <f t="shared" si="366"/>
        <v>142</v>
      </c>
      <c r="P1080" s="36" t="str">
        <f t="shared" si="366"/>
        <v>MEX</v>
      </c>
      <c r="R1080">
        <v>1066</v>
      </c>
      <c r="S1080" s="36" t="str">
        <f t="shared" ref="S1080:T1143" si="368">S1079</f>
        <v>INTERAVIÓN</v>
      </c>
      <c r="T1080" s="36">
        <f t="shared" si="368"/>
        <v>6957</v>
      </c>
      <c r="U1080" s="73">
        <v>0.66319444444444442</v>
      </c>
      <c r="V1080" s="74">
        <v>0.67013888888888884</v>
      </c>
      <c r="W1080" s="75">
        <v>6.9444444444444198E-3</v>
      </c>
      <c r="X1080" s="74">
        <v>0.68263888888888891</v>
      </c>
      <c r="Y1080" s="75">
        <v>1.2500000000000067E-2</v>
      </c>
      <c r="Z1080" s="76">
        <v>41751</v>
      </c>
      <c r="AA1080" s="36" t="str">
        <f t="shared" ref="AA1080:AG1081" si="369">AA1079</f>
        <v>Internacional</v>
      </c>
      <c r="AB1080" s="36">
        <f t="shared" si="369"/>
        <v>8.1018518518518601E-3</v>
      </c>
      <c r="AC1080" s="36">
        <f t="shared" si="369"/>
        <v>1.1111111111111146E-2</v>
      </c>
      <c r="AD1080" s="36">
        <f t="shared" si="369"/>
        <v>1.9212962962963008E-2</v>
      </c>
      <c r="AE1080" s="36">
        <f t="shared" si="369"/>
        <v>320</v>
      </c>
      <c r="AF1080" s="36">
        <f t="shared" si="369"/>
        <v>179</v>
      </c>
      <c r="AG1080" s="36" t="str">
        <f t="shared" si="369"/>
        <v>SAT</v>
      </c>
      <c r="AI1080">
        <v>1066</v>
      </c>
      <c r="AJ1080" s="77" t="str">
        <f t="shared" si="353"/>
        <v>INTERAVIÓN</v>
      </c>
      <c r="AK1080" s="77">
        <f>AK1079</f>
        <v>2214</v>
      </c>
      <c r="AL1080" s="187">
        <v>0.31805555555555554</v>
      </c>
      <c r="AM1080" s="95">
        <v>0.32708333333333334</v>
      </c>
      <c r="AN1080" s="96">
        <v>9.0277777777778012E-3</v>
      </c>
      <c r="AO1080" s="95">
        <v>0.33194444444444443</v>
      </c>
      <c r="AP1080" s="96">
        <v>4.8611111111110938E-3</v>
      </c>
      <c r="AQ1080" s="97">
        <v>41810</v>
      </c>
      <c r="AR1080" s="77" t="str">
        <f t="shared" ref="AR1080:AX1080" si="370">AR1079</f>
        <v>Nacional</v>
      </c>
      <c r="AS1080" s="77">
        <f t="shared" si="370"/>
        <v>9.37500000000005E-3</v>
      </c>
      <c r="AT1080" s="77">
        <f t="shared" si="370"/>
        <v>5.2083333333333148E-3</v>
      </c>
      <c r="AU1080" s="77">
        <f t="shared" si="370"/>
        <v>1.4583333333333365E-2</v>
      </c>
      <c r="AV1080" s="77">
        <f t="shared" si="370"/>
        <v>320</v>
      </c>
      <c r="AW1080" s="77">
        <f t="shared" si="370"/>
        <v>179</v>
      </c>
      <c r="AX1080" s="77" t="str">
        <f t="shared" si="370"/>
        <v>MEX</v>
      </c>
    </row>
    <row r="1081" spans="1:50" ht="15.75" thickBot="1" x14ac:dyDescent="0.3">
      <c r="A1081">
        <v>1067</v>
      </c>
      <c r="B1081" s="36" t="str">
        <f t="shared" si="349"/>
        <v>BARATA Y MORADA</v>
      </c>
      <c r="C1081" s="36">
        <f t="shared" si="349"/>
        <v>732</v>
      </c>
      <c r="D1081" s="118">
        <v>0.37847222222222227</v>
      </c>
      <c r="E1081" s="118">
        <v>0.3833333333333333</v>
      </c>
      <c r="F1081" s="119">
        <v>4.8611111111110383E-3</v>
      </c>
      <c r="G1081" s="118">
        <v>0.39374999999999999</v>
      </c>
      <c r="H1081" s="119">
        <v>1.0416666666666685E-2</v>
      </c>
      <c r="I1081" s="81">
        <v>41727</v>
      </c>
      <c r="J1081" s="36" t="str">
        <f t="shared" si="366"/>
        <v>Nacional</v>
      </c>
      <c r="K1081" s="36">
        <f t="shared" si="366"/>
        <v>6.3131313131313113E-3</v>
      </c>
      <c r="L1081" s="36">
        <f t="shared" si="366"/>
        <v>8.7752525252525141E-3</v>
      </c>
      <c r="M1081" s="36">
        <f t="shared" si="366"/>
        <v>1.5088383838383825E-2</v>
      </c>
      <c r="N1081" s="36" t="str">
        <f t="shared" si="366"/>
        <v>A319</v>
      </c>
      <c r="O1081" s="36">
        <f t="shared" si="366"/>
        <v>142</v>
      </c>
      <c r="P1081" s="36" t="str">
        <f t="shared" si="366"/>
        <v>MEX</v>
      </c>
      <c r="R1081">
        <v>1067</v>
      </c>
      <c r="S1081" s="36" t="str">
        <f t="shared" si="368"/>
        <v>INTERAVIÓN</v>
      </c>
      <c r="T1081" s="36">
        <f t="shared" si="368"/>
        <v>6957</v>
      </c>
      <c r="U1081" s="83">
        <v>0.66319444444444442</v>
      </c>
      <c r="V1081" s="84">
        <v>0.67013888888888884</v>
      </c>
      <c r="W1081" s="85">
        <v>6.9444444444444198E-3</v>
      </c>
      <c r="X1081" s="84">
        <v>0.68263888888888891</v>
      </c>
      <c r="Y1081" s="85">
        <v>1.2500000000000067E-2</v>
      </c>
      <c r="Z1081" s="86">
        <v>41751</v>
      </c>
      <c r="AA1081" s="36" t="str">
        <f t="shared" si="369"/>
        <v>Internacional</v>
      </c>
      <c r="AB1081" s="36">
        <f t="shared" si="369"/>
        <v>8.1018518518518601E-3</v>
      </c>
      <c r="AC1081" s="36">
        <f t="shared" si="369"/>
        <v>1.1111111111111146E-2</v>
      </c>
      <c r="AD1081" s="36">
        <f t="shared" si="369"/>
        <v>1.9212962962963008E-2</v>
      </c>
      <c r="AE1081" s="36">
        <f t="shared" si="369"/>
        <v>320</v>
      </c>
      <c r="AF1081" s="36">
        <f t="shared" si="369"/>
        <v>179</v>
      </c>
      <c r="AG1081" s="36" t="str">
        <f t="shared" si="369"/>
        <v>SAT</v>
      </c>
      <c r="AI1081">
        <v>1067</v>
      </c>
      <c r="AJ1081" s="77" t="str">
        <f t="shared" si="353"/>
        <v>INTERAVIÓN</v>
      </c>
      <c r="AK1081" s="63">
        <v>2212</v>
      </c>
      <c r="AL1081" s="185">
        <v>0.93958333333333333</v>
      </c>
      <c r="AM1081" s="65">
        <v>0.94444444444444453</v>
      </c>
      <c r="AN1081" s="66">
        <v>4.8611111111112049E-3</v>
      </c>
      <c r="AO1081" s="65">
        <v>0.94861111111111107</v>
      </c>
      <c r="AP1081" s="66">
        <v>4.1666666666665408E-3</v>
      </c>
      <c r="AQ1081" s="67">
        <v>41792</v>
      </c>
      <c r="AR1081" s="68" t="s">
        <v>19</v>
      </c>
      <c r="AS1081" s="69">
        <v>6.8055555555555812E-3</v>
      </c>
      <c r="AT1081" s="70">
        <v>6.2499999999999726E-3</v>
      </c>
      <c r="AU1081" s="70">
        <v>1.3055555555555553E-2</v>
      </c>
      <c r="AV1081" s="71">
        <v>320</v>
      </c>
      <c r="AW1081" s="71">
        <v>179</v>
      </c>
      <c r="AX1081" s="72" t="s">
        <v>21</v>
      </c>
    </row>
    <row r="1082" spans="1:50" ht="15.75" thickBot="1" x14ac:dyDescent="0.3">
      <c r="A1082">
        <v>1068</v>
      </c>
      <c r="B1082" s="36" t="str">
        <f t="shared" si="349"/>
        <v>BARATA Y MORADA</v>
      </c>
      <c r="C1082" s="36">
        <f t="shared" si="349"/>
        <v>732</v>
      </c>
      <c r="D1082" s="176">
        <v>0.375</v>
      </c>
      <c r="E1082" s="176">
        <v>0.38194444444444442</v>
      </c>
      <c r="F1082" s="177">
        <v>6.9444444444444198E-3</v>
      </c>
      <c r="G1082" s="176">
        <v>0.3923611111111111</v>
      </c>
      <c r="H1082" s="177">
        <v>1.0416666666666685E-2</v>
      </c>
      <c r="I1082" s="97">
        <v>41729</v>
      </c>
      <c r="J1082" s="36" t="str">
        <f t="shared" si="366"/>
        <v>Nacional</v>
      </c>
      <c r="K1082" s="36">
        <f t="shared" si="366"/>
        <v>6.3131313131313113E-3</v>
      </c>
      <c r="L1082" s="36">
        <f t="shared" si="366"/>
        <v>8.7752525252525141E-3</v>
      </c>
      <c r="M1082" s="36">
        <f t="shared" si="366"/>
        <v>1.5088383838383825E-2</v>
      </c>
      <c r="N1082" s="36" t="str">
        <f t="shared" si="366"/>
        <v>A319</v>
      </c>
      <c r="O1082" s="36">
        <f t="shared" si="366"/>
        <v>142</v>
      </c>
      <c r="P1082" s="36" t="str">
        <f t="shared" si="366"/>
        <v>MEX</v>
      </c>
      <c r="R1082">
        <v>1068</v>
      </c>
      <c r="S1082" s="36" t="str">
        <f t="shared" si="368"/>
        <v>INTERAVIÓN</v>
      </c>
      <c r="T1082" s="55">
        <v>6808</v>
      </c>
      <c r="U1082" s="56">
        <v>0.86041666666666661</v>
      </c>
      <c r="V1082" s="57">
        <v>0.87013888888888891</v>
      </c>
      <c r="W1082" s="58">
        <v>9.7222222222222987E-3</v>
      </c>
      <c r="X1082" s="57">
        <v>0.87638888888888899</v>
      </c>
      <c r="Y1082" s="58">
        <v>6.2500000000000888E-3</v>
      </c>
      <c r="Z1082" s="59">
        <v>41741</v>
      </c>
      <c r="AA1082" s="60" t="s">
        <v>19</v>
      </c>
      <c r="AB1082" s="61">
        <v>6.0185185185185341E-3</v>
      </c>
      <c r="AC1082" s="61">
        <v>7.8703703703704164E-3</v>
      </c>
      <c r="AD1082" s="62">
        <v>1.3888888888888951E-2</v>
      </c>
      <c r="AE1082" s="191">
        <v>320</v>
      </c>
      <c r="AF1082" s="191">
        <v>179</v>
      </c>
      <c r="AG1082" s="192" t="s">
        <v>66</v>
      </c>
      <c r="AI1082">
        <v>1068</v>
      </c>
      <c r="AJ1082" s="77" t="str">
        <f t="shared" si="353"/>
        <v>INTERAVIÓN</v>
      </c>
      <c r="AK1082" s="77">
        <f t="shared" si="353"/>
        <v>2212</v>
      </c>
      <c r="AL1082" s="186">
        <v>0.9472222222222223</v>
      </c>
      <c r="AM1082" s="79">
        <v>0.9590277777777777</v>
      </c>
      <c r="AN1082" s="80">
        <v>1.1805555555555403E-2</v>
      </c>
      <c r="AO1082" s="79">
        <v>0.96180555555555547</v>
      </c>
      <c r="AP1082" s="80">
        <v>2.7777777777777679E-3</v>
      </c>
      <c r="AQ1082" s="81">
        <v>41795</v>
      </c>
      <c r="AR1082" s="77" t="str">
        <f t="shared" ref="AR1082:AX1090" si="371">AR1081</f>
        <v>Nacional</v>
      </c>
      <c r="AS1082" s="77">
        <f t="shared" si="371"/>
        <v>6.8055555555555812E-3</v>
      </c>
      <c r="AT1082" s="77">
        <f t="shared" si="371"/>
        <v>6.2499999999999726E-3</v>
      </c>
      <c r="AU1082" s="77">
        <f t="shared" si="371"/>
        <v>1.3055555555555553E-2</v>
      </c>
      <c r="AV1082" s="77">
        <f t="shared" si="371"/>
        <v>320</v>
      </c>
      <c r="AW1082" s="77">
        <f t="shared" si="371"/>
        <v>179</v>
      </c>
      <c r="AX1082" s="77" t="str">
        <f t="shared" si="371"/>
        <v>MEX</v>
      </c>
    </row>
    <row r="1083" spans="1:50" ht="15.75" thickBot="1" x14ac:dyDescent="0.3">
      <c r="A1083">
        <v>1069</v>
      </c>
      <c r="B1083" s="36" t="str">
        <f t="shared" si="349"/>
        <v>BARATA Y MORADA</v>
      </c>
      <c r="C1083" s="146">
        <v>730</v>
      </c>
      <c r="D1083" s="147">
        <v>0.56666666666666665</v>
      </c>
      <c r="E1083" s="147">
        <v>0.57430555555555551</v>
      </c>
      <c r="F1083" s="148">
        <v>7.6388888888888618E-3</v>
      </c>
      <c r="G1083" s="147">
        <v>0.57916666666666672</v>
      </c>
      <c r="H1083" s="148">
        <v>4.8611111111112049E-3</v>
      </c>
      <c r="I1083" s="103">
        <v>41726</v>
      </c>
      <c r="J1083" s="103" t="s">
        <v>19</v>
      </c>
      <c r="K1083" s="147">
        <v>7.6388888888888618E-3</v>
      </c>
      <c r="L1083" s="147">
        <v>4.8611111111112049E-3</v>
      </c>
      <c r="M1083" s="150">
        <v>1.2500000000000067E-2</v>
      </c>
      <c r="N1083" s="52" t="s">
        <v>57</v>
      </c>
      <c r="O1083" s="53">
        <v>142</v>
      </c>
      <c r="P1083" s="54" t="s">
        <v>21</v>
      </c>
      <c r="R1083">
        <v>1069</v>
      </c>
      <c r="S1083" s="36" t="str">
        <f t="shared" si="368"/>
        <v>INTERAVIÓN</v>
      </c>
      <c r="T1083" s="36">
        <f t="shared" si="368"/>
        <v>6808</v>
      </c>
      <c r="U1083" s="73">
        <v>0.74652777777777779</v>
      </c>
      <c r="V1083" s="74">
        <v>0.75277777777777777</v>
      </c>
      <c r="W1083" s="75">
        <v>6.2499999999999778E-3</v>
      </c>
      <c r="X1083" s="74">
        <v>0.76111111111111107</v>
      </c>
      <c r="Y1083" s="75">
        <v>8.3333333333333037E-3</v>
      </c>
      <c r="Z1083" s="76">
        <v>41748</v>
      </c>
      <c r="AA1083" s="36" t="str">
        <f t="shared" ref="AA1083:AG1084" si="372">AA1082</f>
        <v>Nacional</v>
      </c>
      <c r="AB1083" s="36">
        <f t="shared" si="372"/>
        <v>6.0185185185185341E-3</v>
      </c>
      <c r="AC1083" s="36">
        <f t="shared" si="372"/>
        <v>7.8703703703704164E-3</v>
      </c>
      <c r="AD1083" s="36">
        <f t="shared" si="372"/>
        <v>1.3888888888888951E-2</v>
      </c>
      <c r="AE1083" s="36">
        <f t="shared" si="372"/>
        <v>320</v>
      </c>
      <c r="AF1083" s="36">
        <f t="shared" si="372"/>
        <v>179</v>
      </c>
      <c r="AG1083" s="36" t="str">
        <f t="shared" si="372"/>
        <v>SJD</v>
      </c>
      <c r="AI1083">
        <v>1069</v>
      </c>
      <c r="AJ1083" s="63" t="s">
        <v>65</v>
      </c>
      <c r="AK1083" s="77">
        <f t="shared" ref="AK1083:AK1091" si="373">AK1082</f>
        <v>2212</v>
      </c>
      <c r="AL1083" s="186">
        <v>0.9458333333333333</v>
      </c>
      <c r="AM1083" s="79">
        <v>0.95000000000000007</v>
      </c>
      <c r="AN1083" s="80">
        <v>4.1666666666667629E-3</v>
      </c>
      <c r="AO1083" s="79">
        <v>0.95694444444444438</v>
      </c>
      <c r="AP1083" s="80">
        <v>6.9444444444443088E-3</v>
      </c>
      <c r="AQ1083" s="81">
        <v>41796</v>
      </c>
      <c r="AR1083" s="77" t="str">
        <f t="shared" si="371"/>
        <v>Nacional</v>
      </c>
      <c r="AS1083" s="77">
        <f t="shared" si="371"/>
        <v>6.8055555555555812E-3</v>
      </c>
      <c r="AT1083" s="77">
        <f t="shared" si="371"/>
        <v>6.2499999999999726E-3</v>
      </c>
      <c r="AU1083" s="77">
        <f t="shared" si="371"/>
        <v>1.3055555555555553E-2</v>
      </c>
      <c r="AV1083" s="77">
        <f t="shared" si="371"/>
        <v>320</v>
      </c>
      <c r="AW1083" s="77">
        <f t="shared" si="371"/>
        <v>179</v>
      </c>
      <c r="AX1083" s="77" t="str">
        <f t="shared" si="371"/>
        <v>MEX</v>
      </c>
    </row>
    <row r="1084" spans="1:50" ht="15.75" thickBot="1" x14ac:dyDescent="0.3">
      <c r="A1084">
        <v>1070</v>
      </c>
      <c r="B1084" s="77" t="s">
        <v>77</v>
      </c>
      <c r="C1084" s="146">
        <v>724</v>
      </c>
      <c r="D1084" s="147">
        <v>0.8979166666666667</v>
      </c>
      <c r="E1084" s="147">
        <v>0.90972222222222221</v>
      </c>
      <c r="F1084" s="148">
        <v>1.1805555555555514E-2</v>
      </c>
      <c r="G1084" s="147">
        <v>0.91736111111111107</v>
      </c>
      <c r="H1084" s="148">
        <v>7.6388888888888618E-3</v>
      </c>
      <c r="I1084" s="103">
        <v>41726</v>
      </c>
      <c r="J1084" s="103" t="s">
        <v>19</v>
      </c>
      <c r="K1084" s="147">
        <v>1.1805555555555514E-2</v>
      </c>
      <c r="L1084" s="147">
        <v>7.6388888888888618E-3</v>
      </c>
      <c r="M1084" s="150">
        <v>1.9444444444444375E-2</v>
      </c>
      <c r="N1084" s="82" t="s">
        <v>25</v>
      </c>
      <c r="O1084" s="36">
        <f t="shared" ref="O1084:P1085" si="374">O1083</f>
        <v>142</v>
      </c>
      <c r="P1084" s="36" t="str">
        <f t="shared" si="374"/>
        <v>MEX</v>
      </c>
      <c r="R1084">
        <v>1070</v>
      </c>
      <c r="S1084" s="36" t="str">
        <f t="shared" si="368"/>
        <v>INTERAVIÓN</v>
      </c>
      <c r="T1084" s="36">
        <f t="shared" si="368"/>
        <v>6808</v>
      </c>
      <c r="U1084" s="83">
        <v>0.5625</v>
      </c>
      <c r="V1084" s="84">
        <v>0.56458333333333333</v>
      </c>
      <c r="W1084" s="85">
        <v>2.0833333333333259E-3</v>
      </c>
      <c r="X1084" s="84">
        <v>0.57361111111111118</v>
      </c>
      <c r="Y1084" s="85">
        <v>9.0277777777778567E-3</v>
      </c>
      <c r="Z1084" s="86">
        <v>41749</v>
      </c>
      <c r="AA1084" s="36" t="str">
        <f t="shared" si="372"/>
        <v>Nacional</v>
      </c>
      <c r="AB1084" s="36">
        <f t="shared" si="372"/>
        <v>6.0185185185185341E-3</v>
      </c>
      <c r="AC1084" s="36">
        <f t="shared" si="372"/>
        <v>7.8703703703704164E-3</v>
      </c>
      <c r="AD1084" s="36">
        <f t="shared" si="372"/>
        <v>1.3888888888888951E-2</v>
      </c>
      <c r="AE1084" s="36">
        <f t="shared" si="372"/>
        <v>320</v>
      </c>
      <c r="AF1084" s="36">
        <f t="shared" si="372"/>
        <v>179</v>
      </c>
      <c r="AG1084" s="36" t="str">
        <f t="shared" si="372"/>
        <v>SJD</v>
      </c>
      <c r="AI1084">
        <v>1070</v>
      </c>
      <c r="AJ1084" s="77" t="str">
        <f t="shared" ref="AJ1084:AK1129" si="375">AJ1083</f>
        <v>INTERAVIÓN</v>
      </c>
      <c r="AK1084" s="77">
        <f t="shared" si="373"/>
        <v>2212</v>
      </c>
      <c r="AL1084" s="186">
        <v>0.92986111111111114</v>
      </c>
      <c r="AM1084" s="79">
        <v>0.93263888888888891</v>
      </c>
      <c r="AN1084" s="80">
        <v>2.7777777777777679E-3</v>
      </c>
      <c r="AO1084" s="79">
        <v>0.93472222222222223</v>
      </c>
      <c r="AP1084" s="80">
        <v>2.0833333333333259E-3</v>
      </c>
      <c r="AQ1084" s="81">
        <v>41799</v>
      </c>
      <c r="AR1084" s="77" t="str">
        <f t="shared" si="371"/>
        <v>Nacional</v>
      </c>
      <c r="AS1084" s="77">
        <f t="shared" si="371"/>
        <v>6.8055555555555812E-3</v>
      </c>
      <c r="AT1084" s="77">
        <f t="shared" si="371"/>
        <v>6.2499999999999726E-3</v>
      </c>
      <c r="AU1084" s="77">
        <f t="shared" si="371"/>
        <v>1.3055555555555553E-2</v>
      </c>
      <c r="AV1084" s="77">
        <f t="shared" si="371"/>
        <v>320</v>
      </c>
      <c r="AW1084" s="77">
        <f t="shared" si="371"/>
        <v>179</v>
      </c>
      <c r="AX1084" s="77" t="str">
        <f t="shared" si="371"/>
        <v>MEX</v>
      </c>
    </row>
    <row r="1085" spans="1:50" ht="15.75" thickBot="1" x14ac:dyDescent="0.3">
      <c r="A1085">
        <v>1071</v>
      </c>
      <c r="B1085" s="36" t="str">
        <f t="shared" ref="B1085:C1142" si="376">B1084</f>
        <v>BARATA Y MORADA</v>
      </c>
      <c r="C1085" s="146">
        <v>723</v>
      </c>
      <c r="D1085" s="147">
        <v>0.39027777777777778</v>
      </c>
      <c r="E1085" s="147">
        <v>0.39652777777777781</v>
      </c>
      <c r="F1085" s="148">
        <v>6.2500000000000333E-3</v>
      </c>
      <c r="G1085" s="147">
        <v>0.40277777777777773</v>
      </c>
      <c r="H1085" s="148">
        <v>6.2499999999999223E-3</v>
      </c>
      <c r="I1085" s="103">
        <v>41716</v>
      </c>
      <c r="J1085" s="103" t="s">
        <v>19</v>
      </c>
      <c r="K1085" s="147">
        <v>6.2500000000000333E-3</v>
      </c>
      <c r="L1085" s="147">
        <v>6.2499999999999223E-3</v>
      </c>
      <c r="M1085" s="150">
        <v>1.2499999999999956E-2</v>
      </c>
      <c r="N1085" s="82" t="s">
        <v>25</v>
      </c>
      <c r="O1085" s="36">
        <f t="shared" si="374"/>
        <v>142</v>
      </c>
      <c r="P1085" s="36" t="str">
        <f t="shared" si="374"/>
        <v>MEX</v>
      </c>
      <c r="R1085">
        <v>1071</v>
      </c>
      <c r="S1085" s="36" t="str">
        <f t="shared" si="368"/>
        <v>INTERAVIÓN</v>
      </c>
      <c r="T1085" s="55">
        <v>5214</v>
      </c>
      <c r="U1085" s="56">
        <v>0.5</v>
      </c>
      <c r="V1085" s="57">
        <v>0.50902777777777775</v>
      </c>
      <c r="W1085" s="58">
        <v>9.0277777777777457E-3</v>
      </c>
      <c r="X1085" s="57">
        <v>0.51111111111111118</v>
      </c>
      <c r="Y1085" s="58">
        <v>2.083333333333437E-3</v>
      </c>
      <c r="Z1085" s="59">
        <v>41739</v>
      </c>
      <c r="AA1085" s="60" t="s">
        <v>19</v>
      </c>
      <c r="AB1085" s="61">
        <v>6.944444444444464E-3</v>
      </c>
      <c r="AC1085" s="61">
        <v>4.4444444444444505E-3</v>
      </c>
      <c r="AD1085" s="62">
        <v>1.1388888888888914E-2</v>
      </c>
      <c r="AE1085" s="191">
        <v>320</v>
      </c>
      <c r="AF1085" s="191">
        <v>179</v>
      </c>
      <c r="AG1085" s="192" t="s">
        <v>21</v>
      </c>
      <c r="AI1085">
        <v>1071</v>
      </c>
      <c r="AJ1085" s="77" t="str">
        <f t="shared" si="375"/>
        <v>INTERAVIÓN</v>
      </c>
      <c r="AK1085" s="77">
        <f t="shared" si="373"/>
        <v>2212</v>
      </c>
      <c r="AL1085" s="186">
        <v>0.57013888888888886</v>
      </c>
      <c r="AM1085" s="79">
        <v>0.57847222222222217</v>
      </c>
      <c r="AN1085" s="80">
        <v>8.3333333333333037E-3</v>
      </c>
      <c r="AO1085" s="79">
        <v>0.58750000000000002</v>
      </c>
      <c r="AP1085" s="80">
        <v>9.0277777777778567E-3</v>
      </c>
      <c r="AQ1085" s="81">
        <v>41802</v>
      </c>
      <c r="AR1085" s="77" t="str">
        <f t="shared" si="371"/>
        <v>Nacional</v>
      </c>
      <c r="AS1085" s="77">
        <f t="shared" si="371"/>
        <v>6.8055555555555812E-3</v>
      </c>
      <c r="AT1085" s="77">
        <f t="shared" si="371"/>
        <v>6.2499999999999726E-3</v>
      </c>
      <c r="AU1085" s="77">
        <f t="shared" si="371"/>
        <v>1.3055555555555553E-2</v>
      </c>
      <c r="AV1085" s="77">
        <f t="shared" si="371"/>
        <v>320</v>
      </c>
      <c r="AW1085" s="77">
        <f t="shared" si="371"/>
        <v>179</v>
      </c>
      <c r="AX1085" s="77" t="str">
        <f t="shared" si="371"/>
        <v>MEX</v>
      </c>
    </row>
    <row r="1086" spans="1:50" x14ac:dyDescent="0.25">
      <c r="A1086">
        <v>1072</v>
      </c>
      <c r="B1086" s="36" t="str">
        <f t="shared" si="376"/>
        <v>BARATA Y MORADA</v>
      </c>
      <c r="C1086" s="151">
        <v>693</v>
      </c>
      <c r="D1086" s="152">
        <v>0.4291666666666667</v>
      </c>
      <c r="E1086" s="152">
        <v>0.43611111111111112</v>
      </c>
      <c r="F1086" s="153">
        <v>6.9444444444444198E-3</v>
      </c>
      <c r="G1086" s="152">
        <v>0.44236111111111115</v>
      </c>
      <c r="H1086" s="153">
        <v>6.2500000000000333E-3</v>
      </c>
      <c r="I1086" s="67">
        <v>41717</v>
      </c>
      <c r="J1086" s="174" t="s">
        <v>19</v>
      </c>
      <c r="K1086" s="135">
        <v>6.5972222222222265E-3</v>
      </c>
      <c r="L1086" s="135">
        <v>6.9444444444444753E-3</v>
      </c>
      <c r="M1086" s="175">
        <v>1.3541666666666702E-2</v>
      </c>
      <c r="N1086" s="90" t="s">
        <v>57</v>
      </c>
      <c r="O1086" s="91">
        <v>142</v>
      </c>
      <c r="P1086" s="92" t="s">
        <v>58</v>
      </c>
      <c r="R1086">
        <v>1072</v>
      </c>
      <c r="S1086" s="36" t="str">
        <f t="shared" si="368"/>
        <v>INTERAVIÓN</v>
      </c>
      <c r="T1086" s="36">
        <f t="shared" si="368"/>
        <v>5214</v>
      </c>
      <c r="U1086" s="73">
        <v>0.50486111111111109</v>
      </c>
      <c r="V1086" s="74">
        <v>0.51111111111111118</v>
      </c>
      <c r="W1086" s="75">
        <v>6.2500000000000888E-3</v>
      </c>
      <c r="X1086" s="74">
        <v>0.51527777777777783</v>
      </c>
      <c r="Y1086" s="75">
        <v>4.1666666666666519E-3</v>
      </c>
      <c r="Z1086" s="76">
        <v>41745</v>
      </c>
      <c r="AA1086" s="36" t="str">
        <f t="shared" ref="AA1086:AG1089" si="377">AA1085</f>
        <v>Nacional</v>
      </c>
      <c r="AB1086" s="36">
        <f t="shared" si="377"/>
        <v>6.944444444444464E-3</v>
      </c>
      <c r="AC1086" s="36">
        <f t="shared" si="377"/>
        <v>4.4444444444444505E-3</v>
      </c>
      <c r="AD1086" s="36">
        <f t="shared" si="377"/>
        <v>1.1388888888888914E-2</v>
      </c>
      <c r="AE1086" s="36">
        <f t="shared" si="377"/>
        <v>320</v>
      </c>
      <c r="AF1086" s="36">
        <f t="shared" si="377"/>
        <v>179</v>
      </c>
      <c r="AG1086" s="36" t="str">
        <f t="shared" si="377"/>
        <v>MEX</v>
      </c>
      <c r="AI1086">
        <v>1072</v>
      </c>
      <c r="AJ1086" s="77" t="str">
        <f t="shared" si="375"/>
        <v>INTERAVIÓN</v>
      </c>
      <c r="AK1086" s="77">
        <f t="shared" si="373"/>
        <v>2212</v>
      </c>
      <c r="AL1086" s="186">
        <v>0.43402777777777773</v>
      </c>
      <c r="AM1086" s="79">
        <v>0.4375</v>
      </c>
      <c r="AN1086" s="80">
        <v>3.4722222222222654E-3</v>
      </c>
      <c r="AO1086" s="79">
        <v>0.44375000000000003</v>
      </c>
      <c r="AP1086" s="80">
        <v>6.2500000000000333E-3</v>
      </c>
      <c r="AQ1086" s="81">
        <v>41803</v>
      </c>
      <c r="AR1086" s="77" t="str">
        <f t="shared" si="371"/>
        <v>Nacional</v>
      </c>
      <c r="AS1086" s="77">
        <f t="shared" si="371"/>
        <v>6.8055555555555812E-3</v>
      </c>
      <c r="AT1086" s="77">
        <f t="shared" si="371"/>
        <v>6.2499999999999726E-3</v>
      </c>
      <c r="AU1086" s="77">
        <f t="shared" si="371"/>
        <v>1.3055555555555553E-2</v>
      </c>
      <c r="AV1086" s="77">
        <f t="shared" si="371"/>
        <v>320</v>
      </c>
      <c r="AW1086" s="77">
        <f t="shared" si="371"/>
        <v>179</v>
      </c>
      <c r="AX1086" s="77" t="str">
        <f t="shared" si="371"/>
        <v>MEX</v>
      </c>
    </row>
    <row r="1087" spans="1:50" ht="15.75" thickBot="1" x14ac:dyDescent="0.3">
      <c r="A1087">
        <v>1073</v>
      </c>
      <c r="B1087" s="36" t="str">
        <f t="shared" si="376"/>
        <v>BARATA Y MORADA</v>
      </c>
      <c r="C1087" s="36">
        <f>C1086</f>
        <v>693</v>
      </c>
      <c r="D1087" s="176">
        <v>0.43124999999999997</v>
      </c>
      <c r="E1087" s="176">
        <v>0.4375</v>
      </c>
      <c r="F1087" s="177">
        <v>6.2500000000000333E-3</v>
      </c>
      <c r="G1087" s="176">
        <v>0.44513888888888892</v>
      </c>
      <c r="H1087" s="177">
        <v>7.6388888888889173E-3</v>
      </c>
      <c r="I1087" s="97">
        <v>41725</v>
      </c>
      <c r="J1087" s="36" t="str">
        <f t="shared" ref="J1087:P1087" si="378">J1086</f>
        <v>Nacional</v>
      </c>
      <c r="K1087" s="36">
        <f t="shared" si="378"/>
        <v>6.5972222222222265E-3</v>
      </c>
      <c r="L1087" s="36">
        <f t="shared" si="378"/>
        <v>6.9444444444444753E-3</v>
      </c>
      <c r="M1087" s="36">
        <f t="shared" si="378"/>
        <v>1.3541666666666702E-2</v>
      </c>
      <c r="N1087" s="36" t="str">
        <f t="shared" si="378"/>
        <v>A319</v>
      </c>
      <c r="O1087" s="36">
        <f t="shared" si="378"/>
        <v>142</v>
      </c>
      <c r="P1087" s="36" t="str">
        <f t="shared" si="378"/>
        <v>VER</v>
      </c>
      <c r="R1087">
        <v>1073</v>
      </c>
      <c r="S1087" s="36" t="str">
        <f t="shared" si="368"/>
        <v>INTERAVIÓN</v>
      </c>
      <c r="T1087" s="36">
        <f t="shared" si="368"/>
        <v>5214</v>
      </c>
      <c r="U1087" s="73">
        <v>0.50347222222222221</v>
      </c>
      <c r="V1087" s="74">
        <v>0.51250000000000007</v>
      </c>
      <c r="W1087" s="75">
        <v>9.0277777777778567E-3</v>
      </c>
      <c r="X1087" s="74">
        <v>0.51874999999999993</v>
      </c>
      <c r="Y1087" s="75">
        <v>6.2499999999998668E-3</v>
      </c>
      <c r="Z1087" s="76">
        <v>41746</v>
      </c>
      <c r="AA1087" s="36" t="str">
        <f t="shared" si="377"/>
        <v>Nacional</v>
      </c>
      <c r="AB1087" s="36">
        <f t="shared" si="377"/>
        <v>6.944444444444464E-3</v>
      </c>
      <c r="AC1087" s="36">
        <f t="shared" si="377"/>
        <v>4.4444444444444505E-3</v>
      </c>
      <c r="AD1087" s="36">
        <f t="shared" si="377"/>
        <v>1.1388888888888914E-2</v>
      </c>
      <c r="AE1087" s="36">
        <f t="shared" si="377"/>
        <v>320</v>
      </c>
      <c r="AF1087" s="36">
        <f t="shared" si="377"/>
        <v>179</v>
      </c>
      <c r="AG1087" s="36" t="str">
        <f t="shared" si="377"/>
        <v>MEX</v>
      </c>
      <c r="AI1087">
        <v>1073</v>
      </c>
      <c r="AJ1087" s="77" t="str">
        <f t="shared" si="375"/>
        <v>INTERAVIÓN</v>
      </c>
      <c r="AK1087" s="77">
        <f t="shared" si="373"/>
        <v>2212</v>
      </c>
      <c r="AL1087" s="186">
        <v>0.90694444444444444</v>
      </c>
      <c r="AM1087" s="79">
        <v>0.90972222222222221</v>
      </c>
      <c r="AN1087" s="80">
        <v>2.7777777777777679E-3</v>
      </c>
      <c r="AO1087" s="79">
        <v>0.92638888888888893</v>
      </c>
      <c r="AP1087" s="80">
        <v>1.6666666666666718E-2</v>
      </c>
      <c r="AQ1087" s="81">
        <v>41806</v>
      </c>
      <c r="AR1087" s="77" t="str">
        <f t="shared" si="371"/>
        <v>Nacional</v>
      </c>
      <c r="AS1087" s="77">
        <f t="shared" si="371"/>
        <v>6.8055555555555812E-3</v>
      </c>
      <c r="AT1087" s="77">
        <f t="shared" si="371"/>
        <v>6.2499999999999726E-3</v>
      </c>
      <c r="AU1087" s="77">
        <f t="shared" si="371"/>
        <v>1.3055555555555553E-2</v>
      </c>
      <c r="AV1087" s="77">
        <f t="shared" si="371"/>
        <v>320</v>
      </c>
      <c r="AW1087" s="77">
        <f t="shared" si="371"/>
        <v>179</v>
      </c>
      <c r="AX1087" s="77" t="str">
        <f t="shared" si="371"/>
        <v>MEX</v>
      </c>
    </row>
    <row r="1088" spans="1:50" x14ac:dyDescent="0.25">
      <c r="A1088">
        <v>1074</v>
      </c>
      <c r="B1088" s="36" t="str">
        <f t="shared" si="376"/>
        <v>BARATA Y MORADA</v>
      </c>
      <c r="C1088" s="151">
        <v>691</v>
      </c>
      <c r="D1088" s="152">
        <v>0.36458333333333331</v>
      </c>
      <c r="E1088" s="152">
        <v>0.37152777777777773</v>
      </c>
      <c r="F1088" s="153">
        <v>6.9444444444444198E-3</v>
      </c>
      <c r="G1088" s="152">
        <v>0.38055555555555554</v>
      </c>
      <c r="H1088" s="153">
        <v>9.0277777777778012E-3</v>
      </c>
      <c r="I1088" s="67">
        <v>41716</v>
      </c>
      <c r="J1088" s="174" t="s">
        <v>19</v>
      </c>
      <c r="K1088" s="135">
        <v>6.5972222222222265E-3</v>
      </c>
      <c r="L1088" s="135">
        <v>9.3749999999999944E-3</v>
      </c>
      <c r="M1088" s="175">
        <v>1.5972222222222221E-2</v>
      </c>
      <c r="N1088" s="90" t="s">
        <v>57</v>
      </c>
      <c r="O1088" s="91">
        <v>142</v>
      </c>
      <c r="P1088" s="92" t="s">
        <v>28</v>
      </c>
      <c r="R1088">
        <v>1074</v>
      </c>
      <c r="S1088" s="36" t="str">
        <f t="shared" si="368"/>
        <v>INTERAVIÓN</v>
      </c>
      <c r="T1088" s="36">
        <f t="shared" si="368"/>
        <v>5214</v>
      </c>
      <c r="U1088" s="73">
        <v>0.50347222222222221</v>
      </c>
      <c r="V1088" s="74">
        <v>0.5083333333333333</v>
      </c>
      <c r="W1088" s="75">
        <v>4.8611111111110938E-3</v>
      </c>
      <c r="X1088" s="74">
        <v>0.51388888888888895</v>
      </c>
      <c r="Y1088" s="75">
        <v>5.5555555555556468E-3</v>
      </c>
      <c r="Z1088" s="76">
        <v>41753</v>
      </c>
      <c r="AA1088" s="36" t="str">
        <f t="shared" si="377"/>
        <v>Nacional</v>
      </c>
      <c r="AB1088" s="36">
        <f t="shared" si="377"/>
        <v>6.944444444444464E-3</v>
      </c>
      <c r="AC1088" s="36">
        <f t="shared" si="377"/>
        <v>4.4444444444444505E-3</v>
      </c>
      <c r="AD1088" s="36">
        <f t="shared" si="377"/>
        <v>1.1388888888888914E-2</v>
      </c>
      <c r="AE1088" s="36">
        <f t="shared" si="377"/>
        <v>320</v>
      </c>
      <c r="AF1088" s="36">
        <f t="shared" si="377"/>
        <v>179</v>
      </c>
      <c r="AG1088" s="36" t="str">
        <f t="shared" si="377"/>
        <v>MEX</v>
      </c>
      <c r="AI1088">
        <v>1074</v>
      </c>
      <c r="AJ1088" s="77" t="str">
        <f t="shared" si="375"/>
        <v>INTERAVIÓN</v>
      </c>
      <c r="AK1088" s="77">
        <f t="shared" si="373"/>
        <v>2212</v>
      </c>
      <c r="AL1088" s="186">
        <v>0.95347222222222217</v>
      </c>
      <c r="AM1088" s="79">
        <v>0.96388888888888891</v>
      </c>
      <c r="AN1088" s="80">
        <v>1.0416666666666741E-2</v>
      </c>
      <c r="AO1088" s="79">
        <v>0.96736111111111101</v>
      </c>
      <c r="AP1088" s="80">
        <v>3.4722222222220989E-3</v>
      </c>
      <c r="AQ1088" s="81">
        <v>41809</v>
      </c>
      <c r="AR1088" s="77" t="str">
        <f t="shared" si="371"/>
        <v>Nacional</v>
      </c>
      <c r="AS1088" s="77">
        <f t="shared" si="371"/>
        <v>6.8055555555555812E-3</v>
      </c>
      <c r="AT1088" s="77">
        <f t="shared" si="371"/>
        <v>6.2499999999999726E-3</v>
      </c>
      <c r="AU1088" s="77">
        <f t="shared" si="371"/>
        <v>1.3055555555555553E-2</v>
      </c>
      <c r="AV1088" s="77">
        <f t="shared" si="371"/>
        <v>320</v>
      </c>
      <c r="AW1088" s="77">
        <f t="shared" si="371"/>
        <v>179</v>
      </c>
      <c r="AX1088" s="77" t="str">
        <f t="shared" si="371"/>
        <v>MEX</v>
      </c>
    </row>
    <row r="1089" spans="1:50" ht="15.75" thickBot="1" x14ac:dyDescent="0.3">
      <c r="A1089">
        <v>1075</v>
      </c>
      <c r="B1089" s="36" t="str">
        <f t="shared" si="376"/>
        <v>BARATA Y MORADA</v>
      </c>
      <c r="C1089" s="36">
        <f>C1088</f>
        <v>691</v>
      </c>
      <c r="D1089" s="176">
        <v>0.34791666666666665</v>
      </c>
      <c r="E1089" s="176">
        <v>0.35416666666666669</v>
      </c>
      <c r="F1089" s="177">
        <v>6.2500000000000333E-3</v>
      </c>
      <c r="G1089" s="176">
        <v>0.36388888888888887</v>
      </c>
      <c r="H1089" s="177">
        <v>9.7222222222221877E-3</v>
      </c>
      <c r="I1089" s="97">
        <v>41727</v>
      </c>
      <c r="J1089" s="36" t="str">
        <f t="shared" ref="J1089:P1089" si="379">J1088</f>
        <v>Nacional</v>
      </c>
      <c r="K1089" s="36">
        <f t="shared" si="379"/>
        <v>6.5972222222222265E-3</v>
      </c>
      <c r="L1089" s="36">
        <f t="shared" si="379"/>
        <v>9.3749999999999944E-3</v>
      </c>
      <c r="M1089" s="36">
        <f t="shared" si="379"/>
        <v>1.5972222222222221E-2</v>
      </c>
      <c r="N1089" s="36" t="str">
        <f t="shared" si="379"/>
        <v>A319</v>
      </c>
      <c r="O1089" s="36">
        <f t="shared" si="379"/>
        <v>142</v>
      </c>
      <c r="P1089" s="36" t="str">
        <f t="shared" si="379"/>
        <v>MTY</v>
      </c>
      <c r="R1089">
        <v>1075</v>
      </c>
      <c r="S1089" s="36" t="str">
        <f t="shared" si="368"/>
        <v>INTERAVIÓN</v>
      </c>
      <c r="T1089" s="36">
        <f t="shared" si="368"/>
        <v>5214</v>
      </c>
      <c r="U1089" s="83">
        <v>0.50347222222222221</v>
      </c>
      <c r="V1089" s="84">
        <v>0.50902777777777775</v>
      </c>
      <c r="W1089" s="85">
        <v>5.5555555555555358E-3</v>
      </c>
      <c r="X1089" s="84">
        <v>0.5131944444444444</v>
      </c>
      <c r="Y1089" s="85">
        <v>4.1666666666666519E-3</v>
      </c>
      <c r="Z1089" s="86">
        <v>41758</v>
      </c>
      <c r="AA1089" s="36" t="str">
        <f t="shared" si="377"/>
        <v>Nacional</v>
      </c>
      <c r="AB1089" s="36">
        <f t="shared" si="377"/>
        <v>6.944444444444464E-3</v>
      </c>
      <c r="AC1089" s="36">
        <f t="shared" si="377"/>
        <v>4.4444444444444505E-3</v>
      </c>
      <c r="AD1089" s="36">
        <f t="shared" si="377"/>
        <v>1.1388888888888914E-2</v>
      </c>
      <c r="AE1089" s="36">
        <f t="shared" si="377"/>
        <v>320</v>
      </c>
      <c r="AF1089" s="36">
        <f t="shared" si="377"/>
        <v>179</v>
      </c>
      <c r="AG1089" s="36" t="str">
        <f t="shared" si="377"/>
        <v>MEX</v>
      </c>
      <c r="AI1089">
        <v>1075</v>
      </c>
      <c r="AJ1089" s="77" t="str">
        <f t="shared" si="375"/>
        <v>INTERAVIÓN</v>
      </c>
      <c r="AK1089" s="77">
        <f t="shared" si="373"/>
        <v>2212</v>
      </c>
      <c r="AL1089" s="186">
        <v>0.96458333333333324</v>
      </c>
      <c r="AM1089" s="79">
        <v>0.97569444444444453</v>
      </c>
      <c r="AN1089" s="80">
        <v>1.1111111111111294E-2</v>
      </c>
      <c r="AO1089" s="79">
        <v>0.9819444444444444</v>
      </c>
      <c r="AP1089" s="80">
        <v>6.2499999999998668E-3</v>
      </c>
      <c r="AQ1089" s="81">
        <v>41810</v>
      </c>
      <c r="AR1089" s="77" t="str">
        <f t="shared" si="371"/>
        <v>Nacional</v>
      </c>
      <c r="AS1089" s="77">
        <f t="shared" si="371"/>
        <v>6.8055555555555812E-3</v>
      </c>
      <c r="AT1089" s="77">
        <f t="shared" si="371"/>
        <v>6.2499999999999726E-3</v>
      </c>
      <c r="AU1089" s="77">
        <f t="shared" si="371"/>
        <v>1.3055555555555553E-2</v>
      </c>
      <c r="AV1089" s="77">
        <f t="shared" si="371"/>
        <v>320</v>
      </c>
      <c r="AW1089" s="77">
        <f t="shared" si="371"/>
        <v>179</v>
      </c>
      <c r="AX1089" s="77" t="str">
        <f t="shared" si="371"/>
        <v>MEX</v>
      </c>
    </row>
    <row r="1090" spans="1:50" ht="15.75" thickBot="1" x14ac:dyDescent="0.3">
      <c r="A1090">
        <v>1076</v>
      </c>
      <c r="B1090" s="36" t="str">
        <f t="shared" si="376"/>
        <v>BARATA Y MORADA</v>
      </c>
      <c r="C1090" s="151">
        <v>689</v>
      </c>
      <c r="D1090" s="152">
        <v>0.52430555555555558</v>
      </c>
      <c r="E1090" s="152">
        <v>0.53472222222222221</v>
      </c>
      <c r="F1090" s="153">
        <v>1.041666666666663E-2</v>
      </c>
      <c r="G1090" s="152">
        <v>0.54305555555555551</v>
      </c>
      <c r="H1090" s="153">
        <v>8.3333333333333037E-3</v>
      </c>
      <c r="I1090" s="67">
        <v>41716</v>
      </c>
      <c r="J1090" s="174" t="s">
        <v>19</v>
      </c>
      <c r="K1090" s="135">
        <v>7.4652777777778345E-3</v>
      </c>
      <c r="L1090" s="135">
        <v>1.0937499999999933E-2</v>
      </c>
      <c r="M1090" s="175">
        <v>1.8402777777777768E-2</v>
      </c>
      <c r="N1090" s="90" t="s">
        <v>57</v>
      </c>
      <c r="O1090" s="91">
        <v>142</v>
      </c>
      <c r="P1090" s="92" t="s">
        <v>84</v>
      </c>
      <c r="R1090">
        <v>1076</v>
      </c>
      <c r="S1090" s="36" t="str">
        <f t="shared" si="368"/>
        <v>INTERAVIÓN</v>
      </c>
      <c r="T1090" s="55">
        <v>5210</v>
      </c>
      <c r="U1090" s="56">
        <v>0.37638888888888888</v>
      </c>
      <c r="V1090" s="57">
        <v>0.38055555555555554</v>
      </c>
      <c r="W1090" s="58">
        <v>4.1666666666666519E-3</v>
      </c>
      <c r="X1090" s="57">
        <v>0.3888888888888889</v>
      </c>
      <c r="Y1090" s="58">
        <v>8.3333333333333592E-3</v>
      </c>
      <c r="Z1090" s="59">
        <v>41735</v>
      </c>
      <c r="AA1090" s="60" t="s">
        <v>19</v>
      </c>
      <c r="AB1090" s="61">
        <v>3.703703703703709E-3</v>
      </c>
      <c r="AC1090" s="61">
        <v>7.1759259259259372E-3</v>
      </c>
      <c r="AD1090" s="62">
        <v>1.0879629629629645E-2</v>
      </c>
      <c r="AE1090" s="191">
        <v>320</v>
      </c>
      <c r="AF1090" s="191">
        <v>179</v>
      </c>
      <c r="AG1090" s="192" t="s">
        <v>21</v>
      </c>
      <c r="AI1090">
        <v>1076</v>
      </c>
      <c r="AJ1090" s="77" t="str">
        <f t="shared" si="375"/>
        <v>INTERAVIÓN</v>
      </c>
      <c r="AK1090" s="77">
        <f t="shared" si="373"/>
        <v>2212</v>
      </c>
      <c r="AL1090" s="187">
        <v>0.98472222222222217</v>
      </c>
      <c r="AM1090" s="95">
        <v>0.99305555555555547</v>
      </c>
      <c r="AN1090" s="96">
        <v>8.3333333333333037E-3</v>
      </c>
      <c r="AO1090" s="95">
        <v>0.99791666666666667</v>
      </c>
      <c r="AP1090" s="96">
        <v>4.8611111111112049E-3</v>
      </c>
      <c r="AQ1090" s="97">
        <v>41813</v>
      </c>
      <c r="AR1090" s="77" t="str">
        <f t="shared" si="371"/>
        <v>Nacional</v>
      </c>
      <c r="AS1090" s="77">
        <f t="shared" si="371"/>
        <v>6.8055555555555812E-3</v>
      </c>
      <c r="AT1090" s="77">
        <f t="shared" si="371"/>
        <v>6.2499999999999726E-3</v>
      </c>
      <c r="AU1090" s="77">
        <f t="shared" si="371"/>
        <v>1.3055555555555553E-2</v>
      </c>
      <c r="AV1090" s="77">
        <f t="shared" si="371"/>
        <v>320</v>
      </c>
      <c r="AW1090" s="77">
        <f t="shared" si="371"/>
        <v>179</v>
      </c>
      <c r="AX1090" s="77" t="str">
        <f t="shared" si="371"/>
        <v>MEX</v>
      </c>
    </row>
    <row r="1091" spans="1:50" x14ac:dyDescent="0.25">
      <c r="A1091">
        <v>1077</v>
      </c>
      <c r="B1091" s="36" t="str">
        <f t="shared" si="376"/>
        <v>BARATA Y MORADA</v>
      </c>
      <c r="C1091" s="36">
        <f t="shared" si="376"/>
        <v>689</v>
      </c>
      <c r="D1091" s="118">
        <v>0.53819444444444442</v>
      </c>
      <c r="E1091" s="118">
        <v>0.54375000000000007</v>
      </c>
      <c r="F1091" s="119">
        <v>5.5555555555556468E-3</v>
      </c>
      <c r="G1091" s="118">
        <v>0.55138888888888882</v>
      </c>
      <c r="H1091" s="119">
        <v>7.6388888888887507E-3</v>
      </c>
      <c r="I1091" s="81">
        <v>41720</v>
      </c>
      <c r="J1091" s="36" t="str">
        <f t="shared" ref="J1091:P1093" si="380">J1090</f>
        <v>Nacional</v>
      </c>
      <c r="K1091" s="36">
        <f t="shared" si="380"/>
        <v>7.4652777777778345E-3</v>
      </c>
      <c r="L1091" s="36">
        <f t="shared" si="380"/>
        <v>1.0937499999999933E-2</v>
      </c>
      <c r="M1091" s="36">
        <f t="shared" si="380"/>
        <v>1.8402777777777768E-2</v>
      </c>
      <c r="N1091" s="36" t="str">
        <f t="shared" si="380"/>
        <v>A319</v>
      </c>
      <c r="O1091" s="36">
        <f t="shared" si="380"/>
        <v>142</v>
      </c>
      <c r="P1091" s="36" t="str">
        <f t="shared" si="380"/>
        <v>TGZ</v>
      </c>
      <c r="R1091">
        <v>1077</v>
      </c>
      <c r="S1091" s="36" t="str">
        <f t="shared" si="368"/>
        <v>INTERAVIÓN</v>
      </c>
      <c r="T1091" s="36">
        <f t="shared" si="368"/>
        <v>5210</v>
      </c>
      <c r="U1091" s="73">
        <v>0.38055555555555554</v>
      </c>
      <c r="V1091" s="74">
        <v>0.38194444444444442</v>
      </c>
      <c r="W1091" s="75">
        <v>1.388888888888884E-3</v>
      </c>
      <c r="X1091" s="74">
        <v>0.38611111111111113</v>
      </c>
      <c r="Y1091" s="75">
        <v>4.1666666666667074E-3</v>
      </c>
      <c r="Z1091" s="76">
        <v>41749</v>
      </c>
      <c r="AA1091" s="36" t="str">
        <f t="shared" ref="AA1091:AG1092" si="381">AA1090</f>
        <v>Nacional</v>
      </c>
      <c r="AB1091" s="36">
        <f t="shared" si="381"/>
        <v>3.703703703703709E-3</v>
      </c>
      <c r="AC1091" s="36">
        <f t="shared" si="381"/>
        <v>7.1759259259259372E-3</v>
      </c>
      <c r="AD1091" s="36">
        <f t="shared" si="381"/>
        <v>1.0879629629629645E-2</v>
      </c>
      <c r="AE1091" s="36">
        <f t="shared" si="381"/>
        <v>320</v>
      </c>
      <c r="AF1091" s="36">
        <f t="shared" si="381"/>
        <v>179</v>
      </c>
      <c r="AG1091" s="36" t="str">
        <f t="shared" si="381"/>
        <v>MEX</v>
      </c>
      <c r="AI1091">
        <v>1077</v>
      </c>
      <c r="AJ1091" s="77" t="str">
        <f t="shared" si="375"/>
        <v>INTERAVIÓN</v>
      </c>
      <c r="AK1091" s="63">
        <v>2210</v>
      </c>
      <c r="AL1091" s="185">
        <v>0.42430555555555555</v>
      </c>
      <c r="AM1091" s="65">
        <v>0.43472222222222223</v>
      </c>
      <c r="AN1091" s="66">
        <v>1.0416666666666685E-2</v>
      </c>
      <c r="AO1091" s="65">
        <v>0.43888888888888888</v>
      </c>
      <c r="AP1091" s="66">
        <v>4.1666666666666519E-3</v>
      </c>
      <c r="AQ1091" s="67">
        <v>41791</v>
      </c>
      <c r="AR1091" s="68" t="s">
        <v>19</v>
      </c>
      <c r="AS1091" s="69">
        <v>6.336805555555553E-3</v>
      </c>
      <c r="AT1091" s="70">
        <v>6.9733796296296245E-3</v>
      </c>
      <c r="AU1091" s="70">
        <v>1.3310185185185178E-2</v>
      </c>
      <c r="AV1091" s="71">
        <v>320</v>
      </c>
      <c r="AW1091" s="71">
        <v>179</v>
      </c>
      <c r="AX1091" s="72" t="s">
        <v>21</v>
      </c>
    </row>
    <row r="1092" spans="1:50" ht="15.75" thickBot="1" x14ac:dyDescent="0.3">
      <c r="A1092">
        <v>1078</v>
      </c>
      <c r="B1092" s="36" t="str">
        <f t="shared" si="376"/>
        <v>BARATA Y MORADA</v>
      </c>
      <c r="C1092" s="36">
        <f t="shared" si="376"/>
        <v>689</v>
      </c>
      <c r="D1092" s="118">
        <v>0.5395833333333333</v>
      </c>
      <c r="E1092" s="118">
        <v>0.54652777777777783</v>
      </c>
      <c r="F1092" s="119">
        <v>6.9444444444445308E-3</v>
      </c>
      <c r="G1092" s="118">
        <v>0.55833333333333335</v>
      </c>
      <c r="H1092" s="119">
        <v>1.1805555555555514E-2</v>
      </c>
      <c r="I1092" s="81">
        <v>41727</v>
      </c>
      <c r="J1092" s="36" t="str">
        <f t="shared" si="380"/>
        <v>Nacional</v>
      </c>
      <c r="K1092" s="36">
        <f t="shared" si="380"/>
        <v>7.4652777777778345E-3</v>
      </c>
      <c r="L1092" s="36">
        <f t="shared" si="380"/>
        <v>1.0937499999999933E-2</v>
      </c>
      <c r="M1092" s="36">
        <f t="shared" si="380"/>
        <v>1.8402777777777768E-2</v>
      </c>
      <c r="N1092" s="36" t="str">
        <f t="shared" si="380"/>
        <v>A319</v>
      </c>
      <c r="O1092" s="36">
        <f t="shared" si="380"/>
        <v>142</v>
      </c>
      <c r="P1092" s="36" t="str">
        <f t="shared" si="380"/>
        <v>TGZ</v>
      </c>
      <c r="R1092">
        <v>1078</v>
      </c>
      <c r="S1092" s="36" t="str">
        <f t="shared" si="368"/>
        <v>INTERAVIÓN</v>
      </c>
      <c r="T1092" s="36">
        <f t="shared" si="368"/>
        <v>5210</v>
      </c>
      <c r="U1092" s="83">
        <v>0.38055555555555554</v>
      </c>
      <c r="V1092" s="84">
        <v>0.38611111111111113</v>
      </c>
      <c r="W1092" s="85">
        <v>5.5555555555555913E-3</v>
      </c>
      <c r="X1092" s="84">
        <v>0.39513888888888887</v>
      </c>
      <c r="Y1092" s="85">
        <v>9.0277777777777457E-3</v>
      </c>
      <c r="Z1092" s="86">
        <v>41756</v>
      </c>
      <c r="AA1092" s="36" t="str">
        <f t="shared" si="381"/>
        <v>Nacional</v>
      </c>
      <c r="AB1092" s="36">
        <f t="shared" si="381"/>
        <v>3.703703703703709E-3</v>
      </c>
      <c r="AC1092" s="36">
        <f t="shared" si="381"/>
        <v>7.1759259259259372E-3</v>
      </c>
      <c r="AD1092" s="36">
        <f t="shared" si="381"/>
        <v>1.0879629629629645E-2</v>
      </c>
      <c r="AE1092" s="36">
        <f t="shared" si="381"/>
        <v>320</v>
      </c>
      <c r="AF1092" s="36">
        <f t="shared" si="381"/>
        <v>179</v>
      </c>
      <c r="AG1092" s="36" t="str">
        <f t="shared" si="381"/>
        <v>MEX</v>
      </c>
      <c r="AI1092">
        <v>1078</v>
      </c>
      <c r="AJ1092" s="77" t="str">
        <f t="shared" si="375"/>
        <v>INTERAVIÓN</v>
      </c>
      <c r="AK1092" s="77">
        <f t="shared" si="375"/>
        <v>2210</v>
      </c>
      <c r="AL1092" s="186">
        <v>0.43611111111111112</v>
      </c>
      <c r="AM1092" s="79">
        <v>0.44027777777777777</v>
      </c>
      <c r="AN1092" s="80">
        <v>4.1666666666666519E-3</v>
      </c>
      <c r="AO1092" s="79">
        <v>0.4458333333333333</v>
      </c>
      <c r="AP1092" s="80">
        <v>5.5555555555555358E-3</v>
      </c>
      <c r="AQ1092" s="81">
        <v>41792</v>
      </c>
      <c r="AR1092" s="77" t="str">
        <f t="shared" ref="AR1092:AX1114" si="382">AR1091</f>
        <v>Nacional</v>
      </c>
      <c r="AS1092" s="77">
        <f t="shared" si="382"/>
        <v>6.336805555555553E-3</v>
      </c>
      <c r="AT1092" s="77">
        <f t="shared" si="382"/>
        <v>6.9733796296296245E-3</v>
      </c>
      <c r="AU1092" s="77">
        <f t="shared" si="382"/>
        <v>1.3310185185185178E-2</v>
      </c>
      <c r="AV1092" s="77">
        <f t="shared" si="382"/>
        <v>320</v>
      </c>
      <c r="AW1092" s="77">
        <f t="shared" si="382"/>
        <v>179</v>
      </c>
      <c r="AX1092" s="77" t="str">
        <f t="shared" si="382"/>
        <v>MEX</v>
      </c>
    </row>
    <row r="1093" spans="1:50" ht="15.75" thickBot="1" x14ac:dyDescent="0.3">
      <c r="A1093">
        <v>1079</v>
      </c>
      <c r="B1093" s="36" t="str">
        <f t="shared" si="376"/>
        <v>BARATA Y MORADA</v>
      </c>
      <c r="C1093" s="36">
        <f t="shared" si="376"/>
        <v>689</v>
      </c>
      <c r="D1093" s="176">
        <v>0.5395833333333333</v>
      </c>
      <c r="E1093" s="176">
        <v>0.54652777777777783</v>
      </c>
      <c r="F1093" s="177">
        <v>6.9444444444445308E-3</v>
      </c>
      <c r="G1093" s="176">
        <v>0.5625</v>
      </c>
      <c r="H1093" s="177">
        <v>1.5972222222222165E-2</v>
      </c>
      <c r="I1093" s="97">
        <v>41727</v>
      </c>
      <c r="J1093" s="36" t="str">
        <f t="shared" si="380"/>
        <v>Nacional</v>
      </c>
      <c r="K1093" s="36">
        <f t="shared" si="380"/>
        <v>7.4652777777778345E-3</v>
      </c>
      <c r="L1093" s="36">
        <f t="shared" si="380"/>
        <v>1.0937499999999933E-2</v>
      </c>
      <c r="M1093" s="36">
        <f t="shared" si="380"/>
        <v>1.8402777777777768E-2</v>
      </c>
      <c r="N1093" s="36" t="str">
        <f t="shared" si="380"/>
        <v>A319</v>
      </c>
      <c r="O1093" s="36">
        <f t="shared" si="380"/>
        <v>142</v>
      </c>
      <c r="P1093" s="36" t="str">
        <f t="shared" si="380"/>
        <v>TGZ</v>
      </c>
      <c r="R1093">
        <v>1079</v>
      </c>
      <c r="S1093" s="36" t="str">
        <f t="shared" si="368"/>
        <v>INTERAVIÓN</v>
      </c>
      <c r="T1093" s="55">
        <v>2840</v>
      </c>
      <c r="U1093" s="56">
        <v>0.7006944444444444</v>
      </c>
      <c r="V1093" s="57">
        <v>0.70138888888888884</v>
      </c>
      <c r="W1093" s="58">
        <v>6.9444444444444198E-4</v>
      </c>
      <c r="X1093" s="57">
        <v>0.70833333333333337</v>
      </c>
      <c r="Y1093" s="58">
        <v>6.9444444444445308E-3</v>
      </c>
      <c r="Z1093" s="59">
        <v>41732</v>
      </c>
      <c r="AA1093" s="60" t="s">
        <v>22</v>
      </c>
      <c r="AB1093" s="61">
        <v>9.0277777777777544E-3</v>
      </c>
      <c r="AC1093" s="61">
        <v>1.093749999999998E-2</v>
      </c>
      <c r="AD1093" s="62">
        <v>1.9965277777777735E-2</v>
      </c>
      <c r="AE1093" s="191">
        <v>320</v>
      </c>
      <c r="AF1093" s="191">
        <v>179</v>
      </c>
      <c r="AG1093" s="192" t="s">
        <v>21</v>
      </c>
      <c r="AI1093">
        <v>1079</v>
      </c>
      <c r="AJ1093" s="77" t="str">
        <f t="shared" si="375"/>
        <v>INTERAVIÓN</v>
      </c>
      <c r="AK1093" s="77">
        <f t="shared" si="375"/>
        <v>2210</v>
      </c>
      <c r="AL1093" s="186">
        <v>0.4375</v>
      </c>
      <c r="AM1093" s="79">
        <v>0.44305555555555554</v>
      </c>
      <c r="AN1093" s="80">
        <v>5.5555555555555358E-3</v>
      </c>
      <c r="AO1093" s="79">
        <v>0.44791666666666669</v>
      </c>
      <c r="AP1093" s="80">
        <v>4.8611111111111494E-3</v>
      </c>
      <c r="AQ1093" s="81">
        <v>41793</v>
      </c>
      <c r="AR1093" s="77" t="str">
        <f t="shared" si="382"/>
        <v>Nacional</v>
      </c>
      <c r="AS1093" s="77">
        <f t="shared" si="382"/>
        <v>6.336805555555553E-3</v>
      </c>
      <c r="AT1093" s="77">
        <f t="shared" si="382"/>
        <v>6.9733796296296245E-3</v>
      </c>
      <c r="AU1093" s="77">
        <f t="shared" si="382"/>
        <v>1.3310185185185178E-2</v>
      </c>
      <c r="AV1093" s="77">
        <f t="shared" si="382"/>
        <v>320</v>
      </c>
      <c r="AW1093" s="77">
        <f t="shared" si="382"/>
        <v>179</v>
      </c>
      <c r="AX1093" s="77" t="str">
        <f t="shared" si="382"/>
        <v>MEX</v>
      </c>
    </row>
    <row r="1094" spans="1:50" x14ac:dyDescent="0.25">
      <c r="A1094">
        <v>1080</v>
      </c>
      <c r="B1094" s="36" t="str">
        <f t="shared" si="376"/>
        <v>BARATA Y MORADA</v>
      </c>
      <c r="C1094" s="151">
        <v>687</v>
      </c>
      <c r="D1094" s="152">
        <v>0.67569444444444438</v>
      </c>
      <c r="E1094" s="152">
        <v>0.68402777777777779</v>
      </c>
      <c r="F1094" s="153">
        <v>8.3333333333334147E-3</v>
      </c>
      <c r="G1094" s="152">
        <v>0.69791666666666663</v>
      </c>
      <c r="H1094" s="153">
        <v>1.388888888888884E-2</v>
      </c>
      <c r="I1094" s="67">
        <v>41717</v>
      </c>
      <c r="J1094" s="174" t="s">
        <v>19</v>
      </c>
      <c r="K1094" s="135">
        <v>1.1111111111111108E-2</v>
      </c>
      <c r="L1094" s="135">
        <v>9.490740740740744E-3</v>
      </c>
      <c r="M1094" s="175">
        <v>2.060185185185185E-2</v>
      </c>
      <c r="N1094" s="90" t="s">
        <v>57</v>
      </c>
      <c r="O1094" s="91">
        <v>142</v>
      </c>
      <c r="P1094" s="92" t="s">
        <v>30</v>
      </c>
      <c r="R1094">
        <v>1080</v>
      </c>
      <c r="S1094" s="36" t="str">
        <f t="shared" si="368"/>
        <v>INTERAVIÓN</v>
      </c>
      <c r="T1094" s="36">
        <f t="shared" si="368"/>
        <v>2840</v>
      </c>
      <c r="U1094" s="73">
        <v>0.68958333333333333</v>
      </c>
      <c r="V1094" s="74">
        <v>0.7006944444444444</v>
      </c>
      <c r="W1094" s="75">
        <v>1.1111111111111072E-2</v>
      </c>
      <c r="X1094" s="74">
        <v>0.71458333333333324</v>
      </c>
      <c r="Y1094" s="75">
        <v>1.388888888888884E-2</v>
      </c>
      <c r="Z1094" s="76">
        <v>41733</v>
      </c>
      <c r="AA1094" s="36" t="str">
        <f t="shared" ref="AA1094:AG1104" si="383">AA1093</f>
        <v>Internacional</v>
      </c>
      <c r="AB1094" s="36">
        <f t="shared" si="383"/>
        <v>9.0277777777777544E-3</v>
      </c>
      <c r="AC1094" s="36">
        <f t="shared" si="383"/>
        <v>1.093749999999998E-2</v>
      </c>
      <c r="AD1094" s="36">
        <f t="shared" si="383"/>
        <v>1.9965277777777735E-2</v>
      </c>
      <c r="AE1094" s="36">
        <f t="shared" si="383"/>
        <v>320</v>
      </c>
      <c r="AF1094" s="36">
        <f t="shared" si="383"/>
        <v>179</v>
      </c>
      <c r="AG1094" s="36" t="str">
        <f t="shared" si="383"/>
        <v>MEX</v>
      </c>
      <c r="AI1094">
        <v>1080</v>
      </c>
      <c r="AJ1094" s="77" t="str">
        <f t="shared" si="375"/>
        <v>INTERAVIÓN</v>
      </c>
      <c r="AK1094" s="77">
        <f t="shared" si="375"/>
        <v>2210</v>
      </c>
      <c r="AL1094" s="186">
        <v>0.43402777777777773</v>
      </c>
      <c r="AM1094" s="79">
        <v>0.44027777777777777</v>
      </c>
      <c r="AN1094" s="80">
        <v>6.2500000000000333E-3</v>
      </c>
      <c r="AO1094" s="79">
        <v>0.44791666666666669</v>
      </c>
      <c r="AP1094" s="80">
        <v>7.6388888888889173E-3</v>
      </c>
      <c r="AQ1094" s="81">
        <v>41794</v>
      </c>
      <c r="AR1094" s="77" t="str">
        <f t="shared" si="382"/>
        <v>Nacional</v>
      </c>
      <c r="AS1094" s="77">
        <f t="shared" si="382"/>
        <v>6.336805555555553E-3</v>
      </c>
      <c r="AT1094" s="77">
        <f t="shared" si="382"/>
        <v>6.9733796296296245E-3</v>
      </c>
      <c r="AU1094" s="77">
        <f t="shared" si="382"/>
        <v>1.3310185185185178E-2</v>
      </c>
      <c r="AV1094" s="77">
        <f t="shared" si="382"/>
        <v>320</v>
      </c>
      <c r="AW1094" s="77">
        <f t="shared" si="382"/>
        <v>179</v>
      </c>
      <c r="AX1094" s="77" t="str">
        <f t="shared" si="382"/>
        <v>MEX</v>
      </c>
    </row>
    <row r="1095" spans="1:50" x14ac:dyDescent="0.25">
      <c r="A1095">
        <v>1081</v>
      </c>
      <c r="B1095" s="36" t="str">
        <f t="shared" si="376"/>
        <v>BARATA Y MORADA</v>
      </c>
      <c r="C1095" s="36">
        <f t="shared" si="376"/>
        <v>687</v>
      </c>
      <c r="D1095" s="118">
        <v>0.6875</v>
      </c>
      <c r="E1095" s="118">
        <v>0.70694444444444438</v>
      </c>
      <c r="F1095" s="119">
        <v>1.9444444444444375E-2</v>
      </c>
      <c r="G1095" s="118">
        <v>0.71875</v>
      </c>
      <c r="H1095" s="119">
        <v>1.1805555555555625E-2</v>
      </c>
      <c r="I1095" s="81">
        <v>41720</v>
      </c>
      <c r="J1095" s="36" t="str">
        <f t="shared" ref="J1095:P1096" si="384">J1094</f>
        <v>Nacional</v>
      </c>
      <c r="K1095" s="36">
        <f t="shared" si="384"/>
        <v>1.1111111111111108E-2</v>
      </c>
      <c r="L1095" s="36">
        <f t="shared" si="384"/>
        <v>9.490740740740744E-3</v>
      </c>
      <c r="M1095" s="36">
        <f t="shared" si="384"/>
        <v>2.060185185185185E-2</v>
      </c>
      <c r="N1095" s="36" t="str">
        <f t="shared" si="384"/>
        <v>A319</v>
      </c>
      <c r="O1095" s="36">
        <f t="shared" si="384"/>
        <v>142</v>
      </c>
      <c r="P1095" s="36" t="str">
        <f t="shared" si="384"/>
        <v>MID</v>
      </c>
      <c r="R1095">
        <v>1081</v>
      </c>
      <c r="S1095" s="36" t="str">
        <f t="shared" si="368"/>
        <v>INTERAVIÓN</v>
      </c>
      <c r="T1095" s="36">
        <f t="shared" si="368"/>
        <v>2840</v>
      </c>
      <c r="U1095" s="73">
        <v>0.7597222222222223</v>
      </c>
      <c r="V1095" s="74">
        <v>0.7680555555555556</v>
      </c>
      <c r="W1095" s="75">
        <v>8.3333333333333037E-3</v>
      </c>
      <c r="X1095" s="74">
        <v>0.77916666666666667</v>
      </c>
      <c r="Y1095" s="75">
        <v>1.1111111111111072E-2</v>
      </c>
      <c r="Z1095" s="76">
        <v>41735</v>
      </c>
      <c r="AA1095" s="36" t="str">
        <f t="shared" si="383"/>
        <v>Internacional</v>
      </c>
      <c r="AB1095" s="36">
        <f t="shared" si="383"/>
        <v>9.0277777777777544E-3</v>
      </c>
      <c r="AC1095" s="36">
        <f t="shared" si="383"/>
        <v>1.093749999999998E-2</v>
      </c>
      <c r="AD1095" s="36">
        <f t="shared" si="383"/>
        <v>1.9965277777777735E-2</v>
      </c>
      <c r="AE1095" s="36">
        <f t="shared" si="383"/>
        <v>320</v>
      </c>
      <c r="AF1095" s="36">
        <f t="shared" si="383"/>
        <v>179</v>
      </c>
      <c r="AG1095" s="36" t="str">
        <f t="shared" si="383"/>
        <v>MEX</v>
      </c>
      <c r="AI1095">
        <v>1081</v>
      </c>
      <c r="AJ1095" s="77" t="str">
        <f t="shared" si="375"/>
        <v>INTERAVIÓN</v>
      </c>
      <c r="AK1095" s="77">
        <f t="shared" si="375"/>
        <v>2210</v>
      </c>
      <c r="AL1095" s="186">
        <v>0.43611111111111112</v>
      </c>
      <c r="AM1095" s="79">
        <v>0.43958333333333338</v>
      </c>
      <c r="AN1095" s="80">
        <v>3.4722222222222654E-3</v>
      </c>
      <c r="AO1095" s="79">
        <v>0.4465277777777778</v>
      </c>
      <c r="AP1095" s="80">
        <v>6.9444444444444198E-3</v>
      </c>
      <c r="AQ1095" s="81">
        <v>41795</v>
      </c>
      <c r="AR1095" s="77" t="str">
        <f t="shared" si="382"/>
        <v>Nacional</v>
      </c>
      <c r="AS1095" s="77">
        <f t="shared" si="382"/>
        <v>6.336805555555553E-3</v>
      </c>
      <c r="AT1095" s="77">
        <f t="shared" si="382"/>
        <v>6.9733796296296245E-3</v>
      </c>
      <c r="AU1095" s="77">
        <f t="shared" si="382"/>
        <v>1.3310185185185178E-2</v>
      </c>
      <c r="AV1095" s="77">
        <f t="shared" si="382"/>
        <v>320</v>
      </c>
      <c r="AW1095" s="77">
        <f t="shared" si="382"/>
        <v>179</v>
      </c>
      <c r="AX1095" s="77" t="str">
        <f t="shared" si="382"/>
        <v>MEX</v>
      </c>
    </row>
    <row r="1096" spans="1:50" ht="15.75" thickBot="1" x14ac:dyDescent="0.3">
      <c r="A1096">
        <v>1082</v>
      </c>
      <c r="B1096" s="36" t="str">
        <f t="shared" si="376"/>
        <v>BARATA Y MORADA</v>
      </c>
      <c r="C1096" s="36">
        <f t="shared" si="376"/>
        <v>687</v>
      </c>
      <c r="D1096" s="176">
        <v>0.69305555555555554</v>
      </c>
      <c r="E1096" s="176">
        <v>0.69861111111111107</v>
      </c>
      <c r="F1096" s="177">
        <v>5.5555555555555358E-3</v>
      </c>
      <c r="G1096" s="176">
        <v>0.70138888888888884</v>
      </c>
      <c r="H1096" s="177">
        <v>2.7777777777777679E-3</v>
      </c>
      <c r="I1096" s="97">
        <v>41725</v>
      </c>
      <c r="J1096" s="36" t="str">
        <f t="shared" si="384"/>
        <v>Nacional</v>
      </c>
      <c r="K1096" s="36">
        <f t="shared" si="384"/>
        <v>1.1111111111111108E-2</v>
      </c>
      <c r="L1096" s="36">
        <f t="shared" si="384"/>
        <v>9.490740740740744E-3</v>
      </c>
      <c r="M1096" s="36">
        <f t="shared" si="384"/>
        <v>2.060185185185185E-2</v>
      </c>
      <c r="N1096" s="36" t="str">
        <f t="shared" si="384"/>
        <v>A319</v>
      </c>
      <c r="O1096" s="36">
        <f t="shared" si="384"/>
        <v>142</v>
      </c>
      <c r="P1096" s="36" t="str">
        <f t="shared" si="384"/>
        <v>MID</v>
      </c>
      <c r="R1096">
        <v>1082</v>
      </c>
      <c r="S1096" s="36" t="str">
        <f t="shared" si="368"/>
        <v>INTERAVIÓN</v>
      </c>
      <c r="T1096" s="36">
        <f t="shared" si="368"/>
        <v>2840</v>
      </c>
      <c r="U1096" s="73">
        <v>0.7006944444444444</v>
      </c>
      <c r="V1096" s="74">
        <v>0.71180555555555547</v>
      </c>
      <c r="W1096" s="75">
        <v>1.1111111111111072E-2</v>
      </c>
      <c r="X1096" s="74">
        <v>0.72222222222222221</v>
      </c>
      <c r="Y1096" s="75">
        <v>1.0416666666666741E-2</v>
      </c>
      <c r="Z1096" s="76">
        <v>41736</v>
      </c>
      <c r="AA1096" s="36" t="str">
        <f t="shared" si="383"/>
        <v>Internacional</v>
      </c>
      <c r="AB1096" s="36">
        <f t="shared" si="383"/>
        <v>9.0277777777777544E-3</v>
      </c>
      <c r="AC1096" s="36">
        <f t="shared" si="383"/>
        <v>1.093749999999998E-2</v>
      </c>
      <c r="AD1096" s="36">
        <f t="shared" si="383"/>
        <v>1.9965277777777735E-2</v>
      </c>
      <c r="AE1096" s="36">
        <f t="shared" si="383"/>
        <v>320</v>
      </c>
      <c r="AF1096" s="36">
        <f t="shared" si="383"/>
        <v>179</v>
      </c>
      <c r="AG1096" s="36" t="str">
        <f t="shared" si="383"/>
        <v>MEX</v>
      </c>
      <c r="AI1096">
        <v>1082</v>
      </c>
      <c r="AJ1096" s="77" t="str">
        <f t="shared" si="375"/>
        <v>INTERAVIÓN</v>
      </c>
      <c r="AK1096" s="77">
        <f t="shared" si="375"/>
        <v>2210</v>
      </c>
      <c r="AL1096" s="186">
        <v>0.43611111111111112</v>
      </c>
      <c r="AM1096" s="79">
        <v>0.43958333333333338</v>
      </c>
      <c r="AN1096" s="80">
        <v>3.4722222222222654E-3</v>
      </c>
      <c r="AO1096" s="79">
        <v>0.4465277777777778</v>
      </c>
      <c r="AP1096" s="80">
        <v>6.9444444444444198E-3</v>
      </c>
      <c r="AQ1096" s="81">
        <v>41795</v>
      </c>
      <c r="AR1096" s="77" t="str">
        <f t="shared" si="382"/>
        <v>Nacional</v>
      </c>
      <c r="AS1096" s="77">
        <f t="shared" si="382"/>
        <v>6.336805555555553E-3</v>
      </c>
      <c r="AT1096" s="77">
        <f t="shared" si="382"/>
        <v>6.9733796296296245E-3</v>
      </c>
      <c r="AU1096" s="77">
        <f t="shared" si="382"/>
        <v>1.3310185185185178E-2</v>
      </c>
      <c r="AV1096" s="77">
        <f t="shared" si="382"/>
        <v>320</v>
      </c>
      <c r="AW1096" s="77">
        <f t="shared" si="382"/>
        <v>179</v>
      </c>
      <c r="AX1096" s="77" t="str">
        <f t="shared" si="382"/>
        <v>MEX</v>
      </c>
    </row>
    <row r="1097" spans="1:50" x14ac:dyDescent="0.25">
      <c r="A1097">
        <v>1083</v>
      </c>
      <c r="B1097" s="36" t="str">
        <f t="shared" si="376"/>
        <v>BARATA Y MORADA</v>
      </c>
      <c r="C1097" s="151">
        <v>683</v>
      </c>
      <c r="D1097" s="152">
        <v>0.93055555555555547</v>
      </c>
      <c r="E1097" s="152">
        <v>0.93958333333333333</v>
      </c>
      <c r="F1097" s="153">
        <v>9.0277777777778567E-3</v>
      </c>
      <c r="G1097" s="152">
        <v>0.94236111111111109</v>
      </c>
      <c r="H1097" s="153">
        <v>2.7777777777777679E-3</v>
      </c>
      <c r="I1097" s="67">
        <v>41724</v>
      </c>
      <c r="J1097" s="68" t="s">
        <v>19</v>
      </c>
      <c r="K1097" s="135">
        <v>8.1018518518518601E-3</v>
      </c>
      <c r="L1097" s="135">
        <v>7.8703703703703054E-3</v>
      </c>
      <c r="M1097" s="175">
        <v>1.5972222222222165E-2</v>
      </c>
      <c r="N1097" s="90" t="s">
        <v>57</v>
      </c>
      <c r="O1097" s="91">
        <v>142</v>
      </c>
      <c r="P1097" s="92" t="s">
        <v>27</v>
      </c>
      <c r="R1097">
        <v>1083</v>
      </c>
      <c r="S1097" s="36" t="str">
        <f t="shared" si="368"/>
        <v>INTERAVIÓN</v>
      </c>
      <c r="T1097" s="36">
        <f t="shared" si="368"/>
        <v>2840</v>
      </c>
      <c r="U1097" s="73">
        <v>0.69652777777777775</v>
      </c>
      <c r="V1097" s="74">
        <v>0.70416666666666661</v>
      </c>
      <c r="W1097" s="75">
        <v>7.6388888888888618E-3</v>
      </c>
      <c r="X1097" s="74">
        <v>0.71527777777777779</v>
      </c>
      <c r="Y1097" s="75">
        <v>1.1111111111111183E-2</v>
      </c>
      <c r="Z1097" s="76">
        <v>41739</v>
      </c>
      <c r="AA1097" s="36" t="str">
        <f t="shared" si="383"/>
        <v>Internacional</v>
      </c>
      <c r="AB1097" s="36">
        <f t="shared" si="383"/>
        <v>9.0277777777777544E-3</v>
      </c>
      <c r="AC1097" s="36">
        <f t="shared" si="383"/>
        <v>1.093749999999998E-2</v>
      </c>
      <c r="AD1097" s="36">
        <f t="shared" si="383"/>
        <v>1.9965277777777735E-2</v>
      </c>
      <c r="AE1097" s="36">
        <f t="shared" si="383"/>
        <v>320</v>
      </c>
      <c r="AF1097" s="36">
        <f t="shared" si="383"/>
        <v>179</v>
      </c>
      <c r="AG1097" s="36" t="str">
        <f t="shared" si="383"/>
        <v>MEX</v>
      </c>
      <c r="AI1097">
        <v>1083</v>
      </c>
      <c r="AJ1097" s="77" t="str">
        <f t="shared" si="375"/>
        <v>INTERAVIÓN</v>
      </c>
      <c r="AK1097" s="77">
        <f t="shared" si="375"/>
        <v>2210</v>
      </c>
      <c r="AL1097" s="186">
        <v>0.43055555555555558</v>
      </c>
      <c r="AM1097" s="79">
        <v>0.43402777777777773</v>
      </c>
      <c r="AN1097" s="80">
        <v>3.4722222222221544E-3</v>
      </c>
      <c r="AO1097" s="79">
        <v>0.44097222222222227</v>
      </c>
      <c r="AP1097" s="80">
        <v>6.9444444444445308E-3</v>
      </c>
      <c r="AQ1097" s="81">
        <v>41796</v>
      </c>
      <c r="AR1097" s="77" t="str">
        <f t="shared" si="382"/>
        <v>Nacional</v>
      </c>
      <c r="AS1097" s="77">
        <f t="shared" si="382"/>
        <v>6.336805555555553E-3</v>
      </c>
      <c r="AT1097" s="77">
        <f t="shared" si="382"/>
        <v>6.9733796296296245E-3</v>
      </c>
      <c r="AU1097" s="77">
        <f t="shared" si="382"/>
        <v>1.3310185185185178E-2</v>
      </c>
      <c r="AV1097" s="77">
        <f t="shared" si="382"/>
        <v>320</v>
      </c>
      <c r="AW1097" s="77">
        <f t="shared" si="382"/>
        <v>179</v>
      </c>
      <c r="AX1097" s="77" t="str">
        <f t="shared" si="382"/>
        <v>MEX</v>
      </c>
    </row>
    <row r="1098" spans="1:50" x14ac:dyDescent="0.25">
      <c r="A1098">
        <v>1084</v>
      </c>
      <c r="B1098" s="36" t="str">
        <f t="shared" si="376"/>
        <v>BARATA Y MORADA</v>
      </c>
      <c r="C1098" s="36">
        <f t="shared" si="376"/>
        <v>683</v>
      </c>
      <c r="D1098" s="118">
        <v>0.94444444444444453</v>
      </c>
      <c r="E1098" s="118">
        <v>0.94791666666666663</v>
      </c>
      <c r="F1098" s="119">
        <v>3.4722222222220989E-3</v>
      </c>
      <c r="G1098" s="118">
        <v>0.9590277777777777</v>
      </c>
      <c r="H1098" s="119">
        <v>1.1111111111111072E-2</v>
      </c>
      <c r="I1098" s="81">
        <v>41724</v>
      </c>
      <c r="J1098" s="36" t="str">
        <f t="shared" ref="J1098:P1099" si="385">J1097</f>
        <v>Nacional</v>
      </c>
      <c r="K1098" s="36">
        <f t="shared" si="385"/>
        <v>8.1018518518518601E-3</v>
      </c>
      <c r="L1098" s="36">
        <f t="shared" si="385"/>
        <v>7.8703703703703054E-3</v>
      </c>
      <c r="M1098" s="36">
        <f t="shared" si="385"/>
        <v>1.5972222222222165E-2</v>
      </c>
      <c r="N1098" s="36" t="str">
        <f t="shared" si="385"/>
        <v>A319</v>
      </c>
      <c r="O1098" s="36">
        <f t="shared" si="385"/>
        <v>142</v>
      </c>
      <c r="P1098" s="36" t="str">
        <f t="shared" si="385"/>
        <v>HMO</v>
      </c>
      <c r="R1098">
        <v>1084</v>
      </c>
      <c r="S1098" s="36" t="str">
        <f t="shared" si="368"/>
        <v>INTERAVIÓN</v>
      </c>
      <c r="T1098" s="36">
        <f t="shared" si="368"/>
        <v>2840</v>
      </c>
      <c r="U1098" s="73">
        <v>0.69861111111111107</v>
      </c>
      <c r="V1098" s="74">
        <v>0.70972222222222225</v>
      </c>
      <c r="W1098" s="75">
        <v>1.1111111111111183E-2</v>
      </c>
      <c r="X1098" s="74">
        <v>0.71736111111111101</v>
      </c>
      <c r="Y1098" s="75">
        <v>7.6388888888887507E-3</v>
      </c>
      <c r="Z1098" s="76">
        <v>41743</v>
      </c>
      <c r="AA1098" s="36" t="str">
        <f t="shared" si="383"/>
        <v>Internacional</v>
      </c>
      <c r="AB1098" s="36">
        <f t="shared" si="383"/>
        <v>9.0277777777777544E-3</v>
      </c>
      <c r="AC1098" s="36">
        <f t="shared" si="383"/>
        <v>1.093749999999998E-2</v>
      </c>
      <c r="AD1098" s="36">
        <f t="shared" si="383"/>
        <v>1.9965277777777735E-2</v>
      </c>
      <c r="AE1098" s="36">
        <f t="shared" si="383"/>
        <v>320</v>
      </c>
      <c r="AF1098" s="36">
        <f t="shared" si="383"/>
        <v>179</v>
      </c>
      <c r="AG1098" s="36" t="str">
        <f t="shared" si="383"/>
        <v>MEX</v>
      </c>
      <c r="AI1098">
        <v>1084</v>
      </c>
      <c r="AJ1098" s="77" t="str">
        <f t="shared" si="375"/>
        <v>INTERAVIÓN</v>
      </c>
      <c r="AK1098" s="77">
        <f t="shared" si="375"/>
        <v>2210</v>
      </c>
      <c r="AL1098" s="186">
        <v>0.43611111111111112</v>
      </c>
      <c r="AM1098" s="79">
        <v>0.44097222222222227</v>
      </c>
      <c r="AN1098" s="80">
        <v>4.8611111111111494E-3</v>
      </c>
      <c r="AO1098" s="79">
        <v>0.45069444444444445</v>
      </c>
      <c r="AP1098" s="80">
        <v>9.7222222222221877E-3</v>
      </c>
      <c r="AQ1098" s="81">
        <v>41797</v>
      </c>
      <c r="AR1098" s="77" t="str">
        <f t="shared" si="382"/>
        <v>Nacional</v>
      </c>
      <c r="AS1098" s="77">
        <f t="shared" si="382"/>
        <v>6.336805555555553E-3</v>
      </c>
      <c r="AT1098" s="77">
        <f t="shared" si="382"/>
        <v>6.9733796296296245E-3</v>
      </c>
      <c r="AU1098" s="77">
        <f t="shared" si="382"/>
        <v>1.3310185185185178E-2</v>
      </c>
      <c r="AV1098" s="77">
        <f t="shared" si="382"/>
        <v>320</v>
      </c>
      <c r="AW1098" s="77">
        <f t="shared" si="382"/>
        <v>179</v>
      </c>
      <c r="AX1098" s="77" t="str">
        <f t="shared" si="382"/>
        <v>MEX</v>
      </c>
    </row>
    <row r="1099" spans="1:50" ht="15.75" thickBot="1" x14ac:dyDescent="0.3">
      <c r="A1099">
        <v>1085</v>
      </c>
      <c r="B1099" s="36" t="str">
        <f t="shared" si="376"/>
        <v>BARATA Y MORADA</v>
      </c>
      <c r="C1099" s="36">
        <f t="shared" si="376"/>
        <v>683</v>
      </c>
      <c r="D1099" s="176">
        <v>0.94305555555555554</v>
      </c>
      <c r="E1099" s="176">
        <v>0.95486111111111116</v>
      </c>
      <c r="F1099" s="177">
        <v>1.1805555555555625E-2</v>
      </c>
      <c r="G1099" s="176">
        <v>0.96458333333333324</v>
      </c>
      <c r="H1099" s="177">
        <v>9.7222222222220767E-3</v>
      </c>
      <c r="I1099" s="97">
        <v>41726</v>
      </c>
      <c r="J1099" s="36" t="str">
        <f t="shared" si="385"/>
        <v>Nacional</v>
      </c>
      <c r="K1099" s="36">
        <f t="shared" si="385"/>
        <v>8.1018518518518601E-3</v>
      </c>
      <c r="L1099" s="36">
        <f t="shared" si="385"/>
        <v>7.8703703703703054E-3</v>
      </c>
      <c r="M1099" s="36">
        <f t="shared" si="385"/>
        <v>1.5972222222222165E-2</v>
      </c>
      <c r="N1099" s="36" t="str">
        <f t="shared" si="385"/>
        <v>A319</v>
      </c>
      <c r="O1099" s="36">
        <f t="shared" si="385"/>
        <v>142</v>
      </c>
      <c r="P1099" s="36" t="str">
        <f t="shared" si="385"/>
        <v>HMO</v>
      </c>
      <c r="R1099">
        <v>1085</v>
      </c>
      <c r="S1099" s="36" t="str">
        <f t="shared" si="368"/>
        <v>INTERAVIÓN</v>
      </c>
      <c r="T1099" s="36">
        <f t="shared" si="368"/>
        <v>2840</v>
      </c>
      <c r="U1099" s="73">
        <v>0.69236111111111109</v>
      </c>
      <c r="V1099" s="74">
        <v>0.70486111111111116</v>
      </c>
      <c r="W1099" s="75">
        <v>1.2500000000000067E-2</v>
      </c>
      <c r="X1099" s="74">
        <v>0.71180555555555547</v>
      </c>
      <c r="Y1099" s="75">
        <v>6.9444444444443088E-3</v>
      </c>
      <c r="Z1099" s="76">
        <v>41746</v>
      </c>
      <c r="AA1099" s="36" t="str">
        <f t="shared" si="383"/>
        <v>Internacional</v>
      </c>
      <c r="AB1099" s="36">
        <f t="shared" si="383"/>
        <v>9.0277777777777544E-3</v>
      </c>
      <c r="AC1099" s="36">
        <f t="shared" si="383"/>
        <v>1.093749999999998E-2</v>
      </c>
      <c r="AD1099" s="36">
        <f t="shared" si="383"/>
        <v>1.9965277777777735E-2</v>
      </c>
      <c r="AE1099" s="36">
        <f t="shared" si="383"/>
        <v>320</v>
      </c>
      <c r="AF1099" s="36">
        <f t="shared" si="383"/>
        <v>179</v>
      </c>
      <c r="AG1099" s="36" t="str">
        <f t="shared" si="383"/>
        <v>MEX</v>
      </c>
      <c r="AI1099">
        <v>1085</v>
      </c>
      <c r="AJ1099" s="77" t="str">
        <f t="shared" si="375"/>
        <v>INTERAVIÓN</v>
      </c>
      <c r="AK1099" s="77">
        <f t="shared" si="375"/>
        <v>2210</v>
      </c>
      <c r="AL1099" s="186">
        <v>0.42638888888888887</v>
      </c>
      <c r="AM1099" s="79">
        <v>0.43055555555555558</v>
      </c>
      <c r="AN1099" s="80">
        <v>4.1666666666667074E-3</v>
      </c>
      <c r="AO1099" s="79">
        <v>0.43611111111111112</v>
      </c>
      <c r="AP1099" s="80">
        <v>5.5555555555555358E-3</v>
      </c>
      <c r="AQ1099" s="81">
        <v>41798</v>
      </c>
      <c r="AR1099" s="77" t="str">
        <f t="shared" si="382"/>
        <v>Nacional</v>
      </c>
      <c r="AS1099" s="77">
        <f t="shared" si="382"/>
        <v>6.336805555555553E-3</v>
      </c>
      <c r="AT1099" s="77">
        <f t="shared" si="382"/>
        <v>6.9733796296296245E-3</v>
      </c>
      <c r="AU1099" s="77">
        <f t="shared" si="382"/>
        <v>1.3310185185185178E-2</v>
      </c>
      <c r="AV1099" s="77">
        <f t="shared" si="382"/>
        <v>320</v>
      </c>
      <c r="AW1099" s="77">
        <f t="shared" si="382"/>
        <v>179</v>
      </c>
      <c r="AX1099" s="77" t="str">
        <f t="shared" si="382"/>
        <v>MEX</v>
      </c>
    </row>
    <row r="1100" spans="1:50" x14ac:dyDescent="0.25">
      <c r="A1100">
        <v>1086</v>
      </c>
      <c r="B1100" s="36" t="str">
        <f t="shared" si="376"/>
        <v>BARATA Y MORADA</v>
      </c>
      <c r="C1100" s="151">
        <v>680</v>
      </c>
      <c r="D1100" s="152">
        <v>0.68263888888888891</v>
      </c>
      <c r="E1100" s="152">
        <v>0.69305555555555554</v>
      </c>
      <c r="F1100" s="153">
        <v>1.041666666666663E-2</v>
      </c>
      <c r="G1100" s="152">
        <v>0.70763888888888893</v>
      </c>
      <c r="H1100" s="153">
        <v>1.4583333333333393E-2</v>
      </c>
      <c r="I1100" s="67">
        <v>41727</v>
      </c>
      <c r="J1100" s="68" t="s">
        <v>19</v>
      </c>
      <c r="K1100" s="135">
        <v>7.9365079365079239E-3</v>
      </c>
      <c r="L1100" s="135">
        <v>1.2301587301587322E-2</v>
      </c>
      <c r="M1100" s="175">
        <v>2.0238095238095246E-2</v>
      </c>
      <c r="N1100" s="90" t="s">
        <v>57</v>
      </c>
      <c r="O1100" s="91">
        <v>142</v>
      </c>
      <c r="P1100" s="92" t="s">
        <v>42</v>
      </c>
      <c r="R1100">
        <v>1086</v>
      </c>
      <c r="S1100" s="36" t="str">
        <f t="shared" si="368"/>
        <v>INTERAVIÓN</v>
      </c>
      <c r="T1100" s="36">
        <f t="shared" si="368"/>
        <v>2840</v>
      </c>
      <c r="U1100" s="73">
        <v>0.6972222222222223</v>
      </c>
      <c r="V1100" s="74">
        <v>0.71111111111111114</v>
      </c>
      <c r="W1100" s="75">
        <v>1.388888888888884E-2</v>
      </c>
      <c r="X1100" s="74">
        <v>0.72222222222222221</v>
      </c>
      <c r="Y1100" s="75">
        <v>1.1111111111111072E-2</v>
      </c>
      <c r="Z1100" s="76">
        <v>41747</v>
      </c>
      <c r="AA1100" s="36" t="str">
        <f t="shared" si="383"/>
        <v>Internacional</v>
      </c>
      <c r="AB1100" s="36">
        <f t="shared" si="383"/>
        <v>9.0277777777777544E-3</v>
      </c>
      <c r="AC1100" s="36">
        <f t="shared" si="383"/>
        <v>1.093749999999998E-2</v>
      </c>
      <c r="AD1100" s="36">
        <f t="shared" si="383"/>
        <v>1.9965277777777735E-2</v>
      </c>
      <c r="AE1100" s="36">
        <f t="shared" si="383"/>
        <v>320</v>
      </c>
      <c r="AF1100" s="36">
        <f t="shared" si="383"/>
        <v>179</v>
      </c>
      <c r="AG1100" s="36" t="str">
        <f t="shared" si="383"/>
        <v>MEX</v>
      </c>
      <c r="AI1100">
        <v>1086</v>
      </c>
      <c r="AJ1100" s="77" t="str">
        <f t="shared" si="375"/>
        <v>INTERAVIÓN</v>
      </c>
      <c r="AK1100" s="77">
        <f t="shared" si="375"/>
        <v>2210</v>
      </c>
      <c r="AL1100" s="186">
        <v>0.43333333333333335</v>
      </c>
      <c r="AM1100" s="79">
        <v>0.4368055555555555</v>
      </c>
      <c r="AN1100" s="80">
        <v>3.4722222222221544E-3</v>
      </c>
      <c r="AO1100" s="79">
        <v>0.43958333333333338</v>
      </c>
      <c r="AP1100" s="80">
        <v>2.7777777777778789E-3</v>
      </c>
      <c r="AQ1100" s="81">
        <v>41799</v>
      </c>
      <c r="AR1100" s="77" t="str">
        <f t="shared" si="382"/>
        <v>Nacional</v>
      </c>
      <c r="AS1100" s="77">
        <f t="shared" si="382"/>
        <v>6.336805555555553E-3</v>
      </c>
      <c r="AT1100" s="77">
        <f t="shared" si="382"/>
        <v>6.9733796296296245E-3</v>
      </c>
      <c r="AU1100" s="77">
        <f t="shared" si="382"/>
        <v>1.3310185185185178E-2</v>
      </c>
      <c r="AV1100" s="77">
        <f t="shared" si="382"/>
        <v>320</v>
      </c>
      <c r="AW1100" s="77">
        <f t="shared" si="382"/>
        <v>179</v>
      </c>
      <c r="AX1100" s="77" t="str">
        <f t="shared" si="382"/>
        <v>MEX</v>
      </c>
    </row>
    <row r="1101" spans="1:50" x14ac:dyDescent="0.25">
      <c r="A1101">
        <v>1087</v>
      </c>
      <c r="B1101" s="36" t="str">
        <f t="shared" si="376"/>
        <v>BARATA Y MORADA</v>
      </c>
      <c r="C1101" s="36">
        <f t="shared" si="376"/>
        <v>680</v>
      </c>
      <c r="D1101" s="118">
        <v>0.46597222222222223</v>
      </c>
      <c r="E1101" s="118">
        <v>0.47361111111111115</v>
      </c>
      <c r="F1101" s="119">
        <v>7.6388888888889173E-3</v>
      </c>
      <c r="G1101" s="118">
        <v>0.47916666666666669</v>
      </c>
      <c r="H1101" s="119">
        <v>5.5555555555555358E-3</v>
      </c>
      <c r="I1101" s="81">
        <v>41714</v>
      </c>
      <c r="J1101" s="36" t="str">
        <f t="shared" ref="J1101:P1106" si="386">J1100</f>
        <v>Nacional</v>
      </c>
      <c r="K1101" s="36">
        <f t="shared" si="386"/>
        <v>7.9365079365079239E-3</v>
      </c>
      <c r="L1101" s="36">
        <f t="shared" si="386"/>
        <v>1.2301587301587322E-2</v>
      </c>
      <c r="M1101" s="36">
        <f t="shared" si="386"/>
        <v>2.0238095238095246E-2</v>
      </c>
      <c r="N1101" s="36" t="str">
        <f t="shared" si="386"/>
        <v>A319</v>
      </c>
      <c r="O1101" s="36">
        <f t="shared" si="386"/>
        <v>142</v>
      </c>
      <c r="P1101" s="36" t="str">
        <f t="shared" si="386"/>
        <v>LAP</v>
      </c>
      <c r="R1101">
        <v>1087</v>
      </c>
      <c r="S1101" s="36" t="str">
        <f t="shared" si="368"/>
        <v>INTERAVIÓN</v>
      </c>
      <c r="T1101" s="36">
        <f t="shared" si="368"/>
        <v>2840</v>
      </c>
      <c r="U1101" s="73">
        <v>0.76736111111111116</v>
      </c>
      <c r="V1101" s="74">
        <v>0.78125</v>
      </c>
      <c r="W1101" s="75">
        <v>1.388888888888884E-2</v>
      </c>
      <c r="X1101" s="74">
        <v>0.79166666666666663</v>
      </c>
      <c r="Y1101" s="75">
        <v>1.041666666666663E-2</v>
      </c>
      <c r="Z1101" s="76">
        <v>41749</v>
      </c>
      <c r="AA1101" s="36" t="str">
        <f t="shared" si="383"/>
        <v>Internacional</v>
      </c>
      <c r="AB1101" s="36">
        <f t="shared" si="383"/>
        <v>9.0277777777777544E-3</v>
      </c>
      <c r="AC1101" s="36">
        <f t="shared" si="383"/>
        <v>1.093749999999998E-2</v>
      </c>
      <c r="AD1101" s="36">
        <f t="shared" si="383"/>
        <v>1.9965277777777735E-2</v>
      </c>
      <c r="AE1101" s="36">
        <f t="shared" si="383"/>
        <v>320</v>
      </c>
      <c r="AF1101" s="36">
        <f t="shared" si="383"/>
        <v>179</v>
      </c>
      <c r="AG1101" s="36" t="str">
        <f t="shared" si="383"/>
        <v>MEX</v>
      </c>
      <c r="AI1101">
        <v>1087</v>
      </c>
      <c r="AJ1101" s="77" t="str">
        <f t="shared" si="375"/>
        <v>INTERAVIÓN</v>
      </c>
      <c r="AK1101" s="77">
        <f t="shared" si="375"/>
        <v>2210</v>
      </c>
      <c r="AL1101" s="186">
        <v>0.90902777777777777</v>
      </c>
      <c r="AM1101" s="79">
        <v>0.91249999999999998</v>
      </c>
      <c r="AN1101" s="80">
        <v>3.4722222222222099E-3</v>
      </c>
      <c r="AO1101" s="79">
        <v>0.91736111111111107</v>
      </c>
      <c r="AP1101" s="80">
        <v>4.8611111111110938E-3</v>
      </c>
      <c r="AQ1101" s="81">
        <v>41801</v>
      </c>
      <c r="AR1101" s="77" t="str">
        <f t="shared" si="382"/>
        <v>Nacional</v>
      </c>
      <c r="AS1101" s="77">
        <f t="shared" si="382"/>
        <v>6.336805555555553E-3</v>
      </c>
      <c r="AT1101" s="77">
        <f t="shared" si="382"/>
        <v>6.9733796296296245E-3</v>
      </c>
      <c r="AU1101" s="77">
        <f t="shared" si="382"/>
        <v>1.3310185185185178E-2</v>
      </c>
      <c r="AV1101" s="77">
        <f t="shared" si="382"/>
        <v>320</v>
      </c>
      <c r="AW1101" s="77">
        <f t="shared" si="382"/>
        <v>179</v>
      </c>
      <c r="AX1101" s="77" t="str">
        <f t="shared" si="382"/>
        <v>MEX</v>
      </c>
    </row>
    <row r="1102" spans="1:50" x14ac:dyDescent="0.25">
      <c r="A1102">
        <v>1088</v>
      </c>
      <c r="B1102" s="36" t="str">
        <f t="shared" si="376"/>
        <v>BARATA Y MORADA</v>
      </c>
      <c r="C1102" s="36">
        <f t="shared" si="376"/>
        <v>680</v>
      </c>
      <c r="D1102" s="118">
        <v>0.47222222222222227</v>
      </c>
      <c r="E1102" s="118">
        <v>0.48055555555555557</v>
      </c>
      <c r="F1102" s="119">
        <v>8.3333333333333037E-3</v>
      </c>
      <c r="G1102" s="118">
        <v>0.49444444444444446</v>
      </c>
      <c r="H1102" s="119">
        <v>1.3888888888888895E-2</v>
      </c>
      <c r="I1102" s="81">
        <v>41716</v>
      </c>
      <c r="J1102" s="36" t="str">
        <f t="shared" si="386"/>
        <v>Nacional</v>
      </c>
      <c r="K1102" s="36">
        <f t="shared" si="386"/>
        <v>7.9365079365079239E-3</v>
      </c>
      <c r="L1102" s="36">
        <f t="shared" si="386"/>
        <v>1.2301587301587322E-2</v>
      </c>
      <c r="M1102" s="36">
        <f t="shared" si="386"/>
        <v>2.0238095238095246E-2</v>
      </c>
      <c r="N1102" s="36" t="str">
        <f t="shared" si="386"/>
        <v>A319</v>
      </c>
      <c r="O1102" s="36">
        <f t="shared" si="386"/>
        <v>142</v>
      </c>
      <c r="P1102" s="36" t="str">
        <f t="shared" si="386"/>
        <v>LAP</v>
      </c>
      <c r="R1102">
        <v>1088</v>
      </c>
      <c r="S1102" s="36" t="str">
        <f t="shared" si="368"/>
        <v>INTERAVIÓN</v>
      </c>
      <c r="T1102" s="36">
        <f t="shared" si="368"/>
        <v>2840</v>
      </c>
      <c r="U1102" s="73">
        <v>0.69236111111111109</v>
      </c>
      <c r="V1102" s="74">
        <v>0.69791666666666663</v>
      </c>
      <c r="W1102" s="75">
        <v>5.5555555555555358E-3</v>
      </c>
      <c r="X1102" s="74">
        <v>0.71666666666666667</v>
      </c>
      <c r="Y1102" s="75">
        <v>1.8750000000000044E-2</v>
      </c>
      <c r="Z1102" s="76">
        <v>41753</v>
      </c>
      <c r="AA1102" s="36" t="str">
        <f t="shared" si="383"/>
        <v>Internacional</v>
      </c>
      <c r="AB1102" s="36">
        <f t="shared" si="383"/>
        <v>9.0277777777777544E-3</v>
      </c>
      <c r="AC1102" s="36">
        <f t="shared" si="383"/>
        <v>1.093749999999998E-2</v>
      </c>
      <c r="AD1102" s="36">
        <f t="shared" si="383"/>
        <v>1.9965277777777735E-2</v>
      </c>
      <c r="AE1102" s="36">
        <f t="shared" si="383"/>
        <v>320</v>
      </c>
      <c r="AF1102" s="36">
        <f t="shared" si="383"/>
        <v>179</v>
      </c>
      <c r="AG1102" s="36" t="str">
        <f t="shared" si="383"/>
        <v>MEX</v>
      </c>
      <c r="AI1102">
        <v>1088</v>
      </c>
      <c r="AJ1102" s="77" t="str">
        <f t="shared" si="375"/>
        <v>INTERAVIÓN</v>
      </c>
      <c r="AK1102" s="77">
        <f t="shared" si="375"/>
        <v>2210</v>
      </c>
      <c r="AL1102" s="186">
        <v>0.53888888888888886</v>
      </c>
      <c r="AM1102" s="79">
        <v>0.54097222222222219</v>
      </c>
      <c r="AN1102" s="80">
        <v>2.0833333333333259E-3</v>
      </c>
      <c r="AO1102" s="79">
        <v>0.5444444444444444</v>
      </c>
      <c r="AP1102" s="80">
        <v>3.4722222222222099E-3</v>
      </c>
      <c r="AQ1102" s="81">
        <v>41801</v>
      </c>
      <c r="AR1102" s="77" t="str">
        <f t="shared" si="382"/>
        <v>Nacional</v>
      </c>
      <c r="AS1102" s="77">
        <f t="shared" si="382"/>
        <v>6.336805555555553E-3</v>
      </c>
      <c r="AT1102" s="77">
        <f t="shared" si="382"/>
        <v>6.9733796296296245E-3</v>
      </c>
      <c r="AU1102" s="77">
        <f t="shared" si="382"/>
        <v>1.3310185185185178E-2</v>
      </c>
      <c r="AV1102" s="77">
        <f t="shared" si="382"/>
        <v>320</v>
      </c>
      <c r="AW1102" s="77">
        <f t="shared" si="382"/>
        <v>179</v>
      </c>
      <c r="AX1102" s="77" t="str">
        <f t="shared" si="382"/>
        <v>MEX</v>
      </c>
    </row>
    <row r="1103" spans="1:50" x14ac:dyDescent="0.25">
      <c r="A1103">
        <v>1089</v>
      </c>
      <c r="B1103" s="36" t="str">
        <f t="shared" si="376"/>
        <v>BARATA Y MORADA</v>
      </c>
      <c r="C1103" s="36">
        <f t="shared" si="376"/>
        <v>680</v>
      </c>
      <c r="D1103" s="118">
        <v>0.48055555555555557</v>
      </c>
      <c r="E1103" s="118">
        <v>0.48749999999999999</v>
      </c>
      <c r="F1103" s="119">
        <v>6.9444444444444198E-3</v>
      </c>
      <c r="G1103" s="118">
        <v>0.49722222222222223</v>
      </c>
      <c r="H1103" s="119">
        <v>9.7222222222222432E-3</v>
      </c>
      <c r="I1103" s="81">
        <v>41718</v>
      </c>
      <c r="J1103" s="36" t="str">
        <f t="shared" si="386"/>
        <v>Nacional</v>
      </c>
      <c r="K1103" s="36">
        <f t="shared" si="386"/>
        <v>7.9365079365079239E-3</v>
      </c>
      <c r="L1103" s="36">
        <f t="shared" si="386"/>
        <v>1.2301587301587322E-2</v>
      </c>
      <c r="M1103" s="36">
        <f t="shared" si="386"/>
        <v>2.0238095238095246E-2</v>
      </c>
      <c r="N1103" s="36" t="str">
        <f t="shared" si="386"/>
        <v>A319</v>
      </c>
      <c r="O1103" s="36">
        <f t="shared" si="386"/>
        <v>142</v>
      </c>
      <c r="P1103" s="36" t="str">
        <f t="shared" si="386"/>
        <v>LAP</v>
      </c>
      <c r="R1103">
        <v>1089</v>
      </c>
      <c r="S1103" s="36" t="str">
        <f t="shared" si="368"/>
        <v>INTERAVIÓN</v>
      </c>
      <c r="T1103" s="36">
        <f t="shared" si="368"/>
        <v>2840</v>
      </c>
      <c r="U1103" s="73">
        <v>0.76180555555555562</v>
      </c>
      <c r="V1103" s="74">
        <v>0.76736111111111116</v>
      </c>
      <c r="W1103" s="75">
        <v>5.5555555555555358E-3</v>
      </c>
      <c r="X1103" s="74">
        <v>0.78472222222222221</v>
      </c>
      <c r="Y1103" s="75">
        <v>1.7361111111111049E-2</v>
      </c>
      <c r="Z1103" s="76">
        <v>41756</v>
      </c>
      <c r="AA1103" s="36" t="str">
        <f t="shared" si="383"/>
        <v>Internacional</v>
      </c>
      <c r="AB1103" s="36">
        <f t="shared" si="383"/>
        <v>9.0277777777777544E-3</v>
      </c>
      <c r="AC1103" s="36">
        <f t="shared" si="383"/>
        <v>1.093749999999998E-2</v>
      </c>
      <c r="AD1103" s="36">
        <f t="shared" si="383"/>
        <v>1.9965277777777735E-2</v>
      </c>
      <c r="AE1103" s="36">
        <f t="shared" si="383"/>
        <v>320</v>
      </c>
      <c r="AF1103" s="36">
        <f t="shared" si="383"/>
        <v>179</v>
      </c>
      <c r="AG1103" s="36" t="str">
        <f t="shared" si="383"/>
        <v>MEX</v>
      </c>
      <c r="AI1103">
        <v>1089</v>
      </c>
      <c r="AJ1103" s="77" t="str">
        <f t="shared" si="375"/>
        <v>INTERAVIÓN</v>
      </c>
      <c r="AK1103" s="77">
        <f t="shared" si="375"/>
        <v>2210</v>
      </c>
      <c r="AL1103" s="186">
        <v>0.19999999999999998</v>
      </c>
      <c r="AM1103" s="79">
        <v>0.21458333333333335</v>
      </c>
      <c r="AN1103" s="80">
        <v>1.4583333333333365E-2</v>
      </c>
      <c r="AO1103" s="79">
        <v>0.23263888888888887</v>
      </c>
      <c r="AP1103" s="80">
        <v>1.8055555555555519E-2</v>
      </c>
      <c r="AQ1103" s="81">
        <v>41802</v>
      </c>
      <c r="AR1103" s="77" t="str">
        <f t="shared" si="382"/>
        <v>Nacional</v>
      </c>
      <c r="AS1103" s="77">
        <f t="shared" si="382"/>
        <v>6.336805555555553E-3</v>
      </c>
      <c r="AT1103" s="77">
        <f t="shared" si="382"/>
        <v>6.9733796296296245E-3</v>
      </c>
      <c r="AU1103" s="77">
        <f t="shared" si="382"/>
        <v>1.3310185185185178E-2</v>
      </c>
      <c r="AV1103" s="77">
        <f t="shared" si="382"/>
        <v>320</v>
      </c>
      <c r="AW1103" s="77">
        <f t="shared" si="382"/>
        <v>179</v>
      </c>
      <c r="AX1103" s="77" t="str">
        <f t="shared" si="382"/>
        <v>MEX</v>
      </c>
    </row>
    <row r="1104" spans="1:50" ht="15.75" thickBot="1" x14ac:dyDescent="0.3">
      <c r="A1104">
        <v>1090</v>
      </c>
      <c r="B1104" s="36" t="str">
        <f t="shared" si="376"/>
        <v>BARATA Y MORADA</v>
      </c>
      <c r="C1104" s="36">
        <f t="shared" si="376"/>
        <v>680</v>
      </c>
      <c r="D1104" s="118">
        <v>0.46180555555555558</v>
      </c>
      <c r="E1104" s="118">
        <v>0.46875</v>
      </c>
      <c r="F1104" s="119">
        <v>6.9444444444444198E-3</v>
      </c>
      <c r="G1104" s="118">
        <v>0.4777777777777778</v>
      </c>
      <c r="H1104" s="119">
        <v>9.0277777777778012E-3</v>
      </c>
      <c r="I1104" s="81">
        <v>41720</v>
      </c>
      <c r="J1104" s="36" t="str">
        <f t="shared" si="386"/>
        <v>Nacional</v>
      </c>
      <c r="K1104" s="36">
        <f t="shared" si="386"/>
        <v>7.9365079365079239E-3</v>
      </c>
      <c r="L1104" s="36">
        <f t="shared" si="386"/>
        <v>1.2301587301587322E-2</v>
      </c>
      <c r="M1104" s="36">
        <f t="shared" si="386"/>
        <v>2.0238095238095246E-2</v>
      </c>
      <c r="N1104" s="36" t="str">
        <f t="shared" si="386"/>
        <v>A319</v>
      </c>
      <c r="O1104" s="36">
        <f t="shared" si="386"/>
        <v>142</v>
      </c>
      <c r="P1104" s="36" t="str">
        <f t="shared" si="386"/>
        <v>LAP</v>
      </c>
      <c r="R1104">
        <v>1090</v>
      </c>
      <c r="S1104" s="36" t="str">
        <f t="shared" si="368"/>
        <v>INTERAVIÓN</v>
      </c>
      <c r="T1104" s="36">
        <f t="shared" si="368"/>
        <v>2840</v>
      </c>
      <c r="U1104" s="83">
        <v>0.92361111111111116</v>
      </c>
      <c r="V1104" s="84">
        <v>0.93055555555555547</v>
      </c>
      <c r="W1104" s="85">
        <v>6.9444444444443088E-3</v>
      </c>
      <c r="X1104" s="84">
        <v>0.93611111111111101</v>
      </c>
      <c r="Y1104" s="85">
        <v>5.5555555555555358E-3</v>
      </c>
      <c r="Z1104" s="86">
        <v>41734</v>
      </c>
      <c r="AA1104" s="36" t="str">
        <f t="shared" si="383"/>
        <v>Internacional</v>
      </c>
      <c r="AB1104" s="36">
        <f t="shared" si="383"/>
        <v>9.0277777777777544E-3</v>
      </c>
      <c r="AC1104" s="36">
        <f t="shared" si="383"/>
        <v>1.093749999999998E-2</v>
      </c>
      <c r="AD1104" s="36">
        <f t="shared" si="383"/>
        <v>1.9965277777777735E-2</v>
      </c>
      <c r="AE1104" s="36">
        <f t="shared" si="383"/>
        <v>320</v>
      </c>
      <c r="AF1104" s="36">
        <f t="shared" si="383"/>
        <v>179</v>
      </c>
      <c r="AG1104" s="36" t="str">
        <f t="shared" si="383"/>
        <v>MEX</v>
      </c>
      <c r="AI1104">
        <v>1090</v>
      </c>
      <c r="AJ1104" s="77" t="str">
        <f t="shared" si="375"/>
        <v>INTERAVIÓN</v>
      </c>
      <c r="AK1104" s="77">
        <f t="shared" si="375"/>
        <v>2210</v>
      </c>
      <c r="AL1104" s="186">
        <v>0.94444444444444453</v>
      </c>
      <c r="AM1104" s="79">
        <v>0.94791666666666663</v>
      </c>
      <c r="AN1104" s="80">
        <v>3.4722222222220989E-3</v>
      </c>
      <c r="AO1104" s="79">
        <v>0.95347222222222217</v>
      </c>
      <c r="AP1104" s="80">
        <v>5.5555555555555358E-3</v>
      </c>
      <c r="AQ1104" s="81">
        <v>41803</v>
      </c>
      <c r="AR1104" s="77" t="str">
        <f t="shared" si="382"/>
        <v>Nacional</v>
      </c>
      <c r="AS1104" s="77">
        <f t="shared" si="382"/>
        <v>6.336805555555553E-3</v>
      </c>
      <c r="AT1104" s="77">
        <f t="shared" si="382"/>
        <v>6.9733796296296245E-3</v>
      </c>
      <c r="AU1104" s="77">
        <f t="shared" si="382"/>
        <v>1.3310185185185178E-2</v>
      </c>
      <c r="AV1104" s="77">
        <f t="shared" si="382"/>
        <v>320</v>
      </c>
      <c r="AW1104" s="77">
        <f t="shared" si="382"/>
        <v>179</v>
      </c>
      <c r="AX1104" s="77" t="str">
        <f t="shared" si="382"/>
        <v>MEX</v>
      </c>
    </row>
    <row r="1105" spans="1:50" x14ac:dyDescent="0.25">
      <c r="A1105">
        <v>1091</v>
      </c>
      <c r="B1105" s="36" t="str">
        <f t="shared" si="376"/>
        <v>BARATA Y MORADA</v>
      </c>
      <c r="C1105" s="36">
        <f t="shared" si="376"/>
        <v>680</v>
      </c>
      <c r="D1105" s="118">
        <v>0.45763888888888887</v>
      </c>
      <c r="E1105" s="118">
        <v>0.46527777777777773</v>
      </c>
      <c r="F1105" s="119">
        <v>7.6388888888888618E-3</v>
      </c>
      <c r="G1105" s="118">
        <v>0.47500000000000003</v>
      </c>
      <c r="H1105" s="119">
        <v>9.7222222222222987E-3</v>
      </c>
      <c r="I1105" s="81">
        <v>41721</v>
      </c>
      <c r="J1105" s="36" t="str">
        <f t="shared" si="386"/>
        <v>Nacional</v>
      </c>
      <c r="K1105" s="36">
        <f t="shared" si="386"/>
        <v>7.9365079365079239E-3</v>
      </c>
      <c r="L1105" s="36">
        <f t="shared" si="386"/>
        <v>1.2301587301587322E-2</v>
      </c>
      <c r="M1105" s="36">
        <f t="shared" si="386"/>
        <v>2.0238095238095246E-2</v>
      </c>
      <c r="N1105" s="36" t="str">
        <f t="shared" si="386"/>
        <v>A319</v>
      </c>
      <c r="O1105" s="36">
        <f t="shared" si="386"/>
        <v>142</v>
      </c>
      <c r="P1105" s="36" t="str">
        <f t="shared" si="386"/>
        <v>LAP</v>
      </c>
      <c r="R1105">
        <v>1091</v>
      </c>
      <c r="S1105" s="36" t="str">
        <f t="shared" si="368"/>
        <v>INTERAVIÓN</v>
      </c>
      <c r="T1105" s="55">
        <v>2224</v>
      </c>
      <c r="U1105" s="56">
        <v>5.2083333333333336E-2</v>
      </c>
      <c r="V1105" s="57">
        <v>6.5277777777777782E-2</v>
      </c>
      <c r="W1105" s="58">
        <v>1.3194444444444446E-2</v>
      </c>
      <c r="X1105" s="57">
        <v>6.9444444444444434E-2</v>
      </c>
      <c r="Y1105" s="58">
        <v>4.1666666666666519E-3</v>
      </c>
      <c r="Z1105" s="59">
        <v>41732</v>
      </c>
      <c r="AA1105" s="60" t="s">
        <v>19</v>
      </c>
      <c r="AB1105" s="61">
        <v>7.0075757575757507E-3</v>
      </c>
      <c r="AC1105" s="61">
        <v>3.598484848484837E-3</v>
      </c>
      <c r="AD1105" s="62">
        <v>1.0606060606060588E-2</v>
      </c>
      <c r="AE1105" s="191">
        <v>320</v>
      </c>
      <c r="AF1105" s="191">
        <v>179</v>
      </c>
      <c r="AG1105" s="192" t="s">
        <v>21</v>
      </c>
      <c r="AI1105">
        <v>1091</v>
      </c>
      <c r="AJ1105" s="77" t="str">
        <f t="shared" si="375"/>
        <v>INTERAVIÓN</v>
      </c>
      <c r="AK1105" s="77">
        <f t="shared" si="375"/>
        <v>2210</v>
      </c>
      <c r="AL1105" s="186">
        <v>0.88611111111111107</v>
      </c>
      <c r="AM1105" s="79">
        <v>0.8930555555555556</v>
      </c>
      <c r="AN1105" s="80">
        <v>6.9444444444445308E-3</v>
      </c>
      <c r="AO1105" s="79">
        <v>0.9</v>
      </c>
      <c r="AP1105" s="80">
        <v>6.9444444444444198E-3</v>
      </c>
      <c r="AQ1105" s="81">
        <v>41804</v>
      </c>
      <c r="AR1105" s="77" t="str">
        <f t="shared" si="382"/>
        <v>Nacional</v>
      </c>
      <c r="AS1105" s="77">
        <f t="shared" si="382"/>
        <v>6.336805555555553E-3</v>
      </c>
      <c r="AT1105" s="77">
        <f t="shared" si="382"/>
        <v>6.9733796296296245E-3</v>
      </c>
      <c r="AU1105" s="77">
        <f t="shared" si="382"/>
        <v>1.3310185185185178E-2</v>
      </c>
      <c r="AV1105" s="77">
        <f t="shared" si="382"/>
        <v>320</v>
      </c>
      <c r="AW1105" s="77">
        <f t="shared" si="382"/>
        <v>179</v>
      </c>
      <c r="AX1105" s="77" t="str">
        <f t="shared" si="382"/>
        <v>MEX</v>
      </c>
    </row>
    <row r="1106" spans="1:50" ht="15.75" thickBot="1" x14ac:dyDescent="0.3">
      <c r="A1106">
        <v>1092</v>
      </c>
      <c r="B1106" s="36" t="str">
        <f t="shared" si="376"/>
        <v>BARATA Y MORADA</v>
      </c>
      <c r="C1106" s="36">
        <f t="shared" si="376"/>
        <v>680</v>
      </c>
      <c r="D1106" s="176">
        <v>0.46527777777777773</v>
      </c>
      <c r="E1106" s="176">
        <v>0.47291666666666665</v>
      </c>
      <c r="F1106" s="177">
        <v>7.6388888888889173E-3</v>
      </c>
      <c r="G1106" s="176">
        <v>0.49652777777777773</v>
      </c>
      <c r="H1106" s="177">
        <v>2.3611111111111083E-2</v>
      </c>
      <c r="I1106" s="97">
        <v>41725</v>
      </c>
      <c r="J1106" s="36" t="str">
        <f t="shared" si="386"/>
        <v>Nacional</v>
      </c>
      <c r="K1106" s="36">
        <f t="shared" si="386"/>
        <v>7.9365079365079239E-3</v>
      </c>
      <c r="L1106" s="36">
        <f t="shared" si="386"/>
        <v>1.2301587301587322E-2</v>
      </c>
      <c r="M1106" s="36">
        <f t="shared" si="386"/>
        <v>2.0238095238095246E-2</v>
      </c>
      <c r="N1106" s="36" t="str">
        <f t="shared" si="386"/>
        <v>A319</v>
      </c>
      <c r="O1106" s="36">
        <f t="shared" si="386"/>
        <v>142</v>
      </c>
      <c r="P1106" s="36" t="str">
        <f t="shared" si="386"/>
        <v>LAP</v>
      </c>
      <c r="R1106">
        <v>1092</v>
      </c>
      <c r="S1106" s="36" t="str">
        <f t="shared" si="368"/>
        <v>INTERAVIÓN</v>
      </c>
      <c r="T1106" s="36">
        <f t="shared" si="368"/>
        <v>2224</v>
      </c>
      <c r="U1106" s="73">
        <v>0.58472222222222225</v>
      </c>
      <c r="V1106" s="74">
        <v>0.59027777777777779</v>
      </c>
      <c r="W1106" s="75">
        <v>5.5555555555555358E-3</v>
      </c>
      <c r="X1106" s="74">
        <v>0.59236111111111112</v>
      </c>
      <c r="Y1106" s="75">
        <v>2.0833333333333259E-3</v>
      </c>
      <c r="Z1106" s="76">
        <v>41730</v>
      </c>
      <c r="AA1106" s="36" t="str">
        <f t="shared" ref="AA1106:AG1115" si="387">AA1105</f>
        <v>Nacional</v>
      </c>
      <c r="AB1106" s="36">
        <f t="shared" si="387"/>
        <v>7.0075757575757507E-3</v>
      </c>
      <c r="AC1106" s="36">
        <f t="shared" si="387"/>
        <v>3.598484848484837E-3</v>
      </c>
      <c r="AD1106" s="36">
        <f t="shared" si="387"/>
        <v>1.0606060606060588E-2</v>
      </c>
      <c r="AE1106" s="36">
        <f t="shared" si="387"/>
        <v>320</v>
      </c>
      <c r="AF1106" s="36">
        <f t="shared" si="387"/>
        <v>179</v>
      </c>
      <c r="AG1106" s="36" t="str">
        <f t="shared" si="387"/>
        <v>MEX</v>
      </c>
      <c r="AI1106">
        <v>1092</v>
      </c>
      <c r="AJ1106" s="77" t="str">
        <f t="shared" si="375"/>
        <v>INTERAVIÓN</v>
      </c>
      <c r="AK1106" s="77">
        <f t="shared" si="375"/>
        <v>2210</v>
      </c>
      <c r="AL1106" s="186">
        <v>0.57638888888888895</v>
      </c>
      <c r="AM1106" s="79">
        <v>0.59166666666666667</v>
      </c>
      <c r="AN1106" s="80">
        <v>1.5277777777777724E-2</v>
      </c>
      <c r="AO1106" s="79">
        <v>0.59652777777777777</v>
      </c>
      <c r="AP1106" s="80">
        <v>4.8611111111110938E-3</v>
      </c>
      <c r="AQ1106" s="81">
        <v>41805</v>
      </c>
      <c r="AR1106" s="77" t="str">
        <f t="shared" si="382"/>
        <v>Nacional</v>
      </c>
      <c r="AS1106" s="77">
        <f t="shared" si="382"/>
        <v>6.336805555555553E-3</v>
      </c>
      <c r="AT1106" s="77">
        <f t="shared" si="382"/>
        <v>6.9733796296296245E-3</v>
      </c>
      <c r="AU1106" s="77">
        <f t="shared" si="382"/>
        <v>1.3310185185185178E-2</v>
      </c>
      <c r="AV1106" s="77">
        <f t="shared" si="382"/>
        <v>320</v>
      </c>
      <c r="AW1106" s="77">
        <f t="shared" si="382"/>
        <v>179</v>
      </c>
      <c r="AX1106" s="77" t="str">
        <f t="shared" si="382"/>
        <v>MEX</v>
      </c>
    </row>
    <row r="1107" spans="1:50" x14ac:dyDescent="0.25">
      <c r="A1107">
        <v>1093</v>
      </c>
      <c r="B1107" s="36" t="str">
        <f t="shared" si="376"/>
        <v>BARATA Y MORADA</v>
      </c>
      <c r="C1107" s="151">
        <v>679</v>
      </c>
      <c r="D1107" s="152">
        <v>0.94027777777777777</v>
      </c>
      <c r="E1107" s="152">
        <v>0.99305555555555547</v>
      </c>
      <c r="F1107" s="153">
        <v>5.2777777777777701E-2</v>
      </c>
      <c r="G1107" s="152">
        <v>1.0027777777777778</v>
      </c>
      <c r="H1107" s="153">
        <v>9.7222222222222987E-3</v>
      </c>
      <c r="I1107" s="67">
        <v>41724</v>
      </c>
      <c r="J1107" s="68" t="s">
        <v>19</v>
      </c>
      <c r="K1107" s="135">
        <v>2.9861111111111005E-2</v>
      </c>
      <c r="L1107" s="135">
        <v>6.9444444444445308E-3</v>
      </c>
      <c r="M1107" s="175">
        <v>3.6805555555555536E-2</v>
      </c>
      <c r="N1107" s="90" t="s">
        <v>57</v>
      </c>
      <c r="O1107" s="91">
        <v>142</v>
      </c>
      <c r="P1107" s="92" t="s">
        <v>33</v>
      </c>
      <c r="R1107">
        <v>1093</v>
      </c>
      <c r="S1107" s="36" t="str">
        <f t="shared" si="368"/>
        <v>INTERAVIÓN</v>
      </c>
      <c r="T1107" s="36">
        <f t="shared" si="368"/>
        <v>2224</v>
      </c>
      <c r="U1107" s="73">
        <v>0.58472222222222225</v>
      </c>
      <c r="V1107" s="74">
        <v>0.59027777777777779</v>
      </c>
      <c r="W1107" s="75">
        <v>5.5555555555555358E-3</v>
      </c>
      <c r="X1107" s="74">
        <v>0.59236111111111112</v>
      </c>
      <c r="Y1107" s="75">
        <v>2.0833333333333259E-3</v>
      </c>
      <c r="Z1107" s="76">
        <v>41730</v>
      </c>
      <c r="AA1107" s="36" t="str">
        <f t="shared" si="387"/>
        <v>Nacional</v>
      </c>
      <c r="AB1107" s="36">
        <f t="shared" si="387"/>
        <v>7.0075757575757507E-3</v>
      </c>
      <c r="AC1107" s="36">
        <f t="shared" si="387"/>
        <v>3.598484848484837E-3</v>
      </c>
      <c r="AD1107" s="36">
        <f t="shared" si="387"/>
        <v>1.0606060606060588E-2</v>
      </c>
      <c r="AE1107" s="36">
        <f t="shared" si="387"/>
        <v>320</v>
      </c>
      <c r="AF1107" s="36">
        <f t="shared" si="387"/>
        <v>179</v>
      </c>
      <c r="AG1107" s="36" t="str">
        <f t="shared" si="387"/>
        <v>MEX</v>
      </c>
      <c r="AI1107">
        <v>1093</v>
      </c>
      <c r="AJ1107" s="77" t="str">
        <f t="shared" si="375"/>
        <v>INTERAVIÓN</v>
      </c>
      <c r="AK1107" s="77">
        <f t="shared" si="375"/>
        <v>2210</v>
      </c>
      <c r="AL1107" s="186">
        <v>0.75902777777777775</v>
      </c>
      <c r="AM1107" s="79">
        <v>0.7680555555555556</v>
      </c>
      <c r="AN1107" s="80">
        <v>9.0277777777778567E-3</v>
      </c>
      <c r="AO1107" s="79">
        <v>0.77708333333333324</v>
      </c>
      <c r="AP1107" s="80">
        <v>9.0277777777776347E-3</v>
      </c>
      <c r="AQ1107" s="81">
        <v>41806</v>
      </c>
      <c r="AR1107" s="77" t="str">
        <f t="shared" si="382"/>
        <v>Nacional</v>
      </c>
      <c r="AS1107" s="77">
        <f t="shared" si="382"/>
        <v>6.336805555555553E-3</v>
      </c>
      <c r="AT1107" s="77">
        <f t="shared" si="382"/>
        <v>6.9733796296296245E-3</v>
      </c>
      <c r="AU1107" s="77">
        <f t="shared" si="382"/>
        <v>1.3310185185185178E-2</v>
      </c>
      <c r="AV1107" s="77">
        <f t="shared" si="382"/>
        <v>320</v>
      </c>
      <c r="AW1107" s="77">
        <f t="shared" si="382"/>
        <v>179</v>
      </c>
      <c r="AX1107" s="77" t="str">
        <f t="shared" si="382"/>
        <v>MEX</v>
      </c>
    </row>
    <row r="1108" spans="1:50" ht="15.75" thickBot="1" x14ac:dyDescent="0.3">
      <c r="A1108">
        <v>1094</v>
      </c>
      <c r="B1108" s="36" t="str">
        <f t="shared" si="376"/>
        <v>BARATA Y MORADA</v>
      </c>
      <c r="C1108" s="36">
        <f>C1107</f>
        <v>679</v>
      </c>
      <c r="D1108" s="176">
        <v>0.94930555555555562</v>
      </c>
      <c r="E1108" s="176">
        <v>0.95624999999999993</v>
      </c>
      <c r="F1108" s="177">
        <v>6.9444444444443088E-3</v>
      </c>
      <c r="G1108" s="176">
        <v>0.9604166666666667</v>
      </c>
      <c r="H1108" s="177">
        <v>4.1666666666667629E-3</v>
      </c>
      <c r="I1108" s="97">
        <v>41727</v>
      </c>
      <c r="J1108" s="36" t="str">
        <f t="shared" ref="J1108:P1108" si="388">J1107</f>
        <v>Nacional</v>
      </c>
      <c r="K1108" s="36">
        <f t="shared" si="388"/>
        <v>2.9861111111111005E-2</v>
      </c>
      <c r="L1108" s="36">
        <f t="shared" si="388"/>
        <v>6.9444444444445308E-3</v>
      </c>
      <c r="M1108" s="36">
        <f t="shared" si="388"/>
        <v>3.6805555555555536E-2</v>
      </c>
      <c r="N1108" s="36" t="str">
        <f t="shared" si="388"/>
        <v>A319</v>
      </c>
      <c r="O1108" s="36">
        <f t="shared" si="388"/>
        <v>142</v>
      </c>
      <c r="P1108" s="36" t="str">
        <f t="shared" si="388"/>
        <v>CUU</v>
      </c>
      <c r="R1108">
        <v>1094</v>
      </c>
      <c r="S1108" s="36" t="str">
        <f t="shared" si="368"/>
        <v>INTERAVIÓN</v>
      </c>
      <c r="T1108" s="36">
        <f t="shared" si="368"/>
        <v>2224</v>
      </c>
      <c r="U1108" s="73">
        <v>0.58611111111111114</v>
      </c>
      <c r="V1108" s="74">
        <v>0.59305555555555556</v>
      </c>
      <c r="W1108" s="75">
        <v>6.9444444444444198E-3</v>
      </c>
      <c r="X1108" s="74">
        <v>0.59722222222222221</v>
      </c>
      <c r="Y1108" s="75">
        <v>4.1666666666666519E-3</v>
      </c>
      <c r="Z1108" s="76">
        <v>41731</v>
      </c>
      <c r="AA1108" s="36" t="str">
        <f t="shared" si="387"/>
        <v>Nacional</v>
      </c>
      <c r="AB1108" s="36">
        <f t="shared" si="387"/>
        <v>7.0075757575757507E-3</v>
      </c>
      <c r="AC1108" s="36">
        <f t="shared" si="387"/>
        <v>3.598484848484837E-3</v>
      </c>
      <c r="AD1108" s="36">
        <f t="shared" si="387"/>
        <v>1.0606060606060588E-2</v>
      </c>
      <c r="AE1108" s="36">
        <f t="shared" si="387"/>
        <v>320</v>
      </c>
      <c r="AF1108" s="36">
        <f t="shared" si="387"/>
        <v>179</v>
      </c>
      <c r="AG1108" s="36" t="str">
        <f t="shared" si="387"/>
        <v>MEX</v>
      </c>
      <c r="AI1108">
        <v>1094</v>
      </c>
      <c r="AJ1108" s="77" t="str">
        <f t="shared" si="375"/>
        <v>INTERAVIÓN</v>
      </c>
      <c r="AK1108" s="77">
        <f t="shared" si="375"/>
        <v>2210</v>
      </c>
      <c r="AL1108" s="186">
        <v>0.26250000000000001</v>
      </c>
      <c r="AM1108" s="79">
        <v>0.27708333333333335</v>
      </c>
      <c r="AN1108" s="80">
        <v>1.4583333333333337E-2</v>
      </c>
      <c r="AO1108" s="79">
        <v>0.29930555555555555</v>
      </c>
      <c r="AP1108" s="80">
        <v>2.2222222222222199E-2</v>
      </c>
      <c r="AQ1108" s="81">
        <v>41807</v>
      </c>
      <c r="AR1108" s="77" t="str">
        <f t="shared" si="382"/>
        <v>Nacional</v>
      </c>
      <c r="AS1108" s="77">
        <f t="shared" si="382"/>
        <v>6.336805555555553E-3</v>
      </c>
      <c r="AT1108" s="77">
        <f t="shared" si="382"/>
        <v>6.9733796296296245E-3</v>
      </c>
      <c r="AU1108" s="77">
        <f t="shared" si="382"/>
        <v>1.3310185185185178E-2</v>
      </c>
      <c r="AV1108" s="77">
        <f t="shared" si="382"/>
        <v>320</v>
      </c>
      <c r="AW1108" s="77">
        <f t="shared" si="382"/>
        <v>179</v>
      </c>
      <c r="AX1108" s="77" t="str">
        <f t="shared" si="382"/>
        <v>MEX</v>
      </c>
    </row>
    <row r="1109" spans="1:50" x14ac:dyDescent="0.25">
      <c r="A1109">
        <v>1095</v>
      </c>
      <c r="B1109" s="36" t="str">
        <f t="shared" si="376"/>
        <v>BARATA Y MORADA</v>
      </c>
      <c r="C1109" s="151">
        <v>677</v>
      </c>
      <c r="D1109" s="152">
        <v>0.89583333333333337</v>
      </c>
      <c r="E1109" s="152">
        <v>0.90416666666666667</v>
      </c>
      <c r="F1109" s="153">
        <v>8.3333333333333037E-3</v>
      </c>
      <c r="G1109" s="152">
        <v>0.90972222222222221</v>
      </c>
      <c r="H1109" s="153">
        <v>5.5555555555555358E-3</v>
      </c>
      <c r="I1109" s="67">
        <v>41713</v>
      </c>
      <c r="J1109" s="68" t="s">
        <v>19</v>
      </c>
      <c r="K1109" s="135">
        <v>1.0732323232323234E-2</v>
      </c>
      <c r="L1109" s="135">
        <v>6.9444444444444198E-3</v>
      </c>
      <c r="M1109" s="175">
        <v>1.7676767676767652E-2</v>
      </c>
      <c r="N1109" s="90">
        <v>320</v>
      </c>
      <c r="O1109" s="91">
        <v>179</v>
      </c>
      <c r="P1109" s="92" t="s">
        <v>28</v>
      </c>
      <c r="R1109">
        <v>1095</v>
      </c>
      <c r="S1109" s="36" t="str">
        <f t="shared" si="368"/>
        <v>INTERAVIÓN</v>
      </c>
      <c r="T1109" s="36">
        <f t="shared" si="368"/>
        <v>2224</v>
      </c>
      <c r="U1109" s="73">
        <v>8.3333333333333329E-2</v>
      </c>
      <c r="V1109" s="74">
        <v>9.0972222222222218E-2</v>
      </c>
      <c r="W1109" s="75">
        <v>7.6388888888888895E-3</v>
      </c>
      <c r="X1109" s="74">
        <v>9.5138888888888884E-2</v>
      </c>
      <c r="Y1109" s="75">
        <v>4.1666666666666657E-3</v>
      </c>
      <c r="Z1109" s="76">
        <v>41732</v>
      </c>
      <c r="AA1109" s="36" t="str">
        <f t="shared" si="387"/>
        <v>Nacional</v>
      </c>
      <c r="AB1109" s="36">
        <f t="shared" si="387"/>
        <v>7.0075757575757507E-3</v>
      </c>
      <c r="AC1109" s="36">
        <f t="shared" si="387"/>
        <v>3.598484848484837E-3</v>
      </c>
      <c r="AD1109" s="36">
        <f t="shared" si="387"/>
        <v>1.0606060606060588E-2</v>
      </c>
      <c r="AE1109" s="36">
        <f t="shared" si="387"/>
        <v>320</v>
      </c>
      <c r="AF1109" s="36">
        <f t="shared" si="387"/>
        <v>179</v>
      </c>
      <c r="AG1109" s="36" t="str">
        <f t="shared" si="387"/>
        <v>MEX</v>
      </c>
      <c r="AI1109">
        <v>1095</v>
      </c>
      <c r="AJ1109" s="77" t="str">
        <f t="shared" si="375"/>
        <v>INTERAVIÓN</v>
      </c>
      <c r="AK1109" s="77">
        <f t="shared" si="375"/>
        <v>2210</v>
      </c>
      <c r="AL1109" s="186">
        <v>0.43888888888888888</v>
      </c>
      <c r="AM1109" s="79">
        <v>0.44791666666666669</v>
      </c>
      <c r="AN1109" s="80">
        <v>9.0277777777778012E-3</v>
      </c>
      <c r="AO1109" s="79">
        <v>0.45555555555555555</v>
      </c>
      <c r="AP1109" s="80">
        <v>7.6388888888888618E-3</v>
      </c>
      <c r="AQ1109" s="81">
        <v>41808</v>
      </c>
      <c r="AR1109" s="77" t="str">
        <f t="shared" si="382"/>
        <v>Nacional</v>
      </c>
      <c r="AS1109" s="77">
        <f t="shared" si="382"/>
        <v>6.336805555555553E-3</v>
      </c>
      <c r="AT1109" s="77">
        <f t="shared" si="382"/>
        <v>6.9733796296296245E-3</v>
      </c>
      <c r="AU1109" s="77">
        <f t="shared" si="382"/>
        <v>1.3310185185185178E-2</v>
      </c>
      <c r="AV1109" s="77">
        <f t="shared" si="382"/>
        <v>320</v>
      </c>
      <c r="AW1109" s="77">
        <f t="shared" si="382"/>
        <v>179</v>
      </c>
      <c r="AX1109" s="77" t="str">
        <f t="shared" si="382"/>
        <v>MEX</v>
      </c>
    </row>
    <row r="1110" spans="1:50" x14ac:dyDescent="0.25">
      <c r="A1110">
        <v>1096</v>
      </c>
      <c r="B1110" s="36" t="str">
        <f t="shared" si="376"/>
        <v>BARATA Y MORADA</v>
      </c>
      <c r="C1110" s="36">
        <f t="shared" si="376"/>
        <v>677</v>
      </c>
      <c r="D1110" s="118">
        <v>0.95138888888888884</v>
      </c>
      <c r="E1110" s="118">
        <v>0.97569444444444453</v>
      </c>
      <c r="F1110" s="119">
        <v>2.4305555555555691E-2</v>
      </c>
      <c r="G1110" s="118">
        <v>0.98263888888888884</v>
      </c>
      <c r="H1110" s="119">
        <v>6.9444444444443088E-3</v>
      </c>
      <c r="I1110" s="81">
        <v>41715</v>
      </c>
      <c r="J1110" s="36" t="str">
        <f t="shared" ref="J1110:P1119" si="389">J1109</f>
        <v>Nacional</v>
      </c>
      <c r="K1110" s="36">
        <f t="shared" si="389"/>
        <v>1.0732323232323234E-2</v>
      </c>
      <c r="L1110" s="36">
        <f t="shared" si="389"/>
        <v>6.9444444444444198E-3</v>
      </c>
      <c r="M1110" s="36">
        <f t="shared" si="389"/>
        <v>1.7676767676767652E-2</v>
      </c>
      <c r="N1110" s="36">
        <f t="shared" si="389"/>
        <v>320</v>
      </c>
      <c r="O1110" s="36">
        <f t="shared" si="389"/>
        <v>179</v>
      </c>
      <c r="P1110" s="36" t="str">
        <f t="shared" si="389"/>
        <v>MTY</v>
      </c>
      <c r="R1110">
        <v>1096</v>
      </c>
      <c r="S1110" s="36" t="str">
        <f t="shared" si="368"/>
        <v>INTERAVIÓN</v>
      </c>
      <c r="T1110" s="36">
        <f t="shared" si="368"/>
        <v>2224</v>
      </c>
      <c r="U1110" s="73">
        <v>0.59166666666666667</v>
      </c>
      <c r="V1110" s="74">
        <v>0.59722222222222221</v>
      </c>
      <c r="W1110" s="75">
        <v>5.5555555555555358E-3</v>
      </c>
      <c r="X1110" s="74">
        <v>0.60277777777777775</v>
      </c>
      <c r="Y1110" s="75">
        <v>5.5555555555555358E-3</v>
      </c>
      <c r="Z1110" s="76">
        <v>41733</v>
      </c>
      <c r="AA1110" s="36" t="str">
        <f t="shared" si="387"/>
        <v>Nacional</v>
      </c>
      <c r="AB1110" s="36">
        <f t="shared" si="387"/>
        <v>7.0075757575757507E-3</v>
      </c>
      <c r="AC1110" s="36">
        <f t="shared" si="387"/>
        <v>3.598484848484837E-3</v>
      </c>
      <c r="AD1110" s="36">
        <f t="shared" si="387"/>
        <v>1.0606060606060588E-2</v>
      </c>
      <c r="AE1110" s="36">
        <f t="shared" si="387"/>
        <v>320</v>
      </c>
      <c r="AF1110" s="36">
        <f t="shared" si="387"/>
        <v>179</v>
      </c>
      <c r="AG1110" s="36" t="str">
        <f t="shared" si="387"/>
        <v>MEX</v>
      </c>
      <c r="AI1110">
        <v>1096</v>
      </c>
      <c r="AJ1110" s="77" t="str">
        <f t="shared" si="375"/>
        <v>INTERAVIÓN</v>
      </c>
      <c r="AK1110" s="77">
        <f t="shared" si="375"/>
        <v>2210</v>
      </c>
      <c r="AL1110" s="186">
        <v>0.43611111111111112</v>
      </c>
      <c r="AM1110" s="79">
        <v>0.44027777777777777</v>
      </c>
      <c r="AN1110" s="80">
        <v>4.1666666666666519E-3</v>
      </c>
      <c r="AO1110" s="79">
        <v>0.44305555555555554</v>
      </c>
      <c r="AP1110" s="80">
        <v>2.7777777777777679E-3</v>
      </c>
      <c r="AQ1110" s="81">
        <v>41809</v>
      </c>
      <c r="AR1110" s="77" t="str">
        <f t="shared" si="382"/>
        <v>Nacional</v>
      </c>
      <c r="AS1110" s="77">
        <f t="shared" si="382"/>
        <v>6.336805555555553E-3</v>
      </c>
      <c r="AT1110" s="77">
        <f t="shared" si="382"/>
        <v>6.9733796296296245E-3</v>
      </c>
      <c r="AU1110" s="77">
        <f t="shared" si="382"/>
        <v>1.3310185185185178E-2</v>
      </c>
      <c r="AV1110" s="77">
        <f t="shared" si="382"/>
        <v>320</v>
      </c>
      <c r="AW1110" s="77">
        <f t="shared" si="382"/>
        <v>179</v>
      </c>
      <c r="AX1110" s="77" t="str">
        <f t="shared" si="382"/>
        <v>MEX</v>
      </c>
    </row>
    <row r="1111" spans="1:50" x14ac:dyDescent="0.25">
      <c r="A1111">
        <v>1097</v>
      </c>
      <c r="B1111" s="36" t="str">
        <f t="shared" si="376"/>
        <v>BARATA Y MORADA</v>
      </c>
      <c r="C1111" s="36">
        <f t="shared" si="376"/>
        <v>677</v>
      </c>
      <c r="D1111" s="118">
        <v>0.91388888888888886</v>
      </c>
      <c r="E1111" s="118">
        <v>0.92083333333333339</v>
      </c>
      <c r="F1111" s="119">
        <v>6.9444444444445308E-3</v>
      </c>
      <c r="G1111" s="118">
        <v>0.92361111111111116</v>
      </c>
      <c r="H1111" s="119">
        <v>2.7777777777777679E-3</v>
      </c>
      <c r="I1111" s="81">
        <v>41716</v>
      </c>
      <c r="J1111" s="36" t="str">
        <f t="shared" si="389"/>
        <v>Nacional</v>
      </c>
      <c r="K1111" s="36">
        <f t="shared" si="389"/>
        <v>1.0732323232323234E-2</v>
      </c>
      <c r="L1111" s="36">
        <f t="shared" si="389"/>
        <v>6.9444444444444198E-3</v>
      </c>
      <c r="M1111" s="36">
        <f t="shared" si="389"/>
        <v>1.7676767676767652E-2</v>
      </c>
      <c r="N1111" s="36">
        <f t="shared" si="389"/>
        <v>320</v>
      </c>
      <c r="O1111" s="36">
        <f t="shared" si="389"/>
        <v>179</v>
      </c>
      <c r="P1111" s="36" t="str">
        <f t="shared" si="389"/>
        <v>MTY</v>
      </c>
      <c r="R1111">
        <v>1097</v>
      </c>
      <c r="S1111" s="36" t="str">
        <f t="shared" si="368"/>
        <v>INTERAVIÓN</v>
      </c>
      <c r="T1111" s="36">
        <f t="shared" si="368"/>
        <v>2224</v>
      </c>
      <c r="U1111" s="73">
        <v>0.57638888888888895</v>
      </c>
      <c r="V1111" s="74">
        <v>0.58750000000000002</v>
      </c>
      <c r="W1111" s="75">
        <v>1.1111111111111072E-2</v>
      </c>
      <c r="X1111" s="74">
        <v>0.59027777777777779</v>
      </c>
      <c r="Y1111" s="75">
        <v>2.7777777777777679E-3</v>
      </c>
      <c r="Z1111" s="76">
        <v>41737</v>
      </c>
      <c r="AA1111" s="36" t="str">
        <f t="shared" si="387"/>
        <v>Nacional</v>
      </c>
      <c r="AB1111" s="36">
        <f t="shared" si="387"/>
        <v>7.0075757575757507E-3</v>
      </c>
      <c r="AC1111" s="36">
        <f t="shared" si="387"/>
        <v>3.598484848484837E-3</v>
      </c>
      <c r="AD1111" s="36">
        <f t="shared" si="387"/>
        <v>1.0606060606060588E-2</v>
      </c>
      <c r="AE1111" s="36">
        <f t="shared" si="387"/>
        <v>320</v>
      </c>
      <c r="AF1111" s="36">
        <f t="shared" si="387"/>
        <v>179</v>
      </c>
      <c r="AG1111" s="36" t="str">
        <f t="shared" si="387"/>
        <v>MEX</v>
      </c>
      <c r="AI1111">
        <v>1097</v>
      </c>
      <c r="AJ1111" s="77" t="str">
        <f t="shared" si="375"/>
        <v>INTERAVIÓN</v>
      </c>
      <c r="AK1111" s="77">
        <f t="shared" si="375"/>
        <v>2210</v>
      </c>
      <c r="AL1111" s="186">
        <v>0.43888888888888888</v>
      </c>
      <c r="AM1111" s="79">
        <v>0.44444444444444442</v>
      </c>
      <c r="AN1111" s="80">
        <v>5.5555555555555358E-3</v>
      </c>
      <c r="AO1111" s="79">
        <v>0.44930555555555557</v>
      </c>
      <c r="AP1111" s="80">
        <v>4.8611111111111494E-3</v>
      </c>
      <c r="AQ1111" s="81">
        <v>41810</v>
      </c>
      <c r="AR1111" s="77" t="str">
        <f t="shared" si="382"/>
        <v>Nacional</v>
      </c>
      <c r="AS1111" s="77">
        <f t="shared" si="382"/>
        <v>6.336805555555553E-3</v>
      </c>
      <c r="AT1111" s="77">
        <f t="shared" si="382"/>
        <v>6.9733796296296245E-3</v>
      </c>
      <c r="AU1111" s="77">
        <f t="shared" si="382"/>
        <v>1.3310185185185178E-2</v>
      </c>
      <c r="AV1111" s="77">
        <f t="shared" si="382"/>
        <v>320</v>
      </c>
      <c r="AW1111" s="77">
        <f t="shared" si="382"/>
        <v>179</v>
      </c>
      <c r="AX1111" s="77" t="str">
        <f t="shared" si="382"/>
        <v>MEX</v>
      </c>
    </row>
    <row r="1112" spans="1:50" x14ac:dyDescent="0.25">
      <c r="A1112">
        <v>1098</v>
      </c>
      <c r="B1112" s="36" t="str">
        <f t="shared" si="376"/>
        <v>BARATA Y MORADA</v>
      </c>
      <c r="C1112" s="36">
        <f t="shared" si="376"/>
        <v>677</v>
      </c>
      <c r="D1112" s="118">
        <v>0.90763888888888899</v>
      </c>
      <c r="E1112" s="118">
        <v>0.91527777777777775</v>
      </c>
      <c r="F1112" s="119">
        <v>7.6388888888887507E-3</v>
      </c>
      <c r="G1112" s="118">
        <v>0.92152777777777783</v>
      </c>
      <c r="H1112" s="119">
        <v>6.2500000000000888E-3</v>
      </c>
      <c r="I1112" s="81">
        <v>41721</v>
      </c>
      <c r="J1112" s="36" t="str">
        <f t="shared" si="389"/>
        <v>Nacional</v>
      </c>
      <c r="K1112" s="36">
        <f t="shared" si="389"/>
        <v>1.0732323232323234E-2</v>
      </c>
      <c r="L1112" s="36">
        <f t="shared" si="389"/>
        <v>6.9444444444444198E-3</v>
      </c>
      <c r="M1112" s="36">
        <f t="shared" si="389"/>
        <v>1.7676767676767652E-2</v>
      </c>
      <c r="N1112" s="36">
        <f t="shared" si="389"/>
        <v>320</v>
      </c>
      <c r="O1112" s="36">
        <f t="shared" si="389"/>
        <v>179</v>
      </c>
      <c r="P1112" s="36" t="str">
        <f t="shared" si="389"/>
        <v>MTY</v>
      </c>
      <c r="R1112">
        <v>1098</v>
      </c>
      <c r="S1112" s="36" t="str">
        <f t="shared" si="368"/>
        <v>INTERAVIÓN</v>
      </c>
      <c r="T1112" s="36">
        <f t="shared" si="368"/>
        <v>2224</v>
      </c>
      <c r="U1112" s="73">
        <v>0.59583333333333333</v>
      </c>
      <c r="V1112" s="74">
        <v>0.59722222222222221</v>
      </c>
      <c r="W1112" s="75">
        <v>1.388888888888884E-3</v>
      </c>
      <c r="X1112" s="74">
        <v>0.6</v>
      </c>
      <c r="Y1112" s="75">
        <v>2.7777777777777679E-3</v>
      </c>
      <c r="Z1112" s="76">
        <v>41739</v>
      </c>
      <c r="AA1112" s="36" t="str">
        <f t="shared" si="387"/>
        <v>Nacional</v>
      </c>
      <c r="AB1112" s="36">
        <f t="shared" si="387"/>
        <v>7.0075757575757507E-3</v>
      </c>
      <c r="AC1112" s="36">
        <f t="shared" si="387"/>
        <v>3.598484848484837E-3</v>
      </c>
      <c r="AD1112" s="36">
        <f t="shared" si="387"/>
        <v>1.0606060606060588E-2</v>
      </c>
      <c r="AE1112" s="36">
        <f t="shared" si="387"/>
        <v>320</v>
      </c>
      <c r="AF1112" s="36">
        <f t="shared" si="387"/>
        <v>179</v>
      </c>
      <c r="AG1112" s="36" t="str">
        <f t="shared" si="387"/>
        <v>MEX</v>
      </c>
      <c r="AI1112">
        <v>1098</v>
      </c>
      <c r="AJ1112" s="77" t="str">
        <f t="shared" si="375"/>
        <v>INTERAVIÓN</v>
      </c>
      <c r="AK1112" s="77">
        <f t="shared" si="375"/>
        <v>2210</v>
      </c>
      <c r="AL1112" s="186">
        <v>0.44097222222222227</v>
      </c>
      <c r="AM1112" s="79">
        <v>0.44722222222222219</v>
      </c>
      <c r="AN1112" s="80">
        <v>6.2499999999999223E-3</v>
      </c>
      <c r="AO1112" s="79">
        <v>0.4513888888888889</v>
      </c>
      <c r="AP1112" s="80">
        <v>4.1666666666667074E-3</v>
      </c>
      <c r="AQ1112" s="81">
        <v>41811</v>
      </c>
      <c r="AR1112" s="77" t="str">
        <f t="shared" si="382"/>
        <v>Nacional</v>
      </c>
      <c r="AS1112" s="77">
        <f t="shared" si="382"/>
        <v>6.336805555555553E-3</v>
      </c>
      <c r="AT1112" s="77">
        <f t="shared" si="382"/>
        <v>6.9733796296296245E-3</v>
      </c>
      <c r="AU1112" s="77">
        <f t="shared" si="382"/>
        <v>1.3310185185185178E-2</v>
      </c>
      <c r="AV1112" s="77">
        <f t="shared" si="382"/>
        <v>320</v>
      </c>
      <c r="AW1112" s="77">
        <f t="shared" si="382"/>
        <v>179</v>
      </c>
      <c r="AX1112" s="77" t="str">
        <f t="shared" si="382"/>
        <v>MEX</v>
      </c>
    </row>
    <row r="1113" spans="1:50" x14ac:dyDescent="0.25">
      <c r="A1113">
        <v>1099</v>
      </c>
      <c r="B1113" s="36" t="str">
        <f t="shared" si="376"/>
        <v>BARATA Y MORADA</v>
      </c>
      <c r="C1113" s="36">
        <f t="shared" si="376"/>
        <v>677</v>
      </c>
      <c r="D1113" s="118">
        <v>0.90277777777777779</v>
      </c>
      <c r="E1113" s="118">
        <v>0.9159722222222223</v>
      </c>
      <c r="F1113" s="119">
        <v>1.3194444444444509E-2</v>
      </c>
      <c r="G1113" s="118">
        <v>0.92499999999999993</v>
      </c>
      <c r="H1113" s="119">
        <v>9.0277777777776347E-3</v>
      </c>
      <c r="I1113" s="81">
        <v>41721</v>
      </c>
      <c r="J1113" s="36" t="str">
        <f t="shared" si="389"/>
        <v>Nacional</v>
      </c>
      <c r="K1113" s="36">
        <f t="shared" si="389"/>
        <v>1.0732323232323234E-2</v>
      </c>
      <c r="L1113" s="36">
        <f t="shared" si="389"/>
        <v>6.9444444444444198E-3</v>
      </c>
      <c r="M1113" s="36">
        <f t="shared" si="389"/>
        <v>1.7676767676767652E-2</v>
      </c>
      <c r="N1113" s="36">
        <f t="shared" si="389"/>
        <v>320</v>
      </c>
      <c r="O1113" s="36">
        <f t="shared" si="389"/>
        <v>179</v>
      </c>
      <c r="P1113" s="36" t="str">
        <f t="shared" si="389"/>
        <v>MTY</v>
      </c>
      <c r="R1113">
        <v>1099</v>
      </c>
      <c r="S1113" s="36" t="str">
        <f t="shared" si="368"/>
        <v>INTERAVIÓN</v>
      </c>
      <c r="T1113" s="36">
        <f t="shared" si="368"/>
        <v>2224</v>
      </c>
      <c r="U1113" s="73">
        <v>0.58472222222222225</v>
      </c>
      <c r="V1113" s="74">
        <v>0.59027777777777779</v>
      </c>
      <c r="W1113" s="75">
        <v>5.5555555555555358E-3</v>
      </c>
      <c r="X1113" s="74">
        <v>0.59236111111111112</v>
      </c>
      <c r="Y1113" s="75">
        <v>2.0833333333333259E-3</v>
      </c>
      <c r="Z1113" s="76">
        <v>41742</v>
      </c>
      <c r="AA1113" s="36" t="str">
        <f t="shared" si="387"/>
        <v>Nacional</v>
      </c>
      <c r="AB1113" s="36">
        <f t="shared" si="387"/>
        <v>7.0075757575757507E-3</v>
      </c>
      <c r="AC1113" s="36">
        <f t="shared" si="387"/>
        <v>3.598484848484837E-3</v>
      </c>
      <c r="AD1113" s="36">
        <f t="shared" si="387"/>
        <v>1.0606060606060588E-2</v>
      </c>
      <c r="AE1113" s="36">
        <f t="shared" si="387"/>
        <v>320</v>
      </c>
      <c r="AF1113" s="36">
        <f t="shared" si="387"/>
        <v>179</v>
      </c>
      <c r="AG1113" s="36" t="str">
        <f t="shared" si="387"/>
        <v>MEX</v>
      </c>
      <c r="AI1113">
        <v>1099</v>
      </c>
      <c r="AJ1113" s="77" t="str">
        <f t="shared" si="375"/>
        <v>INTERAVIÓN</v>
      </c>
      <c r="AK1113" s="77">
        <f t="shared" si="375"/>
        <v>2210</v>
      </c>
      <c r="AL1113" s="186">
        <v>0.44097222222222227</v>
      </c>
      <c r="AM1113" s="79">
        <v>0.44375000000000003</v>
      </c>
      <c r="AN1113" s="80">
        <v>2.7777777777777679E-3</v>
      </c>
      <c r="AO1113" s="79">
        <v>0.45069444444444445</v>
      </c>
      <c r="AP1113" s="80">
        <v>6.9444444444444198E-3</v>
      </c>
      <c r="AQ1113" s="81">
        <v>41813</v>
      </c>
      <c r="AR1113" s="77" t="str">
        <f t="shared" si="382"/>
        <v>Nacional</v>
      </c>
      <c r="AS1113" s="77">
        <f t="shared" si="382"/>
        <v>6.336805555555553E-3</v>
      </c>
      <c r="AT1113" s="77">
        <f t="shared" si="382"/>
        <v>6.9733796296296245E-3</v>
      </c>
      <c r="AU1113" s="77">
        <f t="shared" si="382"/>
        <v>1.3310185185185178E-2</v>
      </c>
      <c r="AV1113" s="77">
        <f t="shared" si="382"/>
        <v>320</v>
      </c>
      <c r="AW1113" s="77">
        <f t="shared" si="382"/>
        <v>179</v>
      </c>
      <c r="AX1113" s="77" t="str">
        <f t="shared" si="382"/>
        <v>MEX</v>
      </c>
    </row>
    <row r="1114" spans="1:50" ht="15.75" thickBot="1" x14ac:dyDescent="0.3">
      <c r="A1114">
        <v>1100</v>
      </c>
      <c r="B1114" s="36" t="str">
        <f t="shared" si="376"/>
        <v>BARATA Y MORADA</v>
      </c>
      <c r="C1114" s="36">
        <f t="shared" si="376"/>
        <v>677</v>
      </c>
      <c r="D1114" s="118">
        <v>0.89930555555555547</v>
      </c>
      <c r="E1114" s="118">
        <v>0.90625</v>
      </c>
      <c r="F1114" s="119">
        <v>6.9444444444445308E-3</v>
      </c>
      <c r="G1114" s="118">
        <v>0.91527777777777775</v>
      </c>
      <c r="H1114" s="119">
        <v>9.0277777777777457E-3</v>
      </c>
      <c r="I1114" s="81">
        <v>41723</v>
      </c>
      <c r="J1114" s="36" t="str">
        <f t="shared" si="389"/>
        <v>Nacional</v>
      </c>
      <c r="K1114" s="36">
        <f t="shared" si="389"/>
        <v>1.0732323232323234E-2</v>
      </c>
      <c r="L1114" s="36">
        <f t="shared" si="389"/>
        <v>6.9444444444444198E-3</v>
      </c>
      <c r="M1114" s="36">
        <f t="shared" si="389"/>
        <v>1.7676767676767652E-2</v>
      </c>
      <c r="N1114" s="36">
        <f t="shared" si="389"/>
        <v>320</v>
      </c>
      <c r="O1114" s="36">
        <f t="shared" si="389"/>
        <v>179</v>
      </c>
      <c r="P1114" s="36" t="str">
        <f t="shared" si="389"/>
        <v>MTY</v>
      </c>
      <c r="R1114">
        <v>1100</v>
      </c>
      <c r="S1114" s="36" t="str">
        <f t="shared" si="368"/>
        <v>INTERAVIÓN</v>
      </c>
      <c r="T1114" s="36">
        <f t="shared" si="368"/>
        <v>2224</v>
      </c>
      <c r="U1114" s="73">
        <v>0.58472222222222225</v>
      </c>
      <c r="V1114" s="74">
        <v>0.59027777777777779</v>
      </c>
      <c r="W1114" s="75">
        <v>5.5555555555555358E-3</v>
      </c>
      <c r="X1114" s="74">
        <v>0.59236111111111112</v>
      </c>
      <c r="Y1114" s="75">
        <v>2.0833333333333259E-3</v>
      </c>
      <c r="Z1114" s="76">
        <v>41742</v>
      </c>
      <c r="AA1114" s="36" t="str">
        <f t="shared" si="387"/>
        <v>Nacional</v>
      </c>
      <c r="AB1114" s="36">
        <f t="shared" si="387"/>
        <v>7.0075757575757507E-3</v>
      </c>
      <c r="AC1114" s="36">
        <f t="shared" si="387"/>
        <v>3.598484848484837E-3</v>
      </c>
      <c r="AD1114" s="36">
        <f t="shared" si="387"/>
        <v>1.0606060606060588E-2</v>
      </c>
      <c r="AE1114" s="36">
        <f t="shared" si="387"/>
        <v>320</v>
      </c>
      <c r="AF1114" s="36">
        <f t="shared" si="387"/>
        <v>179</v>
      </c>
      <c r="AG1114" s="36" t="str">
        <f t="shared" si="387"/>
        <v>MEX</v>
      </c>
      <c r="AI1114">
        <v>1100</v>
      </c>
      <c r="AJ1114" s="77" t="str">
        <f t="shared" si="375"/>
        <v>INTERAVIÓN</v>
      </c>
      <c r="AK1114" s="77">
        <f t="shared" si="375"/>
        <v>2210</v>
      </c>
      <c r="AL1114" s="187">
        <v>0.43611111111111112</v>
      </c>
      <c r="AM1114" s="95">
        <v>0.44166666666666665</v>
      </c>
      <c r="AN1114" s="96">
        <v>5.5555555555555358E-3</v>
      </c>
      <c r="AO1114" s="95">
        <v>0.4465277777777778</v>
      </c>
      <c r="AP1114" s="96">
        <v>4.8611111111111494E-3</v>
      </c>
      <c r="AQ1114" s="97">
        <v>41812</v>
      </c>
      <c r="AR1114" s="77" t="str">
        <f t="shared" si="382"/>
        <v>Nacional</v>
      </c>
      <c r="AS1114" s="77">
        <f t="shared" si="382"/>
        <v>6.336805555555553E-3</v>
      </c>
      <c r="AT1114" s="77">
        <f t="shared" si="382"/>
        <v>6.9733796296296245E-3</v>
      </c>
      <c r="AU1114" s="77">
        <f t="shared" si="382"/>
        <v>1.3310185185185178E-2</v>
      </c>
      <c r="AV1114" s="77">
        <f t="shared" si="382"/>
        <v>320</v>
      </c>
      <c r="AW1114" s="77">
        <f t="shared" si="382"/>
        <v>179</v>
      </c>
      <c r="AX1114" s="77" t="str">
        <f t="shared" si="382"/>
        <v>MEX</v>
      </c>
    </row>
    <row r="1115" spans="1:50" ht="15.75" thickBot="1" x14ac:dyDescent="0.3">
      <c r="A1115">
        <v>1101</v>
      </c>
      <c r="B1115" s="36" t="str">
        <f t="shared" si="376"/>
        <v>BARATA Y MORADA</v>
      </c>
      <c r="C1115" s="36">
        <f t="shared" si="376"/>
        <v>677</v>
      </c>
      <c r="D1115" s="118">
        <v>0.89583333333333337</v>
      </c>
      <c r="E1115" s="118">
        <v>0.91666666666666663</v>
      </c>
      <c r="F1115" s="119">
        <v>2.0833333333333259E-2</v>
      </c>
      <c r="G1115" s="118">
        <v>0.92361111111111116</v>
      </c>
      <c r="H1115" s="119">
        <v>6.9444444444445308E-3</v>
      </c>
      <c r="I1115" s="81">
        <v>41724</v>
      </c>
      <c r="J1115" s="36" t="str">
        <f t="shared" si="389"/>
        <v>Nacional</v>
      </c>
      <c r="K1115" s="36">
        <f t="shared" si="389"/>
        <v>1.0732323232323234E-2</v>
      </c>
      <c r="L1115" s="36">
        <f t="shared" si="389"/>
        <v>6.9444444444444198E-3</v>
      </c>
      <c r="M1115" s="36">
        <f t="shared" si="389"/>
        <v>1.7676767676767652E-2</v>
      </c>
      <c r="N1115" s="36">
        <f t="shared" si="389"/>
        <v>320</v>
      </c>
      <c r="O1115" s="36">
        <f t="shared" si="389"/>
        <v>179</v>
      </c>
      <c r="P1115" s="36" t="str">
        <f t="shared" si="389"/>
        <v>MTY</v>
      </c>
      <c r="R1115">
        <v>1101</v>
      </c>
      <c r="S1115" s="36" t="str">
        <f t="shared" si="368"/>
        <v>INTERAVIÓN</v>
      </c>
      <c r="T1115" s="36">
        <f t="shared" si="368"/>
        <v>2224</v>
      </c>
      <c r="U1115" s="83">
        <v>0.57013888888888886</v>
      </c>
      <c r="V1115" s="84">
        <v>0.57916666666666672</v>
      </c>
      <c r="W1115" s="85">
        <v>9.0277777777778567E-3</v>
      </c>
      <c r="X1115" s="84">
        <v>0.58680555555555558</v>
      </c>
      <c r="Y1115" s="85">
        <v>7.6388888888888618E-3</v>
      </c>
      <c r="Z1115" s="86">
        <v>41758</v>
      </c>
      <c r="AA1115" s="36" t="str">
        <f t="shared" si="387"/>
        <v>Nacional</v>
      </c>
      <c r="AB1115" s="36">
        <f t="shared" si="387"/>
        <v>7.0075757575757507E-3</v>
      </c>
      <c r="AC1115" s="36">
        <f t="shared" si="387"/>
        <v>3.598484848484837E-3</v>
      </c>
      <c r="AD1115" s="36">
        <f t="shared" si="387"/>
        <v>1.0606060606060588E-2</v>
      </c>
      <c r="AE1115" s="36">
        <f t="shared" si="387"/>
        <v>320</v>
      </c>
      <c r="AF1115" s="36">
        <f t="shared" si="387"/>
        <v>179</v>
      </c>
      <c r="AG1115" s="36" t="str">
        <f t="shared" si="387"/>
        <v>MEX</v>
      </c>
      <c r="AI1115">
        <v>1101</v>
      </c>
      <c r="AJ1115" s="77" t="str">
        <f t="shared" si="375"/>
        <v>INTERAVIÓN</v>
      </c>
      <c r="AK1115" s="63">
        <v>2208</v>
      </c>
      <c r="AL1115" s="185">
        <v>0.38194444444444442</v>
      </c>
      <c r="AM1115" s="65">
        <v>0.38750000000000001</v>
      </c>
      <c r="AN1115" s="66">
        <v>5.5555555555555913E-3</v>
      </c>
      <c r="AO1115" s="65">
        <v>0.39097222222222222</v>
      </c>
      <c r="AP1115" s="66">
        <v>3.4722222222222099E-3</v>
      </c>
      <c r="AQ1115" s="67">
        <v>41792</v>
      </c>
      <c r="AR1115" s="68" t="s">
        <v>19</v>
      </c>
      <c r="AS1115" s="69">
        <v>7.3717948717948439E-3</v>
      </c>
      <c r="AT1115" s="70">
        <v>8.2799145299145352E-3</v>
      </c>
      <c r="AU1115" s="70">
        <v>1.5651709401709381E-2</v>
      </c>
      <c r="AV1115" s="71">
        <v>320</v>
      </c>
      <c r="AW1115" s="71">
        <v>179</v>
      </c>
      <c r="AX1115" s="72" t="s">
        <v>21</v>
      </c>
    </row>
    <row r="1116" spans="1:50" x14ac:dyDescent="0.25">
      <c r="A1116">
        <v>1102</v>
      </c>
      <c r="B1116" s="36" t="str">
        <f t="shared" si="376"/>
        <v>BARATA Y MORADA</v>
      </c>
      <c r="C1116" s="36">
        <f t="shared" si="376"/>
        <v>677</v>
      </c>
      <c r="D1116" s="118">
        <v>0.90902777777777777</v>
      </c>
      <c r="E1116" s="118">
        <v>0.91249999999999998</v>
      </c>
      <c r="F1116" s="119">
        <v>3.4722222222222099E-3</v>
      </c>
      <c r="G1116" s="118">
        <v>0.91736111111111107</v>
      </c>
      <c r="H1116" s="119">
        <v>4.8611111111110938E-3</v>
      </c>
      <c r="I1116" s="81">
        <v>41724</v>
      </c>
      <c r="J1116" s="36" t="str">
        <f t="shared" si="389"/>
        <v>Nacional</v>
      </c>
      <c r="K1116" s="36">
        <f t="shared" si="389"/>
        <v>1.0732323232323234E-2</v>
      </c>
      <c r="L1116" s="36">
        <f t="shared" si="389"/>
        <v>6.9444444444444198E-3</v>
      </c>
      <c r="M1116" s="36">
        <f t="shared" si="389"/>
        <v>1.7676767676767652E-2</v>
      </c>
      <c r="N1116" s="36">
        <f t="shared" si="389"/>
        <v>320</v>
      </c>
      <c r="O1116" s="36">
        <f t="shared" si="389"/>
        <v>179</v>
      </c>
      <c r="P1116" s="36" t="str">
        <f t="shared" si="389"/>
        <v>MTY</v>
      </c>
      <c r="R1116">
        <v>1102</v>
      </c>
      <c r="S1116" s="36" t="str">
        <f t="shared" si="368"/>
        <v>INTERAVIÓN</v>
      </c>
      <c r="T1116" s="55">
        <v>2222</v>
      </c>
      <c r="U1116" s="56">
        <v>0.25</v>
      </c>
      <c r="V1116" s="57">
        <v>0.26666666666666666</v>
      </c>
      <c r="W1116" s="58">
        <v>1.6666666666666663E-2</v>
      </c>
      <c r="X1116" s="57">
        <v>0.27638888888888885</v>
      </c>
      <c r="Y1116" s="58">
        <v>9.7222222222221877E-3</v>
      </c>
      <c r="Z1116" s="59">
        <v>41731</v>
      </c>
      <c r="AA1116" s="60" t="s">
        <v>19</v>
      </c>
      <c r="AB1116" s="61">
        <v>1.0972222222222218E-2</v>
      </c>
      <c r="AC1116" s="61">
        <v>4.4907407407407396E-3</v>
      </c>
      <c r="AD1116" s="62">
        <v>1.5462962962962958E-2</v>
      </c>
      <c r="AE1116" s="191">
        <v>320</v>
      </c>
      <c r="AF1116" s="191">
        <v>179</v>
      </c>
      <c r="AG1116" s="192" t="s">
        <v>21</v>
      </c>
      <c r="AI1116">
        <v>1102</v>
      </c>
      <c r="AJ1116" s="77" t="str">
        <f t="shared" si="375"/>
        <v>INTERAVIÓN</v>
      </c>
      <c r="AK1116" s="77">
        <f t="shared" si="375"/>
        <v>2208</v>
      </c>
      <c r="AL1116" s="186">
        <v>0.3923611111111111</v>
      </c>
      <c r="AM1116" s="79">
        <v>0.39999999999999997</v>
      </c>
      <c r="AN1116" s="80">
        <v>7.6388888888888618E-3</v>
      </c>
      <c r="AO1116" s="79">
        <v>0.40486111111111112</v>
      </c>
      <c r="AP1116" s="80">
        <v>4.8611111111111494E-3</v>
      </c>
      <c r="AQ1116" s="81">
        <v>41795</v>
      </c>
      <c r="AR1116" s="77" t="str">
        <f t="shared" ref="AR1116:AX1127" si="390">AR1115</f>
        <v>Nacional</v>
      </c>
      <c r="AS1116" s="77">
        <f t="shared" si="390"/>
        <v>7.3717948717948439E-3</v>
      </c>
      <c r="AT1116" s="77">
        <f t="shared" si="390"/>
        <v>8.2799145299145352E-3</v>
      </c>
      <c r="AU1116" s="77">
        <f t="shared" si="390"/>
        <v>1.5651709401709381E-2</v>
      </c>
      <c r="AV1116" s="77">
        <f t="shared" si="390"/>
        <v>320</v>
      </c>
      <c r="AW1116" s="77">
        <f t="shared" si="390"/>
        <v>179</v>
      </c>
      <c r="AX1116" s="77" t="str">
        <f t="shared" si="390"/>
        <v>MEX</v>
      </c>
    </row>
    <row r="1117" spans="1:50" x14ac:dyDescent="0.25">
      <c r="A1117">
        <v>1103</v>
      </c>
      <c r="B1117" s="36" t="str">
        <f t="shared" si="376"/>
        <v>BARATA Y MORADA</v>
      </c>
      <c r="C1117" s="36">
        <f t="shared" si="376"/>
        <v>677</v>
      </c>
      <c r="D1117" s="118">
        <v>0.9</v>
      </c>
      <c r="E1117" s="118">
        <v>0.91111111111111109</v>
      </c>
      <c r="F1117" s="119">
        <v>1.1111111111111072E-2</v>
      </c>
      <c r="G1117" s="118">
        <v>0.9194444444444444</v>
      </c>
      <c r="H1117" s="119">
        <v>8.3333333333333037E-3</v>
      </c>
      <c r="I1117" s="81">
        <v>41725</v>
      </c>
      <c r="J1117" s="36" t="str">
        <f t="shared" si="389"/>
        <v>Nacional</v>
      </c>
      <c r="K1117" s="36">
        <f t="shared" si="389"/>
        <v>1.0732323232323234E-2</v>
      </c>
      <c r="L1117" s="36">
        <f t="shared" si="389"/>
        <v>6.9444444444444198E-3</v>
      </c>
      <c r="M1117" s="36">
        <f t="shared" si="389"/>
        <v>1.7676767676767652E-2</v>
      </c>
      <c r="N1117" s="36">
        <f t="shared" si="389"/>
        <v>320</v>
      </c>
      <c r="O1117" s="36">
        <f t="shared" si="389"/>
        <v>179</v>
      </c>
      <c r="P1117" s="36" t="str">
        <f t="shared" si="389"/>
        <v>MTY</v>
      </c>
      <c r="R1117">
        <v>1103</v>
      </c>
      <c r="S1117" s="36" t="str">
        <f t="shared" si="368"/>
        <v>INTERAVIÓN</v>
      </c>
      <c r="T1117" s="36">
        <f t="shared" si="368"/>
        <v>2222</v>
      </c>
      <c r="U1117" s="73">
        <v>0.24722222222222223</v>
      </c>
      <c r="V1117" s="74">
        <v>0.25347222222222221</v>
      </c>
      <c r="W1117" s="75">
        <v>6.2499999999999778E-3</v>
      </c>
      <c r="X1117" s="74">
        <v>0.25555555555555559</v>
      </c>
      <c r="Y1117" s="75">
        <v>2.0833333333333814E-3</v>
      </c>
      <c r="Z1117" s="76">
        <v>41732</v>
      </c>
      <c r="AA1117" s="36" t="str">
        <f t="shared" ref="AA1117:AG1130" si="391">AA1116</f>
        <v>Nacional</v>
      </c>
      <c r="AB1117" s="36">
        <f t="shared" si="391"/>
        <v>1.0972222222222218E-2</v>
      </c>
      <c r="AC1117" s="36">
        <f t="shared" si="391"/>
        <v>4.4907407407407396E-3</v>
      </c>
      <c r="AD1117" s="36">
        <f t="shared" si="391"/>
        <v>1.5462962962962958E-2</v>
      </c>
      <c r="AE1117" s="36">
        <f t="shared" si="391"/>
        <v>320</v>
      </c>
      <c r="AF1117" s="36">
        <f t="shared" si="391"/>
        <v>179</v>
      </c>
      <c r="AG1117" s="36" t="str">
        <f t="shared" si="391"/>
        <v>MEX</v>
      </c>
      <c r="AI1117">
        <v>1103</v>
      </c>
      <c r="AJ1117" s="77" t="str">
        <f t="shared" si="375"/>
        <v>INTERAVIÓN</v>
      </c>
      <c r="AK1117" s="77">
        <f t="shared" si="375"/>
        <v>2208</v>
      </c>
      <c r="AL1117" s="186">
        <v>0.43055555555555558</v>
      </c>
      <c r="AM1117" s="79">
        <v>0.43402777777777773</v>
      </c>
      <c r="AN1117" s="80">
        <v>3.4722222222221544E-3</v>
      </c>
      <c r="AO1117" s="79">
        <v>0.44097222222222227</v>
      </c>
      <c r="AP1117" s="80">
        <v>6.9444444444445308E-3</v>
      </c>
      <c r="AQ1117" s="81">
        <v>41796</v>
      </c>
      <c r="AR1117" s="77" t="str">
        <f t="shared" si="390"/>
        <v>Nacional</v>
      </c>
      <c r="AS1117" s="77">
        <f t="shared" si="390"/>
        <v>7.3717948717948439E-3</v>
      </c>
      <c r="AT1117" s="77">
        <f t="shared" si="390"/>
        <v>8.2799145299145352E-3</v>
      </c>
      <c r="AU1117" s="77">
        <f t="shared" si="390"/>
        <v>1.5651709401709381E-2</v>
      </c>
      <c r="AV1117" s="77">
        <f t="shared" si="390"/>
        <v>320</v>
      </c>
      <c r="AW1117" s="77">
        <f t="shared" si="390"/>
        <v>179</v>
      </c>
      <c r="AX1117" s="77" t="str">
        <f t="shared" si="390"/>
        <v>MEX</v>
      </c>
    </row>
    <row r="1118" spans="1:50" x14ac:dyDescent="0.25">
      <c r="A1118">
        <v>1104</v>
      </c>
      <c r="B1118" s="36" t="str">
        <f t="shared" si="376"/>
        <v>BARATA Y MORADA</v>
      </c>
      <c r="C1118" s="36">
        <f t="shared" si="376"/>
        <v>677</v>
      </c>
      <c r="D1118" s="118">
        <v>0.91388888888888886</v>
      </c>
      <c r="E1118" s="118">
        <v>0.92222222222222217</v>
      </c>
      <c r="F1118" s="119">
        <v>8.3333333333333037E-3</v>
      </c>
      <c r="G1118" s="118">
        <v>0.93055555555555547</v>
      </c>
      <c r="H1118" s="119">
        <v>8.3333333333333037E-3</v>
      </c>
      <c r="I1118" s="81">
        <v>41726</v>
      </c>
      <c r="J1118" s="36" t="str">
        <f t="shared" si="389"/>
        <v>Nacional</v>
      </c>
      <c r="K1118" s="36">
        <f t="shared" si="389"/>
        <v>1.0732323232323234E-2</v>
      </c>
      <c r="L1118" s="36">
        <f t="shared" si="389"/>
        <v>6.9444444444444198E-3</v>
      </c>
      <c r="M1118" s="36">
        <f t="shared" si="389"/>
        <v>1.7676767676767652E-2</v>
      </c>
      <c r="N1118" s="36">
        <f t="shared" si="389"/>
        <v>320</v>
      </c>
      <c r="O1118" s="36">
        <f t="shared" si="389"/>
        <v>179</v>
      </c>
      <c r="P1118" s="36" t="str">
        <f t="shared" si="389"/>
        <v>MTY</v>
      </c>
      <c r="R1118">
        <v>1104</v>
      </c>
      <c r="S1118" s="36" t="str">
        <f t="shared" si="368"/>
        <v>INTERAVIÓN</v>
      </c>
      <c r="T1118" s="36">
        <f t="shared" si="368"/>
        <v>2222</v>
      </c>
      <c r="U1118" s="73">
        <v>0.2638888888888889</v>
      </c>
      <c r="V1118" s="74">
        <v>0.26527777777777778</v>
      </c>
      <c r="W1118" s="75">
        <v>1.388888888888884E-3</v>
      </c>
      <c r="X1118" s="74">
        <v>0.27083333333333331</v>
      </c>
      <c r="Y1118" s="75">
        <v>5.5555555555555358E-3</v>
      </c>
      <c r="Z1118" s="76">
        <v>41736</v>
      </c>
      <c r="AA1118" s="36" t="str">
        <f t="shared" si="391"/>
        <v>Nacional</v>
      </c>
      <c r="AB1118" s="36">
        <f t="shared" si="391"/>
        <v>1.0972222222222218E-2</v>
      </c>
      <c r="AC1118" s="36">
        <f t="shared" si="391"/>
        <v>4.4907407407407396E-3</v>
      </c>
      <c r="AD1118" s="36">
        <f t="shared" si="391"/>
        <v>1.5462962962962958E-2</v>
      </c>
      <c r="AE1118" s="36">
        <f t="shared" si="391"/>
        <v>320</v>
      </c>
      <c r="AF1118" s="36">
        <f t="shared" si="391"/>
        <v>179</v>
      </c>
      <c r="AG1118" s="36" t="str">
        <f t="shared" si="391"/>
        <v>MEX</v>
      </c>
      <c r="AI1118">
        <v>1104</v>
      </c>
      <c r="AJ1118" s="77" t="str">
        <f t="shared" si="375"/>
        <v>INTERAVIÓN</v>
      </c>
      <c r="AK1118" s="77">
        <f t="shared" si="375"/>
        <v>2208</v>
      </c>
      <c r="AL1118" s="186">
        <v>0.38958333333333334</v>
      </c>
      <c r="AM1118" s="79">
        <v>0.39513888888888887</v>
      </c>
      <c r="AN1118" s="80">
        <v>5.5555555555555358E-3</v>
      </c>
      <c r="AO1118" s="79">
        <v>0.40069444444444446</v>
      </c>
      <c r="AP1118" s="80">
        <v>5.5555555555555913E-3</v>
      </c>
      <c r="AQ1118" s="81">
        <v>41797</v>
      </c>
      <c r="AR1118" s="77" t="str">
        <f t="shared" si="390"/>
        <v>Nacional</v>
      </c>
      <c r="AS1118" s="77">
        <f t="shared" si="390"/>
        <v>7.3717948717948439E-3</v>
      </c>
      <c r="AT1118" s="77">
        <f t="shared" si="390"/>
        <v>8.2799145299145352E-3</v>
      </c>
      <c r="AU1118" s="77">
        <f t="shared" si="390"/>
        <v>1.5651709401709381E-2</v>
      </c>
      <c r="AV1118" s="77">
        <f t="shared" si="390"/>
        <v>320</v>
      </c>
      <c r="AW1118" s="77">
        <f t="shared" si="390"/>
        <v>179</v>
      </c>
      <c r="AX1118" s="77" t="str">
        <f t="shared" si="390"/>
        <v>MEX</v>
      </c>
    </row>
    <row r="1119" spans="1:50" ht="15.75" thickBot="1" x14ac:dyDescent="0.3">
      <c r="A1119">
        <v>1105</v>
      </c>
      <c r="B1119" s="36" t="str">
        <f t="shared" si="376"/>
        <v>BARATA Y MORADA</v>
      </c>
      <c r="C1119" s="36">
        <f t="shared" si="376"/>
        <v>677</v>
      </c>
      <c r="D1119" s="176">
        <v>0.89583333333333337</v>
      </c>
      <c r="E1119" s="176">
        <v>0.90277777777777779</v>
      </c>
      <c r="F1119" s="177">
        <v>6.9444444444444198E-3</v>
      </c>
      <c r="G1119" s="176">
        <v>0.91111111111111109</v>
      </c>
      <c r="H1119" s="177">
        <v>8.3333333333333037E-3</v>
      </c>
      <c r="I1119" s="97">
        <v>41727</v>
      </c>
      <c r="J1119" s="36" t="str">
        <f t="shared" si="389"/>
        <v>Nacional</v>
      </c>
      <c r="K1119" s="36">
        <f t="shared" si="389"/>
        <v>1.0732323232323234E-2</v>
      </c>
      <c r="L1119" s="36">
        <f t="shared" si="389"/>
        <v>6.9444444444444198E-3</v>
      </c>
      <c r="M1119" s="36">
        <f t="shared" si="389"/>
        <v>1.7676767676767652E-2</v>
      </c>
      <c r="N1119" s="36">
        <f t="shared" si="389"/>
        <v>320</v>
      </c>
      <c r="O1119" s="36">
        <f t="shared" si="389"/>
        <v>179</v>
      </c>
      <c r="P1119" s="36" t="str">
        <f t="shared" si="389"/>
        <v>MTY</v>
      </c>
      <c r="R1119">
        <v>1105</v>
      </c>
      <c r="S1119" s="36" t="str">
        <f t="shared" si="368"/>
        <v>INTERAVIÓN</v>
      </c>
      <c r="T1119" s="36">
        <f t="shared" si="368"/>
        <v>2222</v>
      </c>
      <c r="U1119" s="73">
        <v>0.24652777777777779</v>
      </c>
      <c r="V1119" s="74">
        <v>0.25208333333333333</v>
      </c>
      <c r="W1119" s="75">
        <v>5.5555555555555358E-3</v>
      </c>
      <c r="X1119" s="74">
        <v>0.25486111111111109</v>
      </c>
      <c r="Y1119" s="75">
        <v>2.7777777777777679E-3</v>
      </c>
      <c r="Z1119" s="76">
        <v>41736</v>
      </c>
      <c r="AA1119" s="36" t="str">
        <f t="shared" si="391"/>
        <v>Nacional</v>
      </c>
      <c r="AB1119" s="36">
        <f t="shared" si="391"/>
        <v>1.0972222222222218E-2</v>
      </c>
      <c r="AC1119" s="36">
        <f t="shared" si="391"/>
        <v>4.4907407407407396E-3</v>
      </c>
      <c r="AD1119" s="36">
        <f t="shared" si="391"/>
        <v>1.5462962962962958E-2</v>
      </c>
      <c r="AE1119" s="36">
        <f t="shared" si="391"/>
        <v>320</v>
      </c>
      <c r="AF1119" s="36">
        <f t="shared" si="391"/>
        <v>179</v>
      </c>
      <c r="AG1119" s="36" t="str">
        <f t="shared" si="391"/>
        <v>MEX</v>
      </c>
      <c r="AI1119">
        <v>1105</v>
      </c>
      <c r="AJ1119" s="77" t="str">
        <f t="shared" si="375"/>
        <v>INTERAVIÓN</v>
      </c>
      <c r="AK1119" s="77">
        <f t="shared" si="375"/>
        <v>2208</v>
      </c>
      <c r="AL1119" s="186">
        <v>0.38541666666666669</v>
      </c>
      <c r="AM1119" s="79">
        <v>0.39027777777777778</v>
      </c>
      <c r="AN1119" s="80">
        <v>4.8611111111110938E-3</v>
      </c>
      <c r="AO1119" s="79">
        <v>0.39583333333333331</v>
      </c>
      <c r="AP1119" s="80">
        <v>5.5555555555555358E-3</v>
      </c>
      <c r="AQ1119" s="81">
        <v>41799</v>
      </c>
      <c r="AR1119" s="77" t="str">
        <f t="shared" si="390"/>
        <v>Nacional</v>
      </c>
      <c r="AS1119" s="77">
        <f t="shared" si="390"/>
        <v>7.3717948717948439E-3</v>
      </c>
      <c r="AT1119" s="77">
        <f t="shared" si="390"/>
        <v>8.2799145299145352E-3</v>
      </c>
      <c r="AU1119" s="77">
        <f t="shared" si="390"/>
        <v>1.5651709401709381E-2</v>
      </c>
      <c r="AV1119" s="77">
        <f t="shared" si="390"/>
        <v>320</v>
      </c>
      <c r="AW1119" s="77">
        <f t="shared" si="390"/>
        <v>179</v>
      </c>
      <c r="AX1119" s="77" t="str">
        <f t="shared" si="390"/>
        <v>MEX</v>
      </c>
    </row>
    <row r="1120" spans="1:50" x14ac:dyDescent="0.25">
      <c r="A1120">
        <v>1106</v>
      </c>
      <c r="B1120" s="36" t="str">
        <f t="shared" si="376"/>
        <v>BARATA Y MORADA</v>
      </c>
      <c r="C1120" s="151">
        <v>675</v>
      </c>
      <c r="D1120" s="152">
        <v>0.73611111111111116</v>
      </c>
      <c r="E1120" s="152">
        <v>0.74236111111111114</v>
      </c>
      <c r="F1120" s="153">
        <v>6.2499999999999778E-3</v>
      </c>
      <c r="G1120" s="152">
        <v>0.75277777777777777</v>
      </c>
      <c r="H1120" s="153">
        <v>1.041666666666663E-2</v>
      </c>
      <c r="I1120" s="67">
        <v>41715</v>
      </c>
      <c r="J1120" s="68" t="s">
        <v>19</v>
      </c>
      <c r="K1120" s="135">
        <v>6.2499999999999622E-3</v>
      </c>
      <c r="L1120" s="135">
        <v>6.150793650793661E-3</v>
      </c>
      <c r="M1120" s="175">
        <v>1.2400793650793624E-2</v>
      </c>
      <c r="N1120" s="90" t="s">
        <v>57</v>
      </c>
      <c r="O1120" s="91">
        <v>142</v>
      </c>
      <c r="P1120" s="92" t="s">
        <v>85</v>
      </c>
      <c r="R1120">
        <v>1106</v>
      </c>
      <c r="S1120" s="36" t="str">
        <f t="shared" si="368"/>
        <v>INTERAVIÓN</v>
      </c>
      <c r="T1120" s="36">
        <f t="shared" si="368"/>
        <v>2222</v>
      </c>
      <c r="U1120" s="73">
        <v>0.24930555555555556</v>
      </c>
      <c r="V1120" s="74">
        <v>0.25694444444444448</v>
      </c>
      <c r="W1120" s="75">
        <v>7.6388888888889173E-3</v>
      </c>
      <c r="X1120" s="74">
        <v>0.26111111111111113</v>
      </c>
      <c r="Y1120" s="75">
        <v>4.1666666666666519E-3</v>
      </c>
      <c r="Z1120" s="76">
        <v>41738</v>
      </c>
      <c r="AA1120" s="36" t="str">
        <f t="shared" si="391"/>
        <v>Nacional</v>
      </c>
      <c r="AB1120" s="36">
        <f t="shared" si="391"/>
        <v>1.0972222222222218E-2</v>
      </c>
      <c r="AC1120" s="36">
        <f t="shared" si="391"/>
        <v>4.4907407407407396E-3</v>
      </c>
      <c r="AD1120" s="36">
        <f t="shared" si="391"/>
        <v>1.5462962962962958E-2</v>
      </c>
      <c r="AE1120" s="36">
        <f t="shared" si="391"/>
        <v>320</v>
      </c>
      <c r="AF1120" s="36">
        <f t="shared" si="391"/>
        <v>179</v>
      </c>
      <c r="AG1120" s="36" t="str">
        <f t="shared" si="391"/>
        <v>MEX</v>
      </c>
      <c r="AI1120">
        <v>1106</v>
      </c>
      <c r="AJ1120" s="77" t="str">
        <f t="shared" si="375"/>
        <v>INTERAVIÓN</v>
      </c>
      <c r="AK1120" s="77">
        <f t="shared" si="375"/>
        <v>2208</v>
      </c>
      <c r="AL1120" s="186">
        <v>0.20416666666666669</v>
      </c>
      <c r="AM1120" s="79">
        <v>0.21805555555555556</v>
      </c>
      <c r="AN1120" s="80">
        <v>1.3888888888888867E-2</v>
      </c>
      <c r="AO1120" s="79">
        <v>0.25</v>
      </c>
      <c r="AP1120" s="80">
        <v>3.1944444444444442E-2</v>
      </c>
      <c r="AQ1120" s="81">
        <v>41802</v>
      </c>
      <c r="AR1120" s="77" t="str">
        <f t="shared" si="390"/>
        <v>Nacional</v>
      </c>
      <c r="AS1120" s="77">
        <f t="shared" si="390"/>
        <v>7.3717948717948439E-3</v>
      </c>
      <c r="AT1120" s="77">
        <f t="shared" si="390"/>
        <v>8.2799145299145352E-3</v>
      </c>
      <c r="AU1120" s="77">
        <f t="shared" si="390"/>
        <v>1.5651709401709381E-2</v>
      </c>
      <c r="AV1120" s="77">
        <f t="shared" si="390"/>
        <v>320</v>
      </c>
      <c r="AW1120" s="77">
        <f t="shared" si="390"/>
        <v>179</v>
      </c>
      <c r="AX1120" s="77" t="str">
        <f t="shared" si="390"/>
        <v>MEX</v>
      </c>
    </row>
    <row r="1121" spans="1:50" x14ac:dyDescent="0.25">
      <c r="A1121">
        <v>1107</v>
      </c>
      <c r="B1121" s="36" t="str">
        <f t="shared" si="376"/>
        <v>BARATA Y MORADA</v>
      </c>
      <c r="C1121" s="36">
        <f t="shared" si="376"/>
        <v>675</v>
      </c>
      <c r="D1121" s="118">
        <v>0.69930555555555562</v>
      </c>
      <c r="E1121" s="118">
        <v>0.7090277777777777</v>
      </c>
      <c r="F1121" s="119">
        <v>9.7222222222220767E-3</v>
      </c>
      <c r="G1121" s="118">
        <v>0.71319444444444446</v>
      </c>
      <c r="H1121" s="119">
        <v>4.1666666666667629E-3</v>
      </c>
      <c r="I1121" s="81">
        <v>41717</v>
      </c>
      <c r="J1121" s="36" t="str">
        <f t="shared" ref="J1121:P1126" si="392">J1120</f>
        <v>Nacional</v>
      </c>
      <c r="K1121" s="36">
        <f t="shared" si="392"/>
        <v>6.2499999999999622E-3</v>
      </c>
      <c r="L1121" s="36">
        <f t="shared" si="392"/>
        <v>6.150793650793661E-3</v>
      </c>
      <c r="M1121" s="36">
        <f t="shared" si="392"/>
        <v>1.2400793650793624E-2</v>
      </c>
      <c r="N1121" s="36" t="str">
        <f t="shared" si="392"/>
        <v>A319</v>
      </c>
      <c r="O1121" s="36">
        <f t="shared" si="392"/>
        <v>142</v>
      </c>
      <c r="P1121" s="36" t="str">
        <f t="shared" si="392"/>
        <v>PBC</v>
      </c>
      <c r="R1121">
        <v>1107</v>
      </c>
      <c r="S1121" s="36" t="str">
        <f t="shared" si="368"/>
        <v>INTERAVIÓN</v>
      </c>
      <c r="T1121" s="36">
        <f t="shared" si="368"/>
        <v>2222</v>
      </c>
      <c r="U1121" s="73">
        <v>0.24791666666666667</v>
      </c>
      <c r="V1121" s="74">
        <v>0.26250000000000001</v>
      </c>
      <c r="W1121" s="75">
        <v>1.4583333333333337E-2</v>
      </c>
      <c r="X1121" s="74">
        <v>0.26527777777777778</v>
      </c>
      <c r="Y1121" s="75">
        <v>2.7777777777777679E-3</v>
      </c>
      <c r="Z1121" s="76">
        <v>41739</v>
      </c>
      <c r="AA1121" s="36" t="str">
        <f t="shared" si="391"/>
        <v>Nacional</v>
      </c>
      <c r="AB1121" s="36">
        <f t="shared" si="391"/>
        <v>1.0972222222222218E-2</v>
      </c>
      <c r="AC1121" s="36">
        <f t="shared" si="391"/>
        <v>4.4907407407407396E-3</v>
      </c>
      <c r="AD1121" s="36">
        <f t="shared" si="391"/>
        <v>1.5462962962962958E-2</v>
      </c>
      <c r="AE1121" s="36">
        <f t="shared" si="391"/>
        <v>320</v>
      </c>
      <c r="AF1121" s="36">
        <f t="shared" si="391"/>
        <v>179</v>
      </c>
      <c r="AG1121" s="36" t="str">
        <f t="shared" si="391"/>
        <v>MEX</v>
      </c>
      <c r="AI1121">
        <v>1107</v>
      </c>
      <c r="AJ1121" s="77" t="str">
        <f t="shared" si="375"/>
        <v>INTERAVIÓN</v>
      </c>
      <c r="AK1121" s="77">
        <f t="shared" si="375"/>
        <v>2208</v>
      </c>
      <c r="AL1121" s="186">
        <v>0.95694444444444438</v>
      </c>
      <c r="AM1121" s="79">
        <v>0.96875</v>
      </c>
      <c r="AN1121" s="80">
        <v>1.1805555555555625E-2</v>
      </c>
      <c r="AO1121" s="79">
        <v>0.97222222222222221</v>
      </c>
      <c r="AP1121" s="80">
        <v>3.4722222222222099E-3</v>
      </c>
      <c r="AQ1121" s="81">
        <v>41803</v>
      </c>
      <c r="AR1121" s="77" t="str">
        <f t="shared" si="390"/>
        <v>Nacional</v>
      </c>
      <c r="AS1121" s="77">
        <f t="shared" si="390"/>
        <v>7.3717948717948439E-3</v>
      </c>
      <c r="AT1121" s="77">
        <f t="shared" si="390"/>
        <v>8.2799145299145352E-3</v>
      </c>
      <c r="AU1121" s="77">
        <f t="shared" si="390"/>
        <v>1.5651709401709381E-2</v>
      </c>
      <c r="AV1121" s="77">
        <f t="shared" si="390"/>
        <v>320</v>
      </c>
      <c r="AW1121" s="77">
        <f t="shared" si="390"/>
        <v>179</v>
      </c>
      <c r="AX1121" s="77" t="str">
        <f t="shared" si="390"/>
        <v>MEX</v>
      </c>
    </row>
    <row r="1122" spans="1:50" x14ac:dyDescent="0.25">
      <c r="A1122">
        <v>1108</v>
      </c>
      <c r="B1122" s="36" t="str">
        <f t="shared" si="376"/>
        <v>BARATA Y MORADA</v>
      </c>
      <c r="C1122" s="36">
        <f t="shared" si="376"/>
        <v>675</v>
      </c>
      <c r="D1122" s="118">
        <v>0.69513888888888886</v>
      </c>
      <c r="E1122" s="118">
        <v>0.7006944444444444</v>
      </c>
      <c r="F1122" s="119">
        <v>5.5555555555555358E-3</v>
      </c>
      <c r="G1122" s="118">
        <v>0.70763888888888893</v>
      </c>
      <c r="H1122" s="119">
        <v>6.9444444444445308E-3</v>
      </c>
      <c r="I1122" s="81">
        <v>41720</v>
      </c>
      <c r="J1122" s="36" t="str">
        <f t="shared" si="392"/>
        <v>Nacional</v>
      </c>
      <c r="K1122" s="36">
        <f t="shared" si="392"/>
        <v>6.2499999999999622E-3</v>
      </c>
      <c r="L1122" s="36">
        <f t="shared" si="392"/>
        <v>6.150793650793661E-3</v>
      </c>
      <c r="M1122" s="36">
        <f t="shared" si="392"/>
        <v>1.2400793650793624E-2</v>
      </c>
      <c r="N1122" s="36" t="str">
        <f t="shared" si="392"/>
        <v>A319</v>
      </c>
      <c r="O1122" s="36">
        <f t="shared" si="392"/>
        <v>142</v>
      </c>
      <c r="P1122" s="36" t="str">
        <f t="shared" si="392"/>
        <v>PBC</v>
      </c>
      <c r="R1122">
        <v>1108</v>
      </c>
      <c r="S1122" s="36" t="str">
        <f t="shared" si="368"/>
        <v>INTERAVIÓN</v>
      </c>
      <c r="T1122" s="36">
        <f t="shared" si="368"/>
        <v>2222</v>
      </c>
      <c r="U1122" s="73">
        <v>0.24861111111111112</v>
      </c>
      <c r="V1122" s="74">
        <v>0.25277777777777777</v>
      </c>
      <c r="W1122" s="75">
        <v>4.1666666666666519E-3</v>
      </c>
      <c r="X1122" s="74">
        <v>0.2590277777777778</v>
      </c>
      <c r="Y1122" s="75">
        <v>6.2500000000000333E-3</v>
      </c>
      <c r="Z1122" s="76">
        <v>41742</v>
      </c>
      <c r="AA1122" s="36" t="str">
        <f t="shared" si="391"/>
        <v>Nacional</v>
      </c>
      <c r="AB1122" s="36">
        <f t="shared" si="391"/>
        <v>1.0972222222222218E-2</v>
      </c>
      <c r="AC1122" s="36">
        <f t="shared" si="391"/>
        <v>4.4907407407407396E-3</v>
      </c>
      <c r="AD1122" s="36">
        <f t="shared" si="391"/>
        <v>1.5462962962962958E-2</v>
      </c>
      <c r="AE1122" s="36">
        <f t="shared" si="391"/>
        <v>320</v>
      </c>
      <c r="AF1122" s="36">
        <f t="shared" si="391"/>
        <v>179</v>
      </c>
      <c r="AG1122" s="36" t="str">
        <f t="shared" si="391"/>
        <v>MEX</v>
      </c>
      <c r="AI1122">
        <v>1108</v>
      </c>
      <c r="AJ1122" s="77" t="str">
        <f t="shared" si="375"/>
        <v>INTERAVIÓN</v>
      </c>
      <c r="AK1122" s="77">
        <f t="shared" si="375"/>
        <v>2208</v>
      </c>
      <c r="AL1122" s="186">
        <v>0.89583333333333337</v>
      </c>
      <c r="AM1122" s="79">
        <v>0.89861111111111114</v>
      </c>
      <c r="AN1122" s="80">
        <v>2.7777777777777679E-3</v>
      </c>
      <c r="AO1122" s="79">
        <v>0.91527777777777775</v>
      </c>
      <c r="AP1122" s="80">
        <v>1.6666666666666607E-2</v>
      </c>
      <c r="AQ1122" s="81">
        <v>41804</v>
      </c>
      <c r="AR1122" s="77" t="str">
        <f t="shared" si="390"/>
        <v>Nacional</v>
      </c>
      <c r="AS1122" s="77">
        <f t="shared" si="390"/>
        <v>7.3717948717948439E-3</v>
      </c>
      <c r="AT1122" s="77">
        <f t="shared" si="390"/>
        <v>8.2799145299145352E-3</v>
      </c>
      <c r="AU1122" s="77">
        <f t="shared" si="390"/>
        <v>1.5651709401709381E-2</v>
      </c>
      <c r="AV1122" s="77">
        <f t="shared" si="390"/>
        <v>320</v>
      </c>
      <c r="AW1122" s="77">
        <f t="shared" si="390"/>
        <v>179</v>
      </c>
      <c r="AX1122" s="77" t="str">
        <f t="shared" si="390"/>
        <v>MEX</v>
      </c>
    </row>
    <row r="1123" spans="1:50" x14ac:dyDescent="0.25">
      <c r="A1123">
        <v>1109</v>
      </c>
      <c r="B1123" s="36" t="str">
        <f t="shared" si="376"/>
        <v>BARATA Y MORADA</v>
      </c>
      <c r="C1123" s="36">
        <f t="shared" si="376"/>
        <v>675</v>
      </c>
      <c r="D1123" s="118">
        <v>0.70347222222222217</v>
      </c>
      <c r="E1123" s="118">
        <v>0.7090277777777777</v>
      </c>
      <c r="F1123" s="119">
        <v>5.5555555555555358E-3</v>
      </c>
      <c r="G1123" s="118">
        <v>0.71111111111111114</v>
      </c>
      <c r="H1123" s="119">
        <v>2.083333333333437E-3</v>
      </c>
      <c r="I1123" s="81">
        <v>41722</v>
      </c>
      <c r="J1123" s="36" t="str">
        <f t="shared" si="392"/>
        <v>Nacional</v>
      </c>
      <c r="K1123" s="36">
        <f t="shared" si="392"/>
        <v>6.2499999999999622E-3</v>
      </c>
      <c r="L1123" s="36">
        <f t="shared" si="392"/>
        <v>6.150793650793661E-3</v>
      </c>
      <c r="M1123" s="36">
        <f t="shared" si="392"/>
        <v>1.2400793650793624E-2</v>
      </c>
      <c r="N1123" s="36" t="str">
        <f t="shared" si="392"/>
        <v>A319</v>
      </c>
      <c r="O1123" s="36">
        <f t="shared" si="392"/>
        <v>142</v>
      </c>
      <c r="P1123" s="36" t="str">
        <f t="shared" si="392"/>
        <v>PBC</v>
      </c>
      <c r="R1123">
        <v>1109</v>
      </c>
      <c r="S1123" s="36" t="str">
        <f t="shared" si="368"/>
        <v>INTERAVIÓN</v>
      </c>
      <c r="T1123" s="36">
        <f t="shared" si="368"/>
        <v>2222</v>
      </c>
      <c r="U1123" s="73">
        <v>0.20833333333333334</v>
      </c>
      <c r="V1123" s="74">
        <v>0.25694444444444448</v>
      </c>
      <c r="W1123" s="75">
        <v>4.8611111111111133E-2</v>
      </c>
      <c r="X1123" s="74">
        <v>0.26041666666666669</v>
      </c>
      <c r="Y1123" s="75">
        <v>3.4722222222222099E-3</v>
      </c>
      <c r="Z1123" s="76">
        <v>41743</v>
      </c>
      <c r="AA1123" s="36" t="str">
        <f t="shared" si="391"/>
        <v>Nacional</v>
      </c>
      <c r="AB1123" s="36">
        <f t="shared" si="391"/>
        <v>1.0972222222222218E-2</v>
      </c>
      <c r="AC1123" s="36">
        <f t="shared" si="391"/>
        <v>4.4907407407407396E-3</v>
      </c>
      <c r="AD1123" s="36">
        <f t="shared" si="391"/>
        <v>1.5462962962962958E-2</v>
      </c>
      <c r="AE1123" s="36">
        <f t="shared" si="391"/>
        <v>320</v>
      </c>
      <c r="AF1123" s="36">
        <f t="shared" si="391"/>
        <v>179</v>
      </c>
      <c r="AG1123" s="36" t="str">
        <f t="shared" si="391"/>
        <v>MEX</v>
      </c>
      <c r="AI1123">
        <v>1109</v>
      </c>
      <c r="AJ1123" s="77" t="str">
        <f t="shared" si="375"/>
        <v>INTERAVIÓN</v>
      </c>
      <c r="AK1123" s="77">
        <f t="shared" si="375"/>
        <v>2208</v>
      </c>
      <c r="AL1123" s="186">
        <v>0.84513888888888899</v>
      </c>
      <c r="AM1123" s="79">
        <v>0.8569444444444444</v>
      </c>
      <c r="AN1123" s="80">
        <v>1.1805555555555403E-2</v>
      </c>
      <c r="AO1123" s="79">
        <v>0.86805555555555547</v>
      </c>
      <c r="AP1123" s="80">
        <v>1.1111111111111072E-2</v>
      </c>
      <c r="AQ1123" s="81">
        <v>41806</v>
      </c>
      <c r="AR1123" s="77" t="str">
        <f t="shared" si="390"/>
        <v>Nacional</v>
      </c>
      <c r="AS1123" s="77">
        <f t="shared" si="390"/>
        <v>7.3717948717948439E-3</v>
      </c>
      <c r="AT1123" s="77">
        <f t="shared" si="390"/>
        <v>8.2799145299145352E-3</v>
      </c>
      <c r="AU1123" s="77">
        <f t="shared" si="390"/>
        <v>1.5651709401709381E-2</v>
      </c>
      <c r="AV1123" s="77">
        <f t="shared" si="390"/>
        <v>320</v>
      </c>
      <c r="AW1123" s="77">
        <f t="shared" si="390"/>
        <v>179</v>
      </c>
      <c r="AX1123" s="77" t="str">
        <f t="shared" si="390"/>
        <v>MEX</v>
      </c>
    </row>
    <row r="1124" spans="1:50" x14ac:dyDescent="0.25">
      <c r="A1124">
        <v>1110</v>
      </c>
      <c r="B1124" s="36" t="str">
        <f t="shared" si="376"/>
        <v>BARATA Y MORADA</v>
      </c>
      <c r="C1124" s="36">
        <f t="shared" si="376"/>
        <v>675</v>
      </c>
      <c r="D1124" s="118">
        <v>0.71111111111111114</v>
      </c>
      <c r="E1124" s="118">
        <v>0.71944444444444444</v>
      </c>
      <c r="F1124" s="119">
        <v>8.3333333333333037E-3</v>
      </c>
      <c r="G1124" s="118">
        <v>0.72777777777777775</v>
      </c>
      <c r="H1124" s="119">
        <v>8.3333333333333037E-3</v>
      </c>
      <c r="I1124" s="81">
        <v>41725</v>
      </c>
      <c r="J1124" s="36" t="str">
        <f t="shared" si="392"/>
        <v>Nacional</v>
      </c>
      <c r="K1124" s="36">
        <f t="shared" si="392"/>
        <v>6.2499999999999622E-3</v>
      </c>
      <c r="L1124" s="36">
        <f t="shared" si="392"/>
        <v>6.150793650793661E-3</v>
      </c>
      <c r="M1124" s="36">
        <f t="shared" si="392"/>
        <v>1.2400793650793624E-2</v>
      </c>
      <c r="N1124" s="36" t="str">
        <f t="shared" si="392"/>
        <v>A319</v>
      </c>
      <c r="O1124" s="36">
        <f t="shared" si="392"/>
        <v>142</v>
      </c>
      <c r="P1124" s="36" t="str">
        <f t="shared" si="392"/>
        <v>PBC</v>
      </c>
      <c r="R1124">
        <v>1110</v>
      </c>
      <c r="S1124" s="36" t="str">
        <f t="shared" si="368"/>
        <v>INTERAVIÓN</v>
      </c>
      <c r="T1124" s="36">
        <f t="shared" si="368"/>
        <v>2222</v>
      </c>
      <c r="U1124" s="73">
        <v>0.35416666666666669</v>
      </c>
      <c r="V1124" s="74">
        <v>0.36805555555555558</v>
      </c>
      <c r="W1124" s="75">
        <v>1.3888888888888895E-2</v>
      </c>
      <c r="X1124" s="74">
        <v>0.375</v>
      </c>
      <c r="Y1124" s="75">
        <v>6.9444444444444198E-3</v>
      </c>
      <c r="Z1124" s="76">
        <v>41750</v>
      </c>
      <c r="AA1124" s="36" t="str">
        <f t="shared" si="391"/>
        <v>Nacional</v>
      </c>
      <c r="AB1124" s="36">
        <f t="shared" si="391"/>
        <v>1.0972222222222218E-2</v>
      </c>
      <c r="AC1124" s="36">
        <f t="shared" si="391"/>
        <v>4.4907407407407396E-3</v>
      </c>
      <c r="AD1124" s="36">
        <f t="shared" si="391"/>
        <v>1.5462962962962958E-2</v>
      </c>
      <c r="AE1124" s="36">
        <f t="shared" si="391"/>
        <v>320</v>
      </c>
      <c r="AF1124" s="36">
        <f t="shared" si="391"/>
        <v>179</v>
      </c>
      <c r="AG1124" s="36" t="str">
        <f t="shared" si="391"/>
        <v>MEX</v>
      </c>
      <c r="AI1124">
        <v>1110</v>
      </c>
      <c r="AJ1124" s="77" t="str">
        <f t="shared" si="375"/>
        <v>INTERAVIÓN</v>
      </c>
      <c r="AK1124" s="77">
        <f t="shared" si="375"/>
        <v>2208</v>
      </c>
      <c r="AL1124" s="186">
        <v>0.37638888888888888</v>
      </c>
      <c r="AM1124" s="79">
        <v>0.3833333333333333</v>
      </c>
      <c r="AN1124" s="80">
        <v>6.9444444444444198E-3</v>
      </c>
      <c r="AO1124" s="79">
        <v>0.38958333333333334</v>
      </c>
      <c r="AP1124" s="80">
        <v>6.2500000000000333E-3</v>
      </c>
      <c r="AQ1124" s="81">
        <v>41809</v>
      </c>
      <c r="AR1124" s="77" t="str">
        <f t="shared" si="390"/>
        <v>Nacional</v>
      </c>
      <c r="AS1124" s="77">
        <f t="shared" si="390"/>
        <v>7.3717948717948439E-3</v>
      </c>
      <c r="AT1124" s="77">
        <f t="shared" si="390"/>
        <v>8.2799145299145352E-3</v>
      </c>
      <c r="AU1124" s="77">
        <f t="shared" si="390"/>
        <v>1.5651709401709381E-2</v>
      </c>
      <c r="AV1124" s="77">
        <f t="shared" si="390"/>
        <v>320</v>
      </c>
      <c r="AW1124" s="77">
        <f t="shared" si="390"/>
        <v>179</v>
      </c>
      <c r="AX1124" s="77" t="str">
        <f t="shared" si="390"/>
        <v>MEX</v>
      </c>
    </row>
    <row r="1125" spans="1:50" x14ac:dyDescent="0.25">
      <c r="A1125">
        <v>1111</v>
      </c>
      <c r="B1125" s="36" t="str">
        <f t="shared" si="376"/>
        <v>BARATA Y MORADA</v>
      </c>
      <c r="C1125" s="36">
        <f t="shared" si="376"/>
        <v>675</v>
      </c>
      <c r="D1125" s="118">
        <v>0.73125000000000007</v>
      </c>
      <c r="E1125" s="118">
        <v>0.73541666666666661</v>
      </c>
      <c r="F1125" s="119">
        <v>4.1666666666665408E-3</v>
      </c>
      <c r="G1125" s="118">
        <v>0.7402777777777777</v>
      </c>
      <c r="H1125" s="119">
        <v>4.8611111111110938E-3</v>
      </c>
      <c r="I1125" s="81">
        <v>41727</v>
      </c>
      <c r="J1125" s="36" t="str">
        <f t="shared" si="392"/>
        <v>Nacional</v>
      </c>
      <c r="K1125" s="36">
        <f t="shared" si="392"/>
        <v>6.2499999999999622E-3</v>
      </c>
      <c r="L1125" s="36">
        <f t="shared" si="392"/>
        <v>6.150793650793661E-3</v>
      </c>
      <c r="M1125" s="36">
        <f t="shared" si="392"/>
        <v>1.2400793650793624E-2</v>
      </c>
      <c r="N1125" s="36" t="str">
        <f t="shared" si="392"/>
        <v>A319</v>
      </c>
      <c r="O1125" s="36">
        <f t="shared" si="392"/>
        <v>142</v>
      </c>
      <c r="P1125" s="36" t="str">
        <f t="shared" si="392"/>
        <v>PBC</v>
      </c>
      <c r="R1125">
        <v>1111</v>
      </c>
      <c r="S1125" s="36" t="str">
        <f t="shared" si="368"/>
        <v>INTERAVIÓN</v>
      </c>
      <c r="T1125" s="36">
        <f t="shared" si="368"/>
        <v>2222</v>
      </c>
      <c r="U1125" s="73">
        <v>0.24236111111111111</v>
      </c>
      <c r="V1125" s="74">
        <v>0.25069444444444444</v>
      </c>
      <c r="W1125" s="75">
        <v>8.3333333333333315E-3</v>
      </c>
      <c r="X1125" s="74">
        <v>0.25694444444444448</v>
      </c>
      <c r="Y1125" s="75">
        <v>6.2500000000000333E-3</v>
      </c>
      <c r="Z1125" s="76">
        <v>41751</v>
      </c>
      <c r="AA1125" s="36" t="str">
        <f t="shared" si="391"/>
        <v>Nacional</v>
      </c>
      <c r="AB1125" s="36">
        <f t="shared" si="391"/>
        <v>1.0972222222222218E-2</v>
      </c>
      <c r="AC1125" s="36">
        <f t="shared" si="391"/>
        <v>4.4907407407407396E-3</v>
      </c>
      <c r="AD1125" s="36">
        <f t="shared" si="391"/>
        <v>1.5462962962962958E-2</v>
      </c>
      <c r="AE1125" s="36">
        <f t="shared" si="391"/>
        <v>320</v>
      </c>
      <c r="AF1125" s="36">
        <f t="shared" si="391"/>
        <v>179</v>
      </c>
      <c r="AG1125" s="36" t="str">
        <f t="shared" si="391"/>
        <v>MEX</v>
      </c>
      <c r="AI1125">
        <v>1111</v>
      </c>
      <c r="AJ1125" s="77" t="str">
        <f t="shared" si="375"/>
        <v>INTERAVIÓN</v>
      </c>
      <c r="AK1125" s="77">
        <f t="shared" si="375"/>
        <v>2208</v>
      </c>
      <c r="AL1125" s="186">
        <v>0.37847222222222227</v>
      </c>
      <c r="AM1125" s="79">
        <v>0.3833333333333333</v>
      </c>
      <c r="AN1125" s="80">
        <v>4.8611111111110383E-3</v>
      </c>
      <c r="AO1125" s="79">
        <v>0.38611111111111113</v>
      </c>
      <c r="AP1125" s="80">
        <v>2.7777777777778234E-3</v>
      </c>
      <c r="AQ1125" s="81">
        <v>41810</v>
      </c>
      <c r="AR1125" s="77" t="str">
        <f t="shared" si="390"/>
        <v>Nacional</v>
      </c>
      <c r="AS1125" s="77">
        <f t="shared" si="390"/>
        <v>7.3717948717948439E-3</v>
      </c>
      <c r="AT1125" s="77">
        <f t="shared" si="390"/>
        <v>8.2799145299145352E-3</v>
      </c>
      <c r="AU1125" s="77">
        <f t="shared" si="390"/>
        <v>1.5651709401709381E-2</v>
      </c>
      <c r="AV1125" s="77">
        <f t="shared" si="390"/>
        <v>320</v>
      </c>
      <c r="AW1125" s="77">
        <f t="shared" si="390"/>
        <v>179</v>
      </c>
      <c r="AX1125" s="77" t="str">
        <f t="shared" si="390"/>
        <v>MEX</v>
      </c>
    </row>
    <row r="1126" spans="1:50" ht="15.75" thickBot="1" x14ac:dyDescent="0.3">
      <c r="A1126">
        <v>1112</v>
      </c>
      <c r="B1126" s="36" t="str">
        <f t="shared" si="376"/>
        <v>BARATA Y MORADA</v>
      </c>
      <c r="C1126" s="36">
        <f t="shared" si="376"/>
        <v>675</v>
      </c>
      <c r="D1126" s="176">
        <v>0.70416666666666661</v>
      </c>
      <c r="E1126" s="176">
        <v>0.70833333333333337</v>
      </c>
      <c r="F1126" s="177">
        <v>4.1666666666667629E-3</v>
      </c>
      <c r="G1126" s="176">
        <v>0.71458333333333324</v>
      </c>
      <c r="H1126" s="177">
        <v>6.2499999999998668E-3</v>
      </c>
      <c r="I1126" s="97">
        <v>41729</v>
      </c>
      <c r="J1126" s="36" t="str">
        <f t="shared" si="392"/>
        <v>Nacional</v>
      </c>
      <c r="K1126" s="36">
        <f t="shared" si="392"/>
        <v>6.2499999999999622E-3</v>
      </c>
      <c r="L1126" s="36">
        <f t="shared" si="392"/>
        <v>6.150793650793661E-3</v>
      </c>
      <c r="M1126" s="36">
        <f t="shared" si="392"/>
        <v>1.2400793650793624E-2</v>
      </c>
      <c r="N1126" s="36" t="str">
        <f t="shared" si="392"/>
        <v>A319</v>
      </c>
      <c r="O1126" s="36">
        <f t="shared" si="392"/>
        <v>142</v>
      </c>
      <c r="P1126" s="36" t="str">
        <f t="shared" si="392"/>
        <v>PBC</v>
      </c>
      <c r="R1126">
        <v>1112</v>
      </c>
      <c r="S1126" s="36" t="str">
        <f t="shared" si="368"/>
        <v>INTERAVIÓN</v>
      </c>
      <c r="T1126" s="36">
        <f t="shared" si="368"/>
        <v>2222</v>
      </c>
      <c r="U1126" s="73">
        <v>0.24583333333333335</v>
      </c>
      <c r="V1126" s="74">
        <v>0.25277777777777777</v>
      </c>
      <c r="W1126" s="75">
        <v>6.9444444444444198E-3</v>
      </c>
      <c r="X1126" s="74">
        <v>0.25555555555555559</v>
      </c>
      <c r="Y1126" s="75">
        <v>2.7777777777778234E-3</v>
      </c>
      <c r="Z1126" s="76">
        <v>41753</v>
      </c>
      <c r="AA1126" s="36" t="str">
        <f t="shared" si="391"/>
        <v>Nacional</v>
      </c>
      <c r="AB1126" s="36">
        <f t="shared" si="391"/>
        <v>1.0972222222222218E-2</v>
      </c>
      <c r="AC1126" s="36">
        <f t="shared" si="391"/>
        <v>4.4907407407407396E-3</v>
      </c>
      <c r="AD1126" s="36">
        <f t="shared" si="391"/>
        <v>1.5462962962962958E-2</v>
      </c>
      <c r="AE1126" s="36">
        <f t="shared" si="391"/>
        <v>320</v>
      </c>
      <c r="AF1126" s="36">
        <f t="shared" si="391"/>
        <v>179</v>
      </c>
      <c r="AG1126" s="36" t="str">
        <f t="shared" si="391"/>
        <v>MEX</v>
      </c>
      <c r="AI1126">
        <v>1112</v>
      </c>
      <c r="AJ1126" s="77" t="str">
        <f t="shared" si="375"/>
        <v>INTERAVIÓN</v>
      </c>
      <c r="AK1126" s="77">
        <f t="shared" si="375"/>
        <v>2208</v>
      </c>
      <c r="AL1126" s="186">
        <v>0.4069444444444445</v>
      </c>
      <c r="AM1126" s="79">
        <v>0.41319444444444442</v>
      </c>
      <c r="AN1126" s="80">
        <v>6.2499999999999223E-3</v>
      </c>
      <c r="AO1126" s="79">
        <v>0.41875000000000001</v>
      </c>
      <c r="AP1126" s="80">
        <v>5.5555555555555913E-3</v>
      </c>
      <c r="AQ1126" s="81">
        <v>41811</v>
      </c>
      <c r="AR1126" s="77" t="str">
        <f t="shared" si="390"/>
        <v>Nacional</v>
      </c>
      <c r="AS1126" s="77">
        <f t="shared" si="390"/>
        <v>7.3717948717948439E-3</v>
      </c>
      <c r="AT1126" s="77">
        <f t="shared" si="390"/>
        <v>8.2799145299145352E-3</v>
      </c>
      <c r="AU1126" s="77">
        <f t="shared" si="390"/>
        <v>1.5651709401709381E-2</v>
      </c>
      <c r="AV1126" s="77">
        <f t="shared" si="390"/>
        <v>320</v>
      </c>
      <c r="AW1126" s="77">
        <f t="shared" si="390"/>
        <v>179</v>
      </c>
      <c r="AX1126" s="77" t="str">
        <f t="shared" si="390"/>
        <v>MEX</v>
      </c>
    </row>
    <row r="1127" spans="1:50" ht="15.75" thickBot="1" x14ac:dyDescent="0.3">
      <c r="A1127">
        <v>1113</v>
      </c>
      <c r="B1127" s="36" t="str">
        <f t="shared" si="376"/>
        <v>BARATA Y MORADA</v>
      </c>
      <c r="C1127" s="151">
        <v>673</v>
      </c>
      <c r="D1127" s="152">
        <v>0.91388888888888886</v>
      </c>
      <c r="E1127" s="152">
        <v>0.92291666666666661</v>
      </c>
      <c r="F1127" s="153">
        <v>9.0277777777777457E-3</v>
      </c>
      <c r="G1127" s="152">
        <v>0.93125000000000002</v>
      </c>
      <c r="H1127" s="153">
        <v>8.3333333333334147E-3</v>
      </c>
      <c r="I1127" s="67">
        <v>41715</v>
      </c>
      <c r="J1127" s="68" t="s">
        <v>19</v>
      </c>
      <c r="K1127" s="135">
        <v>6.2499999999999778E-3</v>
      </c>
      <c r="L1127" s="135">
        <v>9.0277777777778203E-3</v>
      </c>
      <c r="M1127" s="175">
        <v>1.5277777777777798E-2</v>
      </c>
      <c r="N1127" s="90" t="s">
        <v>57</v>
      </c>
      <c r="O1127" s="91">
        <v>142</v>
      </c>
      <c r="P1127" s="92" t="s">
        <v>86</v>
      </c>
      <c r="R1127">
        <v>1113</v>
      </c>
      <c r="S1127" s="36" t="str">
        <f t="shared" si="368"/>
        <v>INTERAVIÓN</v>
      </c>
      <c r="T1127" s="36">
        <f t="shared" si="368"/>
        <v>2222</v>
      </c>
      <c r="U1127" s="73">
        <v>0.5493055555555556</v>
      </c>
      <c r="V1127" s="74">
        <v>0.55625000000000002</v>
      </c>
      <c r="W1127" s="75">
        <v>6.9444444444444198E-3</v>
      </c>
      <c r="X1127" s="74">
        <v>0.56111111111111112</v>
      </c>
      <c r="Y1127" s="75">
        <v>4.8611111111110938E-3</v>
      </c>
      <c r="Z1127" s="76">
        <v>41754</v>
      </c>
      <c r="AA1127" s="36" t="str">
        <f t="shared" si="391"/>
        <v>Nacional</v>
      </c>
      <c r="AB1127" s="36">
        <f t="shared" si="391"/>
        <v>1.0972222222222218E-2</v>
      </c>
      <c r="AC1127" s="36">
        <f t="shared" si="391"/>
        <v>4.4907407407407396E-3</v>
      </c>
      <c r="AD1127" s="36">
        <f t="shared" si="391"/>
        <v>1.5462962962962958E-2</v>
      </c>
      <c r="AE1127" s="36">
        <f t="shared" si="391"/>
        <v>320</v>
      </c>
      <c r="AF1127" s="36">
        <f t="shared" si="391"/>
        <v>179</v>
      </c>
      <c r="AG1127" s="36" t="str">
        <f t="shared" si="391"/>
        <v>MEX</v>
      </c>
      <c r="AI1127">
        <v>1113</v>
      </c>
      <c r="AJ1127" s="77" t="str">
        <f t="shared" si="375"/>
        <v>INTERAVIÓN</v>
      </c>
      <c r="AK1127" s="77">
        <f t="shared" si="375"/>
        <v>2208</v>
      </c>
      <c r="AL1127" s="187">
        <v>0.3888888888888889</v>
      </c>
      <c r="AM1127" s="95">
        <v>0.39930555555555558</v>
      </c>
      <c r="AN1127" s="96">
        <v>1.0416666666666685E-2</v>
      </c>
      <c r="AO1127" s="95">
        <v>0.40277777777777773</v>
      </c>
      <c r="AP1127" s="96">
        <v>3.4722222222221544E-3</v>
      </c>
      <c r="AQ1127" s="97">
        <v>41813</v>
      </c>
      <c r="AR1127" s="77" t="str">
        <f t="shared" si="390"/>
        <v>Nacional</v>
      </c>
      <c r="AS1127" s="77">
        <f t="shared" si="390"/>
        <v>7.3717948717948439E-3</v>
      </c>
      <c r="AT1127" s="77">
        <f t="shared" si="390"/>
        <v>8.2799145299145352E-3</v>
      </c>
      <c r="AU1127" s="77">
        <f t="shared" si="390"/>
        <v>1.5651709401709381E-2</v>
      </c>
      <c r="AV1127" s="77">
        <f t="shared" si="390"/>
        <v>320</v>
      </c>
      <c r="AW1127" s="77">
        <f t="shared" si="390"/>
        <v>179</v>
      </c>
      <c r="AX1127" s="77" t="str">
        <f t="shared" si="390"/>
        <v>MEX</v>
      </c>
    </row>
    <row r="1128" spans="1:50" x14ac:dyDescent="0.25">
      <c r="A1128">
        <v>1114</v>
      </c>
      <c r="B1128" s="36" t="str">
        <f t="shared" si="376"/>
        <v>BARATA Y MORADA</v>
      </c>
      <c r="C1128" s="36">
        <f t="shared" si="376"/>
        <v>673</v>
      </c>
      <c r="D1128" s="118">
        <v>0.875</v>
      </c>
      <c r="E1128" s="118">
        <v>0.87777777777777777</v>
      </c>
      <c r="F1128" s="119">
        <v>2.7777777777777679E-3</v>
      </c>
      <c r="G1128" s="118">
        <v>0.89027777777777783</v>
      </c>
      <c r="H1128" s="119">
        <v>1.2500000000000067E-2</v>
      </c>
      <c r="I1128" s="81">
        <v>41723</v>
      </c>
      <c r="J1128" s="36" t="str">
        <f t="shared" ref="J1128:P1129" si="393">J1127</f>
        <v>Nacional</v>
      </c>
      <c r="K1128" s="36">
        <f t="shared" si="393"/>
        <v>6.2499999999999778E-3</v>
      </c>
      <c r="L1128" s="36">
        <f t="shared" si="393"/>
        <v>9.0277777777778203E-3</v>
      </c>
      <c r="M1128" s="36">
        <f t="shared" si="393"/>
        <v>1.5277777777777798E-2</v>
      </c>
      <c r="N1128" s="36" t="str">
        <f t="shared" si="393"/>
        <v>A319</v>
      </c>
      <c r="O1128" s="36">
        <f t="shared" si="393"/>
        <v>142</v>
      </c>
      <c r="P1128" s="36" t="str">
        <f t="shared" si="393"/>
        <v>LMM</v>
      </c>
      <c r="R1128">
        <v>1114</v>
      </c>
      <c r="S1128" s="36" t="str">
        <f t="shared" si="368"/>
        <v>INTERAVIÓN</v>
      </c>
      <c r="T1128" s="36">
        <f t="shared" si="368"/>
        <v>2222</v>
      </c>
      <c r="U1128" s="73">
        <v>0.24236111111111111</v>
      </c>
      <c r="V1128" s="74">
        <v>0.25069444444444444</v>
      </c>
      <c r="W1128" s="75">
        <v>8.3333333333333315E-3</v>
      </c>
      <c r="X1128" s="74">
        <v>0.25277777777777777</v>
      </c>
      <c r="Y1128" s="75">
        <v>2.0833333333333259E-3</v>
      </c>
      <c r="Z1128" s="76">
        <v>41757</v>
      </c>
      <c r="AA1128" s="36" t="str">
        <f t="shared" si="391"/>
        <v>Nacional</v>
      </c>
      <c r="AB1128" s="36">
        <f t="shared" si="391"/>
        <v>1.0972222222222218E-2</v>
      </c>
      <c r="AC1128" s="36">
        <f t="shared" si="391"/>
        <v>4.4907407407407396E-3</v>
      </c>
      <c r="AD1128" s="36">
        <f t="shared" si="391"/>
        <v>1.5462962962962958E-2</v>
      </c>
      <c r="AE1128" s="36">
        <f t="shared" si="391"/>
        <v>320</v>
      </c>
      <c r="AF1128" s="36">
        <f t="shared" si="391"/>
        <v>179</v>
      </c>
      <c r="AG1128" s="36" t="str">
        <f t="shared" si="391"/>
        <v>MEX</v>
      </c>
      <c r="AI1128">
        <v>1114</v>
      </c>
      <c r="AJ1128" s="77" t="str">
        <f t="shared" si="375"/>
        <v>INTERAVIÓN</v>
      </c>
      <c r="AK1128" s="63">
        <v>2206</v>
      </c>
      <c r="AL1128" s="185">
        <v>0.47222222222222227</v>
      </c>
      <c r="AM1128" s="65">
        <v>0.47569444444444442</v>
      </c>
      <c r="AN1128" s="66">
        <v>3.4722222222221544E-3</v>
      </c>
      <c r="AO1128" s="65">
        <v>0.4861111111111111</v>
      </c>
      <c r="AP1128" s="66">
        <v>1.0416666666666685E-2</v>
      </c>
      <c r="AQ1128" s="67">
        <v>41794</v>
      </c>
      <c r="AR1128" s="68" t="s">
        <v>19</v>
      </c>
      <c r="AS1128" s="69">
        <v>9.7222222222222224E-3</v>
      </c>
      <c r="AT1128" s="70">
        <v>9.3749999999999962E-3</v>
      </c>
      <c r="AU1128" s="70">
        <v>1.9097222222222217E-2</v>
      </c>
      <c r="AV1128" s="71">
        <v>320</v>
      </c>
      <c r="AW1128" s="71">
        <v>179</v>
      </c>
      <c r="AX1128" s="72" t="s">
        <v>21</v>
      </c>
    </row>
    <row r="1129" spans="1:50" ht="15.75" thickBot="1" x14ac:dyDescent="0.3">
      <c r="A1129">
        <v>1115</v>
      </c>
      <c r="B1129" s="36" t="str">
        <f t="shared" si="376"/>
        <v>BARATA Y MORADA</v>
      </c>
      <c r="C1129" s="36">
        <f t="shared" si="376"/>
        <v>673</v>
      </c>
      <c r="D1129" s="176">
        <v>0.59027777777777779</v>
      </c>
      <c r="E1129" s="176">
        <v>0.59722222222222221</v>
      </c>
      <c r="F1129" s="177">
        <v>6.9444444444444198E-3</v>
      </c>
      <c r="G1129" s="176">
        <v>0.60347222222222219</v>
      </c>
      <c r="H1129" s="177">
        <v>6.2499999999999778E-3</v>
      </c>
      <c r="I1129" s="97">
        <v>41726</v>
      </c>
      <c r="J1129" s="36" t="str">
        <f t="shared" si="393"/>
        <v>Nacional</v>
      </c>
      <c r="K1129" s="36">
        <f t="shared" si="393"/>
        <v>6.2499999999999778E-3</v>
      </c>
      <c r="L1129" s="36">
        <f t="shared" si="393"/>
        <v>9.0277777777778203E-3</v>
      </c>
      <c r="M1129" s="36">
        <f t="shared" si="393"/>
        <v>1.5277777777777798E-2</v>
      </c>
      <c r="N1129" s="36" t="str">
        <f t="shared" si="393"/>
        <v>A319</v>
      </c>
      <c r="O1129" s="36">
        <f t="shared" si="393"/>
        <v>142</v>
      </c>
      <c r="P1129" s="36" t="str">
        <f t="shared" si="393"/>
        <v>LMM</v>
      </c>
      <c r="R1129">
        <v>1115</v>
      </c>
      <c r="S1129" s="36" t="str">
        <f t="shared" si="368"/>
        <v>INTERAVIÓN</v>
      </c>
      <c r="T1129" s="36">
        <f t="shared" si="368"/>
        <v>2222</v>
      </c>
      <c r="U1129" s="73">
        <v>0.24305555555555555</v>
      </c>
      <c r="V1129" s="74">
        <v>0.25208333333333333</v>
      </c>
      <c r="W1129" s="75">
        <v>9.0277777777777735E-3</v>
      </c>
      <c r="X1129" s="74">
        <v>0.25416666666666665</v>
      </c>
      <c r="Y1129" s="75">
        <v>2.0833333333333259E-3</v>
      </c>
      <c r="Z1129" s="76">
        <v>41759</v>
      </c>
      <c r="AA1129" s="36" t="str">
        <f t="shared" si="391"/>
        <v>Nacional</v>
      </c>
      <c r="AB1129" s="36">
        <f t="shared" si="391"/>
        <v>1.0972222222222218E-2</v>
      </c>
      <c r="AC1129" s="36">
        <f t="shared" si="391"/>
        <v>4.4907407407407396E-3</v>
      </c>
      <c r="AD1129" s="36">
        <f t="shared" si="391"/>
        <v>1.5462962962962958E-2</v>
      </c>
      <c r="AE1129" s="36">
        <f t="shared" si="391"/>
        <v>320</v>
      </c>
      <c r="AF1129" s="36">
        <f t="shared" si="391"/>
        <v>179</v>
      </c>
      <c r="AG1129" s="36" t="str">
        <f t="shared" si="391"/>
        <v>MEX</v>
      </c>
      <c r="AI1129">
        <v>1115</v>
      </c>
      <c r="AJ1129" s="77" t="str">
        <f t="shared" si="375"/>
        <v>INTERAVIÓN</v>
      </c>
      <c r="AK1129" s="77">
        <f t="shared" si="375"/>
        <v>2206</v>
      </c>
      <c r="AL1129" s="186">
        <v>0.48055555555555557</v>
      </c>
      <c r="AM1129" s="79">
        <v>0.48680555555555555</v>
      </c>
      <c r="AN1129" s="80">
        <v>6.2499999999999778E-3</v>
      </c>
      <c r="AO1129" s="79">
        <v>0.49236111111111108</v>
      </c>
      <c r="AP1129" s="80">
        <v>5.5555555555555358E-3</v>
      </c>
      <c r="AQ1129" s="81">
        <v>41795</v>
      </c>
      <c r="AR1129" s="77" t="str">
        <f t="shared" ref="AR1129:AX1139" si="394">AR1128</f>
        <v>Nacional</v>
      </c>
      <c r="AS1129" s="77">
        <f t="shared" si="394"/>
        <v>9.7222222222222224E-3</v>
      </c>
      <c r="AT1129" s="77">
        <f t="shared" si="394"/>
        <v>9.3749999999999962E-3</v>
      </c>
      <c r="AU1129" s="77">
        <f t="shared" si="394"/>
        <v>1.9097222222222217E-2</v>
      </c>
      <c r="AV1129" s="77">
        <f t="shared" si="394"/>
        <v>320</v>
      </c>
      <c r="AW1129" s="77">
        <f t="shared" si="394"/>
        <v>179</v>
      </c>
      <c r="AX1129" s="77" t="str">
        <f t="shared" si="394"/>
        <v>MEX</v>
      </c>
    </row>
    <row r="1130" spans="1:50" ht="15.75" thickBot="1" x14ac:dyDescent="0.3">
      <c r="A1130">
        <v>1116</v>
      </c>
      <c r="B1130" s="36" t="str">
        <f t="shared" si="376"/>
        <v>BARATA Y MORADA</v>
      </c>
      <c r="C1130" s="151">
        <v>671</v>
      </c>
      <c r="D1130" s="152">
        <v>0.4375</v>
      </c>
      <c r="E1130" s="152">
        <v>0.4465277777777778</v>
      </c>
      <c r="F1130" s="153">
        <v>9.0277777777778012E-3</v>
      </c>
      <c r="G1130" s="152">
        <v>0.45277777777777778</v>
      </c>
      <c r="H1130" s="153">
        <v>6.2499999999999778E-3</v>
      </c>
      <c r="I1130" s="67">
        <v>41715</v>
      </c>
      <c r="J1130" s="68" t="s">
        <v>19</v>
      </c>
      <c r="K1130" s="135">
        <v>1.0262345679012304E-2</v>
      </c>
      <c r="L1130" s="135">
        <v>7.0987654320987838E-3</v>
      </c>
      <c r="M1130" s="175">
        <v>1.7361111111111088E-2</v>
      </c>
      <c r="N1130" s="90" t="s">
        <v>57</v>
      </c>
      <c r="O1130" s="91">
        <v>142</v>
      </c>
      <c r="P1130" s="92" t="s">
        <v>35</v>
      </c>
      <c r="R1130">
        <v>1116</v>
      </c>
      <c r="S1130" s="36" t="str">
        <f t="shared" si="368"/>
        <v>INTERAVIÓN</v>
      </c>
      <c r="T1130" s="36">
        <f t="shared" si="368"/>
        <v>2222</v>
      </c>
      <c r="U1130" s="83">
        <v>0.24166666666666667</v>
      </c>
      <c r="V1130" s="84">
        <v>0.24791666666666667</v>
      </c>
      <c r="W1130" s="85">
        <v>6.2500000000000056E-3</v>
      </c>
      <c r="X1130" s="84">
        <v>0.25347222222222221</v>
      </c>
      <c r="Y1130" s="85">
        <v>5.5555555555555358E-3</v>
      </c>
      <c r="Z1130" s="86">
        <v>41759</v>
      </c>
      <c r="AA1130" s="36" t="str">
        <f t="shared" si="391"/>
        <v>Nacional</v>
      </c>
      <c r="AB1130" s="36">
        <f t="shared" si="391"/>
        <v>1.0972222222222218E-2</v>
      </c>
      <c r="AC1130" s="36">
        <f t="shared" si="391"/>
        <v>4.4907407407407396E-3</v>
      </c>
      <c r="AD1130" s="36">
        <f t="shared" si="391"/>
        <v>1.5462962962962958E-2</v>
      </c>
      <c r="AE1130" s="36">
        <f t="shared" si="391"/>
        <v>320</v>
      </c>
      <c r="AF1130" s="36">
        <f t="shared" si="391"/>
        <v>179</v>
      </c>
      <c r="AG1130" s="36" t="str">
        <f t="shared" si="391"/>
        <v>MEX</v>
      </c>
      <c r="AI1130">
        <v>1116</v>
      </c>
      <c r="AJ1130" s="63" t="s">
        <v>65</v>
      </c>
      <c r="AK1130" s="77">
        <f t="shared" ref="AK1130:AK1140" si="395">AK1129</f>
        <v>2206</v>
      </c>
      <c r="AL1130" s="186">
        <v>0.47569444444444442</v>
      </c>
      <c r="AM1130" s="79">
        <v>0.4909722222222222</v>
      </c>
      <c r="AN1130" s="80">
        <v>1.5277777777777779E-2</v>
      </c>
      <c r="AO1130" s="79">
        <v>0.49652777777777773</v>
      </c>
      <c r="AP1130" s="80">
        <v>5.5555555555555358E-3</v>
      </c>
      <c r="AQ1130" s="81">
        <v>41796</v>
      </c>
      <c r="AR1130" s="77" t="str">
        <f t="shared" si="394"/>
        <v>Nacional</v>
      </c>
      <c r="AS1130" s="77">
        <f t="shared" si="394"/>
        <v>9.7222222222222224E-3</v>
      </c>
      <c r="AT1130" s="77">
        <f t="shared" si="394"/>
        <v>9.3749999999999962E-3</v>
      </c>
      <c r="AU1130" s="77">
        <f t="shared" si="394"/>
        <v>1.9097222222222217E-2</v>
      </c>
      <c r="AV1130" s="77">
        <f t="shared" si="394"/>
        <v>320</v>
      </c>
      <c r="AW1130" s="77">
        <f t="shared" si="394"/>
        <v>179</v>
      </c>
      <c r="AX1130" s="77" t="str">
        <f t="shared" si="394"/>
        <v>MEX</v>
      </c>
    </row>
    <row r="1131" spans="1:50" x14ac:dyDescent="0.25">
      <c r="A1131">
        <v>1117</v>
      </c>
      <c r="B1131" s="36" t="str">
        <f t="shared" si="376"/>
        <v>BARATA Y MORADA</v>
      </c>
      <c r="C1131" s="36">
        <f t="shared" si="376"/>
        <v>671</v>
      </c>
      <c r="D1131" s="118">
        <v>0.43958333333333338</v>
      </c>
      <c r="E1131" s="118">
        <v>0.4458333333333333</v>
      </c>
      <c r="F1131" s="119">
        <v>6.2499999999999223E-3</v>
      </c>
      <c r="G1131" s="118">
        <v>0.4604166666666667</v>
      </c>
      <c r="H1131" s="119">
        <v>1.4583333333333393E-2</v>
      </c>
      <c r="I1131" s="81">
        <v>41716</v>
      </c>
      <c r="J1131" s="36" t="str">
        <f t="shared" ref="J1131:P1138" si="396">J1130</f>
        <v>Nacional</v>
      </c>
      <c r="K1131" s="36">
        <f t="shared" si="396"/>
        <v>1.0262345679012304E-2</v>
      </c>
      <c r="L1131" s="36">
        <f t="shared" si="396"/>
        <v>7.0987654320987838E-3</v>
      </c>
      <c r="M1131" s="36">
        <f t="shared" si="396"/>
        <v>1.7361111111111088E-2</v>
      </c>
      <c r="N1131" s="36" t="str">
        <f t="shared" si="396"/>
        <v>A319</v>
      </c>
      <c r="O1131" s="36">
        <f t="shared" si="396"/>
        <v>142</v>
      </c>
      <c r="P1131" s="36" t="str">
        <f t="shared" si="396"/>
        <v>CUL</v>
      </c>
      <c r="R1131">
        <v>1117</v>
      </c>
      <c r="S1131" s="36" t="str">
        <f t="shared" si="368"/>
        <v>INTERAVIÓN</v>
      </c>
      <c r="T1131" s="55">
        <v>2220</v>
      </c>
      <c r="U1131" s="56">
        <v>0.80347222222222225</v>
      </c>
      <c r="V1131" s="57">
        <v>0.81041666666666667</v>
      </c>
      <c r="W1131" s="58">
        <v>6.9444444444444198E-3</v>
      </c>
      <c r="X1131" s="57">
        <v>0.81597222222222221</v>
      </c>
      <c r="Y1131" s="58">
        <v>5.5555555555555358E-3</v>
      </c>
      <c r="Z1131" s="59">
        <v>41732</v>
      </c>
      <c r="AA1131" s="60" t="s">
        <v>19</v>
      </c>
      <c r="AB1131" s="61">
        <v>5.5555555555555497E-3</v>
      </c>
      <c r="AC1131" s="61">
        <v>5.0347222222222321E-3</v>
      </c>
      <c r="AD1131" s="62">
        <v>1.0590277777777782E-2</v>
      </c>
      <c r="AE1131" s="191">
        <v>320</v>
      </c>
      <c r="AF1131" s="191">
        <v>179</v>
      </c>
      <c r="AG1131" s="192" t="s">
        <v>21</v>
      </c>
      <c r="AI1131">
        <v>1117</v>
      </c>
      <c r="AJ1131" s="77" t="str">
        <f t="shared" ref="AJ1131:AK1176" si="397">AJ1130</f>
        <v>INTERAVIÓN</v>
      </c>
      <c r="AK1131" s="77">
        <f t="shared" si="395"/>
        <v>2206</v>
      </c>
      <c r="AL1131" s="186">
        <v>0.4861111111111111</v>
      </c>
      <c r="AM1131" s="79">
        <v>0.49305555555555558</v>
      </c>
      <c r="AN1131" s="80">
        <v>6.9444444444444753E-3</v>
      </c>
      <c r="AO1131" s="79">
        <v>0.49513888888888885</v>
      </c>
      <c r="AP1131" s="80">
        <v>2.0833333333332704E-3</v>
      </c>
      <c r="AQ1131" s="81">
        <v>41799</v>
      </c>
      <c r="AR1131" s="77" t="str">
        <f t="shared" si="394"/>
        <v>Nacional</v>
      </c>
      <c r="AS1131" s="77">
        <f t="shared" si="394"/>
        <v>9.7222222222222224E-3</v>
      </c>
      <c r="AT1131" s="77">
        <f t="shared" si="394"/>
        <v>9.3749999999999962E-3</v>
      </c>
      <c r="AU1131" s="77">
        <f t="shared" si="394"/>
        <v>1.9097222222222217E-2</v>
      </c>
      <c r="AV1131" s="77">
        <f t="shared" si="394"/>
        <v>320</v>
      </c>
      <c r="AW1131" s="77">
        <f t="shared" si="394"/>
        <v>179</v>
      </c>
      <c r="AX1131" s="77" t="str">
        <f t="shared" si="394"/>
        <v>MEX</v>
      </c>
    </row>
    <row r="1132" spans="1:50" x14ac:dyDescent="0.25">
      <c r="A1132">
        <v>1118</v>
      </c>
      <c r="B1132" s="36" t="str">
        <f t="shared" si="376"/>
        <v>BARATA Y MORADA</v>
      </c>
      <c r="C1132" s="36">
        <f t="shared" si="376"/>
        <v>671</v>
      </c>
      <c r="D1132" s="118">
        <v>0.88263888888888886</v>
      </c>
      <c r="E1132" s="118">
        <v>0.89930555555555547</v>
      </c>
      <c r="F1132" s="119">
        <v>1.6666666666666607E-2</v>
      </c>
      <c r="G1132" s="118">
        <v>0.90277777777777779</v>
      </c>
      <c r="H1132" s="119">
        <v>3.4722222222223209E-3</v>
      </c>
      <c r="I1132" s="81">
        <v>41719</v>
      </c>
      <c r="J1132" s="36" t="str">
        <f t="shared" si="396"/>
        <v>Nacional</v>
      </c>
      <c r="K1132" s="36">
        <f t="shared" si="396"/>
        <v>1.0262345679012304E-2</v>
      </c>
      <c r="L1132" s="36">
        <f t="shared" si="396"/>
        <v>7.0987654320987838E-3</v>
      </c>
      <c r="M1132" s="36">
        <f t="shared" si="396"/>
        <v>1.7361111111111088E-2</v>
      </c>
      <c r="N1132" s="36" t="str">
        <f t="shared" si="396"/>
        <v>A319</v>
      </c>
      <c r="O1132" s="36">
        <f t="shared" si="396"/>
        <v>142</v>
      </c>
      <c r="P1132" s="36" t="str">
        <f t="shared" si="396"/>
        <v>CUL</v>
      </c>
      <c r="R1132">
        <v>1118</v>
      </c>
      <c r="S1132" s="36" t="str">
        <f t="shared" si="368"/>
        <v>INTERAVIÓN</v>
      </c>
      <c r="T1132" s="36">
        <f t="shared" si="368"/>
        <v>2220</v>
      </c>
      <c r="U1132" s="73">
        <v>0.34027777777777773</v>
      </c>
      <c r="V1132" s="74">
        <v>0.34375</v>
      </c>
      <c r="W1132" s="75">
        <v>3.4722222222222654E-3</v>
      </c>
      <c r="X1132" s="74">
        <v>0.34513888888888888</v>
      </c>
      <c r="Y1132" s="75">
        <v>1.388888888888884E-3</v>
      </c>
      <c r="Z1132" s="76">
        <v>41735</v>
      </c>
      <c r="AA1132" s="36" t="str">
        <f t="shared" ref="AA1132:AG1134" si="398">AA1131</f>
        <v>Nacional</v>
      </c>
      <c r="AB1132" s="36">
        <f t="shared" si="398"/>
        <v>5.5555555555555497E-3</v>
      </c>
      <c r="AC1132" s="36">
        <f t="shared" si="398"/>
        <v>5.0347222222222321E-3</v>
      </c>
      <c r="AD1132" s="36">
        <f t="shared" si="398"/>
        <v>1.0590277777777782E-2</v>
      </c>
      <c r="AE1132" s="36">
        <f t="shared" si="398"/>
        <v>320</v>
      </c>
      <c r="AF1132" s="36">
        <f t="shared" si="398"/>
        <v>179</v>
      </c>
      <c r="AG1132" s="36" t="str">
        <f t="shared" si="398"/>
        <v>MEX</v>
      </c>
      <c r="AI1132">
        <v>1118</v>
      </c>
      <c r="AJ1132" s="77" t="str">
        <f t="shared" si="397"/>
        <v>INTERAVIÓN</v>
      </c>
      <c r="AK1132" s="77">
        <f t="shared" si="395"/>
        <v>2206</v>
      </c>
      <c r="AL1132" s="186">
        <v>0.83888888888888891</v>
      </c>
      <c r="AM1132" s="79">
        <v>0.84583333333333333</v>
      </c>
      <c r="AN1132" s="80">
        <v>6.9444444444444198E-3</v>
      </c>
      <c r="AO1132" s="79">
        <v>0.85833333333333339</v>
      </c>
      <c r="AP1132" s="80">
        <v>1.2500000000000067E-2</v>
      </c>
      <c r="AQ1132" s="81">
        <v>41801</v>
      </c>
      <c r="AR1132" s="77" t="str">
        <f t="shared" si="394"/>
        <v>Nacional</v>
      </c>
      <c r="AS1132" s="77">
        <f t="shared" si="394"/>
        <v>9.7222222222222224E-3</v>
      </c>
      <c r="AT1132" s="77">
        <f t="shared" si="394"/>
        <v>9.3749999999999962E-3</v>
      </c>
      <c r="AU1132" s="77">
        <f t="shared" si="394"/>
        <v>1.9097222222222217E-2</v>
      </c>
      <c r="AV1132" s="77">
        <f t="shared" si="394"/>
        <v>320</v>
      </c>
      <c r="AW1132" s="77">
        <f t="shared" si="394"/>
        <v>179</v>
      </c>
      <c r="AX1132" s="77" t="str">
        <f t="shared" si="394"/>
        <v>MEX</v>
      </c>
    </row>
    <row r="1133" spans="1:50" x14ac:dyDescent="0.25">
      <c r="A1133">
        <v>1119</v>
      </c>
      <c r="B1133" s="36" t="str">
        <f t="shared" si="376"/>
        <v>BARATA Y MORADA</v>
      </c>
      <c r="C1133" s="36">
        <f t="shared" si="376"/>
        <v>671</v>
      </c>
      <c r="D1133" s="118">
        <v>0.43055555555555558</v>
      </c>
      <c r="E1133" s="118">
        <v>0.43958333333333338</v>
      </c>
      <c r="F1133" s="119">
        <v>9.0277777777778012E-3</v>
      </c>
      <c r="G1133" s="118">
        <v>0.45069444444444445</v>
      </c>
      <c r="H1133" s="119">
        <v>1.1111111111111072E-2</v>
      </c>
      <c r="I1133" s="81">
        <v>41720</v>
      </c>
      <c r="J1133" s="36" t="str">
        <f t="shared" si="396"/>
        <v>Nacional</v>
      </c>
      <c r="K1133" s="36">
        <f t="shared" si="396"/>
        <v>1.0262345679012304E-2</v>
      </c>
      <c r="L1133" s="36">
        <f t="shared" si="396"/>
        <v>7.0987654320987838E-3</v>
      </c>
      <c r="M1133" s="36">
        <f t="shared" si="396"/>
        <v>1.7361111111111088E-2</v>
      </c>
      <c r="N1133" s="36" t="str">
        <f t="shared" si="396"/>
        <v>A319</v>
      </c>
      <c r="O1133" s="36">
        <f t="shared" si="396"/>
        <v>142</v>
      </c>
      <c r="P1133" s="36" t="str">
        <f t="shared" si="396"/>
        <v>CUL</v>
      </c>
      <c r="R1133">
        <v>1119</v>
      </c>
      <c r="S1133" s="36" t="str">
        <f t="shared" si="368"/>
        <v>INTERAVIÓN</v>
      </c>
      <c r="T1133" s="36">
        <f t="shared" si="368"/>
        <v>2220</v>
      </c>
      <c r="U1133" s="73">
        <v>0.69444444444444453</v>
      </c>
      <c r="V1133" s="74">
        <v>0.69791666666666663</v>
      </c>
      <c r="W1133" s="75">
        <v>3.4722222222220989E-3</v>
      </c>
      <c r="X1133" s="74">
        <v>0.70277777777777783</v>
      </c>
      <c r="Y1133" s="75">
        <v>4.8611111111112049E-3</v>
      </c>
      <c r="Z1133" s="76">
        <v>41741</v>
      </c>
      <c r="AA1133" s="36" t="str">
        <f t="shared" si="398"/>
        <v>Nacional</v>
      </c>
      <c r="AB1133" s="36">
        <f t="shared" si="398"/>
        <v>5.5555555555555497E-3</v>
      </c>
      <c r="AC1133" s="36">
        <f t="shared" si="398"/>
        <v>5.0347222222222321E-3</v>
      </c>
      <c r="AD1133" s="36">
        <f t="shared" si="398"/>
        <v>1.0590277777777782E-2</v>
      </c>
      <c r="AE1133" s="36">
        <f t="shared" si="398"/>
        <v>320</v>
      </c>
      <c r="AF1133" s="36">
        <f t="shared" si="398"/>
        <v>179</v>
      </c>
      <c r="AG1133" s="36" t="str">
        <f t="shared" si="398"/>
        <v>MEX</v>
      </c>
      <c r="AI1133">
        <v>1119</v>
      </c>
      <c r="AJ1133" s="77" t="str">
        <f t="shared" si="397"/>
        <v>INTERAVIÓN</v>
      </c>
      <c r="AK1133" s="77">
        <f t="shared" si="395"/>
        <v>2206</v>
      </c>
      <c r="AL1133" s="186">
        <v>0.21458333333333335</v>
      </c>
      <c r="AM1133" s="79">
        <v>0.24513888888888888</v>
      </c>
      <c r="AN1133" s="80">
        <v>3.055555555555553E-2</v>
      </c>
      <c r="AO1133" s="79">
        <v>0.28402777777777777</v>
      </c>
      <c r="AP1133" s="80">
        <v>3.888888888888889E-2</v>
      </c>
      <c r="AQ1133" s="81">
        <v>41802</v>
      </c>
      <c r="AR1133" s="77" t="str">
        <f t="shared" si="394"/>
        <v>Nacional</v>
      </c>
      <c r="AS1133" s="77">
        <f t="shared" si="394"/>
        <v>9.7222222222222224E-3</v>
      </c>
      <c r="AT1133" s="77">
        <f t="shared" si="394"/>
        <v>9.3749999999999962E-3</v>
      </c>
      <c r="AU1133" s="77">
        <f t="shared" si="394"/>
        <v>1.9097222222222217E-2</v>
      </c>
      <c r="AV1133" s="77">
        <f t="shared" si="394"/>
        <v>320</v>
      </c>
      <c r="AW1133" s="77">
        <f t="shared" si="394"/>
        <v>179</v>
      </c>
      <c r="AX1133" s="77" t="str">
        <f t="shared" si="394"/>
        <v>MEX</v>
      </c>
    </row>
    <row r="1134" spans="1:50" ht="15.75" thickBot="1" x14ac:dyDescent="0.3">
      <c r="A1134">
        <v>1120</v>
      </c>
      <c r="B1134" s="36" t="str">
        <f t="shared" si="376"/>
        <v>BARATA Y MORADA</v>
      </c>
      <c r="C1134" s="36">
        <f t="shared" si="376"/>
        <v>671</v>
      </c>
      <c r="D1134" s="118">
        <v>0.88194444444444453</v>
      </c>
      <c r="E1134" s="118">
        <v>0.89444444444444438</v>
      </c>
      <c r="F1134" s="119">
        <v>1.2499999999999845E-2</v>
      </c>
      <c r="G1134" s="118">
        <v>0.90277777777777779</v>
      </c>
      <c r="H1134" s="119">
        <v>8.3333333333334147E-3</v>
      </c>
      <c r="I1134" s="81">
        <v>41721</v>
      </c>
      <c r="J1134" s="36" t="str">
        <f t="shared" si="396"/>
        <v>Nacional</v>
      </c>
      <c r="K1134" s="36">
        <f t="shared" si="396"/>
        <v>1.0262345679012304E-2</v>
      </c>
      <c r="L1134" s="36">
        <f t="shared" si="396"/>
        <v>7.0987654320987838E-3</v>
      </c>
      <c r="M1134" s="36">
        <f t="shared" si="396"/>
        <v>1.7361111111111088E-2</v>
      </c>
      <c r="N1134" s="36" t="str">
        <f t="shared" si="396"/>
        <v>A319</v>
      </c>
      <c r="O1134" s="36">
        <f t="shared" si="396"/>
        <v>142</v>
      </c>
      <c r="P1134" s="36" t="str">
        <f t="shared" si="396"/>
        <v>CUL</v>
      </c>
      <c r="R1134">
        <v>1120</v>
      </c>
      <c r="S1134" s="36" t="str">
        <f t="shared" si="368"/>
        <v>INTERAVIÓN</v>
      </c>
      <c r="T1134" s="36">
        <f t="shared" si="368"/>
        <v>2220</v>
      </c>
      <c r="U1134" s="83">
        <v>0.85</v>
      </c>
      <c r="V1134" s="84">
        <v>0.85833333333333339</v>
      </c>
      <c r="W1134" s="85">
        <v>8.3333333333334147E-3</v>
      </c>
      <c r="X1134" s="84">
        <v>0.8666666666666667</v>
      </c>
      <c r="Y1134" s="85">
        <v>8.3333333333333037E-3</v>
      </c>
      <c r="Z1134" s="86">
        <v>41749</v>
      </c>
      <c r="AA1134" s="36" t="str">
        <f t="shared" si="398"/>
        <v>Nacional</v>
      </c>
      <c r="AB1134" s="36">
        <f t="shared" si="398"/>
        <v>5.5555555555555497E-3</v>
      </c>
      <c r="AC1134" s="36">
        <f t="shared" si="398"/>
        <v>5.0347222222222321E-3</v>
      </c>
      <c r="AD1134" s="36">
        <f t="shared" si="398"/>
        <v>1.0590277777777782E-2</v>
      </c>
      <c r="AE1134" s="36">
        <f t="shared" si="398"/>
        <v>320</v>
      </c>
      <c r="AF1134" s="36">
        <f t="shared" si="398"/>
        <v>179</v>
      </c>
      <c r="AG1134" s="36" t="str">
        <f t="shared" si="398"/>
        <v>MEX</v>
      </c>
      <c r="AI1134">
        <v>1120</v>
      </c>
      <c r="AJ1134" s="77" t="str">
        <f t="shared" si="397"/>
        <v>INTERAVIÓN</v>
      </c>
      <c r="AK1134" s="77">
        <f t="shared" si="395"/>
        <v>2206</v>
      </c>
      <c r="AL1134" s="186">
        <v>0.95624999999999993</v>
      </c>
      <c r="AM1134" s="79">
        <v>0.9604166666666667</v>
      </c>
      <c r="AN1134" s="80">
        <v>4.1666666666667629E-3</v>
      </c>
      <c r="AO1134" s="79">
        <v>0.96388888888888891</v>
      </c>
      <c r="AP1134" s="80">
        <v>3.4722222222222099E-3</v>
      </c>
      <c r="AQ1134" s="81">
        <v>41803</v>
      </c>
      <c r="AR1134" s="77" t="str">
        <f t="shared" si="394"/>
        <v>Nacional</v>
      </c>
      <c r="AS1134" s="77">
        <f t="shared" si="394"/>
        <v>9.7222222222222224E-3</v>
      </c>
      <c r="AT1134" s="77">
        <f t="shared" si="394"/>
        <v>9.3749999999999962E-3</v>
      </c>
      <c r="AU1134" s="77">
        <f t="shared" si="394"/>
        <v>1.9097222222222217E-2</v>
      </c>
      <c r="AV1134" s="77">
        <f t="shared" si="394"/>
        <v>320</v>
      </c>
      <c r="AW1134" s="77">
        <f t="shared" si="394"/>
        <v>179</v>
      </c>
      <c r="AX1134" s="77" t="str">
        <f t="shared" si="394"/>
        <v>MEX</v>
      </c>
    </row>
    <row r="1135" spans="1:50" x14ac:dyDescent="0.25">
      <c r="A1135">
        <v>1121</v>
      </c>
      <c r="B1135" s="36" t="str">
        <f t="shared" si="376"/>
        <v>BARATA Y MORADA</v>
      </c>
      <c r="C1135" s="36">
        <f t="shared" si="376"/>
        <v>671</v>
      </c>
      <c r="D1135" s="118">
        <v>0.4465277777777778</v>
      </c>
      <c r="E1135" s="118">
        <v>0.44861111111111113</v>
      </c>
      <c r="F1135" s="119">
        <v>2.0833333333333259E-3</v>
      </c>
      <c r="G1135" s="118">
        <v>0.4513888888888889</v>
      </c>
      <c r="H1135" s="119">
        <v>2.7777777777777679E-3</v>
      </c>
      <c r="I1135" s="81">
        <v>41722</v>
      </c>
      <c r="J1135" s="36" t="str">
        <f t="shared" si="396"/>
        <v>Nacional</v>
      </c>
      <c r="K1135" s="36">
        <f t="shared" si="396"/>
        <v>1.0262345679012304E-2</v>
      </c>
      <c r="L1135" s="36">
        <f t="shared" si="396"/>
        <v>7.0987654320987838E-3</v>
      </c>
      <c r="M1135" s="36">
        <f t="shared" si="396"/>
        <v>1.7361111111111088E-2</v>
      </c>
      <c r="N1135" s="36" t="str">
        <f t="shared" si="396"/>
        <v>A319</v>
      </c>
      <c r="O1135" s="36">
        <f t="shared" si="396"/>
        <v>142</v>
      </c>
      <c r="P1135" s="36" t="str">
        <f t="shared" si="396"/>
        <v>CUL</v>
      </c>
      <c r="R1135">
        <v>1121</v>
      </c>
      <c r="S1135" s="36" t="str">
        <f t="shared" si="368"/>
        <v>INTERAVIÓN</v>
      </c>
      <c r="T1135" s="55">
        <v>2218</v>
      </c>
      <c r="U1135" s="56">
        <v>0.88541666666666663</v>
      </c>
      <c r="V1135" s="57">
        <v>0.89930555555555547</v>
      </c>
      <c r="W1135" s="58">
        <v>1.388888888888884E-2</v>
      </c>
      <c r="X1135" s="57">
        <v>0.90277777777777779</v>
      </c>
      <c r="Y1135" s="58">
        <v>3.4722222222223209E-3</v>
      </c>
      <c r="Z1135" s="59">
        <v>41731</v>
      </c>
      <c r="AA1135" s="60" t="s">
        <v>19</v>
      </c>
      <c r="AB1135" s="61">
        <v>7.291666666666646E-3</v>
      </c>
      <c r="AC1135" s="61">
        <v>3.8888888888888975E-3</v>
      </c>
      <c r="AD1135" s="62">
        <v>1.1180555555555544E-2</v>
      </c>
      <c r="AE1135" s="191">
        <v>320</v>
      </c>
      <c r="AF1135" s="191">
        <v>179</v>
      </c>
      <c r="AG1135" s="192" t="s">
        <v>21</v>
      </c>
      <c r="AI1135">
        <v>1121</v>
      </c>
      <c r="AJ1135" s="77" t="str">
        <f t="shared" si="397"/>
        <v>INTERAVIÓN</v>
      </c>
      <c r="AK1135" s="77">
        <f t="shared" si="395"/>
        <v>2206</v>
      </c>
      <c r="AL1135" s="186">
        <v>0.75902777777777775</v>
      </c>
      <c r="AM1135" s="79">
        <v>0.7680555555555556</v>
      </c>
      <c r="AN1135" s="80">
        <v>9.0277777777778567E-3</v>
      </c>
      <c r="AO1135" s="79">
        <v>0.77708333333333324</v>
      </c>
      <c r="AP1135" s="80">
        <v>9.0277777777776347E-3</v>
      </c>
      <c r="AQ1135" s="81">
        <v>41806</v>
      </c>
      <c r="AR1135" s="77" t="str">
        <f t="shared" si="394"/>
        <v>Nacional</v>
      </c>
      <c r="AS1135" s="77">
        <f t="shared" si="394"/>
        <v>9.7222222222222224E-3</v>
      </c>
      <c r="AT1135" s="77">
        <f t="shared" si="394"/>
        <v>9.3749999999999962E-3</v>
      </c>
      <c r="AU1135" s="77">
        <f t="shared" si="394"/>
        <v>1.9097222222222217E-2</v>
      </c>
      <c r="AV1135" s="77">
        <f t="shared" si="394"/>
        <v>320</v>
      </c>
      <c r="AW1135" s="77">
        <f t="shared" si="394"/>
        <v>179</v>
      </c>
      <c r="AX1135" s="77" t="str">
        <f t="shared" si="394"/>
        <v>MEX</v>
      </c>
    </row>
    <row r="1136" spans="1:50" x14ac:dyDescent="0.25">
      <c r="A1136">
        <v>1122</v>
      </c>
      <c r="B1136" s="36" t="str">
        <f t="shared" si="376"/>
        <v>BARATA Y MORADA</v>
      </c>
      <c r="C1136" s="36">
        <f t="shared" si="376"/>
        <v>671</v>
      </c>
      <c r="D1136" s="118">
        <v>0.8666666666666667</v>
      </c>
      <c r="E1136" s="118">
        <v>0.88402777777777775</v>
      </c>
      <c r="F1136" s="119">
        <v>1.7361111111111049E-2</v>
      </c>
      <c r="G1136" s="118">
        <v>0.88888888888888884</v>
      </c>
      <c r="H1136" s="119">
        <v>4.8611111111110938E-3</v>
      </c>
      <c r="I1136" s="81">
        <v>41725</v>
      </c>
      <c r="J1136" s="36" t="str">
        <f t="shared" si="396"/>
        <v>Nacional</v>
      </c>
      <c r="K1136" s="36">
        <f t="shared" si="396"/>
        <v>1.0262345679012304E-2</v>
      </c>
      <c r="L1136" s="36">
        <f t="shared" si="396"/>
        <v>7.0987654320987838E-3</v>
      </c>
      <c r="M1136" s="36">
        <f t="shared" si="396"/>
        <v>1.7361111111111088E-2</v>
      </c>
      <c r="N1136" s="36" t="str">
        <f t="shared" si="396"/>
        <v>A319</v>
      </c>
      <c r="O1136" s="36">
        <f t="shared" si="396"/>
        <v>142</v>
      </c>
      <c r="P1136" s="36" t="str">
        <f t="shared" si="396"/>
        <v>CUL</v>
      </c>
      <c r="R1136">
        <v>1122</v>
      </c>
      <c r="S1136" s="36" t="str">
        <f t="shared" si="368"/>
        <v>INTERAVIÓN</v>
      </c>
      <c r="T1136" s="36">
        <f t="shared" si="368"/>
        <v>2218</v>
      </c>
      <c r="U1136" s="73">
        <v>0.89930555555555547</v>
      </c>
      <c r="V1136" s="74">
        <v>0.90486111111111101</v>
      </c>
      <c r="W1136" s="75">
        <v>5.5555555555555358E-3</v>
      </c>
      <c r="X1136" s="74">
        <v>0.91111111111111109</v>
      </c>
      <c r="Y1136" s="75">
        <v>6.2500000000000888E-3</v>
      </c>
      <c r="Z1136" s="76">
        <v>41732</v>
      </c>
      <c r="AA1136" s="36" t="str">
        <f t="shared" ref="AA1136:AG1144" si="399">AA1135</f>
        <v>Nacional</v>
      </c>
      <c r="AB1136" s="36">
        <f t="shared" si="399"/>
        <v>7.291666666666646E-3</v>
      </c>
      <c r="AC1136" s="36">
        <f t="shared" si="399"/>
        <v>3.8888888888888975E-3</v>
      </c>
      <c r="AD1136" s="36">
        <f t="shared" si="399"/>
        <v>1.1180555555555544E-2</v>
      </c>
      <c r="AE1136" s="36">
        <f t="shared" si="399"/>
        <v>320</v>
      </c>
      <c r="AF1136" s="36">
        <f t="shared" si="399"/>
        <v>179</v>
      </c>
      <c r="AG1136" s="36" t="str">
        <f t="shared" si="399"/>
        <v>MEX</v>
      </c>
      <c r="AI1136">
        <v>1122</v>
      </c>
      <c r="AJ1136" s="77" t="str">
        <f t="shared" si="397"/>
        <v>INTERAVIÓN</v>
      </c>
      <c r="AK1136" s="77">
        <f t="shared" si="395"/>
        <v>2206</v>
      </c>
      <c r="AL1136" s="186">
        <v>0.47500000000000003</v>
      </c>
      <c r="AM1136" s="79">
        <v>0.48472222222222222</v>
      </c>
      <c r="AN1136" s="80">
        <v>9.7222222222221877E-3</v>
      </c>
      <c r="AO1136" s="79">
        <v>0.49305555555555558</v>
      </c>
      <c r="AP1136" s="80">
        <v>8.3333333333333592E-3</v>
      </c>
      <c r="AQ1136" s="81">
        <v>41808</v>
      </c>
      <c r="AR1136" s="77" t="str">
        <f t="shared" si="394"/>
        <v>Nacional</v>
      </c>
      <c r="AS1136" s="77">
        <f t="shared" si="394"/>
        <v>9.7222222222222224E-3</v>
      </c>
      <c r="AT1136" s="77">
        <f t="shared" si="394"/>
        <v>9.3749999999999962E-3</v>
      </c>
      <c r="AU1136" s="77">
        <f t="shared" si="394"/>
        <v>1.9097222222222217E-2</v>
      </c>
      <c r="AV1136" s="77">
        <f t="shared" si="394"/>
        <v>320</v>
      </c>
      <c r="AW1136" s="77">
        <f t="shared" si="394"/>
        <v>179</v>
      </c>
      <c r="AX1136" s="77" t="str">
        <f t="shared" si="394"/>
        <v>MEX</v>
      </c>
    </row>
    <row r="1137" spans="1:50" x14ac:dyDescent="0.25">
      <c r="A1137">
        <v>1123</v>
      </c>
      <c r="B1137" s="36" t="str">
        <f t="shared" si="376"/>
        <v>BARATA Y MORADA</v>
      </c>
      <c r="C1137" s="36">
        <f t="shared" si="376"/>
        <v>671</v>
      </c>
      <c r="D1137" s="118">
        <v>0.43958333333333338</v>
      </c>
      <c r="E1137" s="118">
        <v>0.44722222222222219</v>
      </c>
      <c r="F1137" s="119">
        <v>7.6388888888888062E-3</v>
      </c>
      <c r="G1137" s="118">
        <v>0.45277777777777778</v>
      </c>
      <c r="H1137" s="119">
        <v>5.5555555555555913E-3</v>
      </c>
      <c r="I1137" s="81">
        <v>41727</v>
      </c>
      <c r="J1137" s="36" t="str">
        <f t="shared" si="396"/>
        <v>Nacional</v>
      </c>
      <c r="K1137" s="36">
        <f t="shared" si="396"/>
        <v>1.0262345679012304E-2</v>
      </c>
      <c r="L1137" s="36">
        <f t="shared" si="396"/>
        <v>7.0987654320987838E-3</v>
      </c>
      <c r="M1137" s="36">
        <f t="shared" si="396"/>
        <v>1.7361111111111088E-2</v>
      </c>
      <c r="N1137" s="36" t="str">
        <f t="shared" si="396"/>
        <v>A319</v>
      </c>
      <c r="O1137" s="36">
        <f t="shared" si="396"/>
        <v>142</v>
      </c>
      <c r="P1137" s="36" t="str">
        <f t="shared" si="396"/>
        <v>CUL</v>
      </c>
      <c r="R1137">
        <v>1123</v>
      </c>
      <c r="S1137" s="36" t="str">
        <f t="shared" si="368"/>
        <v>INTERAVIÓN</v>
      </c>
      <c r="T1137" s="36">
        <f t="shared" si="368"/>
        <v>2218</v>
      </c>
      <c r="U1137" s="73">
        <v>0.40277777777777773</v>
      </c>
      <c r="V1137" s="74">
        <v>0.40347222222222223</v>
      </c>
      <c r="W1137" s="75">
        <v>6.9444444444449749E-4</v>
      </c>
      <c r="X1137" s="74">
        <v>0.40486111111111112</v>
      </c>
      <c r="Y1137" s="75">
        <v>1.388888888888884E-3</v>
      </c>
      <c r="Z1137" s="76">
        <v>41735</v>
      </c>
      <c r="AA1137" s="36" t="str">
        <f t="shared" si="399"/>
        <v>Nacional</v>
      </c>
      <c r="AB1137" s="36">
        <f t="shared" si="399"/>
        <v>7.291666666666646E-3</v>
      </c>
      <c r="AC1137" s="36">
        <f t="shared" si="399"/>
        <v>3.8888888888888975E-3</v>
      </c>
      <c r="AD1137" s="36">
        <f t="shared" si="399"/>
        <v>1.1180555555555544E-2</v>
      </c>
      <c r="AE1137" s="36">
        <f t="shared" si="399"/>
        <v>320</v>
      </c>
      <c r="AF1137" s="36">
        <f t="shared" si="399"/>
        <v>179</v>
      </c>
      <c r="AG1137" s="36" t="str">
        <f t="shared" si="399"/>
        <v>MEX</v>
      </c>
      <c r="AI1137">
        <v>1123</v>
      </c>
      <c r="AJ1137" s="77" t="str">
        <f t="shared" si="397"/>
        <v>INTERAVIÓN</v>
      </c>
      <c r="AK1137" s="77">
        <f t="shared" si="395"/>
        <v>2206</v>
      </c>
      <c r="AL1137" s="186">
        <v>0.47986111111111113</v>
      </c>
      <c r="AM1137" s="79">
        <v>0.4861111111111111</v>
      </c>
      <c r="AN1137" s="80">
        <v>6.2499999999999778E-3</v>
      </c>
      <c r="AO1137" s="79">
        <v>0.4909722222222222</v>
      </c>
      <c r="AP1137" s="80">
        <v>4.8611111111110938E-3</v>
      </c>
      <c r="AQ1137" s="81">
        <v>41809</v>
      </c>
      <c r="AR1137" s="77" t="str">
        <f t="shared" si="394"/>
        <v>Nacional</v>
      </c>
      <c r="AS1137" s="77">
        <f t="shared" si="394"/>
        <v>9.7222222222222224E-3</v>
      </c>
      <c r="AT1137" s="77">
        <f t="shared" si="394"/>
        <v>9.3749999999999962E-3</v>
      </c>
      <c r="AU1137" s="77">
        <f t="shared" si="394"/>
        <v>1.9097222222222217E-2</v>
      </c>
      <c r="AV1137" s="77">
        <f t="shared" si="394"/>
        <v>320</v>
      </c>
      <c r="AW1137" s="77">
        <f t="shared" si="394"/>
        <v>179</v>
      </c>
      <c r="AX1137" s="77" t="str">
        <f t="shared" si="394"/>
        <v>MEX</v>
      </c>
    </row>
    <row r="1138" spans="1:50" ht="15.75" thickBot="1" x14ac:dyDescent="0.3">
      <c r="A1138">
        <v>1124</v>
      </c>
      <c r="B1138" s="36" t="str">
        <f t="shared" si="376"/>
        <v>BARATA Y MORADA</v>
      </c>
      <c r="C1138" s="36">
        <f t="shared" si="376"/>
        <v>671</v>
      </c>
      <c r="D1138" s="176">
        <v>0.43055555555555558</v>
      </c>
      <c r="E1138" s="176">
        <v>0.44236111111111115</v>
      </c>
      <c r="F1138" s="177">
        <v>1.1805555555555569E-2</v>
      </c>
      <c r="G1138" s="176">
        <v>0.44930555555555557</v>
      </c>
      <c r="H1138" s="177">
        <v>6.9444444444444198E-3</v>
      </c>
      <c r="I1138" s="97">
        <v>41729</v>
      </c>
      <c r="J1138" s="36" t="str">
        <f t="shared" si="396"/>
        <v>Nacional</v>
      </c>
      <c r="K1138" s="36">
        <f t="shared" si="396"/>
        <v>1.0262345679012304E-2</v>
      </c>
      <c r="L1138" s="36">
        <f t="shared" si="396"/>
        <v>7.0987654320987838E-3</v>
      </c>
      <c r="M1138" s="36">
        <f t="shared" si="396"/>
        <v>1.7361111111111088E-2</v>
      </c>
      <c r="N1138" s="36" t="str">
        <f t="shared" si="396"/>
        <v>A319</v>
      </c>
      <c r="O1138" s="36">
        <f t="shared" si="396"/>
        <v>142</v>
      </c>
      <c r="P1138" s="36" t="str">
        <f t="shared" si="396"/>
        <v>CUL</v>
      </c>
      <c r="R1138">
        <v>1124</v>
      </c>
      <c r="S1138" s="36" t="str">
        <f t="shared" si="368"/>
        <v>INTERAVIÓN</v>
      </c>
      <c r="T1138" s="36">
        <f t="shared" si="368"/>
        <v>2218</v>
      </c>
      <c r="U1138" s="73">
        <v>0.88680555555555562</v>
      </c>
      <c r="V1138" s="74">
        <v>0.89097222222222217</v>
      </c>
      <c r="W1138" s="75">
        <v>4.1666666666665408E-3</v>
      </c>
      <c r="X1138" s="74">
        <v>0.89583333333333337</v>
      </c>
      <c r="Y1138" s="75">
        <v>4.8611111111112049E-3</v>
      </c>
      <c r="Z1138" s="76">
        <v>41736</v>
      </c>
      <c r="AA1138" s="36" t="str">
        <f t="shared" si="399"/>
        <v>Nacional</v>
      </c>
      <c r="AB1138" s="36">
        <f t="shared" si="399"/>
        <v>7.291666666666646E-3</v>
      </c>
      <c r="AC1138" s="36">
        <f t="shared" si="399"/>
        <v>3.8888888888888975E-3</v>
      </c>
      <c r="AD1138" s="36">
        <f t="shared" si="399"/>
        <v>1.1180555555555544E-2</v>
      </c>
      <c r="AE1138" s="36">
        <f t="shared" si="399"/>
        <v>320</v>
      </c>
      <c r="AF1138" s="36">
        <f t="shared" si="399"/>
        <v>179</v>
      </c>
      <c r="AG1138" s="36" t="str">
        <f t="shared" si="399"/>
        <v>MEX</v>
      </c>
      <c r="AI1138">
        <v>1124</v>
      </c>
      <c r="AJ1138" s="77" t="str">
        <f t="shared" si="397"/>
        <v>INTERAVIÓN</v>
      </c>
      <c r="AK1138" s="77">
        <f t="shared" si="395"/>
        <v>2206</v>
      </c>
      <c r="AL1138" s="186">
        <v>0.4993055555555555</v>
      </c>
      <c r="AM1138" s="79">
        <v>0.50347222222222221</v>
      </c>
      <c r="AN1138" s="80">
        <v>4.1666666666667074E-3</v>
      </c>
      <c r="AO1138" s="79">
        <v>0.51111111111111118</v>
      </c>
      <c r="AP1138" s="80">
        <v>7.6388888888889728E-3</v>
      </c>
      <c r="AQ1138" s="81">
        <v>41810</v>
      </c>
      <c r="AR1138" s="77" t="str">
        <f t="shared" si="394"/>
        <v>Nacional</v>
      </c>
      <c r="AS1138" s="77">
        <f t="shared" si="394"/>
        <v>9.7222222222222224E-3</v>
      </c>
      <c r="AT1138" s="77">
        <f t="shared" si="394"/>
        <v>9.3749999999999962E-3</v>
      </c>
      <c r="AU1138" s="77">
        <f t="shared" si="394"/>
        <v>1.9097222222222217E-2</v>
      </c>
      <c r="AV1138" s="77">
        <f t="shared" si="394"/>
        <v>320</v>
      </c>
      <c r="AW1138" s="77">
        <f t="shared" si="394"/>
        <v>179</v>
      </c>
      <c r="AX1138" s="77" t="str">
        <f t="shared" si="394"/>
        <v>MEX</v>
      </c>
    </row>
    <row r="1139" spans="1:50" ht="15.75" thickBot="1" x14ac:dyDescent="0.3">
      <c r="A1139">
        <v>1125</v>
      </c>
      <c r="B1139" s="36" t="str">
        <f t="shared" si="376"/>
        <v>BARATA Y MORADA</v>
      </c>
      <c r="C1139" s="151">
        <v>635</v>
      </c>
      <c r="D1139" s="152">
        <v>0.63402777777777775</v>
      </c>
      <c r="E1139" s="152">
        <v>0.63541666666666663</v>
      </c>
      <c r="F1139" s="153">
        <v>1.388888888888884E-3</v>
      </c>
      <c r="G1139" s="152">
        <v>0.65</v>
      </c>
      <c r="H1139" s="153">
        <v>1.4583333333333393E-2</v>
      </c>
      <c r="I1139" s="67">
        <v>41714</v>
      </c>
      <c r="J1139" s="68" t="s">
        <v>19</v>
      </c>
      <c r="K1139" s="135">
        <v>1.1805555555555569E-2</v>
      </c>
      <c r="L1139" s="135">
        <v>9.3749999999999944E-3</v>
      </c>
      <c r="M1139" s="175">
        <v>2.1180555555555564E-2</v>
      </c>
      <c r="N1139" s="90" t="s">
        <v>57</v>
      </c>
      <c r="O1139" s="91">
        <v>142</v>
      </c>
      <c r="P1139" s="92" t="s">
        <v>46</v>
      </c>
      <c r="R1139">
        <v>1125</v>
      </c>
      <c r="S1139" s="36" t="str">
        <f t="shared" si="368"/>
        <v>INTERAVIÓN</v>
      </c>
      <c r="T1139" s="36">
        <f t="shared" si="368"/>
        <v>2218</v>
      </c>
      <c r="U1139" s="73">
        <v>0.90416666666666667</v>
      </c>
      <c r="V1139" s="74">
        <v>0.91319444444444453</v>
      </c>
      <c r="W1139" s="75">
        <v>9.0277777777778567E-3</v>
      </c>
      <c r="X1139" s="74">
        <v>0.91736111111111107</v>
      </c>
      <c r="Y1139" s="75">
        <v>4.1666666666665408E-3</v>
      </c>
      <c r="Z1139" s="76">
        <v>41738</v>
      </c>
      <c r="AA1139" s="36" t="str">
        <f t="shared" si="399"/>
        <v>Nacional</v>
      </c>
      <c r="AB1139" s="36">
        <f t="shared" si="399"/>
        <v>7.291666666666646E-3</v>
      </c>
      <c r="AC1139" s="36">
        <f t="shared" si="399"/>
        <v>3.8888888888888975E-3</v>
      </c>
      <c r="AD1139" s="36">
        <f t="shared" si="399"/>
        <v>1.1180555555555544E-2</v>
      </c>
      <c r="AE1139" s="36">
        <f t="shared" si="399"/>
        <v>320</v>
      </c>
      <c r="AF1139" s="36">
        <f t="shared" si="399"/>
        <v>179</v>
      </c>
      <c r="AG1139" s="36" t="str">
        <f t="shared" si="399"/>
        <v>MEX</v>
      </c>
      <c r="AI1139">
        <v>1125</v>
      </c>
      <c r="AJ1139" s="77" t="str">
        <f t="shared" si="397"/>
        <v>INTERAVIÓN</v>
      </c>
      <c r="AK1139" s="77">
        <f t="shared" si="395"/>
        <v>2206</v>
      </c>
      <c r="AL1139" s="187">
        <v>0.46319444444444446</v>
      </c>
      <c r="AM1139" s="95">
        <v>0.4770833333333333</v>
      </c>
      <c r="AN1139" s="96">
        <v>1.388888888888884E-2</v>
      </c>
      <c r="AO1139" s="95">
        <v>0.48125000000000001</v>
      </c>
      <c r="AP1139" s="96">
        <v>4.1666666666667074E-3</v>
      </c>
      <c r="AQ1139" s="97">
        <v>41813</v>
      </c>
      <c r="AR1139" s="77" t="str">
        <f t="shared" si="394"/>
        <v>Nacional</v>
      </c>
      <c r="AS1139" s="77">
        <f t="shared" si="394"/>
        <v>9.7222222222222224E-3</v>
      </c>
      <c r="AT1139" s="77">
        <f t="shared" si="394"/>
        <v>9.3749999999999962E-3</v>
      </c>
      <c r="AU1139" s="77">
        <f t="shared" si="394"/>
        <v>1.9097222222222217E-2</v>
      </c>
      <c r="AV1139" s="77">
        <f t="shared" si="394"/>
        <v>320</v>
      </c>
      <c r="AW1139" s="77">
        <f t="shared" si="394"/>
        <v>179</v>
      </c>
      <c r="AX1139" s="77" t="str">
        <f t="shared" si="394"/>
        <v>MEX</v>
      </c>
    </row>
    <row r="1140" spans="1:50" x14ac:dyDescent="0.25">
      <c r="A1140">
        <v>1126</v>
      </c>
      <c r="B1140" s="36" t="str">
        <f t="shared" si="376"/>
        <v>BARATA Y MORADA</v>
      </c>
      <c r="C1140" s="36">
        <f t="shared" si="376"/>
        <v>635</v>
      </c>
      <c r="D1140" s="118">
        <v>0.62361111111111112</v>
      </c>
      <c r="E1140" s="118">
        <v>0.64236111111111105</v>
      </c>
      <c r="F1140" s="119">
        <v>1.8749999999999933E-2</v>
      </c>
      <c r="G1140" s="118">
        <v>0.65138888888888891</v>
      </c>
      <c r="H1140" s="119">
        <v>9.0277777777778567E-3</v>
      </c>
      <c r="I1140" s="81">
        <v>41718</v>
      </c>
      <c r="J1140" s="36" t="str">
        <f t="shared" ref="J1140:P1142" si="400">J1139</f>
        <v>Nacional</v>
      </c>
      <c r="K1140" s="36">
        <f t="shared" si="400"/>
        <v>1.1805555555555569E-2</v>
      </c>
      <c r="L1140" s="36">
        <f t="shared" si="400"/>
        <v>9.3749999999999944E-3</v>
      </c>
      <c r="M1140" s="36">
        <f t="shared" si="400"/>
        <v>2.1180555555555564E-2</v>
      </c>
      <c r="N1140" s="36" t="str">
        <f t="shared" si="400"/>
        <v>A319</v>
      </c>
      <c r="O1140" s="36">
        <f t="shared" si="400"/>
        <v>142</v>
      </c>
      <c r="P1140" s="36" t="str">
        <f t="shared" si="400"/>
        <v>CUN</v>
      </c>
      <c r="R1140">
        <v>1126</v>
      </c>
      <c r="S1140" s="36" t="str">
        <f t="shared" si="368"/>
        <v>INTERAVIÓN</v>
      </c>
      <c r="T1140" s="36">
        <f t="shared" si="368"/>
        <v>2218</v>
      </c>
      <c r="U1140" s="73">
        <v>0.92361111111111116</v>
      </c>
      <c r="V1140" s="74">
        <v>0.92708333333333337</v>
      </c>
      <c r="W1140" s="75">
        <v>3.4722222222222099E-3</v>
      </c>
      <c r="X1140" s="74">
        <v>0.93055555555555547</v>
      </c>
      <c r="Y1140" s="75">
        <v>3.4722222222220989E-3</v>
      </c>
      <c r="Z1140" s="76">
        <v>41739</v>
      </c>
      <c r="AA1140" s="36" t="str">
        <f t="shared" si="399"/>
        <v>Nacional</v>
      </c>
      <c r="AB1140" s="36">
        <f t="shared" si="399"/>
        <v>7.291666666666646E-3</v>
      </c>
      <c r="AC1140" s="36">
        <f t="shared" si="399"/>
        <v>3.8888888888888975E-3</v>
      </c>
      <c r="AD1140" s="36">
        <f t="shared" si="399"/>
        <v>1.1180555555555544E-2</v>
      </c>
      <c r="AE1140" s="36">
        <f t="shared" si="399"/>
        <v>320</v>
      </c>
      <c r="AF1140" s="36">
        <f t="shared" si="399"/>
        <v>179</v>
      </c>
      <c r="AG1140" s="36" t="str">
        <f t="shared" si="399"/>
        <v>MEX</v>
      </c>
      <c r="AI1140">
        <v>1126</v>
      </c>
      <c r="AJ1140" s="77" t="str">
        <f t="shared" si="397"/>
        <v>INTERAVIÓN</v>
      </c>
      <c r="AK1140" s="63">
        <v>2204</v>
      </c>
      <c r="AL1140" s="185">
        <v>0.36388888888888887</v>
      </c>
      <c r="AM1140" s="65">
        <v>0.36944444444444446</v>
      </c>
      <c r="AN1140" s="66">
        <v>5.5555555555555913E-3</v>
      </c>
      <c r="AO1140" s="65">
        <v>0.375</v>
      </c>
      <c r="AP1140" s="66">
        <v>5.5555555555555358E-3</v>
      </c>
      <c r="AQ1140" s="67">
        <v>41793</v>
      </c>
      <c r="AR1140" s="68" t="s">
        <v>19</v>
      </c>
      <c r="AS1140" s="69">
        <v>8.8975694444444683E-3</v>
      </c>
      <c r="AT1140" s="70">
        <v>8.5937500000000007E-3</v>
      </c>
      <c r="AU1140" s="70">
        <v>1.7491319444444469E-2</v>
      </c>
      <c r="AV1140" s="71">
        <v>320</v>
      </c>
      <c r="AW1140" s="71">
        <v>179</v>
      </c>
      <c r="AX1140" s="72" t="s">
        <v>21</v>
      </c>
    </row>
    <row r="1141" spans="1:50" x14ac:dyDescent="0.25">
      <c r="A1141">
        <v>1127</v>
      </c>
      <c r="B1141" s="36" t="str">
        <f t="shared" si="376"/>
        <v>BARATA Y MORADA</v>
      </c>
      <c r="C1141" s="36">
        <f t="shared" si="376"/>
        <v>635</v>
      </c>
      <c r="D1141" s="118">
        <v>0.625</v>
      </c>
      <c r="E1141" s="118">
        <v>0.63611111111111118</v>
      </c>
      <c r="F1141" s="119">
        <v>1.1111111111111183E-2</v>
      </c>
      <c r="G1141" s="118">
        <v>0.64513888888888882</v>
      </c>
      <c r="H1141" s="119">
        <v>9.0277777777776347E-3</v>
      </c>
      <c r="I1141" s="81">
        <v>41721</v>
      </c>
      <c r="J1141" s="36" t="str">
        <f t="shared" si="400"/>
        <v>Nacional</v>
      </c>
      <c r="K1141" s="36">
        <f t="shared" si="400"/>
        <v>1.1805555555555569E-2</v>
      </c>
      <c r="L1141" s="36">
        <f t="shared" si="400"/>
        <v>9.3749999999999944E-3</v>
      </c>
      <c r="M1141" s="36">
        <f t="shared" si="400"/>
        <v>2.1180555555555564E-2</v>
      </c>
      <c r="N1141" s="36" t="str">
        <f t="shared" si="400"/>
        <v>A319</v>
      </c>
      <c r="O1141" s="36">
        <f t="shared" si="400"/>
        <v>142</v>
      </c>
      <c r="P1141" s="36" t="str">
        <f t="shared" si="400"/>
        <v>CUN</v>
      </c>
      <c r="R1141">
        <v>1127</v>
      </c>
      <c r="S1141" s="36" t="str">
        <f t="shared" si="368"/>
        <v>INTERAVIÓN</v>
      </c>
      <c r="T1141" s="36">
        <f t="shared" si="368"/>
        <v>2218</v>
      </c>
      <c r="U1141" s="73">
        <v>0.89236111111111116</v>
      </c>
      <c r="V1141" s="74">
        <v>0.90138888888888891</v>
      </c>
      <c r="W1141" s="75">
        <v>9.0277777777777457E-3</v>
      </c>
      <c r="X1141" s="74">
        <v>0.90416666666666667</v>
      </c>
      <c r="Y1141" s="75">
        <v>2.7777777777777679E-3</v>
      </c>
      <c r="Z1141" s="76">
        <v>41753</v>
      </c>
      <c r="AA1141" s="36" t="str">
        <f t="shared" si="399"/>
        <v>Nacional</v>
      </c>
      <c r="AB1141" s="36">
        <f t="shared" si="399"/>
        <v>7.291666666666646E-3</v>
      </c>
      <c r="AC1141" s="36">
        <f t="shared" si="399"/>
        <v>3.8888888888888975E-3</v>
      </c>
      <c r="AD1141" s="36">
        <f t="shared" si="399"/>
        <v>1.1180555555555544E-2</v>
      </c>
      <c r="AE1141" s="36">
        <f t="shared" si="399"/>
        <v>320</v>
      </c>
      <c r="AF1141" s="36">
        <f t="shared" si="399"/>
        <v>179</v>
      </c>
      <c r="AG1141" s="36" t="str">
        <f t="shared" si="399"/>
        <v>MEX</v>
      </c>
      <c r="AI1141">
        <v>1127</v>
      </c>
      <c r="AJ1141" s="77" t="str">
        <f t="shared" si="397"/>
        <v>INTERAVIÓN</v>
      </c>
      <c r="AK1141" s="77">
        <f t="shared" si="397"/>
        <v>2204</v>
      </c>
      <c r="AL1141" s="186">
        <v>0.37291666666666662</v>
      </c>
      <c r="AM1141" s="79">
        <v>0.37847222222222227</v>
      </c>
      <c r="AN1141" s="80">
        <v>5.5555555555556468E-3</v>
      </c>
      <c r="AO1141" s="79">
        <v>0.3833333333333333</v>
      </c>
      <c r="AP1141" s="80">
        <v>4.8611111111110383E-3</v>
      </c>
      <c r="AQ1141" s="81">
        <v>41794</v>
      </c>
      <c r="AR1141" s="77" t="str">
        <f t="shared" ref="AR1141:AX1155" si="401">AR1140</f>
        <v>Nacional</v>
      </c>
      <c r="AS1141" s="77">
        <f t="shared" si="401"/>
        <v>8.8975694444444683E-3</v>
      </c>
      <c r="AT1141" s="77">
        <f t="shared" si="401"/>
        <v>8.5937500000000007E-3</v>
      </c>
      <c r="AU1141" s="77">
        <f t="shared" si="401"/>
        <v>1.7491319444444469E-2</v>
      </c>
      <c r="AV1141" s="77">
        <f t="shared" si="401"/>
        <v>320</v>
      </c>
      <c r="AW1141" s="77">
        <f t="shared" si="401"/>
        <v>179</v>
      </c>
      <c r="AX1141" s="77" t="str">
        <f t="shared" si="401"/>
        <v>MEX</v>
      </c>
    </row>
    <row r="1142" spans="1:50" ht="15.75" thickBot="1" x14ac:dyDescent="0.3">
      <c r="A1142">
        <v>1128</v>
      </c>
      <c r="B1142" s="36" t="str">
        <f t="shared" si="376"/>
        <v>BARATA Y MORADA</v>
      </c>
      <c r="C1142" s="36">
        <f t="shared" si="376"/>
        <v>635</v>
      </c>
      <c r="D1142" s="176">
        <v>0.6333333333333333</v>
      </c>
      <c r="E1142" s="176">
        <v>0.64930555555555558</v>
      </c>
      <c r="F1142" s="177">
        <v>1.5972222222222276E-2</v>
      </c>
      <c r="G1142" s="176">
        <v>0.65416666666666667</v>
      </c>
      <c r="H1142" s="177">
        <v>4.8611111111110938E-3</v>
      </c>
      <c r="I1142" s="97">
        <v>41725</v>
      </c>
      <c r="J1142" s="36" t="str">
        <f t="shared" si="400"/>
        <v>Nacional</v>
      </c>
      <c r="K1142" s="36">
        <f t="shared" si="400"/>
        <v>1.1805555555555569E-2</v>
      </c>
      <c r="L1142" s="36">
        <f t="shared" si="400"/>
        <v>9.3749999999999944E-3</v>
      </c>
      <c r="M1142" s="36">
        <f t="shared" si="400"/>
        <v>2.1180555555555564E-2</v>
      </c>
      <c r="N1142" s="36" t="str">
        <f t="shared" si="400"/>
        <v>A319</v>
      </c>
      <c r="O1142" s="36">
        <f t="shared" si="400"/>
        <v>142</v>
      </c>
      <c r="P1142" s="36" t="str">
        <f t="shared" si="400"/>
        <v>CUN</v>
      </c>
      <c r="R1142">
        <v>1128</v>
      </c>
      <c r="S1142" s="36" t="str">
        <f t="shared" si="368"/>
        <v>INTERAVIÓN</v>
      </c>
      <c r="T1142" s="36">
        <f t="shared" si="368"/>
        <v>2218</v>
      </c>
      <c r="U1142" s="73">
        <v>0.89861111111111114</v>
      </c>
      <c r="V1142" s="74">
        <v>0.90625</v>
      </c>
      <c r="W1142" s="75">
        <v>7.6388888888888618E-3</v>
      </c>
      <c r="X1142" s="74">
        <v>0.91111111111111109</v>
      </c>
      <c r="Y1142" s="75">
        <v>4.8611111111110938E-3</v>
      </c>
      <c r="Z1142" s="76">
        <v>41757</v>
      </c>
      <c r="AA1142" s="36" t="str">
        <f t="shared" si="399"/>
        <v>Nacional</v>
      </c>
      <c r="AB1142" s="36">
        <f t="shared" si="399"/>
        <v>7.291666666666646E-3</v>
      </c>
      <c r="AC1142" s="36">
        <f t="shared" si="399"/>
        <v>3.8888888888888975E-3</v>
      </c>
      <c r="AD1142" s="36">
        <f t="shared" si="399"/>
        <v>1.1180555555555544E-2</v>
      </c>
      <c r="AE1142" s="36">
        <f t="shared" si="399"/>
        <v>320</v>
      </c>
      <c r="AF1142" s="36">
        <f t="shared" si="399"/>
        <v>179</v>
      </c>
      <c r="AG1142" s="36" t="str">
        <f t="shared" si="399"/>
        <v>MEX</v>
      </c>
      <c r="AI1142">
        <v>1128</v>
      </c>
      <c r="AJ1142" s="77" t="str">
        <f t="shared" si="397"/>
        <v>INTERAVIÓN</v>
      </c>
      <c r="AK1142" s="77">
        <f t="shared" si="397"/>
        <v>2204</v>
      </c>
      <c r="AL1142" s="186">
        <v>0.37986111111111115</v>
      </c>
      <c r="AM1142" s="79">
        <v>0.3833333333333333</v>
      </c>
      <c r="AN1142" s="80">
        <v>3.4722222222221544E-3</v>
      </c>
      <c r="AO1142" s="79">
        <v>0.39027777777777778</v>
      </c>
      <c r="AP1142" s="80">
        <v>6.9444444444444753E-3</v>
      </c>
      <c r="AQ1142" s="81">
        <v>41795</v>
      </c>
      <c r="AR1142" s="77" t="str">
        <f t="shared" si="401"/>
        <v>Nacional</v>
      </c>
      <c r="AS1142" s="77">
        <f t="shared" si="401"/>
        <v>8.8975694444444683E-3</v>
      </c>
      <c r="AT1142" s="77">
        <f t="shared" si="401"/>
        <v>8.5937500000000007E-3</v>
      </c>
      <c r="AU1142" s="77">
        <f t="shared" si="401"/>
        <v>1.7491319444444469E-2</v>
      </c>
      <c r="AV1142" s="77">
        <f t="shared" si="401"/>
        <v>320</v>
      </c>
      <c r="AW1142" s="77">
        <f t="shared" si="401"/>
        <v>179</v>
      </c>
      <c r="AX1142" s="77" t="str">
        <f t="shared" si="401"/>
        <v>MEX</v>
      </c>
    </row>
    <row r="1143" spans="1:50" x14ac:dyDescent="0.25">
      <c r="A1143">
        <v>1129</v>
      </c>
      <c r="B1143" s="63" t="s">
        <v>77</v>
      </c>
      <c r="C1143" s="151">
        <v>633</v>
      </c>
      <c r="D1143" s="152">
        <v>0.66875000000000007</v>
      </c>
      <c r="E1143" s="152">
        <v>0.67708333333333337</v>
      </c>
      <c r="F1143" s="153">
        <v>8.3333333333333037E-3</v>
      </c>
      <c r="G1143" s="152">
        <v>0.68055555555555547</v>
      </c>
      <c r="H1143" s="153">
        <v>3.4722222222220989E-3</v>
      </c>
      <c r="I1143" s="67">
        <v>41714</v>
      </c>
      <c r="J1143" s="68" t="s">
        <v>19</v>
      </c>
      <c r="K1143" s="135">
        <v>8.386752136752133E-3</v>
      </c>
      <c r="L1143" s="135">
        <v>8.6004273504273789E-3</v>
      </c>
      <c r="M1143" s="175">
        <v>1.698717948717951E-2</v>
      </c>
      <c r="N1143" s="90" t="s">
        <v>57</v>
      </c>
      <c r="O1143" s="91">
        <v>142</v>
      </c>
      <c r="P1143" s="92" t="s">
        <v>46</v>
      </c>
      <c r="R1143">
        <v>1129</v>
      </c>
      <c r="S1143" s="36" t="str">
        <f t="shared" si="368"/>
        <v>INTERAVIÓN</v>
      </c>
      <c r="T1143" s="36">
        <f t="shared" si="368"/>
        <v>2218</v>
      </c>
      <c r="U1143" s="73">
        <v>0.89583333333333337</v>
      </c>
      <c r="V1143" s="74">
        <v>0.90555555555555556</v>
      </c>
      <c r="W1143" s="75">
        <v>9.7222222222221877E-3</v>
      </c>
      <c r="X1143" s="74">
        <v>0.91111111111111109</v>
      </c>
      <c r="Y1143" s="75">
        <v>5.5555555555555358E-3</v>
      </c>
      <c r="Z1143" s="76">
        <v>41759</v>
      </c>
      <c r="AA1143" s="36" t="str">
        <f t="shared" si="399"/>
        <v>Nacional</v>
      </c>
      <c r="AB1143" s="36">
        <f t="shared" si="399"/>
        <v>7.291666666666646E-3</v>
      </c>
      <c r="AC1143" s="36">
        <f t="shared" si="399"/>
        <v>3.8888888888888975E-3</v>
      </c>
      <c r="AD1143" s="36">
        <f t="shared" si="399"/>
        <v>1.1180555555555544E-2</v>
      </c>
      <c r="AE1143" s="36">
        <f t="shared" si="399"/>
        <v>320</v>
      </c>
      <c r="AF1143" s="36">
        <f t="shared" si="399"/>
        <v>179</v>
      </c>
      <c r="AG1143" s="36" t="str">
        <f t="shared" si="399"/>
        <v>MEX</v>
      </c>
      <c r="AI1143">
        <v>1129</v>
      </c>
      <c r="AJ1143" s="77" t="str">
        <f t="shared" si="397"/>
        <v>INTERAVIÓN</v>
      </c>
      <c r="AK1143" s="77">
        <f t="shared" si="397"/>
        <v>2204</v>
      </c>
      <c r="AL1143" s="186">
        <v>0.38819444444444445</v>
      </c>
      <c r="AM1143" s="79">
        <v>0.39999999999999997</v>
      </c>
      <c r="AN1143" s="80">
        <v>1.1805555555555514E-2</v>
      </c>
      <c r="AO1143" s="79">
        <v>0.40347222222222223</v>
      </c>
      <c r="AP1143" s="80">
        <v>3.4722222222222654E-3</v>
      </c>
      <c r="AQ1143" s="81">
        <v>41795</v>
      </c>
      <c r="AR1143" s="77" t="str">
        <f t="shared" si="401"/>
        <v>Nacional</v>
      </c>
      <c r="AS1143" s="77">
        <f t="shared" si="401"/>
        <v>8.8975694444444683E-3</v>
      </c>
      <c r="AT1143" s="77">
        <f t="shared" si="401"/>
        <v>8.5937500000000007E-3</v>
      </c>
      <c r="AU1143" s="77">
        <f t="shared" si="401"/>
        <v>1.7491319444444469E-2</v>
      </c>
      <c r="AV1143" s="77">
        <f t="shared" si="401"/>
        <v>320</v>
      </c>
      <c r="AW1143" s="77">
        <f t="shared" si="401"/>
        <v>179</v>
      </c>
      <c r="AX1143" s="77" t="str">
        <f t="shared" si="401"/>
        <v>MEX</v>
      </c>
    </row>
    <row r="1144" spans="1:50" ht="15.75" thickBot="1" x14ac:dyDescent="0.3">
      <c r="A1144">
        <v>1130</v>
      </c>
      <c r="B1144" s="36" t="str">
        <f t="shared" ref="B1144:C1204" si="402">B1143</f>
        <v>BARATA Y MORADA</v>
      </c>
      <c r="C1144" s="36">
        <f t="shared" si="402"/>
        <v>633</v>
      </c>
      <c r="D1144" s="118">
        <v>0.6777777777777777</v>
      </c>
      <c r="E1144" s="118">
        <v>0.68125000000000002</v>
      </c>
      <c r="F1144" s="119">
        <v>3.4722222222223209E-3</v>
      </c>
      <c r="G1144" s="118">
        <v>0.69166666666666676</v>
      </c>
      <c r="H1144" s="119">
        <v>1.0416666666666741E-2</v>
      </c>
      <c r="I1144" s="81">
        <v>41715</v>
      </c>
      <c r="J1144" s="36" t="str">
        <f t="shared" ref="J1144:P1155" si="403">J1143</f>
        <v>Nacional</v>
      </c>
      <c r="K1144" s="36">
        <f t="shared" si="403"/>
        <v>8.386752136752133E-3</v>
      </c>
      <c r="L1144" s="36">
        <f t="shared" si="403"/>
        <v>8.6004273504273789E-3</v>
      </c>
      <c r="M1144" s="36">
        <f t="shared" si="403"/>
        <v>1.698717948717951E-2</v>
      </c>
      <c r="N1144" s="36" t="str">
        <f t="shared" si="403"/>
        <v>A319</v>
      </c>
      <c r="O1144" s="36">
        <f t="shared" si="403"/>
        <v>142</v>
      </c>
      <c r="P1144" s="36" t="str">
        <f t="shared" si="403"/>
        <v>CUN</v>
      </c>
      <c r="R1144">
        <v>1130</v>
      </c>
      <c r="S1144" s="36" t="str">
        <f t="shared" ref="S1144:T1144" si="404">S1143</f>
        <v>INTERAVIÓN</v>
      </c>
      <c r="T1144" s="36">
        <f t="shared" si="404"/>
        <v>2218</v>
      </c>
      <c r="U1144" s="83">
        <v>0.93263888888888891</v>
      </c>
      <c r="V1144" s="84">
        <v>0.94236111111111109</v>
      </c>
      <c r="W1144" s="85">
        <v>9.7222222222221877E-3</v>
      </c>
      <c r="X1144" s="84">
        <v>0.94444444444444453</v>
      </c>
      <c r="Y1144" s="85">
        <v>2.083333333333437E-3</v>
      </c>
      <c r="Z1144" s="86">
        <v>41759</v>
      </c>
      <c r="AA1144" s="36" t="str">
        <f t="shared" si="399"/>
        <v>Nacional</v>
      </c>
      <c r="AB1144" s="36">
        <f t="shared" si="399"/>
        <v>7.291666666666646E-3</v>
      </c>
      <c r="AC1144" s="36">
        <f t="shared" si="399"/>
        <v>3.8888888888888975E-3</v>
      </c>
      <c r="AD1144" s="36">
        <f t="shared" si="399"/>
        <v>1.1180555555555544E-2</v>
      </c>
      <c r="AE1144" s="36">
        <f t="shared" si="399"/>
        <v>320</v>
      </c>
      <c r="AF1144" s="36">
        <f t="shared" si="399"/>
        <v>179</v>
      </c>
      <c r="AG1144" s="36" t="str">
        <f t="shared" si="399"/>
        <v>MEX</v>
      </c>
      <c r="AI1144">
        <v>1130</v>
      </c>
      <c r="AJ1144" s="77" t="str">
        <f t="shared" si="397"/>
        <v>INTERAVIÓN</v>
      </c>
      <c r="AK1144" s="77">
        <f t="shared" si="397"/>
        <v>2204</v>
      </c>
      <c r="AL1144" s="186">
        <v>0.3576388888888889</v>
      </c>
      <c r="AM1144" s="79">
        <v>0.36458333333333331</v>
      </c>
      <c r="AN1144" s="80">
        <v>6.9444444444444198E-3</v>
      </c>
      <c r="AO1144" s="79">
        <v>0.36944444444444446</v>
      </c>
      <c r="AP1144" s="80">
        <v>4.8611111111111494E-3</v>
      </c>
      <c r="AQ1144" s="81">
        <v>41796</v>
      </c>
      <c r="AR1144" s="77" t="str">
        <f t="shared" si="401"/>
        <v>Nacional</v>
      </c>
      <c r="AS1144" s="77">
        <f t="shared" si="401"/>
        <v>8.8975694444444683E-3</v>
      </c>
      <c r="AT1144" s="77">
        <f t="shared" si="401"/>
        <v>8.5937500000000007E-3</v>
      </c>
      <c r="AU1144" s="77">
        <f t="shared" si="401"/>
        <v>1.7491319444444469E-2</v>
      </c>
      <c r="AV1144" s="77">
        <f t="shared" si="401"/>
        <v>320</v>
      </c>
      <c r="AW1144" s="77">
        <f t="shared" si="401"/>
        <v>179</v>
      </c>
      <c r="AX1144" s="77" t="str">
        <f t="shared" si="401"/>
        <v>MEX</v>
      </c>
    </row>
    <row r="1145" spans="1:50" x14ac:dyDescent="0.25">
      <c r="A1145">
        <v>1131</v>
      </c>
      <c r="B1145" s="36" t="str">
        <f t="shared" si="402"/>
        <v>BARATA Y MORADA</v>
      </c>
      <c r="C1145" s="36">
        <f t="shared" si="402"/>
        <v>633</v>
      </c>
      <c r="D1145" s="118">
        <v>0.67569444444444438</v>
      </c>
      <c r="E1145" s="118">
        <v>0.68055555555555547</v>
      </c>
      <c r="F1145" s="119">
        <v>4.8611111111110938E-3</v>
      </c>
      <c r="G1145" s="118">
        <v>0.69166666666666676</v>
      </c>
      <c r="H1145" s="119">
        <v>1.1111111111111294E-2</v>
      </c>
      <c r="I1145" s="81">
        <v>41716</v>
      </c>
      <c r="J1145" s="36" t="str">
        <f t="shared" si="403"/>
        <v>Nacional</v>
      </c>
      <c r="K1145" s="36">
        <f t="shared" si="403"/>
        <v>8.386752136752133E-3</v>
      </c>
      <c r="L1145" s="36">
        <f t="shared" si="403"/>
        <v>8.6004273504273789E-3</v>
      </c>
      <c r="M1145" s="36">
        <f t="shared" si="403"/>
        <v>1.698717948717951E-2</v>
      </c>
      <c r="N1145" s="36" t="str">
        <f t="shared" si="403"/>
        <v>A319</v>
      </c>
      <c r="O1145" s="36">
        <f t="shared" si="403"/>
        <v>142</v>
      </c>
      <c r="P1145" s="36" t="str">
        <f t="shared" si="403"/>
        <v>CUN</v>
      </c>
      <c r="R1145">
        <v>1131</v>
      </c>
      <c r="S1145" s="137" t="s">
        <v>65</v>
      </c>
      <c r="T1145" s="55">
        <v>2216</v>
      </c>
      <c r="U1145" s="56">
        <v>0.85277777777777775</v>
      </c>
      <c r="V1145" s="57">
        <v>0.85833333333333339</v>
      </c>
      <c r="W1145" s="58">
        <v>5.5555555555556468E-3</v>
      </c>
      <c r="X1145" s="57">
        <v>0.86319444444444438</v>
      </c>
      <c r="Y1145" s="58">
        <v>4.8611111111109828E-3</v>
      </c>
      <c r="Z1145" s="59">
        <v>41731</v>
      </c>
      <c r="AA1145" s="60" t="s">
        <v>19</v>
      </c>
      <c r="AB1145" s="61">
        <v>6.0329861111111036E-3</v>
      </c>
      <c r="AC1145" s="61">
        <v>6.9878472222222321E-3</v>
      </c>
      <c r="AD1145" s="62">
        <v>1.3020833333333336E-2</v>
      </c>
      <c r="AE1145" s="191">
        <v>320</v>
      </c>
      <c r="AF1145" s="191">
        <v>179</v>
      </c>
      <c r="AG1145" s="192" t="s">
        <v>21</v>
      </c>
      <c r="AI1145">
        <v>1131</v>
      </c>
      <c r="AJ1145" s="77" t="str">
        <f t="shared" si="397"/>
        <v>INTERAVIÓN</v>
      </c>
      <c r="AK1145" s="77">
        <f t="shared" si="397"/>
        <v>2204</v>
      </c>
      <c r="AL1145" s="186">
        <v>0.36805555555555558</v>
      </c>
      <c r="AM1145" s="79">
        <v>0.37152777777777773</v>
      </c>
      <c r="AN1145" s="80">
        <v>3.4722222222221544E-3</v>
      </c>
      <c r="AO1145" s="79">
        <v>0.3756944444444445</v>
      </c>
      <c r="AP1145" s="80">
        <v>4.1666666666667629E-3</v>
      </c>
      <c r="AQ1145" s="81">
        <v>41799</v>
      </c>
      <c r="AR1145" s="77" t="str">
        <f t="shared" si="401"/>
        <v>Nacional</v>
      </c>
      <c r="AS1145" s="77">
        <f t="shared" si="401"/>
        <v>8.8975694444444683E-3</v>
      </c>
      <c r="AT1145" s="77">
        <f t="shared" si="401"/>
        <v>8.5937500000000007E-3</v>
      </c>
      <c r="AU1145" s="77">
        <f t="shared" si="401"/>
        <v>1.7491319444444469E-2</v>
      </c>
      <c r="AV1145" s="77">
        <f t="shared" si="401"/>
        <v>320</v>
      </c>
      <c r="AW1145" s="77">
        <f t="shared" si="401"/>
        <v>179</v>
      </c>
      <c r="AX1145" s="77" t="str">
        <f t="shared" si="401"/>
        <v>MEX</v>
      </c>
    </row>
    <row r="1146" spans="1:50" x14ac:dyDescent="0.25">
      <c r="A1146">
        <v>1132</v>
      </c>
      <c r="B1146" s="36" t="str">
        <f t="shared" si="402"/>
        <v>BARATA Y MORADA</v>
      </c>
      <c r="C1146" s="36">
        <f t="shared" si="402"/>
        <v>633</v>
      </c>
      <c r="D1146" s="118">
        <v>0.94097222222222221</v>
      </c>
      <c r="E1146" s="118">
        <v>0.9458333333333333</v>
      </c>
      <c r="F1146" s="119">
        <v>4.8611111111110938E-3</v>
      </c>
      <c r="G1146" s="118">
        <v>0.95000000000000007</v>
      </c>
      <c r="H1146" s="119">
        <v>4.1666666666667629E-3</v>
      </c>
      <c r="I1146" s="81">
        <v>41716</v>
      </c>
      <c r="J1146" s="36" t="str">
        <f t="shared" si="403"/>
        <v>Nacional</v>
      </c>
      <c r="K1146" s="36">
        <f t="shared" si="403"/>
        <v>8.386752136752133E-3</v>
      </c>
      <c r="L1146" s="36">
        <f t="shared" si="403"/>
        <v>8.6004273504273789E-3</v>
      </c>
      <c r="M1146" s="36">
        <f t="shared" si="403"/>
        <v>1.698717948717951E-2</v>
      </c>
      <c r="N1146" s="36" t="str">
        <f t="shared" si="403"/>
        <v>A319</v>
      </c>
      <c r="O1146" s="36">
        <f t="shared" si="403"/>
        <v>142</v>
      </c>
      <c r="P1146" s="36" t="str">
        <f t="shared" si="403"/>
        <v>CUN</v>
      </c>
      <c r="R1146">
        <v>1132</v>
      </c>
      <c r="S1146" s="36" t="str">
        <f t="shared" ref="S1146:T1204" si="405">S1145</f>
        <v>INTERAVIÓN</v>
      </c>
      <c r="T1146" s="36">
        <f t="shared" si="405"/>
        <v>2216</v>
      </c>
      <c r="U1146" s="73">
        <v>0.84791666666666676</v>
      </c>
      <c r="V1146" s="74">
        <v>0.8520833333333333</v>
      </c>
      <c r="W1146" s="75">
        <v>4.1666666666665408E-3</v>
      </c>
      <c r="X1146" s="74">
        <v>0.85555555555555562</v>
      </c>
      <c r="Y1146" s="75">
        <v>3.4722222222223209E-3</v>
      </c>
      <c r="Z1146" s="76">
        <v>41732</v>
      </c>
      <c r="AA1146" s="36" t="str">
        <f t="shared" ref="AA1146:AG1160" si="406">AA1145</f>
        <v>Nacional</v>
      </c>
      <c r="AB1146" s="36">
        <f t="shared" si="406"/>
        <v>6.0329861111111036E-3</v>
      </c>
      <c r="AC1146" s="36">
        <f t="shared" si="406"/>
        <v>6.9878472222222321E-3</v>
      </c>
      <c r="AD1146" s="36">
        <f t="shared" si="406"/>
        <v>1.3020833333333336E-2</v>
      </c>
      <c r="AE1146" s="36">
        <f t="shared" si="406"/>
        <v>320</v>
      </c>
      <c r="AF1146" s="36">
        <f t="shared" si="406"/>
        <v>179</v>
      </c>
      <c r="AG1146" s="36" t="str">
        <f t="shared" si="406"/>
        <v>MEX</v>
      </c>
      <c r="AI1146">
        <v>1132</v>
      </c>
      <c r="AJ1146" s="77" t="str">
        <f t="shared" si="397"/>
        <v>INTERAVIÓN</v>
      </c>
      <c r="AK1146" s="77">
        <f t="shared" si="397"/>
        <v>2204</v>
      </c>
      <c r="AL1146" s="186">
        <v>0.95138888888888884</v>
      </c>
      <c r="AM1146" s="79">
        <v>0.97569444444444453</v>
      </c>
      <c r="AN1146" s="80">
        <v>2.4305555555555691E-2</v>
      </c>
      <c r="AO1146" s="79">
        <v>0.98263888888888884</v>
      </c>
      <c r="AP1146" s="80">
        <v>6.9444444444443088E-3</v>
      </c>
      <c r="AQ1146" s="81">
        <v>41801</v>
      </c>
      <c r="AR1146" s="77" t="str">
        <f t="shared" si="401"/>
        <v>Nacional</v>
      </c>
      <c r="AS1146" s="77">
        <f t="shared" si="401"/>
        <v>8.8975694444444683E-3</v>
      </c>
      <c r="AT1146" s="77">
        <f t="shared" si="401"/>
        <v>8.5937500000000007E-3</v>
      </c>
      <c r="AU1146" s="77">
        <f t="shared" si="401"/>
        <v>1.7491319444444469E-2</v>
      </c>
      <c r="AV1146" s="77">
        <f t="shared" si="401"/>
        <v>320</v>
      </c>
      <c r="AW1146" s="77">
        <f t="shared" si="401"/>
        <v>179</v>
      </c>
      <c r="AX1146" s="77" t="str">
        <f t="shared" si="401"/>
        <v>MEX</v>
      </c>
    </row>
    <row r="1147" spans="1:50" x14ac:dyDescent="0.25">
      <c r="A1147">
        <v>1133</v>
      </c>
      <c r="B1147" s="36" t="str">
        <f t="shared" si="402"/>
        <v>BARATA Y MORADA</v>
      </c>
      <c r="C1147" s="36">
        <f t="shared" si="402"/>
        <v>633</v>
      </c>
      <c r="D1147" s="118">
        <v>0.68125000000000002</v>
      </c>
      <c r="E1147" s="118">
        <v>0.68958333333333333</v>
      </c>
      <c r="F1147" s="119">
        <v>8.3333333333333037E-3</v>
      </c>
      <c r="G1147" s="118">
        <v>0.69652777777777775</v>
      </c>
      <c r="H1147" s="119">
        <v>6.9444444444444198E-3</v>
      </c>
      <c r="I1147" s="81">
        <v>41717</v>
      </c>
      <c r="J1147" s="36" t="str">
        <f t="shared" si="403"/>
        <v>Nacional</v>
      </c>
      <c r="K1147" s="36">
        <f t="shared" si="403"/>
        <v>8.386752136752133E-3</v>
      </c>
      <c r="L1147" s="36">
        <f t="shared" si="403"/>
        <v>8.6004273504273789E-3</v>
      </c>
      <c r="M1147" s="36">
        <f t="shared" si="403"/>
        <v>1.698717948717951E-2</v>
      </c>
      <c r="N1147" s="36" t="str">
        <f t="shared" si="403"/>
        <v>A319</v>
      </c>
      <c r="O1147" s="36">
        <f t="shared" si="403"/>
        <v>142</v>
      </c>
      <c r="P1147" s="36" t="str">
        <f t="shared" si="403"/>
        <v>CUN</v>
      </c>
      <c r="R1147">
        <v>1133</v>
      </c>
      <c r="S1147" s="36" t="str">
        <f t="shared" si="405"/>
        <v>INTERAVIÓN</v>
      </c>
      <c r="T1147" s="36">
        <f t="shared" si="405"/>
        <v>2216</v>
      </c>
      <c r="U1147" s="73">
        <v>0.87222222222222223</v>
      </c>
      <c r="V1147" s="74">
        <v>0.87291666666666667</v>
      </c>
      <c r="W1147" s="75">
        <v>6.9444444444444198E-4</v>
      </c>
      <c r="X1147" s="74">
        <v>0.87361111111111101</v>
      </c>
      <c r="Y1147" s="75">
        <v>6.9444444444433095E-4</v>
      </c>
      <c r="Z1147" s="76">
        <v>41734</v>
      </c>
      <c r="AA1147" s="36" t="str">
        <f t="shared" si="406"/>
        <v>Nacional</v>
      </c>
      <c r="AB1147" s="36">
        <f t="shared" si="406"/>
        <v>6.0329861111111036E-3</v>
      </c>
      <c r="AC1147" s="36">
        <f t="shared" si="406"/>
        <v>6.9878472222222321E-3</v>
      </c>
      <c r="AD1147" s="36">
        <f t="shared" si="406"/>
        <v>1.3020833333333336E-2</v>
      </c>
      <c r="AE1147" s="36">
        <f t="shared" si="406"/>
        <v>320</v>
      </c>
      <c r="AF1147" s="36">
        <f t="shared" si="406"/>
        <v>179</v>
      </c>
      <c r="AG1147" s="36" t="str">
        <f t="shared" si="406"/>
        <v>MEX</v>
      </c>
      <c r="AI1147">
        <v>1133</v>
      </c>
      <c r="AJ1147" s="77" t="str">
        <f t="shared" si="397"/>
        <v>INTERAVIÓN</v>
      </c>
      <c r="AK1147" s="77">
        <f t="shared" si="397"/>
        <v>2204</v>
      </c>
      <c r="AL1147" s="186">
        <v>0.54027777777777775</v>
      </c>
      <c r="AM1147" s="79">
        <v>0.55208333333333337</v>
      </c>
      <c r="AN1147" s="80">
        <v>1.1805555555555625E-2</v>
      </c>
      <c r="AO1147" s="79">
        <v>0.56597222222222221</v>
      </c>
      <c r="AP1147" s="80">
        <v>1.388888888888884E-2</v>
      </c>
      <c r="AQ1147" s="81">
        <v>41801</v>
      </c>
      <c r="AR1147" s="77" t="str">
        <f t="shared" si="401"/>
        <v>Nacional</v>
      </c>
      <c r="AS1147" s="77">
        <f t="shared" si="401"/>
        <v>8.8975694444444683E-3</v>
      </c>
      <c r="AT1147" s="77">
        <f t="shared" si="401"/>
        <v>8.5937500000000007E-3</v>
      </c>
      <c r="AU1147" s="77">
        <f t="shared" si="401"/>
        <v>1.7491319444444469E-2</v>
      </c>
      <c r="AV1147" s="77">
        <f t="shared" si="401"/>
        <v>320</v>
      </c>
      <c r="AW1147" s="77">
        <f t="shared" si="401"/>
        <v>179</v>
      </c>
      <c r="AX1147" s="77" t="str">
        <f t="shared" si="401"/>
        <v>MEX</v>
      </c>
    </row>
    <row r="1148" spans="1:50" x14ac:dyDescent="0.25">
      <c r="A1148">
        <v>1134</v>
      </c>
      <c r="B1148" s="36" t="str">
        <f t="shared" si="402"/>
        <v>BARATA Y MORADA</v>
      </c>
      <c r="C1148" s="36">
        <f t="shared" si="402"/>
        <v>633</v>
      </c>
      <c r="D1148" s="118">
        <v>0.78125</v>
      </c>
      <c r="E1148" s="118">
        <v>0.7895833333333333</v>
      </c>
      <c r="F1148" s="119">
        <v>8.3333333333333037E-3</v>
      </c>
      <c r="G1148" s="118">
        <v>0.80138888888888893</v>
      </c>
      <c r="H1148" s="119">
        <v>1.1805555555555625E-2</v>
      </c>
      <c r="I1148" s="81">
        <v>41718</v>
      </c>
      <c r="J1148" s="36" t="str">
        <f t="shared" si="403"/>
        <v>Nacional</v>
      </c>
      <c r="K1148" s="36">
        <f t="shared" si="403"/>
        <v>8.386752136752133E-3</v>
      </c>
      <c r="L1148" s="36">
        <f t="shared" si="403"/>
        <v>8.6004273504273789E-3</v>
      </c>
      <c r="M1148" s="36">
        <f t="shared" si="403"/>
        <v>1.698717948717951E-2</v>
      </c>
      <c r="N1148" s="36" t="str">
        <f t="shared" si="403"/>
        <v>A319</v>
      </c>
      <c r="O1148" s="36">
        <f t="shared" si="403"/>
        <v>142</v>
      </c>
      <c r="P1148" s="36" t="str">
        <f t="shared" si="403"/>
        <v>CUN</v>
      </c>
      <c r="R1148">
        <v>1134</v>
      </c>
      <c r="S1148" s="36" t="str">
        <f t="shared" si="405"/>
        <v>INTERAVIÓN</v>
      </c>
      <c r="T1148" s="36">
        <f t="shared" si="405"/>
        <v>2216</v>
      </c>
      <c r="U1148" s="73">
        <v>0.66666666666666663</v>
      </c>
      <c r="V1148" s="74">
        <v>0.67291666666666661</v>
      </c>
      <c r="W1148" s="75">
        <v>6.2499999999999778E-3</v>
      </c>
      <c r="X1148" s="74">
        <v>0.6777777777777777</v>
      </c>
      <c r="Y1148" s="75">
        <v>4.8611111111110938E-3</v>
      </c>
      <c r="Z1148" s="76">
        <v>41735</v>
      </c>
      <c r="AA1148" s="36" t="str">
        <f t="shared" si="406"/>
        <v>Nacional</v>
      </c>
      <c r="AB1148" s="36">
        <f t="shared" si="406"/>
        <v>6.0329861111111036E-3</v>
      </c>
      <c r="AC1148" s="36">
        <f t="shared" si="406"/>
        <v>6.9878472222222321E-3</v>
      </c>
      <c r="AD1148" s="36">
        <f t="shared" si="406"/>
        <v>1.3020833333333336E-2</v>
      </c>
      <c r="AE1148" s="36">
        <f t="shared" si="406"/>
        <v>320</v>
      </c>
      <c r="AF1148" s="36">
        <f t="shared" si="406"/>
        <v>179</v>
      </c>
      <c r="AG1148" s="36" t="str">
        <f t="shared" si="406"/>
        <v>MEX</v>
      </c>
      <c r="AI1148">
        <v>1134</v>
      </c>
      <c r="AJ1148" s="77" t="str">
        <f t="shared" si="397"/>
        <v>INTERAVIÓN</v>
      </c>
      <c r="AK1148" s="77">
        <f t="shared" si="397"/>
        <v>2204</v>
      </c>
      <c r="AL1148" s="186">
        <v>0.19930555555555554</v>
      </c>
      <c r="AM1148" s="79">
        <v>0.21249999999999999</v>
      </c>
      <c r="AN1148" s="80">
        <v>1.3194444444444453E-2</v>
      </c>
      <c r="AO1148" s="79">
        <v>0.23750000000000002</v>
      </c>
      <c r="AP1148" s="80">
        <v>2.5000000000000022E-2</v>
      </c>
      <c r="AQ1148" s="81">
        <v>41802</v>
      </c>
      <c r="AR1148" s="77" t="str">
        <f t="shared" si="401"/>
        <v>Nacional</v>
      </c>
      <c r="AS1148" s="77">
        <f t="shared" si="401"/>
        <v>8.8975694444444683E-3</v>
      </c>
      <c r="AT1148" s="77">
        <f t="shared" si="401"/>
        <v>8.5937500000000007E-3</v>
      </c>
      <c r="AU1148" s="77">
        <f t="shared" si="401"/>
        <v>1.7491319444444469E-2</v>
      </c>
      <c r="AV1148" s="77">
        <f t="shared" si="401"/>
        <v>320</v>
      </c>
      <c r="AW1148" s="77">
        <f t="shared" si="401"/>
        <v>179</v>
      </c>
      <c r="AX1148" s="77" t="str">
        <f t="shared" si="401"/>
        <v>MEX</v>
      </c>
    </row>
    <row r="1149" spans="1:50" x14ac:dyDescent="0.25">
      <c r="A1149">
        <v>1135</v>
      </c>
      <c r="B1149" s="36" t="str">
        <f t="shared" si="402"/>
        <v>BARATA Y MORADA</v>
      </c>
      <c r="C1149" s="36">
        <f t="shared" si="402"/>
        <v>633</v>
      </c>
      <c r="D1149" s="118">
        <v>0.68402777777777779</v>
      </c>
      <c r="E1149" s="118">
        <v>0.69097222222222221</v>
      </c>
      <c r="F1149" s="119">
        <v>6.9444444444444198E-3</v>
      </c>
      <c r="G1149" s="118">
        <v>0.7055555555555556</v>
      </c>
      <c r="H1149" s="119">
        <v>1.4583333333333393E-2</v>
      </c>
      <c r="I1149" s="81">
        <v>41720</v>
      </c>
      <c r="J1149" s="36" t="str">
        <f t="shared" si="403"/>
        <v>Nacional</v>
      </c>
      <c r="K1149" s="36">
        <f t="shared" si="403"/>
        <v>8.386752136752133E-3</v>
      </c>
      <c r="L1149" s="36">
        <f t="shared" si="403"/>
        <v>8.6004273504273789E-3</v>
      </c>
      <c r="M1149" s="36">
        <f t="shared" si="403"/>
        <v>1.698717948717951E-2</v>
      </c>
      <c r="N1149" s="36" t="str">
        <f t="shared" si="403"/>
        <v>A319</v>
      </c>
      <c r="O1149" s="36">
        <f t="shared" si="403"/>
        <v>142</v>
      </c>
      <c r="P1149" s="36" t="str">
        <f t="shared" si="403"/>
        <v>CUN</v>
      </c>
      <c r="R1149">
        <v>1135</v>
      </c>
      <c r="S1149" s="36" t="str">
        <f t="shared" si="405"/>
        <v>INTERAVIÓN</v>
      </c>
      <c r="T1149" s="36">
        <f t="shared" si="405"/>
        <v>2216</v>
      </c>
      <c r="U1149" s="73">
        <v>0.84236111111111101</v>
      </c>
      <c r="V1149" s="74">
        <v>0.84791666666666676</v>
      </c>
      <c r="W1149" s="75">
        <v>5.5555555555557579E-3</v>
      </c>
      <c r="X1149" s="74">
        <v>0.85763888888888884</v>
      </c>
      <c r="Y1149" s="75">
        <v>9.7222222222220767E-3</v>
      </c>
      <c r="Z1149" s="76">
        <v>41736</v>
      </c>
      <c r="AA1149" s="36" t="str">
        <f t="shared" si="406"/>
        <v>Nacional</v>
      </c>
      <c r="AB1149" s="36">
        <f t="shared" si="406"/>
        <v>6.0329861111111036E-3</v>
      </c>
      <c r="AC1149" s="36">
        <f t="shared" si="406"/>
        <v>6.9878472222222321E-3</v>
      </c>
      <c r="AD1149" s="36">
        <f t="shared" si="406"/>
        <v>1.3020833333333336E-2</v>
      </c>
      <c r="AE1149" s="36">
        <f t="shared" si="406"/>
        <v>320</v>
      </c>
      <c r="AF1149" s="36">
        <f t="shared" si="406"/>
        <v>179</v>
      </c>
      <c r="AG1149" s="36" t="str">
        <f t="shared" si="406"/>
        <v>MEX</v>
      </c>
      <c r="AI1149">
        <v>1135</v>
      </c>
      <c r="AJ1149" s="77" t="str">
        <f t="shared" si="397"/>
        <v>INTERAVIÓN</v>
      </c>
      <c r="AK1149" s="77">
        <f t="shared" si="397"/>
        <v>2204</v>
      </c>
      <c r="AL1149" s="186">
        <v>0.90208333333333324</v>
      </c>
      <c r="AM1149" s="79">
        <v>0.90694444444444444</v>
      </c>
      <c r="AN1149" s="80">
        <v>4.8611111111112049E-3</v>
      </c>
      <c r="AO1149" s="79">
        <v>0.91527777777777775</v>
      </c>
      <c r="AP1149" s="80">
        <v>8.3333333333333037E-3</v>
      </c>
      <c r="AQ1149" s="81">
        <v>41803</v>
      </c>
      <c r="AR1149" s="77" t="str">
        <f t="shared" si="401"/>
        <v>Nacional</v>
      </c>
      <c r="AS1149" s="77">
        <f t="shared" si="401"/>
        <v>8.8975694444444683E-3</v>
      </c>
      <c r="AT1149" s="77">
        <f t="shared" si="401"/>
        <v>8.5937500000000007E-3</v>
      </c>
      <c r="AU1149" s="77">
        <f t="shared" si="401"/>
        <v>1.7491319444444469E-2</v>
      </c>
      <c r="AV1149" s="77">
        <f t="shared" si="401"/>
        <v>320</v>
      </c>
      <c r="AW1149" s="77">
        <f t="shared" si="401"/>
        <v>179</v>
      </c>
      <c r="AX1149" s="77" t="str">
        <f t="shared" si="401"/>
        <v>MEX</v>
      </c>
    </row>
    <row r="1150" spans="1:50" x14ac:dyDescent="0.25">
      <c r="A1150">
        <v>1136</v>
      </c>
      <c r="B1150" s="36" t="str">
        <f t="shared" si="402"/>
        <v>BARATA Y MORADA</v>
      </c>
      <c r="C1150" s="36">
        <f t="shared" si="402"/>
        <v>633</v>
      </c>
      <c r="D1150" s="118">
        <v>0.68472222222222223</v>
      </c>
      <c r="E1150" s="118">
        <v>0.69444444444444453</v>
      </c>
      <c r="F1150" s="119">
        <v>9.7222222222222987E-3</v>
      </c>
      <c r="G1150" s="118">
        <v>0.70486111111111116</v>
      </c>
      <c r="H1150" s="119">
        <v>1.041666666666663E-2</v>
      </c>
      <c r="I1150" s="81">
        <v>41721</v>
      </c>
      <c r="J1150" s="36" t="str">
        <f t="shared" si="403"/>
        <v>Nacional</v>
      </c>
      <c r="K1150" s="36">
        <f t="shared" si="403"/>
        <v>8.386752136752133E-3</v>
      </c>
      <c r="L1150" s="36">
        <f t="shared" si="403"/>
        <v>8.6004273504273789E-3</v>
      </c>
      <c r="M1150" s="36">
        <f t="shared" si="403"/>
        <v>1.698717948717951E-2</v>
      </c>
      <c r="N1150" s="36" t="str">
        <f t="shared" si="403"/>
        <v>A319</v>
      </c>
      <c r="O1150" s="36">
        <f t="shared" si="403"/>
        <v>142</v>
      </c>
      <c r="P1150" s="36" t="str">
        <f t="shared" si="403"/>
        <v>CUN</v>
      </c>
      <c r="R1150">
        <v>1136</v>
      </c>
      <c r="S1150" s="36" t="str">
        <f t="shared" si="405"/>
        <v>INTERAVIÓN</v>
      </c>
      <c r="T1150" s="36">
        <f t="shared" si="405"/>
        <v>2216</v>
      </c>
      <c r="U1150" s="73">
        <v>0.84097222222222223</v>
      </c>
      <c r="V1150" s="74">
        <v>0.84583333333333333</v>
      </c>
      <c r="W1150" s="75">
        <v>4.8611111111110938E-3</v>
      </c>
      <c r="X1150" s="74">
        <v>0.85138888888888886</v>
      </c>
      <c r="Y1150" s="75">
        <v>5.5555555555555358E-3</v>
      </c>
      <c r="Z1150" s="76">
        <v>41736</v>
      </c>
      <c r="AA1150" s="36" t="str">
        <f t="shared" si="406"/>
        <v>Nacional</v>
      </c>
      <c r="AB1150" s="36">
        <f t="shared" si="406"/>
        <v>6.0329861111111036E-3</v>
      </c>
      <c r="AC1150" s="36">
        <f t="shared" si="406"/>
        <v>6.9878472222222321E-3</v>
      </c>
      <c r="AD1150" s="36">
        <f t="shared" si="406"/>
        <v>1.3020833333333336E-2</v>
      </c>
      <c r="AE1150" s="36">
        <f t="shared" si="406"/>
        <v>320</v>
      </c>
      <c r="AF1150" s="36">
        <f t="shared" si="406"/>
        <v>179</v>
      </c>
      <c r="AG1150" s="36" t="str">
        <f t="shared" si="406"/>
        <v>MEX</v>
      </c>
      <c r="AI1150">
        <v>1136</v>
      </c>
      <c r="AJ1150" s="77" t="str">
        <f t="shared" si="397"/>
        <v>INTERAVIÓN</v>
      </c>
      <c r="AK1150" s="77">
        <f t="shared" si="397"/>
        <v>2204</v>
      </c>
      <c r="AL1150" s="186">
        <v>0.76388888888888884</v>
      </c>
      <c r="AM1150" s="79">
        <v>0.77222222222222225</v>
      </c>
      <c r="AN1150" s="80">
        <v>8.3333333333334147E-3</v>
      </c>
      <c r="AO1150" s="79">
        <v>0.78263888888888899</v>
      </c>
      <c r="AP1150" s="80">
        <v>1.0416666666666741E-2</v>
      </c>
      <c r="AQ1150" s="81">
        <v>41806</v>
      </c>
      <c r="AR1150" s="77" t="str">
        <f t="shared" si="401"/>
        <v>Nacional</v>
      </c>
      <c r="AS1150" s="77">
        <f t="shared" si="401"/>
        <v>8.8975694444444683E-3</v>
      </c>
      <c r="AT1150" s="77">
        <f t="shared" si="401"/>
        <v>8.5937500000000007E-3</v>
      </c>
      <c r="AU1150" s="77">
        <f t="shared" si="401"/>
        <v>1.7491319444444469E-2</v>
      </c>
      <c r="AV1150" s="77">
        <f t="shared" si="401"/>
        <v>320</v>
      </c>
      <c r="AW1150" s="77">
        <f t="shared" si="401"/>
        <v>179</v>
      </c>
      <c r="AX1150" s="77" t="str">
        <f t="shared" si="401"/>
        <v>MEX</v>
      </c>
    </row>
    <row r="1151" spans="1:50" x14ac:dyDescent="0.25">
      <c r="A1151">
        <v>1137</v>
      </c>
      <c r="B1151" s="36" t="str">
        <f t="shared" si="402"/>
        <v>BARATA Y MORADA</v>
      </c>
      <c r="C1151" s="36">
        <f t="shared" si="402"/>
        <v>633</v>
      </c>
      <c r="D1151" s="118">
        <v>0.67708333333333337</v>
      </c>
      <c r="E1151" s="118">
        <v>0.68333333333333324</v>
      </c>
      <c r="F1151" s="119">
        <v>6.2499999999998668E-3</v>
      </c>
      <c r="G1151" s="118">
        <v>0.69166666666666676</v>
      </c>
      <c r="H1151" s="119">
        <v>8.3333333333335258E-3</v>
      </c>
      <c r="I1151" s="81">
        <v>41722</v>
      </c>
      <c r="J1151" s="36" t="str">
        <f t="shared" si="403"/>
        <v>Nacional</v>
      </c>
      <c r="K1151" s="36">
        <f t="shared" si="403"/>
        <v>8.386752136752133E-3</v>
      </c>
      <c r="L1151" s="36">
        <f t="shared" si="403"/>
        <v>8.6004273504273789E-3</v>
      </c>
      <c r="M1151" s="36">
        <f t="shared" si="403"/>
        <v>1.698717948717951E-2</v>
      </c>
      <c r="N1151" s="36" t="str">
        <f t="shared" si="403"/>
        <v>A319</v>
      </c>
      <c r="O1151" s="36">
        <f t="shared" si="403"/>
        <v>142</v>
      </c>
      <c r="P1151" s="36" t="str">
        <f t="shared" si="403"/>
        <v>CUN</v>
      </c>
      <c r="R1151">
        <v>1137</v>
      </c>
      <c r="S1151" s="36" t="str">
        <f t="shared" si="405"/>
        <v>INTERAVIÓN</v>
      </c>
      <c r="T1151" s="36">
        <f t="shared" si="405"/>
        <v>2216</v>
      </c>
      <c r="U1151" s="73">
        <v>0.85625000000000007</v>
      </c>
      <c r="V1151" s="74">
        <v>0.86249999999999993</v>
      </c>
      <c r="W1151" s="75">
        <v>6.2499999999998668E-3</v>
      </c>
      <c r="X1151" s="74">
        <v>0.86736111111111114</v>
      </c>
      <c r="Y1151" s="75">
        <v>4.8611111111112049E-3</v>
      </c>
      <c r="Z1151" s="76">
        <v>41740</v>
      </c>
      <c r="AA1151" s="36" t="str">
        <f t="shared" si="406"/>
        <v>Nacional</v>
      </c>
      <c r="AB1151" s="36">
        <f t="shared" si="406"/>
        <v>6.0329861111111036E-3</v>
      </c>
      <c r="AC1151" s="36">
        <f t="shared" si="406"/>
        <v>6.9878472222222321E-3</v>
      </c>
      <c r="AD1151" s="36">
        <f t="shared" si="406"/>
        <v>1.3020833333333336E-2</v>
      </c>
      <c r="AE1151" s="36">
        <f t="shared" si="406"/>
        <v>320</v>
      </c>
      <c r="AF1151" s="36">
        <f t="shared" si="406"/>
        <v>179</v>
      </c>
      <c r="AG1151" s="36" t="str">
        <f t="shared" si="406"/>
        <v>MEX</v>
      </c>
      <c r="AI1151">
        <v>1137</v>
      </c>
      <c r="AJ1151" s="77" t="str">
        <f t="shared" si="397"/>
        <v>INTERAVIÓN</v>
      </c>
      <c r="AK1151" s="77">
        <f t="shared" si="397"/>
        <v>2204</v>
      </c>
      <c r="AL1151" s="186">
        <v>0.24930555555555556</v>
      </c>
      <c r="AM1151" s="79">
        <v>0.26597222222222222</v>
      </c>
      <c r="AN1151" s="80">
        <v>1.6666666666666663E-2</v>
      </c>
      <c r="AO1151" s="79">
        <v>0.28611111111111115</v>
      </c>
      <c r="AP1151" s="80">
        <v>2.0138888888888928E-2</v>
      </c>
      <c r="AQ1151" s="81">
        <v>41807</v>
      </c>
      <c r="AR1151" s="77" t="str">
        <f t="shared" si="401"/>
        <v>Nacional</v>
      </c>
      <c r="AS1151" s="77">
        <f t="shared" si="401"/>
        <v>8.8975694444444683E-3</v>
      </c>
      <c r="AT1151" s="77">
        <f t="shared" si="401"/>
        <v>8.5937500000000007E-3</v>
      </c>
      <c r="AU1151" s="77">
        <f t="shared" si="401"/>
        <v>1.7491319444444469E-2</v>
      </c>
      <c r="AV1151" s="77">
        <f t="shared" si="401"/>
        <v>320</v>
      </c>
      <c r="AW1151" s="77">
        <f t="shared" si="401"/>
        <v>179</v>
      </c>
      <c r="AX1151" s="77" t="str">
        <f t="shared" si="401"/>
        <v>MEX</v>
      </c>
    </row>
    <row r="1152" spans="1:50" x14ac:dyDescent="0.25">
      <c r="A1152">
        <v>1138</v>
      </c>
      <c r="B1152" s="36" t="str">
        <f t="shared" si="402"/>
        <v>BARATA Y MORADA</v>
      </c>
      <c r="C1152" s="36">
        <f t="shared" si="402"/>
        <v>633</v>
      </c>
      <c r="D1152" s="118">
        <v>0.68402777777777779</v>
      </c>
      <c r="E1152" s="118">
        <v>0.69444444444444453</v>
      </c>
      <c r="F1152" s="119">
        <v>1.0416666666666741E-2</v>
      </c>
      <c r="G1152" s="118">
        <v>0.70347222222222217</v>
      </c>
      <c r="H1152" s="119">
        <v>9.0277777777776347E-3</v>
      </c>
      <c r="I1152" s="81">
        <v>41725</v>
      </c>
      <c r="J1152" s="36" t="str">
        <f t="shared" si="403"/>
        <v>Nacional</v>
      </c>
      <c r="K1152" s="36">
        <f t="shared" si="403"/>
        <v>8.386752136752133E-3</v>
      </c>
      <c r="L1152" s="36">
        <f t="shared" si="403"/>
        <v>8.6004273504273789E-3</v>
      </c>
      <c r="M1152" s="36">
        <f t="shared" si="403"/>
        <v>1.698717948717951E-2</v>
      </c>
      <c r="N1152" s="36" t="str">
        <f t="shared" si="403"/>
        <v>A319</v>
      </c>
      <c r="O1152" s="36">
        <f t="shared" si="403"/>
        <v>142</v>
      </c>
      <c r="P1152" s="36" t="str">
        <f t="shared" si="403"/>
        <v>CUN</v>
      </c>
      <c r="R1152">
        <v>1138</v>
      </c>
      <c r="S1152" s="36" t="str">
        <f t="shared" si="405"/>
        <v>INTERAVIÓN</v>
      </c>
      <c r="T1152" s="36">
        <f t="shared" si="405"/>
        <v>2216</v>
      </c>
      <c r="U1152" s="73">
        <v>0.87569444444444444</v>
      </c>
      <c r="V1152" s="74">
        <v>0.88888888888888884</v>
      </c>
      <c r="W1152" s="75">
        <v>1.3194444444444398E-2</v>
      </c>
      <c r="X1152" s="74">
        <v>0.89027777777777783</v>
      </c>
      <c r="Y1152" s="75">
        <v>1.388888888888995E-3</v>
      </c>
      <c r="Z1152" s="76">
        <v>41743</v>
      </c>
      <c r="AA1152" s="36" t="str">
        <f t="shared" si="406"/>
        <v>Nacional</v>
      </c>
      <c r="AB1152" s="36">
        <f t="shared" si="406"/>
        <v>6.0329861111111036E-3</v>
      </c>
      <c r="AC1152" s="36">
        <f t="shared" si="406"/>
        <v>6.9878472222222321E-3</v>
      </c>
      <c r="AD1152" s="36">
        <f t="shared" si="406"/>
        <v>1.3020833333333336E-2</v>
      </c>
      <c r="AE1152" s="36">
        <f t="shared" si="406"/>
        <v>320</v>
      </c>
      <c r="AF1152" s="36">
        <f t="shared" si="406"/>
        <v>179</v>
      </c>
      <c r="AG1152" s="36" t="str">
        <f t="shared" si="406"/>
        <v>MEX</v>
      </c>
      <c r="AI1152">
        <v>1138</v>
      </c>
      <c r="AJ1152" s="77" t="str">
        <f t="shared" si="397"/>
        <v>INTERAVIÓN</v>
      </c>
      <c r="AK1152" s="77">
        <f t="shared" si="397"/>
        <v>2204</v>
      </c>
      <c r="AL1152" s="186">
        <v>0.38958333333333334</v>
      </c>
      <c r="AM1152" s="79">
        <v>0.40208333333333335</v>
      </c>
      <c r="AN1152" s="80">
        <v>1.2500000000000011E-2</v>
      </c>
      <c r="AO1152" s="79">
        <v>0.40347222222222223</v>
      </c>
      <c r="AP1152" s="80">
        <v>1.388888888888884E-3</v>
      </c>
      <c r="AQ1152" s="81">
        <v>41808</v>
      </c>
      <c r="AR1152" s="77" t="str">
        <f t="shared" si="401"/>
        <v>Nacional</v>
      </c>
      <c r="AS1152" s="77">
        <f t="shared" si="401"/>
        <v>8.8975694444444683E-3</v>
      </c>
      <c r="AT1152" s="77">
        <f t="shared" si="401"/>
        <v>8.5937500000000007E-3</v>
      </c>
      <c r="AU1152" s="77">
        <f t="shared" si="401"/>
        <v>1.7491319444444469E-2</v>
      </c>
      <c r="AV1152" s="77">
        <f t="shared" si="401"/>
        <v>320</v>
      </c>
      <c r="AW1152" s="77">
        <f t="shared" si="401"/>
        <v>179</v>
      </c>
      <c r="AX1152" s="77" t="str">
        <f t="shared" si="401"/>
        <v>MEX</v>
      </c>
    </row>
    <row r="1153" spans="1:50" x14ac:dyDescent="0.25">
      <c r="A1153">
        <v>1139</v>
      </c>
      <c r="B1153" s="36" t="str">
        <f t="shared" si="402"/>
        <v>BARATA Y MORADA</v>
      </c>
      <c r="C1153" s="36">
        <f t="shared" si="402"/>
        <v>633</v>
      </c>
      <c r="D1153" s="118">
        <v>0.68125000000000002</v>
      </c>
      <c r="E1153" s="118">
        <v>0.6875</v>
      </c>
      <c r="F1153" s="119">
        <v>6.2499999999999778E-3</v>
      </c>
      <c r="G1153" s="118">
        <v>0.69305555555555554</v>
      </c>
      <c r="H1153" s="119">
        <v>5.5555555555555358E-3</v>
      </c>
      <c r="I1153" s="81">
        <v>41726</v>
      </c>
      <c r="J1153" s="36" t="str">
        <f t="shared" si="403"/>
        <v>Nacional</v>
      </c>
      <c r="K1153" s="36">
        <f t="shared" si="403"/>
        <v>8.386752136752133E-3</v>
      </c>
      <c r="L1153" s="36">
        <f t="shared" si="403"/>
        <v>8.6004273504273789E-3</v>
      </c>
      <c r="M1153" s="36">
        <f t="shared" si="403"/>
        <v>1.698717948717951E-2</v>
      </c>
      <c r="N1153" s="36" t="str">
        <f t="shared" si="403"/>
        <v>A319</v>
      </c>
      <c r="O1153" s="36">
        <f t="shared" si="403"/>
        <v>142</v>
      </c>
      <c r="P1153" s="36" t="str">
        <f t="shared" si="403"/>
        <v>CUN</v>
      </c>
      <c r="R1153">
        <v>1139</v>
      </c>
      <c r="S1153" s="36" t="str">
        <f t="shared" si="405"/>
        <v>INTERAVIÓN</v>
      </c>
      <c r="T1153" s="36">
        <f t="shared" si="405"/>
        <v>2216</v>
      </c>
      <c r="U1153" s="73">
        <v>0.83611111111111114</v>
      </c>
      <c r="V1153" s="74">
        <v>0.84027777777777779</v>
      </c>
      <c r="W1153" s="75">
        <v>4.1666666666666519E-3</v>
      </c>
      <c r="X1153" s="74">
        <v>0.85138888888888886</v>
      </c>
      <c r="Y1153" s="75">
        <v>1.1111111111111072E-2</v>
      </c>
      <c r="Z1153" s="76">
        <v>41745</v>
      </c>
      <c r="AA1153" s="36" t="str">
        <f t="shared" si="406"/>
        <v>Nacional</v>
      </c>
      <c r="AB1153" s="36">
        <f t="shared" si="406"/>
        <v>6.0329861111111036E-3</v>
      </c>
      <c r="AC1153" s="36">
        <f t="shared" si="406"/>
        <v>6.9878472222222321E-3</v>
      </c>
      <c r="AD1153" s="36">
        <f t="shared" si="406"/>
        <v>1.3020833333333336E-2</v>
      </c>
      <c r="AE1153" s="36">
        <f t="shared" si="406"/>
        <v>320</v>
      </c>
      <c r="AF1153" s="36">
        <f t="shared" si="406"/>
        <v>179</v>
      </c>
      <c r="AG1153" s="36" t="str">
        <f t="shared" si="406"/>
        <v>MEX</v>
      </c>
      <c r="AI1153">
        <v>1139</v>
      </c>
      <c r="AJ1153" s="77" t="str">
        <f t="shared" si="397"/>
        <v>INTERAVIÓN</v>
      </c>
      <c r="AK1153" s="77">
        <f t="shared" si="397"/>
        <v>2204</v>
      </c>
      <c r="AL1153" s="186">
        <v>0.3659722222222222</v>
      </c>
      <c r="AM1153" s="79">
        <v>0.37222222222222223</v>
      </c>
      <c r="AN1153" s="80">
        <v>6.2500000000000333E-3</v>
      </c>
      <c r="AO1153" s="79">
        <v>0.37847222222222227</v>
      </c>
      <c r="AP1153" s="80">
        <v>6.2500000000000333E-3</v>
      </c>
      <c r="AQ1153" s="81">
        <v>41809</v>
      </c>
      <c r="AR1153" s="77" t="str">
        <f t="shared" si="401"/>
        <v>Nacional</v>
      </c>
      <c r="AS1153" s="77">
        <f t="shared" si="401"/>
        <v>8.8975694444444683E-3</v>
      </c>
      <c r="AT1153" s="77">
        <f t="shared" si="401"/>
        <v>8.5937500000000007E-3</v>
      </c>
      <c r="AU1153" s="77">
        <f t="shared" si="401"/>
        <v>1.7491319444444469E-2</v>
      </c>
      <c r="AV1153" s="77">
        <f t="shared" si="401"/>
        <v>320</v>
      </c>
      <c r="AW1153" s="77">
        <f t="shared" si="401"/>
        <v>179</v>
      </c>
      <c r="AX1153" s="77" t="str">
        <f t="shared" si="401"/>
        <v>MEX</v>
      </c>
    </row>
    <row r="1154" spans="1:50" x14ac:dyDescent="0.25">
      <c r="A1154">
        <v>1140</v>
      </c>
      <c r="B1154" s="36" t="str">
        <f t="shared" si="402"/>
        <v>BARATA Y MORADA</v>
      </c>
      <c r="C1154" s="36">
        <f t="shared" si="402"/>
        <v>633</v>
      </c>
      <c r="D1154" s="118">
        <v>0.6875</v>
      </c>
      <c r="E1154" s="118">
        <v>0.69791666666666663</v>
      </c>
      <c r="F1154" s="119">
        <v>1.041666666666663E-2</v>
      </c>
      <c r="G1154" s="118">
        <v>0.7055555555555556</v>
      </c>
      <c r="H1154" s="119">
        <v>7.6388888888889728E-3</v>
      </c>
      <c r="I1154" s="81">
        <v>41727</v>
      </c>
      <c r="J1154" s="36" t="str">
        <f t="shared" si="403"/>
        <v>Nacional</v>
      </c>
      <c r="K1154" s="36">
        <f t="shared" si="403"/>
        <v>8.386752136752133E-3</v>
      </c>
      <c r="L1154" s="36">
        <f t="shared" si="403"/>
        <v>8.6004273504273789E-3</v>
      </c>
      <c r="M1154" s="36">
        <f t="shared" si="403"/>
        <v>1.698717948717951E-2</v>
      </c>
      <c r="N1154" s="36" t="str">
        <f t="shared" si="403"/>
        <v>A319</v>
      </c>
      <c r="O1154" s="36">
        <f t="shared" si="403"/>
        <v>142</v>
      </c>
      <c r="P1154" s="36" t="str">
        <f t="shared" si="403"/>
        <v>CUN</v>
      </c>
      <c r="R1154">
        <v>1140</v>
      </c>
      <c r="S1154" s="36" t="str">
        <f t="shared" si="405"/>
        <v>INTERAVIÓN</v>
      </c>
      <c r="T1154" s="36">
        <f t="shared" si="405"/>
        <v>2216</v>
      </c>
      <c r="U1154" s="73">
        <v>0.87361111111111101</v>
      </c>
      <c r="V1154" s="74">
        <v>0.87986111111111109</v>
      </c>
      <c r="W1154" s="75">
        <v>6.2500000000000888E-3</v>
      </c>
      <c r="X1154" s="74">
        <v>0.88611111111111107</v>
      </c>
      <c r="Y1154" s="75">
        <v>6.2499999999999778E-3</v>
      </c>
      <c r="Z1154" s="76">
        <v>41744</v>
      </c>
      <c r="AA1154" s="36" t="str">
        <f t="shared" si="406"/>
        <v>Nacional</v>
      </c>
      <c r="AB1154" s="36">
        <f t="shared" si="406"/>
        <v>6.0329861111111036E-3</v>
      </c>
      <c r="AC1154" s="36">
        <f t="shared" si="406"/>
        <v>6.9878472222222321E-3</v>
      </c>
      <c r="AD1154" s="36">
        <f t="shared" si="406"/>
        <v>1.3020833333333336E-2</v>
      </c>
      <c r="AE1154" s="36">
        <f t="shared" si="406"/>
        <v>320</v>
      </c>
      <c r="AF1154" s="36">
        <f t="shared" si="406"/>
        <v>179</v>
      </c>
      <c r="AG1154" s="36" t="str">
        <f t="shared" si="406"/>
        <v>MEX</v>
      </c>
      <c r="AI1154">
        <v>1140</v>
      </c>
      <c r="AJ1154" s="77" t="str">
        <f t="shared" si="397"/>
        <v>INTERAVIÓN</v>
      </c>
      <c r="AK1154" s="77">
        <f t="shared" si="397"/>
        <v>2204</v>
      </c>
      <c r="AL1154" s="186">
        <v>0.35625000000000001</v>
      </c>
      <c r="AM1154" s="79">
        <v>0.36041666666666666</v>
      </c>
      <c r="AN1154" s="80">
        <v>4.1666666666666519E-3</v>
      </c>
      <c r="AO1154" s="79">
        <v>0.36874999999999997</v>
      </c>
      <c r="AP1154" s="80">
        <v>8.3333333333333037E-3</v>
      </c>
      <c r="AQ1154" s="81">
        <v>41810</v>
      </c>
      <c r="AR1154" s="77" t="str">
        <f t="shared" si="401"/>
        <v>Nacional</v>
      </c>
      <c r="AS1154" s="77">
        <f t="shared" si="401"/>
        <v>8.8975694444444683E-3</v>
      </c>
      <c r="AT1154" s="77">
        <f t="shared" si="401"/>
        <v>8.5937500000000007E-3</v>
      </c>
      <c r="AU1154" s="77">
        <f t="shared" si="401"/>
        <v>1.7491319444444469E-2</v>
      </c>
      <c r="AV1154" s="77">
        <f t="shared" si="401"/>
        <v>320</v>
      </c>
      <c r="AW1154" s="77">
        <f t="shared" si="401"/>
        <v>179</v>
      </c>
      <c r="AX1154" s="77" t="str">
        <f t="shared" si="401"/>
        <v>MEX</v>
      </c>
    </row>
    <row r="1155" spans="1:50" ht="15.75" thickBot="1" x14ac:dyDescent="0.3">
      <c r="A1155">
        <v>1141</v>
      </c>
      <c r="B1155" s="36" t="str">
        <f t="shared" si="402"/>
        <v>BARATA Y MORADA</v>
      </c>
      <c r="C1155" s="36">
        <f t="shared" si="402"/>
        <v>633</v>
      </c>
      <c r="D1155" s="176">
        <v>0.66666666666666663</v>
      </c>
      <c r="E1155" s="176">
        <v>0.6875</v>
      </c>
      <c r="F1155" s="177">
        <v>2.083333333333337E-2</v>
      </c>
      <c r="G1155" s="176">
        <v>0.6958333333333333</v>
      </c>
      <c r="H1155" s="177">
        <v>8.3333333333333037E-3</v>
      </c>
      <c r="I1155" s="97">
        <v>41729</v>
      </c>
      <c r="J1155" s="36" t="str">
        <f t="shared" si="403"/>
        <v>Nacional</v>
      </c>
      <c r="K1155" s="36">
        <f t="shared" si="403"/>
        <v>8.386752136752133E-3</v>
      </c>
      <c r="L1155" s="36">
        <f t="shared" si="403"/>
        <v>8.6004273504273789E-3</v>
      </c>
      <c r="M1155" s="36">
        <f t="shared" si="403"/>
        <v>1.698717948717951E-2</v>
      </c>
      <c r="N1155" s="36" t="str">
        <f t="shared" si="403"/>
        <v>A319</v>
      </c>
      <c r="O1155" s="36">
        <f t="shared" si="403"/>
        <v>142</v>
      </c>
      <c r="P1155" s="36" t="str">
        <f t="shared" si="403"/>
        <v>CUN</v>
      </c>
      <c r="R1155">
        <v>1141</v>
      </c>
      <c r="S1155" s="36" t="str">
        <f t="shared" si="405"/>
        <v>INTERAVIÓN</v>
      </c>
      <c r="T1155" s="36">
        <f t="shared" si="405"/>
        <v>2216</v>
      </c>
      <c r="U1155" s="73">
        <v>0.85138888888888886</v>
      </c>
      <c r="V1155" s="74">
        <v>0.86041666666666661</v>
      </c>
      <c r="W1155" s="75">
        <v>9.0277777777777457E-3</v>
      </c>
      <c r="X1155" s="74">
        <v>0.86736111111111114</v>
      </c>
      <c r="Y1155" s="75">
        <v>6.9444444444445308E-3</v>
      </c>
      <c r="Z1155" s="76">
        <v>41749</v>
      </c>
      <c r="AA1155" s="36" t="str">
        <f t="shared" si="406"/>
        <v>Nacional</v>
      </c>
      <c r="AB1155" s="36">
        <f t="shared" si="406"/>
        <v>6.0329861111111036E-3</v>
      </c>
      <c r="AC1155" s="36">
        <f t="shared" si="406"/>
        <v>6.9878472222222321E-3</v>
      </c>
      <c r="AD1155" s="36">
        <f t="shared" si="406"/>
        <v>1.3020833333333336E-2</v>
      </c>
      <c r="AE1155" s="36">
        <f t="shared" si="406"/>
        <v>320</v>
      </c>
      <c r="AF1155" s="36">
        <f t="shared" si="406"/>
        <v>179</v>
      </c>
      <c r="AG1155" s="36" t="str">
        <f t="shared" si="406"/>
        <v>MEX</v>
      </c>
      <c r="AI1155">
        <v>1141</v>
      </c>
      <c r="AJ1155" s="77" t="str">
        <f t="shared" si="397"/>
        <v>INTERAVIÓN</v>
      </c>
      <c r="AK1155" s="77">
        <f t="shared" si="397"/>
        <v>2204</v>
      </c>
      <c r="AL1155" s="187">
        <v>0.36180555555555555</v>
      </c>
      <c r="AM1155" s="95">
        <v>0.36527777777777781</v>
      </c>
      <c r="AN1155" s="96">
        <v>3.4722222222222654E-3</v>
      </c>
      <c r="AO1155" s="95">
        <v>0.37222222222222223</v>
      </c>
      <c r="AP1155" s="96">
        <v>6.9444444444444198E-3</v>
      </c>
      <c r="AQ1155" s="97">
        <v>41813</v>
      </c>
      <c r="AR1155" s="77" t="str">
        <f t="shared" si="401"/>
        <v>Nacional</v>
      </c>
      <c r="AS1155" s="77">
        <f t="shared" si="401"/>
        <v>8.8975694444444683E-3</v>
      </c>
      <c r="AT1155" s="77">
        <f t="shared" si="401"/>
        <v>8.5937500000000007E-3</v>
      </c>
      <c r="AU1155" s="77">
        <f t="shared" si="401"/>
        <v>1.7491319444444469E-2</v>
      </c>
      <c r="AV1155" s="77">
        <f t="shared" si="401"/>
        <v>320</v>
      </c>
      <c r="AW1155" s="77">
        <f t="shared" si="401"/>
        <v>179</v>
      </c>
      <c r="AX1155" s="77" t="str">
        <f t="shared" si="401"/>
        <v>MEX</v>
      </c>
    </row>
    <row r="1156" spans="1:50" x14ac:dyDescent="0.25">
      <c r="A1156">
        <v>1142</v>
      </c>
      <c r="B1156" s="36" t="str">
        <f t="shared" si="402"/>
        <v>BARATA Y MORADA</v>
      </c>
      <c r="C1156" s="151">
        <v>631</v>
      </c>
      <c r="D1156" s="152">
        <v>0.8881944444444444</v>
      </c>
      <c r="E1156" s="152">
        <v>0.8965277777777777</v>
      </c>
      <c r="F1156" s="153">
        <v>8.3333333333333037E-3</v>
      </c>
      <c r="G1156" s="152">
        <v>0.90277777777777779</v>
      </c>
      <c r="H1156" s="153">
        <v>6.2500000000000888E-3</v>
      </c>
      <c r="I1156" s="67">
        <v>41713</v>
      </c>
      <c r="J1156" s="68" t="s">
        <v>19</v>
      </c>
      <c r="K1156" s="135">
        <v>8.7499999999999696E-3</v>
      </c>
      <c r="L1156" s="135">
        <v>1.3472222222222252E-2</v>
      </c>
      <c r="M1156" s="175">
        <v>2.222222222222222E-2</v>
      </c>
      <c r="N1156" s="90">
        <v>320</v>
      </c>
      <c r="O1156" s="91">
        <v>179</v>
      </c>
      <c r="P1156" s="92">
        <v>631</v>
      </c>
      <c r="R1156">
        <v>1142</v>
      </c>
      <c r="S1156" s="36" t="str">
        <f t="shared" si="405"/>
        <v>INTERAVIÓN</v>
      </c>
      <c r="T1156" s="36">
        <f t="shared" si="405"/>
        <v>2216</v>
      </c>
      <c r="U1156" s="73">
        <v>0.83611111111111114</v>
      </c>
      <c r="V1156" s="74">
        <v>0.84097222222222223</v>
      </c>
      <c r="W1156" s="75">
        <v>4.8611111111110938E-3</v>
      </c>
      <c r="X1156" s="74">
        <v>0.84791666666666676</v>
      </c>
      <c r="Y1156" s="75">
        <v>6.9444444444445308E-3</v>
      </c>
      <c r="Z1156" s="76">
        <v>41753</v>
      </c>
      <c r="AA1156" s="36" t="str">
        <f t="shared" si="406"/>
        <v>Nacional</v>
      </c>
      <c r="AB1156" s="36">
        <f t="shared" si="406"/>
        <v>6.0329861111111036E-3</v>
      </c>
      <c r="AC1156" s="36">
        <f t="shared" si="406"/>
        <v>6.9878472222222321E-3</v>
      </c>
      <c r="AD1156" s="36">
        <f t="shared" si="406"/>
        <v>1.3020833333333336E-2</v>
      </c>
      <c r="AE1156" s="36">
        <f t="shared" si="406"/>
        <v>320</v>
      </c>
      <c r="AF1156" s="36">
        <f t="shared" si="406"/>
        <v>179</v>
      </c>
      <c r="AG1156" s="36" t="str">
        <f t="shared" si="406"/>
        <v>MEX</v>
      </c>
      <c r="AI1156">
        <v>1142</v>
      </c>
      <c r="AJ1156" s="77" t="str">
        <f t="shared" si="397"/>
        <v>INTERAVIÓN</v>
      </c>
      <c r="AK1156" s="63">
        <v>2202</v>
      </c>
      <c r="AL1156" s="185">
        <v>0.55277777777777781</v>
      </c>
      <c r="AM1156" s="65">
        <v>0.55833333333333335</v>
      </c>
      <c r="AN1156" s="66">
        <v>5.5555555555555358E-3</v>
      </c>
      <c r="AO1156" s="65">
        <v>0.56388888888888888</v>
      </c>
      <c r="AP1156" s="66">
        <v>5.5555555555555358E-3</v>
      </c>
      <c r="AQ1156" s="67">
        <v>41791</v>
      </c>
      <c r="AR1156" s="68" t="s">
        <v>19</v>
      </c>
      <c r="AS1156" s="69">
        <v>7.0175438596491281E-3</v>
      </c>
      <c r="AT1156" s="70">
        <v>7.3099415204678324E-3</v>
      </c>
      <c r="AU1156" s="70">
        <v>1.432748538011696E-2</v>
      </c>
      <c r="AV1156" s="71">
        <v>320</v>
      </c>
      <c r="AW1156" s="71">
        <v>179</v>
      </c>
      <c r="AX1156" s="72" t="s">
        <v>21</v>
      </c>
    </row>
    <row r="1157" spans="1:50" x14ac:dyDescent="0.25">
      <c r="A1157">
        <v>1143</v>
      </c>
      <c r="B1157" s="36" t="str">
        <f t="shared" si="402"/>
        <v>BARATA Y MORADA</v>
      </c>
      <c r="C1157" s="36">
        <f t="shared" si="402"/>
        <v>631</v>
      </c>
      <c r="D1157" s="118">
        <v>0.86458333333333337</v>
      </c>
      <c r="E1157" s="118">
        <v>0.86805555555555547</v>
      </c>
      <c r="F1157" s="119">
        <v>3.4722222222220989E-3</v>
      </c>
      <c r="G1157" s="118">
        <v>0.87847222222222221</v>
      </c>
      <c r="H1157" s="119">
        <v>1.0416666666666741E-2</v>
      </c>
      <c r="I1157" s="81">
        <v>41715</v>
      </c>
      <c r="J1157" s="36" t="str">
        <f t="shared" ref="J1157:P1165" si="407">J1156</f>
        <v>Nacional</v>
      </c>
      <c r="K1157" s="36">
        <f t="shared" si="407"/>
        <v>8.7499999999999696E-3</v>
      </c>
      <c r="L1157" s="36">
        <f t="shared" si="407"/>
        <v>1.3472222222222252E-2</v>
      </c>
      <c r="M1157" s="36">
        <f t="shared" si="407"/>
        <v>2.222222222222222E-2</v>
      </c>
      <c r="N1157" s="36">
        <f t="shared" si="407"/>
        <v>320</v>
      </c>
      <c r="O1157" s="36">
        <f t="shared" si="407"/>
        <v>179</v>
      </c>
      <c r="P1157" s="36">
        <f t="shared" si="407"/>
        <v>631</v>
      </c>
      <c r="R1157">
        <v>1143</v>
      </c>
      <c r="S1157" s="36" t="str">
        <f t="shared" si="405"/>
        <v>INTERAVIÓN</v>
      </c>
      <c r="T1157" s="36">
        <f t="shared" si="405"/>
        <v>2216</v>
      </c>
      <c r="U1157" s="73">
        <v>0.83611111111111114</v>
      </c>
      <c r="V1157" s="74">
        <v>0.84444444444444444</v>
      </c>
      <c r="W1157" s="75">
        <v>8.3333333333333037E-3</v>
      </c>
      <c r="X1157" s="74">
        <v>0.84722222222222221</v>
      </c>
      <c r="Y1157" s="75">
        <v>2.7777777777777679E-3</v>
      </c>
      <c r="Z1157" s="76">
        <v>41755</v>
      </c>
      <c r="AA1157" s="36" t="str">
        <f t="shared" si="406"/>
        <v>Nacional</v>
      </c>
      <c r="AB1157" s="36">
        <f t="shared" si="406"/>
        <v>6.0329861111111036E-3</v>
      </c>
      <c r="AC1157" s="36">
        <f t="shared" si="406"/>
        <v>6.9878472222222321E-3</v>
      </c>
      <c r="AD1157" s="36">
        <f t="shared" si="406"/>
        <v>1.3020833333333336E-2</v>
      </c>
      <c r="AE1157" s="36">
        <f t="shared" si="406"/>
        <v>320</v>
      </c>
      <c r="AF1157" s="36">
        <f t="shared" si="406"/>
        <v>179</v>
      </c>
      <c r="AG1157" s="36" t="str">
        <f t="shared" si="406"/>
        <v>MEX</v>
      </c>
      <c r="AI1157">
        <v>1143</v>
      </c>
      <c r="AJ1157" s="77" t="str">
        <f t="shared" si="397"/>
        <v>INTERAVIÓN</v>
      </c>
      <c r="AK1157" s="77">
        <f t="shared" si="397"/>
        <v>2202</v>
      </c>
      <c r="AL1157" s="186">
        <v>0.55694444444444446</v>
      </c>
      <c r="AM1157" s="79">
        <v>0.56041666666666667</v>
      </c>
      <c r="AN1157" s="80">
        <v>3.4722222222222099E-3</v>
      </c>
      <c r="AO1157" s="79">
        <v>0.56527777777777777</v>
      </c>
      <c r="AP1157" s="80">
        <v>4.8611111111110938E-3</v>
      </c>
      <c r="AQ1157" s="81">
        <v>41792</v>
      </c>
      <c r="AR1157" s="77" t="str">
        <f t="shared" ref="AR1157:AX1174" si="408">AR1156</f>
        <v>Nacional</v>
      </c>
      <c r="AS1157" s="77">
        <f t="shared" si="408"/>
        <v>7.0175438596491281E-3</v>
      </c>
      <c r="AT1157" s="77">
        <f t="shared" si="408"/>
        <v>7.3099415204678324E-3</v>
      </c>
      <c r="AU1157" s="77">
        <f t="shared" si="408"/>
        <v>1.432748538011696E-2</v>
      </c>
      <c r="AV1157" s="77">
        <f t="shared" si="408"/>
        <v>320</v>
      </c>
      <c r="AW1157" s="77">
        <f t="shared" si="408"/>
        <v>179</v>
      </c>
      <c r="AX1157" s="77" t="str">
        <f t="shared" si="408"/>
        <v>MEX</v>
      </c>
    </row>
    <row r="1158" spans="1:50" x14ac:dyDescent="0.25">
      <c r="A1158">
        <v>1144</v>
      </c>
      <c r="B1158" s="36" t="str">
        <f t="shared" si="402"/>
        <v>BARATA Y MORADA</v>
      </c>
      <c r="C1158" s="36">
        <f t="shared" si="402"/>
        <v>631</v>
      </c>
      <c r="D1158" s="118">
        <v>0.85</v>
      </c>
      <c r="E1158" s="118">
        <v>0.85763888888888884</v>
      </c>
      <c r="F1158" s="119">
        <v>7.6388888888888618E-3</v>
      </c>
      <c r="G1158" s="118">
        <v>0.90277777777777779</v>
      </c>
      <c r="H1158" s="119">
        <v>4.5138888888888951E-2</v>
      </c>
      <c r="I1158" s="81">
        <v>41719</v>
      </c>
      <c r="J1158" s="36" t="str">
        <f t="shared" si="407"/>
        <v>Nacional</v>
      </c>
      <c r="K1158" s="36">
        <f t="shared" si="407"/>
        <v>8.7499999999999696E-3</v>
      </c>
      <c r="L1158" s="36">
        <f t="shared" si="407"/>
        <v>1.3472222222222252E-2</v>
      </c>
      <c r="M1158" s="36">
        <f t="shared" si="407"/>
        <v>2.222222222222222E-2</v>
      </c>
      <c r="N1158" s="36">
        <f t="shared" si="407"/>
        <v>320</v>
      </c>
      <c r="O1158" s="36">
        <f t="shared" si="407"/>
        <v>179</v>
      </c>
      <c r="P1158" s="36">
        <f t="shared" si="407"/>
        <v>631</v>
      </c>
      <c r="R1158">
        <v>1144</v>
      </c>
      <c r="S1158" s="36" t="str">
        <f t="shared" si="405"/>
        <v>INTERAVIÓN</v>
      </c>
      <c r="T1158" s="36">
        <f t="shared" si="405"/>
        <v>2216</v>
      </c>
      <c r="U1158" s="73">
        <v>0.66875000000000007</v>
      </c>
      <c r="V1158" s="74">
        <v>0.67361111111111116</v>
      </c>
      <c r="W1158" s="75">
        <v>4.8611111111110938E-3</v>
      </c>
      <c r="X1158" s="74">
        <v>0.70972222222222225</v>
      </c>
      <c r="Y1158" s="75">
        <v>3.6111111111111094E-2</v>
      </c>
      <c r="Z1158" s="76">
        <v>41756</v>
      </c>
      <c r="AA1158" s="36" t="str">
        <f t="shared" si="406"/>
        <v>Nacional</v>
      </c>
      <c r="AB1158" s="36">
        <f t="shared" si="406"/>
        <v>6.0329861111111036E-3</v>
      </c>
      <c r="AC1158" s="36">
        <f t="shared" si="406"/>
        <v>6.9878472222222321E-3</v>
      </c>
      <c r="AD1158" s="36">
        <f t="shared" si="406"/>
        <v>1.3020833333333336E-2</v>
      </c>
      <c r="AE1158" s="36">
        <f t="shared" si="406"/>
        <v>320</v>
      </c>
      <c r="AF1158" s="36">
        <f t="shared" si="406"/>
        <v>179</v>
      </c>
      <c r="AG1158" s="36" t="str">
        <f t="shared" si="406"/>
        <v>MEX</v>
      </c>
      <c r="AI1158">
        <v>1144</v>
      </c>
      <c r="AJ1158" s="77" t="str">
        <f t="shared" si="397"/>
        <v>INTERAVIÓN</v>
      </c>
      <c r="AK1158" s="77">
        <f t="shared" si="397"/>
        <v>2202</v>
      </c>
      <c r="AL1158" s="186">
        <v>0.55277777777777781</v>
      </c>
      <c r="AM1158" s="79">
        <v>0.55902777777777779</v>
      </c>
      <c r="AN1158" s="80">
        <v>6.2499999999999778E-3</v>
      </c>
      <c r="AO1158" s="79">
        <v>0.56666666666666665</v>
      </c>
      <c r="AP1158" s="80">
        <v>7.6388888888888618E-3</v>
      </c>
      <c r="AQ1158" s="81">
        <v>41793</v>
      </c>
      <c r="AR1158" s="77" t="str">
        <f t="shared" si="408"/>
        <v>Nacional</v>
      </c>
      <c r="AS1158" s="77">
        <f t="shared" si="408"/>
        <v>7.0175438596491281E-3</v>
      </c>
      <c r="AT1158" s="77">
        <f t="shared" si="408"/>
        <v>7.3099415204678324E-3</v>
      </c>
      <c r="AU1158" s="77">
        <f t="shared" si="408"/>
        <v>1.432748538011696E-2</v>
      </c>
      <c r="AV1158" s="77">
        <f t="shared" si="408"/>
        <v>320</v>
      </c>
      <c r="AW1158" s="77">
        <f t="shared" si="408"/>
        <v>179</v>
      </c>
      <c r="AX1158" s="77" t="str">
        <f t="shared" si="408"/>
        <v>MEX</v>
      </c>
    </row>
    <row r="1159" spans="1:50" x14ac:dyDescent="0.25">
      <c r="A1159">
        <v>1145</v>
      </c>
      <c r="B1159" s="36" t="str">
        <f t="shared" si="402"/>
        <v>BARATA Y MORADA</v>
      </c>
      <c r="C1159" s="36">
        <f t="shared" si="402"/>
        <v>631</v>
      </c>
      <c r="D1159" s="118">
        <v>0.87430555555555556</v>
      </c>
      <c r="E1159" s="118">
        <v>0.89027777777777783</v>
      </c>
      <c r="F1159" s="119">
        <v>1.5972222222222276E-2</v>
      </c>
      <c r="G1159" s="118">
        <v>0.8979166666666667</v>
      </c>
      <c r="H1159" s="119">
        <v>7.6388888888888618E-3</v>
      </c>
      <c r="I1159" s="81">
        <v>41721</v>
      </c>
      <c r="J1159" s="36" t="str">
        <f t="shared" si="407"/>
        <v>Nacional</v>
      </c>
      <c r="K1159" s="36">
        <f t="shared" si="407"/>
        <v>8.7499999999999696E-3</v>
      </c>
      <c r="L1159" s="36">
        <f t="shared" si="407"/>
        <v>1.3472222222222252E-2</v>
      </c>
      <c r="M1159" s="36">
        <f t="shared" si="407"/>
        <v>2.222222222222222E-2</v>
      </c>
      <c r="N1159" s="36">
        <f t="shared" si="407"/>
        <v>320</v>
      </c>
      <c r="O1159" s="36">
        <f t="shared" si="407"/>
        <v>179</v>
      </c>
      <c r="P1159" s="36">
        <f t="shared" si="407"/>
        <v>631</v>
      </c>
      <c r="R1159">
        <v>1145</v>
      </c>
      <c r="S1159" s="36" t="str">
        <f t="shared" si="405"/>
        <v>INTERAVIÓN</v>
      </c>
      <c r="T1159" s="36">
        <f t="shared" si="405"/>
        <v>2216</v>
      </c>
      <c r="U1159" s="73">
        <v>0.83680555555555547</v>
      </c>
      <c r="V1159" s="74">
        <v>0.84236111111111101</v>
      </c>
      <c r="W1159" s="75">
        <v>5.5555555555555358E-3</v>
      </c>
      <c r="X1159" s="74">
        <v>0.84444444444444444</v>
      </c>
      <c r="Y1159" s="75">
        <v>2.083333333333437E-3</v>
      </c>
      <c r="Z1159" s="76">
        <v>41759</v>
      </c>
      <c r="AA1159" s="36" t="str">
        <f t="shared" si="406"/>
        <v>Nacional</v>
      </c>
      <c r="AB1159" s="36">
        <f t="shared" si="406"/>
        <v>6.0329861111111036E-3</v>
      </c>
      <c r="AC1159" s="36">
        <f t="shared" si="406"/>
        <v>6.9878472222222321E-3</v>
      </c>
      <c r="AD1159" s="36">
        <f t="shared" si="406"/>
        <v>1.3020833333333336E-2</v>
      </c>
      <c r="AE1159" s="36">
        <f t="shared" si="406"/>
        <v>320</v>
      </c>
      <c r="AF1159" s="36">
        <f t="shared" si="406"/>
        <v>179</v>
      </c>
      <c r="AG1159" s="36" t="str">
        <f t="shared" si="406"/>
        <v>MEX</v>
      </c>
      <c r="AI1159">
        <v>1145</v>
      </c>
      <c r="AJ1159" s="77" t="str">
        <f t="shared" si="397"/>
        <v>INTERAVIÓN</v>
      </c>
      <c r="AK1159" s="77">
        <f t="shared" si="397"/>
        <v>2202</v>
      </c>
      <c r="AL1159" s="186">
        <v>0.55902777777777779</v>
      </c>
      <c r="AM1159" s="79">
        <v>0.5625</v>
      </c>
      <c r="AN1159" s="80">
        <v>3.4722222222222099E-3</v>
      </c>
      <c r="AO1159" s="79">
        <v>0.56736111111111109</v>
      </c>
      <c r="AP1159" s="80">
        <v>4.8611111111110938E-3</v>
      </c>
      <c r="AQ1159" s="81">
        <v>41794</v>
      </c>
      <c r="AR1159" s="77" t="str">
        <f t="shared" si="408"/>
        <v>Nacional</v>
      </c>
      <c r="AS1159" s="77">
        <f t="shared" si="408"/>
        <v>7.0175438596491281E-3</v>
      </c>
      <c r="AT1159" s="77">
        <f t="shared" si="408"/>
        <v>7.3099415204678324E-3</v>
      </c>
      <c r="AU1159" s="77">
        <f t="shared" si="408"/>
        <v>1.432748538011696E-2</v>
      </c>
      <c r="AV1159" s="77">
        <f t="shared" si="408"/>
        <v>320</v>
      </c>
      <c r="AW1159" s="77">
        <f t="shared" si="408"/>
        <v>179</v>
      </c>
      <c r="AX1159" s="77" t="str">
        <f t="shared" si="408"/>
        <v>MEX</v>
      </c>
    </row>
    <row r="1160" spans="1:50" ht="15.75" thickBot="1" x14ac:dyDescent="0.3">
      <c r="A1160">
        <v>1146</v>
      </c>
      <c r="B1160" s="36" t="str">
        <f t="shared" si="402"/>
        <v>BARATA Y MORADA</v>
      </c>
      <c r="C1160" s="36">
        <f t="shared" si="402"/>
        <v>631</v>
      </c>
      <c r="D1160" s="118">
        <v>0.84444444444444444</v>
      </c>
      <c r="E1160" s="118">
        <v>0.85</v>
      </c>
      <c r="F1160" s="119">
        <v>5.5555555555555358E-3</v>
      </c>
      <c r="G1160" s="118">
        <v>0.87083333333333324</v>
      </c>
      <c r="H1160" s="119">
        <v>2.0833333333333259E-2</v>
      </c>
      <c r="I1160" s="81">
        <v>41721</v>
      </c>
      <c r="J1160" s="36" t="str">
        <f t="shared" si="407"/>
        <v>Nacional</v>
      </c>
      <c r="K1160" s="36">
        <f t="shared" si="407"/>
        <v>8.7499999999999696E-3</v>
      </c>
      <c r="L1160" s="36">
        <f t="shared" si="407"/>
        <v>1.3472222222222252E-2</v>
      </c>
      <c r="M1160" s="36">
        <f t="shared" si="407"/>
        <v>2.222222222222222E-2</v>
      </c>
      <c r="N1160" s="36">
        <f t="shared" si="407"/>
        <v>320</v>
      </c>
      <c r="O1160" s="36">
        <f t="shared" si="407"/>
        <v>179</v>
      </c>
      <c r="P1160" s="36">
        <f t="shared" si="407"/>
        <v>631</v>
      </c>
      <c r="R1160">
        <v>1146</v>
      </c>
      <c r="S1160" s="36" t="str">
        <f t="shared" si="405"/>
        <v>INTERAVIÓN</v>
      </c>
      <c r="T1160" s="36">
        <f t="shared" si="405"/>
        <v>2216</v>
      </c>
      <c r="U1160" s="83">
        <v>0.85</v>
      </c>
      <c r="V1160" s="84">
        <v>0.8569444444444444</v>
      </c>
      <c r="W1160" s="85">
        <v>6.9444444444444198E-3</v>
      </c>
      <c r="X1160" s="84">
        <v>0.86111111111111116</v>
      </c>
      <c r="Y1160" s="85">
        <v>4.1666666666667629E-3</v>
      </c>
      <c r="Z1160" s="86">
        <v>41759</v>
      </c>
      <c r="AA1160" s="36" t="str">
        <f t="shared" si="406"/>
        <v>Nacional</v>
      </c>
      <c r="AB1160" s="36">
        <f t="shared" si="406"/>
        <v>6.0329861111111036E-3</v>
      </c>
      <c r="AC1160" s="36">
        <f t="shared" si="406"/>
        <v>6.9878472222222321E-3</v>
      </c>
      <c r="AD1160" s="36">
        <f t="shared" si="406"/>
        <v>1.3020833333333336E-2</v>
      </c>
      <c r="AE1160" s="36">
        <f t="shared" si="406"/>
        <v>320</v>
      </c>
      <c r="AF1160" s="36">
        <f t="shared" si="406"/>
        <v>179</v>
      </c>
      <c r="AG1160" s="36" t="str">
        <f t="shared" si="406"/>
        <v>MEX</v>
      </c>
      <c r="AI1160">
        <v>1146</v>
      </c>
      <c r="AJ1160" s="77" t="str">
        <f t="shared" si="397"/>
        <v>INTERAVIÓN</v>
      </c>
      <c r="AK1160" s="77">
        <f t="shared" si="397"/>
        <v>2202</v>
      </c>
      <c r="AL1160" s="186">
        <v>0.55555555555555558</v>
      </c>
      <c r="AM1160" s="79">
        <v>0.55902777777777779</v>
      </c>
      <c r="AN1160" s="80">
        <v>3.4722222222222099E-3</v>
      </c>
      <c r="AO1160" s="79">
        <v>0.56736111111111109</v>
      </c>
      <c r="AP1160" s="80">
        <v>8.3333333333333037E-3</v>
      </c>
      <c r="AQ1160" s="81">
        <v>41795</v>
      </c>
      <c r="AR1160" s="77" t="str">
        <f t="shared" si="408"/>
        <v>Nacional</v>
      </c>
      <c r="AS1160" s="77">
        <f t="shared" si="408"/>
        <v>7.0175438596491281E-3</v>
      </c>
      <c r="AT1160" s="77">
        <f t="shared" si="408"/>
        <v>7.3099415204678324E-3</v>
      </c>
      <c r="AU1160" s="77">
        <f t="shared" si="408"/>
        <v>1.432748538011696E-2</v>
      </c>
      <c r="AV1160" s="77">
        <f t="shared" si="408"/>
        <v>320</v>
      </c>
      <c r="AW1160" s="77">
        <f t="shared" si="408"/>
        <v>179</v>
      </c>
      <c r="AX1160" s="77" t="str">
        <f t="shared" si="408"/>
        <v>MEX</v>
      </c>
    </row>
    <row r="1161" spans="1:50" x14ac:dyDescent="0.25">
      <c r="A1161">
        <v>1147</v>
      </c>
      <c r="B1161" s="36" t="str">
        <f t="shared" si="402"/>
        <v>BARATA Y MORADA</v>
      </c>
      <c r="C1161" s="36">
        <f t="shared" si="402"/>
        <v>631</v>
      </c>
      <c r="D1161" s="118">
        <v>0.84444444444444444</v>
      </c>
      <c r="E1161" s="118">
        <v>0.85763888888888884</v>
      </c>
      <c r="F1161" s="119">
        <v>1.3194444444444398E-2</v>
      </c>
      <c r="G1161" s="118">
        <v>0.86944444444444446</v>
      </c>
      <c r="H1161" s="119">
        <v>1.1805555555555625E-2</v>
      </c>
      <c r="I1161" s="81">
        <v>41724</v>
      </c>
      <c r="J1161" s="36" t="str">
        <f t="shared" si="407"/>
        <v>Nacional</v>
      </c>
      <c r="K1161" s="36">
        <f t="shared" si="407"/>
        <v>8.7499999999999696E-3</v>
      </c>
      <c r="L1161" s="36">
        <f t="shared" si="407"/>
        <v>1.3472222222222252E-2</v>
      </c>
      <c r="M1161" s="36">
        <f t="shared" si="407"/>
        <v>2.222222222222222E-2</v>
      </c>
      <c r="N1161" s="36">
        <f t="shared" si="407"/>
        <v>320</v>
      </c>
      <c r="O1161" s="36">
        <f t="shared" si="407"/>
        <v>179</v>
      </c>
      <c r="P1161" s="36">
        <f t="shared" si="407"/>
        <v>631</v>
      </c>
      <c r="R1161">
        <v>1147</v>
      </c>
      <c r="S1161" s="36" t="str">
        <f t="shared" si="405"/>
        <v>INTERAVIÓN</v>
      </c>
      <c r="T1161" s="55">
        <v>2212</v>
      </c>
      <c r="U1161" s="56">
        <v>0.31944444444444448</v>
      </c>
      <c r="V1161" s="57">
        <v>0.32708333333333334</v>
      </c>
      <c r="W1161" s="58">
        <v>7.6388888888888618E-3</v>
      </c>
      <c r="X1161" s="57">
        <v>0.33680555555555558</v>
      </c>
      <c r="Y1161" s="58">
        <v>9.7222222222222432E-3</v>
      </c>
      <c r="Z1161" s="59">
        <v>41737</v>
      </c>
      <c r="AA1161" s="60" t="s">
        <v>19</v>
      </c>
      <c r="AB1161" s="61">
        <v>8.0246913580246625E-3</v>
      </c>
      <c r="AC1161" s="61">
        <v>5.4783950617283876E-3</v>
      </c>
      <c r="AD1161" s="62">
        <v>1.3503086419753049E-2</v>
      </c>
      <c r="AE1161" s="191">
        <v>320</v>
      </c>
      <c r="AF1161" s="191">
        <v>179</v>
      </c>
      <c r="AG1161" s="192" t="s">
        <v>21</v>
      </c>
      <c r="AI1161">
        <v>1147</v>
      </c>
      <c r="AJ1161" s="77" t="str">
        <f t="shared" si="397"/>
        <v>INTERAVIÓN</v>
      </c>
      <c r="AK1161" s="77">
        <f t="shared" si="397"/>
        <v>2202</v>
      </c>
      <c r="AL1161" s="186">
        <v>4.1666666666666664E-2</v>
      </c>
      <c r="AM1161" s="79">
        <v>4.7916666666666663E-2</v>
      </c>
      <c r="AN1161" s="80">
        <v>6.2499999999999986E-3</v>
      </c>
      <c r="AO1161" s="79">
        <v>5.2083333333333336E-2</v>
      </c>
      <c r="AP1161" s="80">
        <v>4.1666666666666727E-3</v>
      </c>
      <c r="AQ1161" s="81">
        <v>41796</v>
      </c>
      <c r="AR1161" s="77" t="str">
        <f t="shared" si="408"/>
        <v>Nacional</v>
      </c>
      <c r="AS1161" s="77">
        <f t="shared" si="408"/>
        <v>7.0175438596491281E-3</v>
      </c>
      <c r="AT1161" s="77">
        <f t="shared" si="408"/>
        <v>7.3099415204678324E-3</v>
      </c>
      <c r="AU1161" s="77">
        <f t="shared" si="408"/>
        <v>1.432748538011696E-2</v>
      </c>
      <c r="AV1161" s="77">
        <f t="shared" si="408"/>
        <v>320</v>
      </c>
      <c r="AW1161" s="77">
        <f t="shared" si="408"/>
        <v>179</v>
      </c>
      <c r="AX1161" s="77" t="str">
        <f t="shared" si="408"/>
        <v>MEX</v>
      </c>
    </row>
    <row r="1162" spans="1:50" x14ac:dyDescent="0.25">
      <c r="A1162">
        <v>1148</v>
      </c>
      <c r="B1162" s="36" t="str">
        <f t="shared" si="402"/>
        <v>BARATA Y MORADA</v>
      </c>
      <c r="C1162" s="36">
        <f t="shared" si="402"/>
        <v>631</v>
      </c>
      <c r="D1162" s="118">
        <v>0.85277777777777775</v>
      </c>
      <c r="E1162" s="118">
        <v>0.85833333333333339</v>
      </c>
      <c r="F1162" s="119">
        <v>5.5555555555556468E-3</v>
      </c>
      <c r="G1162" s="118">
        <v>0.86875000000000002</v>
      </c>
      <c r="H1162" s="119">
        <v>1.041666666666663E-2</v>
      </c>
      <c r="I1162" s="81">
        <v>41724</v>
      </c>
      <c r="J1162" s="36" t="str">
        <f t="shared" si="407"/>
        <v>Nacional</v>
      </c>
      <c r="K1162" s="36">
        <f t="shared" si="407"/>
        <v>8.7499999999999696E-3</v>
      </c>
      <c r="L1162" s="36">
        <f t="shared" si="407"/>
        <v>1.3472222222222252E-2</v>
      </c>
      <c r="M1162" s="36">
        <f t="shared" si="407"/>
        <v>2.222222222222222E-2</v>
      </c>
      <c r="N1162" s="36">
        <f t="shared" si="407"/>
        <v>320</v>
      </c>
      <c r="O1162" s="36">
        <f t="shared" si="407"/>
        <v>179</v>
      </c>
      <c r="P1162" s="36">
        <f t="shared" si="407"/>
        <v>631</v>
      </c>
      <c r="R1162">
        <v>1148</v>
      </c>
      <c r="S1162" s="36" t="str">
        <f t="shared" si="405"/>
        <v>INTERAVIÓN</v>
      </c>
      <c r="T1162" s="36">
        <f t="shared" si="405"/>
        <v>2212</v>
      </c>
      <c r="U1162" s="73">
        <v>0.32569444444444445</v>
      </c>
      <c r="V1162" s="74">
        <v>0.33333333333333331</v>
      </c>
      <c r="W1162" s="75">
        <v>7.6388888888888618E-3</v>
      </c>
      <c r="X1162" s="74">
        <v>0.33680555555555558</v>
      </c>
      <c r="Y1162" s="75">
        <v>3.4722222222222654E-3</v>
      </c>
      <c r="Z1162" s="76">
        <v>41754</v>
      </c>
      <c r="AA1162" s="36" t="str">
        <f t="shared" ref="AA1162:AG1169" si="409">AA1161</f>
        <v>Nacional</v>
      </c>
      <c r="AB1162" s="36">
        <f t="shared" si="409"/>
        <v>8.0246913580246625E-3</v>
      </c>
      <c r="AC1162" s="36">
        <f t="shared" si="409"/>
        <v>5.4783950617283876E-3</v>
      </c>
      <c r="AD1162" s="36">
        <f t="shared" si="409"/>
        <v>1.3503086419753049E-2</v>
      </c>
      <c r="AE1162" s="36">
        <f t="shared" si="409"/>
        <v>320</v>
      </c>
      <c r="AF1162" s="36">
        <f t="shared" si="409"/>
        <v>179</v>
      </c>
      <c r="AG1162" s="36" t="str">
        <f t="shared" si="409"/>
        <v>MEX</v>
      </c>
      <c r="AI1162">
        <v>1148</v>
      </c>
      <c r="AJ1162" s="77" t="str">
        <f t="shared" si="397"/>
        <v>INTERAVIÓN</v>
      </c>
      <c r="AK1162" s="77">
        <f t="shared" si="397"/>
        <v>2202</v>
      </c>
      <c r="AL1162" s="186">
        <v>0.5541666666666667</v>
      </c>
      <c r="AM1162" s="79">
        <v>0.55555555555555558</v>
      </c>
      <c r="AN1162" s="80">
        <v>1.388888888888884E-3</v>
      </c>
      <c r="AO1162" s="79">
        <v>0.55763888888888891</v>
      </c>
      <c r="AP1162" s="80">
        <v>2.0833333333333259E-3</v>
      </c>
      <c r="AQ1162" s="81">
        <v>41799</v>
      </c>
      <c r="AR1162" s="77" t="str">
        <f t="shared" si="408"/>
        <v>Nacional</v>
      </c>
      <c r="AS1162" s="77">
        <f t="shared" si="408"/>
        <v>7.0175438596491281E-3</v>
      </c>
      <c r="AT1162" s="77">
        <f t="shared" si="408"/>
        <v>7.3099415204678324E-3</v>
      </c>
      <c r="AU1162" s="77">
        <f t="shared" si="408"/>
        <v>1.432748538011696E-2</v>
      </c>
      <c r="AV1162" s="77">
        <f t="shared" si="408"/>
        <v>320</v>
      </c>
      <c r="AW1162" s="77">
        <f t="shared" si="408"/>
        <v>179</v>
      </c>
      <c r="AX1162" s="77" t="str">
        <f t="shared" si="408"/>
        <v>MEX</v>
      </c>
    </row>
    <row r="1163" spans="1:50" x14ac:dyDescent="0.25">
      <c r="A1163">
        <v>1149</v>
      </c>
      <c r="B1163" s="36" t="str">
        <f t="shared" si="402"/>
        <v>BARATA Y MORADA</v>
      </c>
      <c r="C1163" s="36">
        <f t="shared" si="402"/>
        <v>631</v>
      </c>
      <c r="D1163" s="118">
        <v>0.85763888888888884</v>
      </c>
      <c r="E1163" s="118">
        <v>0.86805555555555547</v>
      </c>
      <c r="F1163" s="119">
        <v>1.041666666666663E-2</v>
      </c>
      <c r="G1163" s="118">
        <v>0.87986111111111109</v>
      </c>
      <c r="H1163" s="119">
        <v>1.1805555555555625E-2</v>
      </c>
      <c r="I1163" s="81">
        <v>41726</v>
      </c>
      <c r="J1163" s="36" t="str">
        <f t="shared" si="407"/>
        <v>Nacional</v>
      </c>
      <c r="K1163" s="36">
        <f t="shared" si="407"/>
        <v>8.7499999999999696E-3</v>
      </c>
      <c r="L1163" s="36">
        <f t="shared" si="407"/>
        <v>1.3472222222222252E-2</v>
      </c>
      <c r="M1163" s="36">
        <f t="shared" si="407"/>
        <v>2.222222222222222E-2</v>
      </c>
      <c r="N1163" s="36">
        <f t="shared" si="407"/>
        <v>320</v>
      </c>
      <c r="O1163" s="36">
        <f t="shared" si="407"/>
        <v>179</v>
      </c>
      <c r="P1163" s="36">
        <f t="shared" si="407"/>
        <v>631</v>
      </c>
      <c r="R1163">
        <v>1149</v>
      </c>
      <c r="S1163" s="36" t="str">
        <f t="shared" si="405"/>
        <v>INTERAVIÓN</v>
      </c>
      <c r="T1163" s="36">
        <f t="shared" si="405"/>
        <v>2212</v>
      </c>
      <c r="U1163" s="73">
        <v>0.93958333333333333</v>
      </c>
      <c r="V1163" s="74">
        <v>0.94791666666666663</v>
      </c>
      <c r="W1163" s="75">
        <v>8.3333333333333037E-3</v>
      </c>
      <c r="X1163" s="74">
        <v>0.95138888888888884</v>
      </c>
      <c r="Y1163" s="75">
        <v>3.4722222222222099E-3</v>
      </c>
      <c r="Z1163" s="76">
        <v>41732</v>
      </c>
      <c r="AA1163" s="36" t="str">
        <f t="shared" si="409"/>
        <v>Nacional</v>
      </c>
      <c r="AB1163" s="36">
        <f t="shared" si="409"/>
        <v>8.0246913580246625E-3</v>
      </c>
      <c r="AC1163" s="36">
        <f t="shared" si="409"/>
        <v>5.4783950617283876E-3</v>
      </c>
      <c r="AD1163" s="36">
        <f t="shared" si="409"/>
        <v>1.3503086419753049E-2</v>
      </c>
      <c r="AE1163" s="36">
        <f t="shared" si="409"/>
        <v>320</v>
      </c>
      <c r="AF1163" s="36">
        <f t="shared" si="409"/>
        <v>179</v>
      </c>
      <c r="AG1163" s="36" t="str">
        <f t="shared" si="409"/>
        <v>MEX</v>
      </c>
      <c r="AI1163">
        <v>1149</v>
      </c>
      <c r="AJ1163" s="77" t="str">
        <f t="shared" si="397"/>
        <v>INTERAVIÓN</v>
      </c>
      <c r="AK1163" s="77">
        <f t="shared" si="397"/>
        <v>2202</v>
      </c>
      <c r="AL1163" s="186">
        <v>0.43055555555555558</v>
      </c>
      <c r="AM1163" s="79">
        <v>0.44236111111111115</v>
      </c>
      <c r="AN1163" s="80">
        <v>1.1805555555555569E-2</v>
      </c>
      <c r="AO1163" s="79">
        <v>0.44930555555555557</v>
      </c>
      <c r="AP1163" s="80">
        <v>6.9444444444444198E-3</v>
      </c>
      <c r="AQ1163" s="81">
        <v>41801</v>
      </c>
      <c r="AR1163" s="77" t="str">
        <f t="shared" si="408"/>
        <v>Nacional</v>
      </c>
      <c r="AS1163" s="77">
        <f t="shared" si="408"/>
        <v>7.0175438596491281E-3</v>
      </c>
      <c r="AT1163" s="77">
        <f t="shared" si="408"/>
        <v>7.3099415204678324E-3</v>
      </c>
      <c r="AU1163" s="77">
        <f t="shared" si="408"/>
        <v>1.432748538011696E-2</v>
      </c>
      <c r="AV1163" s="77">
        <f t="shared" si="408"/>
        <v>320</v>
      </c>
      <c r="AW1163" s="77">
        <f t="shared" si="408"/>
        <v>179</v>
      </c>
      <c r="AX1163" s="77" t="str">
        <f t="shared" si="408"/>
        <v>MEX</v>
      </c>
    </row>
    <row r="1164" spans="1:50" x14ac:dyDescent="0.25">
      <c r="A1164">
        <v>1150</v>
      </c>
      <c r="B1164" s="36" t="str">
        <f t="shared" si="402"/>
        <v>BARATA Y MORADA</v>
      </c>
      <c r="C1164" s="36">
        <f t="shared" si="402"/>
        <v>631</v>
      </c>
      <c r="D1164" s="118">
        <v>0.88958333333333339</v>
      </c>
      <c r="E1164" s="118">
        <v>0.89930555555555547</v>
      </c>
      <c r="F1164" s="119">
        <v>9.7222222222220767E-3</v>
      </c>
      <c r="G1164" s="118">
        <v>0.90486111111111101</v>
      </c>
      <c r="H1164" s="119">
        <v>5.5555555555555358E-3</v>
      </c>
      <c r="I1164" s="81">
        <v>41727</v>
      </c>
      <c r="J1164" s="36" t="str">
        <f t="shared" si="407"/>
        <v>Nacional</v>
      </c>
      <c r="K1164" s="36">
        <f t="shared" si="407"/>
        <v>8.7499999999999696E-3</v>
      </c>
      <c r="L1164" s="36">
        <f t="shared" si="407"/>
        <v>1.3472222222222252E-2</v>
      </c>
      <c r="M1164" s="36">
        <f t="shared" si="407"/>
        <v>2.222222222222222E-2</v>
      </c>
      <c r="N1164" s="36">
        <f t="shared" si="407"/>
        <v>320</v>
      </c>
      <c r="O1164" s="36">
        <f t="shared" si="407"/>
        <v>179</v>
      </c>
      <c r="P1164" s="36">
        <f t="shared" si="407"/>
        <v>631</v>
      </c>
      <c r="R1164">
        <v>1150</v>
      </c>
      <c r="S1164" s="36" t="str">
        <f t="shared" si="405"/>
        <v>INTERAVIÓN</v>
      </c>
      <c r="T1164" s="36">
        <f t="shared" si="405"/>
        <v>2212</v>
      </c>
      <c r="U1164" s="73">
        <v>0.54236111111111118</v>
      </c>
      <c r="V1164" s="74">
        <v>0.54791666666666672</v>
      </c>
      <c r="W1164" s="75">
        <v>5.5555555555555358E-3</v>
      </c>
      <c r="X1164" s="74">
        <v>0.5541666666666667</v>
      </c>
      <c r="Y1164" s="75">
        <v>6.2499999999999778E-3</v>
      </c>
      <c r="Z1164" s="76">
        <v>41735</v>
      </c>
      <c r="AA1164" s="36" t="str">
        <f t="shared" si="409"/>
        <v>Nacional</v>
      </c>
      <c r="AB1164" s="36">
        <f t="shared" si="409"/>
        <v>8.0246913580246625E-3</v>
      </c>
      <c r="AC1164" s="36">
        <f t="shared" si="409"/>
        <v>5.4783950617283876E-3</v>
      </c>
      <c r="AD1164" s="36">
        <f t="shared" si="409"/>
        <v>1.3503086419753049E-2</v>
      </c>
      <c r="AE1164" s="36">
        <f t="shared" si="409"/>
        <v>320</v>
      </c>
      <c r="AF1164" s="36">
        <f t="shared" si="409"/>
        <v>179</v>
      </c>
      <c r="AG1164" s="36" t="str">
        <f t="shared" si="409"/>
        <v>MEX</v>
      </c>
      <c r="AI1164">
        <v>1150</v>
      </c>
      <c r="AJ1164" s="77" t="str">
        <f t="shared" si="397"/>
        <v>INTERAVIÓN</v>
      </c>
      <c r="AK1164" s="77">
        <f t="shared" si="397"/>
        <v>2202</v>
      </c>
      <c r="AL1164" s="186">
        <v>0.43124999999999997</v>
      </c>
      <c r="AM1164" s="79">
        <v>0.43611111111111112</v>
      </c>
      <c r="AN1164" s="80">
        <v>4.8611111111111494E-3</v>
      </c>
      <c r="AO1164" s="79">
        <v>0.44097222222222227</v>
      </c>
      <c r="AP1164" s="80">
        <v>4.8611111111111494E-3</v>
      </c>
      <c r="AQ1164" s="81">
        <v>41801</v>
      </c>
      <c r="AR1164" s="77" t="str">
        <f t="shared" si="408"/>
        <v>Nacional</v>
      </c>
      <c r="AS1164" s="77">
        <f t="shared" si="408"/>
        <v>7.0175438596491281E-3</v>
      </c>
      <c r="AT1164" s="77">
        <f t="shared" si="408"/>
        <v>7.3099415204678324E-3</v>
      </c>
      <c r="AU1164" s="77">
        <f t="shared" si="408"/>
        <v>1.432748538011696E-2</v>
      </c>
      <c r="AV1164" s="77">
        <f t="shared" si="408"/>
        <v>320</v>
      </c>
      <c r="AW1164" s="77">
        <f t="shared" si="408"/>
        <v>179</v>
      </c>
      <c r="AX1164" s="77" t="str">
        <f t="shared" si="408"/>
        <v>MEX</v>
      </c>
    </row>
    <row r="1165" spans="1:50" ht="15.75" thickBot="1" x14ac:dyDescent="0.3">
      <c r="A1165">
        <v>1151</v>
      </c>
      <c r="B1165" s="36" t="str">
        <f t="shared" si="402"/>
        <v>BARATA Y MORADA</v>
      </c>
      <c r="C1165" s="36">
        <f t="shared" si="402"/>
        <v>631</v>
      </c>
      <c r="D1165" s="176">
        <v>0.95694444444444438</v>
      </c>
      <c r="E1165" s="176">
        <v>0.96458333333333324</v>
      </c>
      <c r="F1165" s="177">
        <v>7.6388888888888618E-3</v>
      </c>
      <c r="G1165" s="176">
        <v>0.96944444444444444</v>
      </c>
      <c r="H1165" s="177">
        <v>4.8611111111112049E-3</v>
      </c>
      <c r="I1165" s="97">
        <v>41727</v>
      </c>
      <c r="J1165" s="36" t="str">
        <f t="shared" si="407"/>
        <v>Nacional</v>
      </c>
      <c r="K1165" s="36">
        <f t="shared" si="407"/>
        <v>8.7499999999999696E-3</v>
      </c>
      <c r="L1165" s="36">
        <f t="shared" si="407"/>
        <v>1.3472222222222252E-2</v>
      </c>
      <c r="M1165" s="36">
        <f t="shared" si="407"/>
        <v>2.222222222222222E-2</v>
      </c>
      <c r="N1165" s="36">
        <f t="shared" si="407"/>
        <v>320</v>
      </c>
      <c r="O1165" s="36">
        <f t="shared" si="407"/>
        <v>179</v>
      </c>
      <c r="P1165" s="36">
        <f t="shared" si="407"/>
        <v>631</v>
      </c>
      <c r="R1165">
        <v>1151</v>
      </c>
      <c r="S1165" s="36" t="str">
        <f t="shared" si="405"/>
        <v>INTERAVIÓN</v>
      </c>
      <c r="T1165" s="36">
        <f t="shared" si="405"/>
        <v>2212</v>
      </c>
      <c r="U1165" s="73">
        <v>0.93819444444444444</v>
      </c>
      <c r="V1165" s="74">
        <v>0.94652777777777775</v>
      </c>
      <c r="W1165" s="75">
        <v>8.3333333333333037E-3</v>
      </c>
      <c r="X1165" s="74">
        <v>0.95416666666666661</v>
      </c>
      <c r="Y1165" s="75">
        <v>7.6388888888888618E-3</v>
      </c>
      <c r="Z1165" s="76">
        <v>41736</v>
      </c>
      <c r="AA1165" s="36" t="str">
        <f t="shared" si="409"/>
        <v>Nacional</v>
      </c>
      <c r="AB1165" s="36">
        <f t="shared" si="409"/>
        <v>8.0246913580246625E-3</v>
      </c>
      <c r="AC1165" s="36">
        <f t="shared" si="409"/>
        <v>5.4783950617283876E-3</v>
      </c>
      <c r="AD1165" s="36">
        <f t="shared" si="409"/>
        <v>1.3503086419753049E-2</v>
      </c>
      <c r="AE1165" s="36">
        <f t="shared" si="409"/>
        <v>320</v>
      </c>
      <c r="AF1165" s="36">
        <f t="shared" si="409"/>
        <v>179</v>
      </c>
      <c r="AG1165" s="36" t="str">
        <f t="shared" si="409"/>
        <v>MEX</v>
      </c>
      <c r="AI1165">
        <v>1151</v>
      </c>
      <c r="AJ1165" s="77" t="str">
        <f t="shared" si="397"/>
        <v>INTERAVIÓN</v>
      </c>
      <c r="AK1165" s="77">
        <f t="shared" si="397"/>
        <v>2202</v>
      </c>
      <c r="AL1165" s="186">
        <v>0.83750000000000002</v>
      </c>
      <c r="AM1165" s="79">
        <v>0.84722222222222221</v>
      </c>
      <c r="AN1165" s="80">
        <v>9.7222222222221877E-3</v>
      </c>
      <c r="AO1165" s="79">
        <v>0.8666666666666667</v>
      </c>
      <c r="AP1165" s="80">
        <v>1.9444444444444486E-2</v>
      </c>
      <c r="AQ1165" s="81">
        <v>41802</v>
      </c>
      <c r="AR1165" s="77" t="str">
        <f t="shared" si="408"/>
        <v>Nacional</v>
      </c>
      <c r="AS1165" s="77">
        <f t="shared" si="408"/>
        <v>7.0175438596491281E-3</v>
      </c>
      <c r="AT1165" s="77">
        <f t="shared" si="408"/>
        <v>7.3099415204678324E-3</v>
      </c>
      <c r="AU1165" s="77">
        <f t="shared" si="408"/>
        <v>1.432748538011696E-2</v>
      </c>
      <c r="AV1165" s="77">
        <f t="shared" si="408"/>
        <v>320</v>
      </c>
      <c r="AW1165" s="77">
        <f t="shared" si="408"/>
        <v>179</v>
      </c>
      <c r="AX1165" s="77" t="str">
        <f t="shared" si="408"/>
        <v>MEX</v>
      </c>
    </row>
    <row r="1166" spans="1:50" x14ac:dyDescent="0.25">
      <c r="A1166">
        <v>1152</v>
      </c>
      <c r="B1166" s="36" t="str">
        <f t="shared" si="402"/>
        <v>BARATA Y MORADA</v>
      </c>
      <c r="C1166" s="195">
        <v>627</v>
      </c>
      <c r="D1166" s="152">
        <v>0.53888888888888886</v>
      </c>
      <c r="E1166" s="152">
        <v>0.54722222222222217</v>
      </c>
      <c r="F1166" s="153">
        <v>8.3333333333333037E-3</v>
      </c>
      <c r="G1166" s="152">
        <v>0.55486111111111114</v>
      </c>
      <c r="H1166" s="153">
        <v>7.6388888888889728E-3</v>
      </c>
      <c r="I1166" s="67">
        <v>41716</v>
      </c>
      <c r="J1166" s="68" t="s">
        <v>19</v>
      </c>
      <c r="K1166" s="135">
        <v>6.8055555555555092E-3</v>
      </c>
      <c r="L1166" s="135">
        <v>8.4722222222222802E-3</v>
      </c>
      <c r="M1166" s="196">
        <v>1.5277777777777789E-2</v>
      </c>
      <c r="N1166" s="90" t="s">
        <v>57</v>
      </c>
      <c r="O1166" s="91">
        <v>142</v>
      </c>
      <c r="P1166" s="92" t="s">
        <v>36</v>
      </c>
      <c r="R1166">
        <v>1152</v>
      </c>
      <c r="S1166" s="36" t="str">
        <f t="shared" si="405"/>
        <v>INTERAVIÓN</v>
      </c>
      <c r="T1166" s="36">
        <f t="shared" si="405"/>
        <v>2212</v>
      </c>
      <c r="U1166" s="73">
        <v>0.9770833333333333</v>
      </c>
      <c r="V1166" s="74">
        <v>0.98055555555555562</v>
      </c>
      <c r="W1166" s="75">
        <v>3.4722222222223209E-3</v>
      </c>
      <c r="X1166" s="74">
        <v>0.98472222222222217</v>
      </c>
      <c r="Y1166" s="75">
        <v>4.1666666666665408E-3</v>
      </c>
      <c r="Z1166" s="76">
        <v>41739</v>
      </c>
      <c r="AA1166" s="36" t="str">
        <f t="shared" si="409"/>
        <v>Nacional</v>
      </c>
      <c r="AB1166" s="36">
        <f t="shared" si="409"/>
        <v>8.0246913580246625E-3</v>
      </c>
      <c r="AC1166" s="36">
        <f t="shared" si="409"/>
        <v>5.4783950617283876E-3</v>
      </c>
      <c r="AD1166" s="36">
        <f t="shared" si="409"/>
        <v>1.3503086419753049E-2</v>
      </c>
      <c r="AE1166" s="36">
        <f t="shared" si="409"/>
        <v>320</v>
      </c>
      <c r="AF1166" s="36">
        <f t="shared" si="409"/>
        <v>179</v>
      </c>
      <c r="AG1166" s="36" t="str">
        <f t="shared" si="409"/>
        <v>MEX</v>
      </c>
      <c r="AI1166">
        <v>1152</v>
      </c>
      <c r="AJ1166" s="77" t="str">
        <f t="shared" si="397"/>
        <v>INTERAVIÓN</v>
      </c>
      <c r="AK1166" s="77">
        <f t="shared" si="397"/>
        <v>2202</v>
      </c>
      <c r="AL1166" s="186">
        <v>0.91736111111111107</v>
      </c>
      <c r="AM1166" s="79">
        <v>0.92708333333333337</v>
      </c>
      <c r="AN1166" s="80">
        <v>9.7222222222222987E-3</v>
      </c>
      <c r="AO1166" s="79">
        <v>0.92986111111111114</v>
      </c>
      <c r="AP1166" s="80">
        <v>2.7777777777777679E-3</v>
      </c>
      <c r="AQ1166" s="81">
        <v>41803</v>
      </c>
      <c r="AR1166" s="77" t="str">
        <f t="shared" si="408"/>
        <v>Nacional</v>
      </c>
      <c r="AS1166" s="77">
        <f t="shared" si="408"/>
        <v>7.0175438596491281E-3</v>
      </c>
      <c r="AT1166" s="77">
        <f t="shared" si="408"/>
        <v>7.3099415204678324E-3</v>
      </c>
      <c r="AU1166" s="77">
        <f t="shared" si="408"/>
        <v>1.432748538011696E-2</v>
      </c>
      <c r="AV1166" s="77">
        <f t="shared" si="408"/>
        <v>320</v>
      </c>
      <c r="AW1166" s="77">
        <f t="shared" si="408"/>
        <v>179</v>
      </c>
      <c r="AX1166" s="77" t="str">
        <f t="shared" si="408"/>
        <v>MEX</v>
      </c>
    </row>
    <row r="1167" spans="1:50" x14ac:dyDescent="0.25">
      <c r="A1167">
        <v>1153</v>
      </c>
      <c r="B1167" s="36" t="str">
        <f t="shared" si="402"/>
        <v>BARATA Y MORADA</v>
      </c>
      <c r="C1167" s="36">
        <f t="shared" si="402"/>
        <v>627</v>
      </c>
      <c r="D1167" s="118">
        <v>0.54375000000000007</v>
      </c>
      <c r="E1167" s="118">
        <v>0.54999999999999993</v>
      </c>
      <c r="F1167" s="119">
        <v>6.2499999999998668E-3</v>
      </c>
      <c r="G1167" s="118">
        <v>0.5541666666666667</v>
      </c>
      <c r="H1167" s="119">
        <v>4.1666666666667629E-3</v>
      </c>
      <c r="I1167" s="81">
        <v>41718</v>
      </c>
      <c r="J1167" s="36" t="str">
        <f t="shared" ref="J1167:P1170" si="410">J1166</f>
        <v>Nacional</v>
      </c>
      <c r="K1167" s="36">
        <f t="shared" si="410"/>
        <v>6.8055555555555092E-3</v>
      </c>
      <c r="L1167" s="36">
        <f t="shared" si="410"/>
        <v>8.4722222222222802E-3</v>
      </c>
      <c r="M1167" s="36">
        <f t="shared" si="410"/>
        <v>1.5277777777777789E-2</v>
      </c>
      <c r="N1167" s="36" t="str">
        <f t="shared" si="410"/>
        <v>A319</v>
      </c>
      <c r="O1167" s="36">
        <f t="shared" si="410"/>
        <v>142</v>
      </c>
      <c r="P1167" s="36" t="str">
        <f t="shared" si="410"/>
        <v>CJS</v>
      </c>
      <c r="R1167">
        <v>1153</v>
      </c>
      <c r="S1167" s="36" t="str">
        <f t="shared" si="405"/>
        <v>INTERAVIÓN</v>
      </c>
      <c r="T1167" s="36">
        <f t="shared" si="405"/>
        <v>2212</v>
      </c>
      <c r="U1167" s="73">
        <v>0.98402777777777783</v>
      </c>
      <c r="V1167" s="74">
        <v>0.99305555555555547</v>
      </c>
      <c r="W1167" s="75">
        <v>9.0277777777776347E-3</v>
      </c>
      <c r="X1167" s="74">
        <v>0.99722222222222223</v>
      </c>
      <c r="Y1167" s="75">
        <v>4.1666666666667629E-3</v>
      </c>
      <c r="Z1167" s="76">
        <v>41740</v>
      </c>
      <c r="AA1167" s="36" t="str">
        <f t="shared" si="409"/>
        <v>Nacional</v>
      </c>
      <c r="AB1167" s="36">
        <f t="shared" si="409"/>
        <v>8.0246913580246625E-3</v>
      </c>
      <c r="AC1167" s="36">
        <f t="shared" si="409"/>
        <v>5.4783950617283876E-3</v>
      </c>
      <c r="AD1167" s="36">
        <f t="shared" si="409"/>
        <v>1.3503086419753049E-2</v>
      </c>
      <c r="AE1167" s="36">
        <f t="shared" si="409"/>
        <v>320</v>
      </c>
      <c r="AF1167" s="36">
        <f t="shared" si="409"/>
        <v>179</v>
      </c>
      <c r="AG1167" s="36" t="str">
        <f t="shared" si="409"/>
        <v>MEX</v>
      </c>
      <c r="AI1167">
        <v>1153</v>
      </c>
      <c r="AJ1167" s="77" t="str">
        <f t="shared" si="397"/>
        <v>INTERAVIÓN</v>
      </c>
      <c r="AK1167" s="77">
        <f t="shared" si="397"/>
        <v>2202</v>
      </c>
      <c r="AL1167" s="186">
        <v>0.5444444444444444</v>
      </c>
      <c r="AM1167" s="79">
        <v>0.55555555555555558</v>
      </c>
      <c r="AN1167" s="80">
        <v>1.1111111111111183E-2</v>
      </c>
      <c r="AO1167" s="79">
        <v>0.56180555555555556</v>
      </c>
      <c r="AP1167" s="80">
        <v>6.2499999999999778E-3</v>
      </c>
      <c r="AQ1167" s="81">
        <v>41805</v>
      </c>
      <c r="AR1167" s="77" t="str">
        <f t="shared" si="408"/>
        <v>Nacional</v>
      </c>
      <c r="AS1167" s="77">
        <f t="shared" si="408"/>
        <v>7.0175438596491281E-3</v>
      </c>
      <c r="AT1167" s="77">
        <f t="shared" si="408"/>
        <v>7.3099415204678324E-3</v>
      </c>
      <c r="AU1167" s="77">
        <f t="shared" si="408"/>
        <v>1.432748538011696E-2</v>
      </c>
      <c r="AV1167" s="77">
        <f t="shared" si="408"/>
        <v>320</v>
      </c>
      <c r="AW1167" s="77">
        <f t="shared" si="408"/>
        <v>179</v>
      </c>
      <c r="AX1167" s="77" t="str">
        <f t="shared" si="408"/>
        <v>MEX</v>
      </c>
    </row>
    <row r="1168" spans="1:50" x14ac:dyDescent="0.25">
      <c r="A1168">
        <v>1154</v>
      </c>
      <c r="B1168" s="36" t="str">
        <f t="shared" si="402"/>
        <v>BARATA Y MORADA</v>
      </c>
      <c r="C1168" s="36">
        <f t="shared" si="402"/>
        <v>627</v>
      </c>
      <c r="D1168" s="118">
        <v>0.55277777777777781</v>
      </c>
      <c r="E1168" s="118">
        <v>0.56041666666666667</v>
      </c>
      <c r="F1168" s="119">
        <v>7.6388888888888618E-3</v>
      </c>
      <c r="G1168" s="118">
        <v>0.56736111111111109</v>
      </c>
      <c r="H1168" s="119">
        <v>6.9444444444444198E-3</v>
      </c>
      <c r="I1168" s="81">
        <v>41725</v>
      </c>
      <c r="J1168" s="36" t="str">
        <f t="shared" si="410"/>
        <v>Nacional</v>
      </c>
      <c r="K1168" s="36">
        <f t="shared" si="410"/>
        <v>6.8055555555555092E-3</v>
      </c>
      <c r="L1168" s="36">
        <f t="shared" si="410"/>
        <v>8.4722222222222802E-3</v>
      </c>
      <c r="M1168" s="36">
        <f t="shared" si="410"/>
        <v>1.5277777777777789E-2</v>
      </c>
      <c r="N1168" s="36" t="str">
        <f t="shared" si="410"/>
        <v>A319</v>
      </c>
      <c r="O1168" s="36">
        <f t="shared" si="410"/>
        <v>142</v>
      </c>
      <c r="P1168" s="36" t="str">
        <f t="shared" si="410"/>
        <v>CJS</v>
      </c>
      <c r="R1168">
        <v>1154</v>
      </c>
      <c r="S1168" s="36" t="str">
        <f t="shared" si="405"/>
        <v>INTERAVIÓN</v>
      </c>
      <c r="T1168" s="36">
        <f t="shared" si="405"/>
        <v>2212</v>
      </c>
      <c r="U1168" s="73">
        <v>0.95000000000000007</v>
      </c>
      <c r="V1168" s="74">
        <v>0.96319444444444446</v>
      </c>
      <c r="W1168" s="75">
        <v>1.3194444444444398E-2</v>
      </c>
      <c r="X1168" s="74">
        <v>0.97083333333333333</v>
      </c>
      <c r="Y1168" s="75">
        <v>7.6388888888888618E-3</v>
      </c>
      <c r="Z1168" s="76">
        <v>41749</v>
      </c>
      <c r="AA1168" s="36" t="str">
        <f t="shared" si="409"/>
        <v>Nacional</v>
      </c>
      <c r="AB1168" s="36">
        <f t="shared" si="409"/>
        <v>8.0246913580246625E-3</v>
      </c>
      <c r="AC1168" s="36">
        <f t="shared" si="409"/>
        <v>5.4783950617283876E-3</v>
      </c>
      <c r="AD1168" s="36">
        <f t="shared" si="409"/>
        <v>1.3503086419753049E-2</v>
      </c>
      <c r="AE1168" s="36">
        <f t="shared" si="409"/>
        <v>320</v>
      </c>
      <c r="AF1168" s="36">
        <f t="shared" si="409"/>
        <v>179</v>
      </c>
      <c r="AG1168" s="36" t="str">
        <f t="shared" si="409"/>
        <v>MEX</v>
      </c>
      <c r="AI1168">
        <v>1154</v>
      </c>
      <c r="AJ1168" s="77" t="str">
        <f t="shared" si="397"/>
        <v>INTERAVIÓN</v>
      </c>
      <c r="AK1168" s="77">
        <f t="shared" si="397"/>
        <v>2202</v>
      </c>
      <c r="AL1168" s="186">
        <v>0.82430555555555562</v>
      </c>
      <c r="AM1168" s="79">
        <v>0.83888888888888891</v>
      </c>
      <c r="AN1168" s="80">
        <v>1.4583333333333282E-2</v>
      </c>
      <c r="AO1168" s="79">
        <v>0.85486111111111107</v>
      </c>
      <c r="AP1168" s="80">
        <v>1.5972222222222165E-2</v>
      </c>
      <c r="AQ1168" s="81">
        <v>41806</v>
      </c>
      <c r="AR1168" s="77" t="str">
        <f t="shared" si="408"/>
        <v>Nacional</v>
      </c>
      <c r="AS1168" s="77">
        <f t="shared" si="408"/>
        <v>7.0175438596491281E-3</v>
      </c>
      <c r="AT1168" s="77">
        <f t="shared" si="408"/>
        <v>7.3099415204678324E-3</v>
      </c>
      <c r="AU1168" s="77">
        <f t="shared" si="408"/>
        <v>1.432748538011696E-2</v>
      </c>
      <c r="AV1168" s="77">
        <f t="shared" si="408"/>
        <v>320</v>
      </c>
      <c r="AW1168" s="77">
        <f t="shared" si="408"/>
        <v>179</v>
      </c>
      <c r="AX1168" s="77" t="str">
        <f t="shared" si="408"/>
        <v>MEX</v>
      </c>
    </row>
    <row r="1169" spans="1:50" ht="15.75" thickBot="1" x14ac:dyDescent="0.3">
      <c r="A1169">
        <v>1155</v>
      </c>
      <c r="B1169" s="36" t="str">
        <f t="shared" si="402"/>
        <v>BARATA Y MORADA</v>
      </c>
      <c r="C1169" s="36">
        <f t="shared" si="402"/>
        <v>627</v>
      </c>
      <c r="D1169" s="176">
        <v>0.56527777777777777</v>
      </c>
      <c r="E1169" s="176">
        <v>0.57291666666666663</v>
      </c>
      <c r="F1169" s="177">
        <v>7.6388888888888618E-3</v>
      </c>
      <c r="G1169" s="176">
        <v>0.58680555555555558</v>
      </c>
      <c r="H1169" s="177">
        <v>1.3888888888888951E-2</v>
      </c>
      <c r="I1169" s="97">
        <v>41727</v>
      </c>
      <c r="J1169" s="36" t="str">
        <f t="shared" si="410"/>
        <v>Nacional</v>
      </c>
      <c r="K1169" s="36">
        <f t="shared" si="410"/>
        <v>6.8055555555555092E-3</v>
      </c>
      <c r="L1169" s="36">
        <f t="shared" si="410"/>
        <v>8.4722222222222802E-3</v>
      </c>
      <c r="M1169" s="36">
        <f t="shared" si="410"/>
        <v>1.5277777777777789E-2</v>
      </c>
      <c r="N1169" s="36" t="str">
        <f t="shared" si="410"/>
        <v>A319</v>
      </c>
      <c r="O1169" s="36">
        <f t="shared" si="410"/>
        <v>142</v>
      </c>
      <c r="P1169" s="36" t="str">
        <f t="shared" si="410"/>
        <v>CJS</v>
      </c>
      <c r="R1169">
        <v>1155</v>
      </c>
      <c r="S1169" s="36" t="str">
        <f t="shared" si="405"/>
        <v>INTERAVIÓN</v>
      </c>
      <c r="T1169" s="36">
        <f t="shared" si="405"/>
        <v>2212</v>
      </c>
      <c r="U1169" s="83">
        <v>0.94930555555555562</v>
      </c>
      <c r="V1169" s="84">
        <v>0.95833333333333337</v>
      </c>
      <c r="W1169" s="85">
        <v>9.0277777777777457E-3</v>
      </c>
      <c r="X1169" s="84">
        <v>0.96111111111111114</v>
      </c>
      <c r="Y1169" s="85">
        <v>2.7777777777777679E-3</v>
      </c>
      <c r="Z1169" s="86">
        <v>41757</v>
      </c>
      <c r="AA1169" s="36" t="str">
        <f t="shared" si="409"/>
        <v>Nacional</v>
      </c>
      <c r="AB1169" s="36">
        <f t="shared" si="409"/>
        <v>8.0246913580246625E-3</v>
      </c>
      <c r="AC1169" s="36">
        <f t="shared" si="409"/>
        <v>5.4783950617283876E-3</v>
      </c>
      <c r="AD1169" s="36">
        <f t="shared" si="409"/>
        <v>1.3503086419753049E-2</v>
      </c>
      <c r="AE1169" s="36">
        <f t="shared" si="409"/>
        <v>320</v>
      </c>
      <c r="AF1169" s="36">
        <f t="shared" si="409"/>
        <v>179</v>
      </c>
      <c r="AG1169" s="36" t="str">
        <f t="shared" si="409"/>
        <v>MEX</v>
      </c>
      <c r="AI1169">
        <v>1155</v>
      </c>
      <c r="AJ1169" s="77" t="str">
        <f t="shared" si="397"/>
        <v>INTERAVIÓN</v>
      </c>
      <c r="AK1169" s="77">
        <f t="shared" si="397"/>
        <v>2202</v>
      </c>
      <c r="AL1169" s="186">
        <v>0.7368055555555556</v>
      </c>
      <c r="AM1169" s="79">
        <v>0.74583333333333324</v>
      </c>
      <c r="AN1169" s="80">
        <v>9.0277777777776347E-3</v>
      </c>
      <c r="AO1169" s="79">
        <v>0.76458333333333339</v>
      </c>
      <c r="AP1169" s="80">
        <v>1.8750000000000155E-2</v>
      </c>
      <c r="AQ1169" s="81">
        <v>41807</v>
      </c>
      <c r="AR1169" s="77" t="str">
        <f t="shared" si="408"/>
        <v>Nacional</v>
      </c>
      <c r="AS1169" s="77">
        <f t="shared" si="408"/>
        <v>7.0175438596491281E-3</v>
      </c>
      <c r="AT1169" s="77">
        <f t="shared" si="408"/>
        <v>7.3099415204678324E-3</v>
      </c>
      <c r="AU1169" s="77">
        <f t="shared" si="408"/>
        <v>1.432748538011696E-2</v>
      </c>
      <c r="AV1169" s="77">
        <f t="shared" si="408"/>
        <v>320</v>
      </c>
      <c r="AW1169" s="77">
        <f t="shared" si="408"/>
        <v>179</v>
      </c>
      <c r="AX1169" s="77" t="str">
        <f t="shared" si="408"/>
        <v>MEX</v>
      </c>
    </row>
    <row r="1170" spans="1:50" ht="15.75" thickBot="1" x14ac:dyDescent="0.3">
      <c r="A1170">
        <v>1156</v>
      </c>
      <c r="B1170" s="36" t="str">
        <f t="shared" si="402"/>
        <v>BARATA Y MORADA</v>
      </c>
      <c r="C1170" s="36">
        <f t="shared" si="402"/>
        <v>627</v>
      </c>
      <c r="D1170" s="147">
        <v>0.54027777777777775</v>
      </c>
      <c r="E1170" s="147">
        <v>0.5444444444444444</v>
      </c>
      <c r="F1170" s="148">
        <v>4.1666666666666519E-3</v>
      </c>
      <c r="G1170" s="147">
        <v>0.5541666666666667</v>
      </c>
      <c r="H1170" s="148">
        <v>9.7222222222222987E-3</v>
      </c>
      <c r="I1170" s="103">
        <v>41720</v>
      </c>
      <c r="J1170" s="36" t="str">
        <f t="shared" si="410"/>
        <v>Nacional</v>
      </c>
      <c r="K1170" s="36">
        <f t="shared" si="410"/>
        <v>6.8055555555555092E-3</v>
      </c>
      <c r="L1170" s="36">
        <f t="shared" si="410"/>
        <v>8.4722222222222802E-3</v>
      </c>
      <c r="M1170" s="36">
        <f t="shared" si="410"/>
        <v>1.5277777777777789E-2</v>
      </c>
      <c r="N1170" s="36" t="str">
        <f t="shared" si="410"/>
        <v>A319</v>
      </c>
      <c r="O1170" s="36">
        <f t="shared" si="410"/>
        <v>142</v>
      </c>
      <c r="P1170" s="36" t="str">
        <f t="shared" si="410"/>
        <v>CJS</v>
      </c>
      <c r="R1170">
        <v>1156</v>
      </c>
      <c r="S1170" s="36" t="str">
        <f t="shared" si="405"/>
        <v>INTERAVIÓN</v>
      </c>
      <c r="T1170" s="55">
        <v>2210</v>
      </c>
      <c r="U1170" s="56">
        <v>0.43333333333333335</v>
      </c>
      <c r="V1170" s="57">
        <v>0.4381944444444445</v>
      </c>
      <c r="W1170" s="58">
        <v>4.8611111111111494E-3</v>
      </c>
      <c r="X1170" s="57">
        <v>0.44236111111111115</v>
      </c>
      <c r="Y1170" s="58">
        <v>4.1666666666666519E-3</v>
      </c>
      <c r="Z1170" s="59">
        <v>41730</v>
      </c>
      <c r="AA1170" s="60" t="s">
        <v>19</v>
      </c>
      <c r="AB1170" s="61">
        <v>5.6944444444444655E-3</v>
      </c>
      <c r="AC1170" s="61">
        <v>5.0347222222222269E-3</v>
      </c>
      <c r="AD1170" s="62">
        <v>1.0729166666666692E-2</v>
      </c>
      <c r="AE1170" s="191">
        <v>320</v>
      </c>
      <c r="AF1170" s="191">
        <v>179</v>
      </c>
      <c r="AG1170" s="192" t="s">
        <v>21</v>
      </c>
      <c r="AI1170">
        <v>1156</v>
      </c>
      <c r="AJ1170" s="77" t="str">
        <f t="shared" si="397"/>
        <v>INTERAVIÓN</v>
      </c>
      <c r="AK1170" s="77">
        <f t="shared" si="397"/>
        <v>2202</v>
      </c>
      <c r="AL1170" s="186">
        <v>0.5444444444444444</v>
      </c>
      <c r="AM1170" s="79">
        <v>0.55555555555555558</v>
      </c>
      <c r="AN1170" s="80">
        <v>1.1111111111111183E-2</v>
      </c>
      <c r="AO1170" s="79">
        <v>0.5625</v>
      </c>
      <c r="AP1170" s="80">
        <v>6.9444444444444198E-3</v>
      </c>
      <c r="AQ1170" s="81">
        <v>41808</v>
      </c>
      <c r="AR1170" s="77" t="str">
        <f t="shared" si="408"/>
        <v>Nacional</v>
      </c>
      <c r="AS1170" s="77">
        <f t="shared" si="408"/>
        <v>7.0175438596491281E-3</v>
      </c>
      <c r="AT1170" s="77">
        <f t="shared" si="408"/>
        <v>7.3099415204678324E-3</v>
      </c>
      <c r="AU1170" s="77">
        <f t="shared" si="408"/>
        <v>1.432748538011696E-2</v>
      </c>
      <c r="AV1170" s="77">
        <f t="shared" si="408"/>
        <v>320</v>
      </c>
      <c r="AW1170" s="77">
        <f t="shared" si="408"/>
        <v>179</v>
      </c>
      <c r="AX1170" s="77" t="str">
        <f t="shared" si="408"/>
        <v>MEX</v>
      </c>
    </row>
    <row r="1171" spans="1:50" x14ac:dyDescent="0.25">
      <c r="A1171">
        <v>1157</v>
      </c>
      <c r="B1171" s="36" t="str">
        <f t="shared" si="402"/>
        <v>BARATA Y MORADA</v>
      </c>
      <c r="C1171" s="151">
        <v>623</v>
      </c>
      <c r="D1171" s="152">
        <v>0.54861111111111105</v>
      </c>
      <c r="E1171" s="152">
        <v>0.55763888888888891</v>
      </c>
      <c r="F1171" s="153">
        <v>9.0277777777778567E-3</v>
      </c>
      <c r="G1171" s="152">
        <v>0.56944444444444442</v>
      </c>
      <c r="H1171" s="153">
        <v>1.1805555555555514E-2</v>
      </c>
      <c r="I1171" s="67">
        <v>41714</v>
      </c>
      <c r="J1171" s="68" t="s">
        <v>19</v>
      </c>
      <c r="K1171" s="135">
        <v>8.5858585858586151E-3</v>
      </c>
      <c r="L1171" s="135">
        <v>9.7853535353535307E-3</v>
      </c>
      <c r="M1171" s="175">
        <v>1.8371212121212146E-2</v>
      </c>
      <c r="N1171" s="90">
        <v>320</v>
      </c>
      <c r="O1171" s="91">
        <v>179</v>
      </c>
      <c r="P1171" s="92" t="s">
        <v>67</v>
      </c>
      <c r="R1171">
        <v>1157</v>
      </c>
      <c r="S1171" s="36" t="str">
        <f t="shared" si="405"/>
        <v>INTERAVIÓN</v>
      </c>
      <c r="T1171" s="36">
        <f t="shared" si="405"/>
        <v>2210</v>
      </c>
      <c r="U1171" s="73">
        <v>0.4375</v>
      </c>
      <c r="V1171" s="74">
        <v>0.44444444444444442</v>
      </c>
      <c r="W1171" s="75">
        <v>6.9444444444444198E-3</v>
      </c>
      <c r="X1171" s="74">
        <v>0.44861111111111113</v>
      </c>
      <c r="Y1171" s="75">
        <v>4.1666666666667074E-3</v>
      </c>
      <c r="Z1171" s="76">
        <v>41731</v>
      </c>
      <c r="AA1171" s="36" t="str">
        <f t="shared" ref="AA1171:AG1189" si="411">AA1170</f>
        <v>Nacional</v>
      </c>
      <c r="AB1171" s="36">
        <f t="shared" si="411"/>
        <v>5.6944444444444655E-3</v>
      </c>
      <c r="AC1171" s="36">
        <f t="shared" si="411"/>
        <v>5.0347222222222269E-3</v>
      </c>
      <c r="AD1171" s="36">
        <f t="shared" si="411"/>
        <v>1.0729166666666692E-2</v>
      </c>
      <c r="AE1171" s="36">
        <f t="shared" si="411"/>
        <v>320</v>
      </c>
      <c r="AF1171" s="36">
        <f t="shared" si="411"/>
        <v>179</v>
      </c>
      <c r="AG1171" s="36" t="str">
        <f t="shared" si="411"/>
        <v>MEX</v>
      </c>
      <c r="AI1171">
        <v>1157</v>
      </c>
      <c r="AJ1171" s="77" t="str">
        <f t="shared" si="397"/>
        <v>INTERAVIÓN</v>
      </c>
      <c r="AK1171" s="77">
        <f t="shared" si="397"/>
        <v>2202</v>
      </c>
      <c r="AL1171" s="186">
        <v>0.55138888888888882</v>
      </c>
      <c r="AM1171" s="79">
        <v>0.55694444444444446</v>
      </c>
      <c r="AN1171" s="80">
        <v>5.5555555555556468E-3</v>
      </c>
      <c r="AO1171" s="79">
        <v>0.56180555555555556</v>
      </c>
      <c r="AP1171" s="80">
        <v>4.8611111111110938E-3</v>
      </c>
      <c r="AQ1171" s="81">
        <v>41809</v>
      </c>
      <c r="AR1171" s="77" t="str">
        <f t="shared" si="408"/>
        <v>Nacional</v>
      </c>
      <c r="AS1171" s="77">
        <f t="shared" si="408"/>
        <v>7.0175438596491281E-3</v>
      </c>
      <c r="AT1171" s="77">
        <f t="shared" si="408"/>
        <v>7.3099415204678324E-3</v>
      </c>
      <c r="AU1171" s="77">
        <f t="shared" si="408"/>
        <v>1.432748538011696E-2</v>
      </c>
      <c r="AV1171" s="77">
        <f t="shared" si="408"/>
        <v>320</v>
      </c>
      <c r="AW1171" s="77">
        <f t="shared" si="408"/>
        <v>179</v>
      </c>
      <c r="AX1171" s="77" t="str">
        <f t="shared" si="408"/>
        <v>MEX</v>
      </c>
    </row>
    <row r="1172" spans="1:50" x14ac:dyDescent="0.25">
      <c r="A1172">
        <v>1158</v>
      </c>
      <c r="B1172" s="36" t="str">
        <f t="shared" si="402"/>
        <v>BARATA Y MORADA</v>
      </c>
      <c r="C1172" s="36">
        <f t="shared" si="402"/>
        <v>623</v>
      </c>
      <c r="D1172" s="118">
        <v>0.54166666666666663</v>
      </c>
      <c r="E1172" s="118">
        <v>0.54791666666666672</v>
      </c>
      <c r="F1172" s="119">
        <v>6.2500000000000888E-3</v>
      </c>
      <c r="G1172" s="118">
        <v>0.55902777777777779</v>
      </c>
      <c r="H1172" s="119">
        <v>1.1111111111111072E-2</v>
      </c>
      <c r="I1172" s="81">
        <v>41715</v>
      </c>
      <c r="J1172" s="36" t="str">
        <f t="shared" ref="J1172:P1181" si="412">J1171</f>
        <v>Nacional</v>
      </c>
      <c r="K1172" s="36">
        <f t="shared" si="412"/>
        <v>8.5858585858586151E-3</v>
      </c>
      <c r="L1172" s="36">
        <f t="shared" si="412"/>
        <v>9.7853535353535307E-3</v>
      </c>
      <c r="M1172" s="36">
        <f t="shared" si="412"/>
        <v>1.8371212121212146E-2</v>
      </c>
      <c r="N1172" s="36">
        <f t="shared" si="412"/>
        <v>320</v>
      </c>
      <c r="O1172" s="36">
        <f t="shared" si="412"/>
        <v>179</v>
      </c>
      <c r="P1172" s="36" t="str">
        <f t="shared" si="412"/>
        <v>MXL</v>
      </c>
      <c r="R1172">
        <v>1158</v>
      </c>
      <c r="S1172" s="36" t="str">
        <f t="shared" si="405"/>
        <v>INTERAVIÓN</v>
      </c>
      <c r="T1172" s="36">
        <f t="shared" si="405"/>
        <v>2210</v>
      </c>
      <c r="U1172" s="73">
        <v>0.43402777777777773</v>
      </c>
      <c r="V1172" s="74">
        <v>0.44097222222222227</v>
      </c>
      <c r="W1172" s="75">
        <v>6.9444444444445308E-3</v>
      </c>
      <c r="X1172" s="74">
        <v>0.44791666666666669</v>
      </c>
      <c r="Y1172" s="75">
        <v>6.9444444444444198E-3</v>
      </c>
      <c r="Z1172" s="76">
        <v>41732</v>
      </c>
      <c r="AA1172" s="36" t="str">
        <f t="shared" si="411"/>
        <v>Nacional</v>
      </c>
      <c r="AB1172" s="36">
        <f t="shared" si="411"/>
        <v>5.6944444444444655E-3</v>
      </c>
      <c r="AC1172" s="36">
        <f t="shared" si="411"/>
        <v>5.0347222222222269E-3</v>
      </c>
      <c r="AD1172" s="36">
        <f t="shared" si="411"/>
        <v>1.0729166666666692E-2</v>
      </c>
      <c r="AE1172" s="36">
        <f t="shared" si="411"/>
        <v>320</v>
      </c>
      <c r="AF1172" s="36">
        <f t="shared" si="411"/>
        <v>179</v>
      </c>
      <c r="AG1172" s="36" t="str">
        <f t="shared" si="411"/>
        <v>MEX</v>
      </c>
      <c r="AI1172">
        <v>1158</v>
      </c>
      <c r="AJ1172" s="77" t="str">
        <f t="shared" si="397"/>
        <v>INTERAVIÓN</v>
      </c>
      <c r="AK1172" s="77">
        <f t="shared" si="397"/>
        <v>2202</v>
      </c>
      <c r="AL1172" s="186">
        <v>0.55972222222222223</v>
      </c>
      <c r="AM1172" s="79">
        <v>0.5625</v>
      </c>
      <c r="AN1172" s="80">
        <v>2.7777777777777679E-3</v>
      </c>
      <c r="AO1172" s="79">
        <v>0.56666666666666665</v>
      </c>
      <c r="AP1172" s="80">
        <v>4.1666666666666519E-3</v>
      </c>
      <c r="AQ1172" s="81">
        <v>41810</v>
      </c>
      <c r="AR1172" s="77" t="str">
        <f t="shared" si="408"/>
        <v>Nacional</v>
      </c>
      <c r="AS1172" s="77">
        <f t="shared" si="408"/>
        <v>7.0175438596491281E-3</v>
      </c>
      <c r="AT1172" s="77">
        <f t="shared" si="408"/>
        <v>7.3099415204678324E-3</v>
      </c>
      <c r="AU1172" s="77">
        <f t="shared" si="408"/>
        <v>1.432748538011696E-2</v>
      </c>
      <c r="AV1172" s="77">
        <f t="shared" si="408"/>
        <v>320</v>
      </c>
      <c r="AW1172" s="77">
        <f t="shared" si="408"/>
        <v>179</v>
      </c>
      <c r="AX1172" s="77" t="str">
        <f t="shared" si="408"/>
        <v>MEX</v>
      </c>
    </row>
    <row r="1173" spans="1:50" x14ac:dyDescent="0.25">
      <c r="A1173">
        <v>1159</v>
      </c>
      <c r="B1173" s="36" t="str">
        <f t="shared" si="402"/>
        <v>BARATA Y MORADA</v>
      </c>
      <c r="C1173" s="36">
        <f t="shared" si="402"/>
        <v>623</v>
      </c>
      <c r="D1173" s="118">
        <v>0.54097222222222219</v>
      </c>
      <c r="E1173" s="118">
        <v>0.54722222222222217</v>
      </c>
      <c r="F1173" s="119">
        <v>6.2499999999999778E-3</v>
      </c>
      <c r="G1173" s="118">
        <v>0.55833333333333335</v>
      </c>
      <c r="H1173" s="119">
        <v>1.1111111111111183E-2</v>
      </c>
      <c r="I1173" s="81">
        <v>41716</v>
      </c>
      <c r="J1173" s="36" t="str">
        <f t="shared" si="412"/>
        <v>Nacional</v>
      </c>
      <c r="K1173" s="36">
        <f t="shared" si="412"/>
        <v>8.5858585858586151E-3</v>
      </c>
      <c r="L1173" s="36">
        <f t="shared" si="412"/>
        <v>9.7853535353535307E-3</v>
      </c>
      <c r="M1173" s="36">
        <f t="shared" si="412"/>
        <v>1.8371212121212146E-2</v>
      </c>
      <c r="N1173" s="36">
        <f t="shared" si="412"/>
        <v>320</v>
      </c>
      <c r="O1173" s="36">
        <f t="shared" si="412"/>
        <v>179</v>
      </c>
      <c r="P1173" s="36" t="str">
        <f t="shared" si="412"/>
        <v>MXL</v>
      </c>
      <c r="R1173">
        <v>1159</v>
      </c>
      <c r="S1173" s="36" t="str">
        <f t="shared" si="405"/>
        <v>INTERAVIÓN</v>
      </c>
      <c r="T1173" s="36">
        <f t="shared" si="405"/>
        <v>2210</v>
      </c>
      <c r="U1173" s="73">
        <v>0.4375</v>
      </c>
      <c r="V1173" s="74">
        <v>0.43958333333333338</v>
      </c>
      <c r="W1173" s="75">
        <v>2.0833333333333814E-3</v>
      </c>
      <c r="X1173" s="74">
        <v>0.44236111111111115</v>
      </c>
      <c r="Y1173" s="75">
        <v>2.7777777777777679E-3</v>
      </c>
      <c r="Z1173" s="76">
        <v>41733</v>
      </c>
      <c r="AA1173" s="36" t="str">
        <f t="shared" si="411"/>
        <v>Nacional</v>
      </c>
      <c r="AB1173" s="36">
        <f t="shared" si="411"/>
        <v>5.6944444444444655E-3</v>
      </c>
      <c r="AC1173" s="36">
        <f t="shared" si="411"/>
        <v>5.0347222222222269E-3</v>
      </c>
      <c r="AD1173" s="36">
        <f t="shared" si="411"/>
        <v>1.0729166666666692E-2</v>
      </c>
      <c r="AE1173" s="36">
        <f t="shared" si="411"/>
        <v>320</v>
      </c>
      <c r="AF1173" s="36">
        <f t="shared" si="411"/>
        <v>179</v>
      </c>
      <c r="AG1173" s="36" t="str">
        <f t="shared" si="411"/>
        <v>MEX</v>
      </c>
      <c r="AI1173">
        <v>1159</v>
      </c>
      <c r="AJ1173" s="77" t="str">
        <f t="shared" si="397"/>
        <v>INTERAVIÓN</v>
      </c>
      <c r="AK1173" s="77">
        <f t="shared" si="397"/>
        <v>2202</v>
      </c>
      <c r="AL1173" s="186">
        <v>0.55277777777777781</v>
      </c>
      <c r="AM1173" s="79">
        <v>0.55694444444444446</v>
      </c>
      <c r="AN1173" s="80">
        <v>4.1666666666666519E-3</v>
      </c>
      <c r="AO1173" s="79">
        <v>0.56041666666666667</v>
      </c>
      <c r="AP1173" s="80">
        <v>3.4722222222222099E-3</v>
      </c>
      <c r="AQ1173" s="81">
        <v>41813</v>
      </c>
      <c r="AR1173" s="77" t="str">
        <f t="shared" si="408"/>
        <v>Nacional</v>
      </c>
      <c r="AS1173" s="77">
        <f t="shared" si="408"/>
        <v>7.0175438596491281E-3</v>
      </c>
      <c r="AT1173" s="77">
        <f t="shared" si="408"/>
        <v>7.3099415204678324E-3</v>
      </c>
      <c r="AU1173" s="77">
        <f t="shared" si="408"/>
        <v>1.432748538011696E-2</v>
      </c>
      <c r="AV1173" s="77">
        <f t="shared" si="408"/>
        <v>320</v>
      </c>
      <c r="AW1173" s="77">
        <f t="shared" si="408"/>
        <v>179</v>
      </c>
      <c r="AX1173" s="77" t="str">
        <f t="shared" si="408"/>
        <v>MEX</v>
      </c>
    </row>
    <row r="1174" spans="1:50" ht="15.75" thickBot="1" x14ac:dyDescent="0.3">
      <c r="A1174">
        <v>1160</v>
      </c>
      <c r="B1174" s="36" t="str">
        <f t="shared" si="402"/>
        <v>BARATA Y MORADA</v>
      </c>
      <c r="C1174" s="36">
        <f t="shared" si="402"/>
        <v>623</v>
      </c>
      <c r="D1174" s="118">
        <v>0.53680555555555554</v>
      </c>
      <c r="E1174" s="118">
        <v>0.55555555555555558</v>
      </c>
      <c r="F1174" s="119">
        <v>1.8750000000000044E-2</v>
      </c>
      <c r="G1174" s="118">
        <v>0.55972222222222223</v>
      </c>
      <c r="H1174" s="119">
        <v>4.1666666666666519E-3</v>
      </c>
      <c r="I1174" s="81">
        <v>41717</v>
      </c>
      <c r="J1174" s="36" t="str">
        <f t="shared" si="412"/>
        <v>Nacional</v>
      </c>
      <c r="K1174" s="36">
        <f t="shared" si="412"/>
        <v>8.5858585858586151E-3</v>
      </c>
      <c r="L1174" s="36">
        <f t="shared" si="412"/>
        <v>9.7853535353535307E-3</v>
      </c>
      <c r="M1174" s="36">
        <f t="shared" si="412"/>
        <v>1.8371212121212146E-2</v>
      </c>
      <c r="N1174" s="36">
        <f t="shared" si="412"/>
        <v>320</v>
      </c>
      <c r="O1174" s="36">
        <f t="shared" si="412"/>
        <v>179</v>
      </c>
      <c r="P1174" s="36" t="str">
        <f t="shared" si="412"/>
        <v>MXL</v>
      </c>
      <c r="R1174">
        <v>1160</v>
      </c>
      <c r="S1174" s="36" t="str">
        <f t="shared" si="405"/>
        <v>INTERAVIÓN</v>
      </c>
      <c r="T1174" s="36">
        <f t="shared" si="405"/>
        <v>2210</v>
      </c>
      <c r="U1174" s="73">
        <v>0.43055555555555558</v>
      </c>
      <c r="V1174" s="74">
        <v>0.43263888888888885</v>
      </c>
      <c r="W1174" s="75">
        <v>2.0833333333332704E-3</v>
      </c>
      <c r="X1174" s="74">
        <v>0.44236111111111115</v>
      </c>
      <c r="Y1174" s="75">
        <v>9.7222222222222987E-3</v>
      </c>
      <c r="Z1174" s="76">
        <v>41737</v>
      </c>
      <c r="AA1174" s="36" t="str">
        <f t="shared" si="411"/>
        <v>Nacional</v>
      </c>
      <c r="AB1174" s="36">
        <f t="shared" si="411"/>
        <v>5.6944444444444655E-3</v>
      </c>
      <c r="AC1174" s="36">
        <f t="shared" si="411"/>
        <v>5.0347222222222269E-3</v>
      </c>
      <c r="AD1174" s="36">
        <f t="shared" si="411"/>
        <v>1.0729166666666692E-2</v>
      </c>
      <c r="AE1174" s="36">
        <f t="shared" si="411"/>
        <v>320</v>
      </c>
      <c r="AF1174" s="36">
        <f t="shared" si="411"/>
        <v>179</v>
      </c>
      <c r="AG1174" s="36" t="str">
        <f t="shared" si="411"/>
        <v>MEX</v>
      </c>
      <c r="AI1174">
        <v>1160</v>
      </c>
      <c r="AJ1174" s="77" t="str">
        <f t="shared" si="397"/>
        <v>INTERAVIÓN</v>
      </c>
      <c r="AK1174" s="77">
        <f t="shared" si="397"/>
        <v>2202</v>
      </c>
      <c r="AL1174" s="187">
        <v>0.54305555555555551</v>
      </c>
      <c r="AM1174" s="95">
        <v>0.55208333333333337</v>
      </c>
      <c r="AN1174" s="96">
        <v>9.0277777777778567E-3</v>
      </c>
      <c r="AO1174" s="95">
        <v>0.55902777777777779</v>
      </c>
      <c r="AP1174" s="96">
        <v>6.9444444444444198E-3</v>
      </c>
      <c r="AQ1174" s="97">
        <v>41812</v>
      </c>
      <c r="AR1174" s="77" t="str">
        <f t="shared" si="408"/>
        <v>Nacional</v>
      </c>
      <c r="AS1174" s="77">
        <f t="shared" si="408"/>
        <v>7.0175438596491281E-3</v>
      </c>
      <c r="AT1174" s="77">
        <f t="shared" si="408"/>
        <v>7.3099415204678324E-3</v>
      </c>
      <c r="AU1174" s="77">
        <f t="shared" si="408"/>
        <v>1.432748538011696E-2</v>
      </c>
      <c r="AV1174" s="77">
        <f t="shared" si="408"/>
        <v>320</v>
      </c>
      <c r="AW1174" s="77">
        <f t="shared" si="408"/>
        <v>179</v>
      </c>
      <c r="AX1174" s="77" t="str">
        <f t="shared" si="408"/>
        <v>MEX</v>
      </c>
    </row>
    <row r="1175" spans="1:50" x14ac:dyDescent="0.25">
      <c r="A1175">
        <v>1161</v>
      </c>
      <c r="B1175" s="36" t="str">
        <f t="shared" si="402"/>
        <v>BARATA Y MORADA</v>
      </c>
      <c r="C1175" s="36">
        <f t="shared" si="402"/>
        <v>623</v>
      </c>
      <c r="D1175" s="118">
        <v>0.54583333333333328</v>
      </c>
      <c r="E1175" s="118">
        <v>0.5541666666666667</v>
      </c>
      <c r="F1175" s="119">
        <v>8.3333333333334147E-3</v>
      </c>
      <c r="G1175" s="118">
        <v>0.56666666666666665</v>
      </c>
      <c r="H1175" s="119">
        <v>1.2499999999999956E-2</v>
      </c>
      <c r="I1175" s="81">
        <v>41718</v>
      </c>
      <c r="J1175" s="36" t="str">
        <f t="shared" si="412"/>
        <v>Nacional</v>
      </c>
      <c r="K1175" s="36">
        <f t="shared" si="412"/>
        <v>8.5858585858586151E-3</v>
      </c>
      <c r="L1175" s="36">
        <f t="shared" si="412"/>
        <v>9.7853535353535307E-3</v>
      </c>
      <c r="M1175" s="36">
        <f t="shared" si="412"/>
        <v>1.8371212121212146E-2</v>
      </c>
      <c r="N1175" s="36">
        <f t="shared" si="412"/>
        <v>320</v>
      </c>
      <c r="O1175" s="36">
        <f t="shared" si="412"/>
        <v>179</v>
      </c>
      <c r="P1175" s="36" t="str">
        <f t="shared" si="412"/>
        <v>MXL</v>
      </c>
      <c r="R1175">
        <v>1161</v>
      </c>
      <c r="S1175" s="36" t="str">
        <f t="shared" si="405"/>
        <v>INTERAVIÓN</v>
      </c>
      <c r="T1175" s="36">
        <f t="shared" si="405"/>
        <v>2210</v>
      </c>
      <c r="U1175" s="73">
        <v>0.4381944444444445</v>
      </c>
      <c r="V1175" s="74">
        <v>0.44305555555555554</v>
      </c>
      <c r="W1175" s="75">
        <v>4.8611111111110383E-3</v>
      </c>
      <c r="X1175" s="74">
        <v>0.44513888888888892</v>
      </c>
      <c r="Y1175" s="75">
        <v>2.0833333333333814E-3</v>
      </c>
      <c r="Z1175" s="76">
        <v>41739</v>
      </c>
      <c r="AA1175" s="36" t="str">
        <f t="shared" si="411"/>
        <v>Nacional</v>
      </c>
      <c r="AB1175" s="36">
        <f t="shared" si="411"/>
        <v>5.6944444444444655E-3</v>
      </c>
      <c r="AC1175" s="36">
        <f t="shared" si="411"/>
        <v>5.0347222222222269E-3</v>
      </c>
      <c r="AD1175" s="36">
        <f t="shared" si="411"/>
        <v>1.0729166666666692E-2</v>
      </c>
      <c r="AE1175" s="36">
        <f t="shared" si="411"/>
        <v>320</v>
      </c>
      <c r="AF1175" s="36">
        <f t="shared" si="411"/>
        <v>179</v>
      </c>
      <c r="AG1175" s="36" t="str">
        <f t="shared" si="411"/>
        <v>MEX</v>
      </c>
      <c r="AI1175">
        <v>1161</v>
      </c>
      <c r="AJ1175" s="77" t="str">
        <f t="shared" si="397"/>
        <v>INTERAVIÓN</v>
      </c>
      <c r="AK1175" s="63">
        <v>2200</v>
      </c>
      <c r="AL1175" s="185">
        <v>0.76250000000000007</v>
      </c>
      <c r="AM1175" s="65">
        <v>0.76527777777777783</v>
      </c>
      <c r="AN1175" s="66">
        <v>2.7777777777777679E-3</v>
      </c>
      <c r="AO1175" s="65">
        <v>0.77222222222222225</v>
      </c>
      <c r="AP1175" s="66">
        <v>6.9444444444444198E-3</v>
      </c>
      <c r="AQ1175" s="67">
        <v>41795</v>
      </c>
      <c r="AR1175" s="68" t="s">
        <v>19</v>
      </c>
      <c r="AS1175" s="69">
        <v>8.1944444444444937E-3</v>
      </c>
      <c r="AT1175" s="70">
        <v>9.1666666666666233E-3</v>
      </c>
      <c r="AU1175" s="70">
        <v>1.7361111111111119E-2</v>
      </c>
      <c r="AV1175" s="71">
        <v>320</v>
      </c>
      <c r="AW1175" s="71">
        <v>179</v>
      </c>
      <c r="AX1175" s="72" t="s">
        <v>21</v>
      </c>
    </row>
    <row r="1176" spans="1:50" ht="15.75" thickBot="1" x14ac:dyDescent="0.3">
      <c r="A1176">
        <v>1162</v>
      </c>
      <c r="B1176" s="36" t="str">
        <f t="shared" si="402"/>
        <v>BARATA Y MORADA</v>
      </c>
      <c r="C1176" s="36">
        <f t="shared" si="402"/>
        <v>623</v>
      </c>
      <c r="D1176" s="118">
        <v>0.54861111111111105</v>
      </c>
      <c r="E1176" s="118">
        <v>0.5541666666666667</v>
      </c>
      <c r="F1176" s="119">
        <v>5.5555555555556468E-3</v>
      </c>
      <c r="G1176" s="118">
        <v>0.56597222222222221</v>
      </c>
      <c r="H1176" s="119">
        <v>1.1805555555555514E-2</v>
      </c>
      <c r="I1176" s="81">
        <v>41720</v>
      </c>
      <c r="J1176" s="36" t="str">
        <f t="shared" si="412"/>
        <v>Nacional</v>
      </c>
      <c r="K1176" s="36">
        <f t="shared" si="412"/>
        <v>8.5858585858586151E-3</v>
      </c>
      <c r="L1176" s="36">
        <f t="shared" si="412"/>
        <v>9.7853535353535307E-3</v>
      </c>
      <c r="M1176" s="36">
        <f t="shared" si="412"/>
        <v>1.8371212121212146E-2</v>
      </c>
      <c r="N1176" s="36">
        <f t="shared" si="412"/>
        <v>320</v>
      </c>
      <c r="O1176" s="36">
        <f t="shared" si="412"/>
        <v>179</v>
      </c>
      <c r="P1176" s="36" t="str">
        <f t="shared" si="412"/>
        <v>MXL</v>
      </c>
      <c r="R1176">
        <v>1162</v>
      </c>
      <c r="S1176" s="36" t="str">
        <f t="shared" si="405"/>
        <v>INTERAVIÓN</v>
      </c>
      <c r="T1176" s="36">
        <f t="shared" si="405"/>
        <v>2210</v>
      </c>
      <c r="U1176" s="73">
        <v>0.4375</v>
      </c>
      <c r="V1176" s="74">
        <v>0.43888888888888888</v>
      </c>
      <c r="W1176" s="75">
        <v>1.388888888888884E-3</v>
      </c>
      <c r="X1176" s="74">
        <v>0.44513888888888892</v>
      </c>
      <c r="Y1176" s="75">
        <v>6.2500000000000333E-3</v>
      </c>
      <c r="Z1176" s="76">
        <v>41741</v>
      </c>
      <c r="AA1176" s="36" t="str">
        <f t="shared" si="411"/>
        <v>Nacional</v>
      </c>
      <c r="AB1176" s="36">
        <f t="shared" si="411"/>
        <v>5.6944444444444655E-3</v>
      </c>
      <c r="AC1176" s="36">
        <f t="shared" si="411"/>
        <v>5.0347222222222269E-3</v>
      </c>
      <c r="AD1176" s="36">
        <f t="shared" si="411"/>
        <v>1.0729166666666692E-2</v>
      </c>
      <c r="AE1176" s="36">
        <f t="shared" si="411"/>
        <v>320</v>
      </c>
      <c r="AF1176" s="36">
        <f t="shared" si="411"/>
        <v>179</v>
      </c>
      <c r="AG1176" s="36" t="str">
        <f t="shared" si="411"/>
        <v>MEX</v>
      </c>
      <c r="AI1176">
        <v>1162</v>
      </c>
      <c r="AJ1176" s="77" t="str">
        <f t="shared" si="397"/>
        <v>INTERAVIÓN</v>
      </c>
      <c r="AK1176" s="77">
        <f t="shared" si="397"/>
        <v>2200</v>
      </c>
      <c r="AL1176" s="186">
        <v>0.76388888888888884</v>
      </c>
      <c r="AM1176" s="79">
        <v>0.77013888888888893</v>
      </c>
      <c r="AN1176" s="80">
        <v>6.2500000000000888E-3</v>
      </c>
      <c r="AO1176" s="79">
        <v>0.77430555555555547</v>
      </c>
      <c r="AP1176" s="80">
        <v>4.1666666666665408E-3</v>
      </c>
      <c r="AQ1176" s="81">
        <v>41796</v>
      </c>
      <c r="AR1176" s="77" t="str">
        <f t="shared" ref="AR1176:AX1179" si="413">AR1175</f>
        <v>Nacional</v>
      </c>
      <c r="AS1176" s="77">
        <f t="shared" si="413"/>
        <v>8.1944444444444937E-3</v>
      </c>
      <c r="AT1176" s="77">
        <f t="shared" si="413"/>
        <v>9.1666666666666233E-3</v>
      </c>
      <c r="AU1176" s="77">
        <f t="shared" si="413"/>
        <v>1.7361111111111119E-2</v>
      </c>
      <c r="AV1176" s="77">
        <f t="shared" si="413"/>
        <v>320</v>
      </c>
      <c r="AW1176" s="77">
        <f t="shared" si="413"/>
        <v>179</v>
      </c>
      <c r="AX1176" s="77" t="str">
        <f t="shared" si="413"/>
        <v>MEX</v>
      </c>
    </row>
    <row r="1177" spans="1:50" x14ac:dyDescent="0.25">
      <c r="A1177">
        <v>1163</v>
      </c>
      <c r="B1177" s="36" t="str">
        <f t="shared" si="402"/>
        <v>BARATA Y MORADA</v>
      </c>
      <c r="C1177" s="36">
        <f t="shared" si="402"/>
        <v>623</v>
      </c>
      <c r="D1177" s="118">
        <v>0.54375000000000007</v>
      </c>
      <c r="E1177" s="118">
        <v>0.54999999999999993</v>
      </c>
      <c r="F1177" s="119">
        <v>6.2499999999998668E-3</v>
      </c>
      <c r="G1177" s="118">
        <v>0.55972222222222223</v>
      </c>
      <c r="H1177" s="119">
        <v>9.7222222222222987E-3</v>
      </c>
      <c r="I1177" s="81">
        <v>41721</v>
      </c>
      <c r="J1177" s="36" t="str">
        <f t="shared" si="412"/>
        <v>Nacional</v>
      </c>
      <c r="K1177" s="36">
        <f t="shared" si="412"/>
        <v>8.5858585858586151E-3</v>
      </c>
      <c r="L1177" s="36">
        <f t="shared" si="412"/>
        <v>9.7853535353535307E-3</v>
      </c>
      <c r="M1177" s="36">
        <f t="shared" si="412"/>
        <v>1.8371212121212146E-2</v>
      </c>
      <c r="N1177" s="36">
        <f t="shared" si="412"/>
        <v>320</v>
      </c>
      <c r="O1177" s="36">
        <f t="shared" si="412"/>
        <v>179</v>
      </c>
      <c r="P1177" s="36" t="str">
        <f t="shared" si="412"/>
        <v>MXL</v>
      </c>
      <c r="R1177">
        <v>1163</v>
      </c>
      <c r="S1177" s="36" t="str">
        <f t="shared" si="405"/>
        <v>INTERAVIÓN</v>
      </c>
      <c r="T1177" s="36">
        <f t="shared" si="405"/>
        <v>2210</v>
      </c>
      <c r="U1177" s="73">
        <v>0.43333333333333335</v>
      </c>
      <c r="V1177" s="74">
        <v>0.4381944444444445</v>
      </c>
      <c r="W1177" s="75">
        <v>4.8611111111111494E-3</v>
      </c>
      <c r="X1177" s="74">
        <v>0.44236111111111115</v>
      </c>
      <c r="Y1177" s="75">
        <v>4.1666666666666519E-3</v>
      </c>
      <c r="Z1177" s="76">
        <v>41742</v>
      </c>
      <c r="AA1177" s="36" t="str">
        <f t="shared" si="411"/>
        <v>Nacional</v>
      </c>
      <c r="AB1177" s="36">
        <f t="shared" si="411"/>
        <v>5.6944444444444655E-3</v>
      </c>
      <c r="AC1177" s="36">
        <f t="shared" si="411"/>
        <v>5.0347222222222269E-3</v>
      </c>
      <c r="AD1177" s="36">
        <f t="shared" si="411"/>
        <v>1.0729166666666692E-2</v>
      </c>
      <c r="AE1177" s="36">
        <f t="shared" si="411"/>
        <v>320</v>
      </c>
      <c r="AF1177" s="36">
        <f t="shared" si="411"/>
        <v>179</v>
      </c>
      <c r="AG1177" s="36" t="str">
        <f t="shared" si="411"/>
        <v>MEX</v>
      </c>
      <c r="AI1177">
        <v>1163</v>
      </c>
      <c r="AJ1177" s="63" t="s">
        <v>87</v>
      </c>
      <c r="AK1177" s="77">
        <f t="shared" ref="AK1177:AK1180" si="414">AK1176</f>
        <v>2200</v>
      </c>
      <c r="AL1177" s="186">
        <v>0.24444444444444446</v>
      </c>
      <c r="AM1177" s="79">
        <v>0.26458333333333334</v>
      </c>
      <c r="AN1177" s="80">
        <v>2.0138888888888873E-2</v>
      </c>
      <c r="AO1177" s="79">
        <v>0.28680555555555554</v>
      </c>
      <c r="AP1177" s="80">
        <v>2.2222222222222199E-2</v>
      </c>
      <c r="AQ1177" s="81">
        <v>41802</v>
      </c>
      <c r="AR1177" s="77" t="str">
        <f t="shared" si="413"/>
        <v>Nacional</v>
      </c>
      <c r="AS1177" s="77">
        <f t="shared" si="413"/>
        <v>8.1944444444444937E-3</v>
      </c>
      <c r="AT1177" s="77">
        <f t="shared" si="413"/>
        <v>9.1666666666666233E-3</v>
      </c>
      <c r="AU1177" s="77">
        <f t="shared" si="413"/>
        <v>1.7361111111111119E-2</v>
      </c>
      <c r="AV1177" s="77">
        <f t="shared" si="413"/>
        <v>320</v>
      </c>
      <c r="AW1177" s="77">
        <f t="shared" si="413"/>
        <v>179</v>
      </c>
      <c r="AX1177" s="77" t="str">
        <f t="shared" si="413"/>
        <v>MEX</v>
      </c>
    </row>
    <row r="1178" spans="1:50" x14ac:dyDescent="0.25">
      <c r="A1178">
        <v>1164</v>
      </c>
      <c r="B1178" s="36" t="str">
        <f t="shared" si="402"/>
        <v>BARATA Y MORADA</v>
      </c>
      <c r="C1178" s="36">
        <f t="shared" si="402"/>
        <v>623</v>
      </c>
      <c r="D1178" s="118">
        <v>0.53680555555555554</v>
      </c>
      <c r="E1178" s="118">
        <v>0.5444444444444444</v>
      </c>
      <c r="F1178" s="119">
        <v>7.6388888888888618E-3</v>
      </c>
      <c r="G1178" s="118">
        <v>0.54999999999999993</v>
      </c>
      <c r="H1178" s="119">
        <v>5.5555555555555358E-3</v>
      </c>
      <c r="I1178" s="81">
        <v>41722</v>
      </c>
      <c r="J1178" s="36" t="str">
        <f t="shared" si="412"/>
        <v>Nacional</v>
      </c>
      <c r="K1178" s="36">
        <f t="shared" si="412"/>
        <v>8.5858585858586151E-3</v>
      </c>
      <c r="L1178" s="36">
        <f t="shared" si="412"/>
        <v>9.7853535353535307E-3</v>
      </c>
      <c r="M1178" s="36">
        <f t="shared" si="412"/>
        <v>1.8371212121212146E-2</v>
      </c>
      <c r="N1178" s="36">
        <f t="shared" si="412"/>
        <v>320</v>
      </c>
      <c r="O1178" s="36">
        <f t="shared" si="412"/>
        <v>179</v>
      </c>
      <c r="P1178" s="36" t="str">
        <f t="shared" si="412"/>
        <v>MXL</v>
      </c>
      <c r="R1178">
        <v>1164</v>
      </c>
      <c r="S1178" s="36" t="str">
        <f t="shared" si="405"/>
        <v>INTERAVIÓN</v>
      </c>
      <c r="T1178" s="36">
        <f t="shared" si="405"/>
        <v>2210</v>
      </c>
      <c r="U1178" s="73">
        <v>0.43402777777777773</v>
      </c>
      <c r="V1178" s="74">
        <v>0.4375</v>
      </c>
      <c r="W1178" s="75">
        <v>3.4722222222222654E-3</v>
      </c>
      <c r="X1178" s="74">
        <v>0.44166666666666665</v>
      </c>
      <c r="Y1178" s="75">
        <v>4.1666666666666519E-3</v>
      </c>
      <c r="Z1178" s="76">
        <v>41743</v>
      </c>
      <c r="AA1178" s="36" t="str">
        <f t="shared" si="411"/>
        <v>Nacional</v>
      </c>
      <c r="AB1178" s="36">
        <f t="shared" si="411"/>
        <v>5.6944444444444655E-3</v>
      </c>
      <c r="AC1178" s="36">
        <f t="shared" si="411"/>
        <v>5.0347222222222269E-3</v>
      </c>
      <c r="AD1178" s="36">
        <f t="shared" si="411"/>
        <v>1.0729166666666692E-2</v>
      </c>
      <c r="AE1178" s="36">
        <f t="shared" si="411"/>
        <v>320</v>
      </c>
      <c r="AF1178" s="36">
        <f t="shared" si="411"/>
        <v>179</v>
      </c>
      <c r="AG1178" s="36" t="str">
        <f t="shared" si="411"/>
        <v>MEX</v>
      </c>
      <c r="AI1178">
        <v>1164</v>
      </c>
      <c r="AJ1178" s="77" t="str">
        <f t="shared" ref="AJ1178:AK1223" si="415">AJ1177</f>
        <v xml:space="preserve">INTERAVIÓN </v>
      </c>
      <c r="AK1178" s="77">
        <f t="shared" si="414"/>
        <v>2200</v>
      </c>
      <c r="AL1178" s="186">
        <v>0.73541666666666661</v>
      </c>
      <c r="AM1178" s="79">
        <v>0.74097222222222225</v>
      </c>
      <c r="AN1178" s="80">
        <v>5.5555555555556468E-3</v>
      </c>
      <c r="AO1178" s="79">
        <v>0.74722222222222223</v>
      </c>
      <c r="AP1178" s="80">
        <v>6.2499999999999778E-3</v>
      </c>
      <c r="AQ1178" s="81">
        <v>41803</v>
      </c>
      <c r="AR1178" s="77" t="str">
        <f t="shared" si="413"/>
        <v>Nacional</v>
      </c>
      <c r="AS1178" s="77">
        <f t="shared" si="413"/>
        <v>8.1944444444444937E-3</v>
      </c>
      <c r="AT1178" s="77">
        <f t="shared" si="413"/>
        <v>9.1666666666666233E-3</v>
      </c>
      <c r="AU1178" s="77">
        <f t="shared" si="413"/>
        <v>1.7361111111111119E-2</v>
      </c>
      <c r="AV1178" s="77">
        <f t="shared" si="413"/>
        <v>320</v>
      </c>
      <c r="AW1178" s="77">
        <f t="shared" si="413"/>
        <v>179</v>
      </c>
      <c r="AX1178" s="77" t="str">
        <f t="shared" si="413"/>
        <v>MEX</v>
      </c>
    </row>
    <row r="1179" spans="1:50" ht="15.75" thickBot="1" x14ac:dyDescent="0.3">
      <c r="A1179">
        <v>1165</v>
      </c>
      <c r="B1179" s="36" t="str">
        <f t="shared" si="402"/>
        <v>BARATA Y MORADA</v>
      </c>
      <c r="C1179" s="36">
        <f t="shared" si="402"/>
        <v>623</v>
      </c>
      <c r="D1179" s="118">
        <v>0.54583333333333328</v>
      </c>
      <c r="E1179" s="118">
        <v>0.55555555555555558</v>
      </c>
      <c r="F1179" s="119">
        <v>9.7222222222222987E-3</v>
      </c>
      <c r="G1179" s="118">
        <v>0.5708333333333333</v>
      </c>
      <c r="H1179" s="119">
        <v>1.5277777777777724E-2</v>
      </c>
      <c r="I1179" s="81">
        <v>41725</v>
      </c>
      <c r="J1179" s="36" t="str">
        <f t="shared" si="412"/>
        <v>Nacional</v>
      </c>
      <c r="K1179" s="36">
        <f t="shared" si="412"/>
        <v>8.5858585858586151E-3</v>
      </c>
      <c r="L1179" s="36">
        <f t="shared" si="412"/>
        <v>9.7853535353535307E-3</v>
      </c>
      <c r="M1179" s="36">
        <f t="shared" si="412"/>
        <v>1.8371212121212146E-2</v>
      </c>
      <c r="N1179" s="36">
        <f t="shared" si="412"/>
        <v>320</v>
      </c>
      <c r="O1179" s="36">
        <f t="shared" si="412"/>
        <v>179</v>
      </c>
      <c r="P1179" s="36" t="str">
        <f t="shared" si="412"/>
        <v>MXL</v>
      </c>
      <c r="R1179">
        <v>1165</v>
      </c>
      <c r="S1179" s="36" t="str">
        <f t="shared" si="405"/>
        <v>INTERAVIÓN</v>
      </c>
      <c r="T1179" s="36">
        <f t="shared" si="405"/>
        <v>2210</v>
      </c>
      <c r="U1179" s="73">
        <v>0.42708333333333331</v>
      </c>
      <c r="V1179" s="74">
        <v>0.43124999999999997</v>
      </c>
      <c r="W1179" s="75">
        <v>4.1666666666666519E-3</v>
      </c>
      <c r="X1179" s="74">
        <v>0.43333333333333335</v>
      </c>
      <c r="Y1179" s="75">
        <v>2.0833333333333814E-3</v>
      </c>
      <c r="Z1179" s="76">
        <v>41744</v>
      </c>
      <c r="AA1179" s="36" t="str">
        <f t="shared" si="411"/>
        <v>Nacional</v>
      </c>
      <c r="AB1179" s="36">
        <f t="shared" si="411"/>
        <v>5.6944444444444655E-3</v>
      </c>
      <c r="AC1179" s="36">
        <f t="shared" si="411"/>
        <v>5.0347222222222269E-3</v>
      </c>
      <c r="AD1179" s="36">
        <f t="shared" si="411"/>
        <v>1.0729166666666692E-2</v>
      </c>
      <c r="AE1179" s="36">
        <f t="shared" si="411"/>
        <v>320</v>
      </c>
      <c r="AF1179" s="36">
        <f t="shared" si="411"/>
        <v>179</v>
      </c>
      <c r="AG1179" s="36" t="str">
        <f t="shared" si="411"/>
        <v>MEX</v>
      </c>
      <c r="AI1179">
        <v>1165</v>
      </c>
      <c r="AJ1179" s="77" t="str">
        <f t="shared" si="415"/>
        <v xml:space="preserve">INTERAVIÓN </v>
      </c>
      <c r="AK1179" s="77">
        <f t="shared" si="414"/>
        <v>2200</v>
      </c>
      <c r="AL1179" s="187">
        <v>0.7583333333333333</v>
      </c>
      <c r="AM1179" s="95">
        <v>0.76458333333333339</v>
      </c>
      <c r="AN1179" s="96">
        <v>6.2500000000000888E-3</v>
      </c>
      <c r="AO1179" s="95">
        <v>0.77083333333333337</v>
      </c>
      <c r="AP1179" s="96">
        <v>6.2499999999999778E-3</v>
      </c>
      <c r="AQ1179" s="97">
        <v>41809</v>
      </c>
      <c r="AR1179" s="77" t="str">
        <f t="shared" si="413"/>
        <v>Nacional</v>
      </c>
      <c r="AS1179" s="77">
        <f t="shared" si="413"/>
        <v>8.1944444444444937E-3</v>
      </c>
      <c r="AT1179" s="77">
        <f t="shared" si="413"/>
        <v>9.1666666666666233E-3</v>
      </c>
      <c r="AU1179" s="77">
        <f t="shared" si="413"/>
        <v>1.7361111111111119E-2</v>
      </c>
      <c r="AV1179" s="77">
        <f t="shared" si="413"/>
        <v>320</v>
      </c>
      <c r="AW1179" s="77">
        <f t="shared" si="413"/>
        <v>179</v>
      </c>
      <c r="AX1179" s="77" t="str">
        <f t="shared" si="413"/>
        <v>MEX</v>
      </c>
    </row>
    <row r="1180" spans="1:50" x14ac:dyDescent="0.25">
      <c r="A1180">
        <v>1166</v>
      </c>
      <c r="B1180" s="36" t="str">
        <f t="shared" si="402"/>
        <v>BARATA Y MORADA</v>
      </c>
      <c r="C1180" s="36">
        <f t="shared" si="402"/>
        <v>623</v>
      </c>
      <c r="D1180" s="118">
        <v>0.56111111111111112</v>
      </c>
      <c r="E1180" s="118">
        <v>0.57152777777777775</v>
      </c>
      <c r="F1180" s="119">
        <v>1.041666666666663E-2</v>
      </c>
      <c r="G1180" s="118">
        <v>0.57777777777777783</v>
      </c>
      <c r="H1180" s="119">
        <v>6.2500000000000888E-3</v>
      </c>
      <c r="I1180" s="81">
        <v>41726</v>
      </c>
      <c r="J1180" s="36" t="str">
        <f t="shared" si="412"/>
        <v>Nacional</v>
      </c>
      <c r="K1180" s="36">
        <f t="shared" si="412"/>
        <v>8.5858585858586151E-3</v>
      </c>
      <c r="L1180" s="36">
        <f t="shared" si="412"/>
        <v>9.7853535353535307E-3</v>
      </c>
      <c r="M1180" s="36">
        <f t="shared" si="412"/>
        <v>1.8371212121212146E-2</v>
      </c>
      <c r="N1180" s="36">
        <f t="shared" si="412"/>
        <v>320</v>
      </c>
      <c r="O1180" s="36">
        <f t="shared" si="412"/>
        <v>179</v>
      </c>
      <c r="P1180" s="36" t="str">
        <f t="shared" si="412"/>
        <v>MXL</v>
      </c>
      <c r="R1180">
        <v>1166</v>
      </c>
      <c r="S1180" s="36" t="str">
        <f t="shared" si="405"/>
        <v>INTERAVIÓN</v>
      </c>
      <c r="T1180" s="36">
        <f t="shared" si="405"/>
        <v>2210</v>
      </c>
      <c r="U1180" s="73">
        <v>0.54027777777777775</v>
      </c>
      <c r="V1180" s="74">
        <v>0.55069444444444449</v>
      </c>
      <c r="W1180" s="75">
        <v>1.0416666666666741E-2</v>
      </c>
      <c r="X1180" s="74">
        <v>0.55763888888888891</v>
      </c>
      <c r="Y1180" s="75">
        <v>6.9444444444444198E-3</v>
      </c>
      <c r="Z1180" s="76">
        <v>41745</v>
      </c>
      <c r="AA1180" s="36" t="str">
        <f t="shared" si="411"/>
        <v>Nacional</v>
      </c>
      <c r="AB1180" s="36">
        <f t="shared" si="411"/>
        <v>5.6944444444444655E-3</v>
      </c>
      <c r="AC1180" s="36">
        <f t="shared" si="411"/>
        <v>5.0347222222222269E-3</v>
      </c>
      <c r="AD1180" s="36">
        <f t="shared" si="411"/>
        <v>1.0729166666666692E-2</v>
      </c>
      <c r="AE1180" s="36">
        <f t="shared" si="411"/>
        <v>320</v>
      </c>
      <c r="AF1180" s="36">
        <f t="shared" si="411"/>
        <v>179</v>
      </c>
      <c r="AG1180" s="36" t="str">
        <f t="shared" si="411"/>
        <v>MEX</v>
      </c>
      <c r="AI1180">
        <v>1166</v>
      </c>
      <c r="AJ1180" s="77" t="str">
        <f t="shared" si="415"/>
        <v xml:space="preserve">INTERAVIÓN </v>
      </c>
      <c r="AK1180" s="63">
        <v>957</v>
      </c>
      <c r="AL1180" s="185">
        <v>0.61597222222222225</v>
      </c>
      <c r="AM1180" s="65">
        <v>0.62569444444444444</v>
      </c>
      <c r="AN1180" s="66">
        <v>9.7222222222221877E-3</v>
      </c>
      <c r="AO1180" s="65">
        <v>0.6479166666666667</v>
      </c>
      <c r="AP1180" s="66">
        <v>2.2222222222222254E-2</v>
      </c>
      <c r="AQ1180" s="67">
        <v>41791</v>
      </c>
      <c r="AR1180" s="68" t="s">
        <v>22</v>
      </c>
      <c r="AS1180" s="69">
        <v>9.5238095238095455E-3</v>
      </c>
      <c r="AT1180" s="70">
        <v>1.8353174603174576E-2</v>
      </c>
      <c r="AU1180" s="70">
        <v>2.7876984126984122E-2</v>
      </c>
      <c r="AV1180" s="71">
        <v>320</v>
      </c>
      <c r="AW1180" s="71">
        <v>179</v>
      </c>
      <c r="AX1180" s="72" t="s">
        <v>32</v>
      </c>
    </row>
    <row r="1181" spans="1:50" ht="15.75" thickBot="1" x14ac:dyDescent="0.3">
      <c r="A1181">
        <v>1167</v>
      </c>
      <c r="B1181" s="36" t="str">
        <f t="shared" si="402"/>
        <v>BARATA Y MORADA</v>
      </c>
      <c r="C1181" s="36">
        <f t="shared" si="402"/>
        <v>623</v>
      </c>
      <c r="D1181" s="176">
        <v>0.54861111111111105</v>
      </c>
      <c r="E1181" s="176">
        <v>0.55486111111111114</v>
      </c>
      <c r="F1181" s="177">
        <v>6.2500000000000888E-3</v>
      </c>
      <c r="G1181" s="176">
        <v>0.56319444444444444</v>
      </c>
      <c r="H1181" s="177">
        <v>8.3333333333333037E-3</v>
      </c>
      <c r="I1181" s="97">
        <v>41729</v>
      </c>
      <c r="J1181" s="36" t="str">
        <f t="shared" si="412"/>
        <v>Nacional</v>
      </c>
      <c r="K1181" s="36">
        <f t="shared" si="412"/>
        <v>8.5858585858586151E-3</v>
      </c>
      <c r="L1181" s="36">
        <f t="shared" si="412"/>
        <v>9.7853535353535307E-3</v>
      </c>
      <c r="M1181" s="36">
        <f t="shared" si="412"/>
        <v>1.8371212121212146E-2</v>
      </c>
      <c r="N1181" s="36">
        <f t="shared" si="412"/>
        <v>320</v>
      </c>
      <c r="O1181" s="36">
        <f t="shared" si="412"/>
        <v>179</v>
      </c>
      <c r="P1181" s="36" t="str">
        <f t="shared" si="412"/>
        <v>MXL</v>
      </c>
      <c r="R1181">
        <v>1167</v>
      </c>
      <c r="S1181" s="36" t="str">
        <f t="shared" si="405"/>
        <v>INTERAVIÓN</v>
      </c>
      <c r="T1181" s="36">
        <f t="shared" si="405"/>
        <v>2210</v>
      </c>
      <c r="U1181" s="73">
        <v>0.43194444444444446</v>
      </c>
      <c r="V1181" s="74">
        <v>0.44027777777777777</v>
      </c>
      <c r="W1181" s="75">
        <v>8.3333333333333037E-3</v>
      </c>
      <c r="X1181" s="74">
        <v>0.44513888888888892</v>
      </c>
      <c r="Y1181" s="75">
        <v>4.8611111111111494E-3</v>
      </c>
      <c r="Z1181" s="76">
        <v>41746</v>
      </c>
      <c r="AA1181" s="36" t="str">
        <f t="shared" si="411"/>
        <v>Nacional</v>
      </c>
      <c r="AB1181" s="36">
        <f t="shared" si="411"/>
        <v>5.6944444444444655E-3</v>
      </c>
      <c r="AC1181" s="36">
        <f t="shared" si="411"/>
        <v>5.0347222222222269E-3</v>
      </c>
      <c r="AD1181" s="36">
        <f t="shared" si="411"/>
        <v>1.0729166666666692E-2</v>
      </c>
      <c r="AE1181" s="36">
        <f t="shared" si="411"/>
        <v>320</v>
      </c>
      <c r="AF1181" s="36">
        <f t="shared" si="411"/>
        <v>179</v>
      </c>
      <c r="AG1181" s="36" t="str">
        <f t="shared" si="411"/>
        <v>MEX</v>
      </c>
      <c r="AI1181">
        <v>1167</v>
      </c>
      <c r="AJ1181" s="77" t="str">
        <f t="shared" si="415"/>
        <v xml:space="preserve">INTERAVIÓN </v>
      </c>
      <c r="AK1181" s="77">
        <f t="shared" si="415"/>
        <v>957</v>
      </c>
      <c r="AL1181" s="186">
        <v>0.63541666666666663</v>
      </c>
      <c r="AM1181" s="79">
        <v>0.64236111111111105</v>
      </c>
      <c r="AN1181" s="80">
        <v>6.9444444444444198E-3</v>
      </c>
      <c r="AO1181" s="79">
        <v>0.66666666666666663</v>
      </c>
      <c r="AP1181" s="80">
        <v>2.430555555555558E-2</v>
      </c>
      <c r="AQ1181" s="81">
        <v>41795</v>
      </c>
      <c r="AR1181" s="77" t="str">
        <f t="shared" ref="AR1181:AX1187" si="416">AR1180</f>
        <v>Internacional</v>
      </c>
      <c r="AS1181" s="77">
        <f t="shared" si="416"/>
        <v>9.5238095238095455E-3</v>
      </c>
      <c r="AT1181" s="77">
        <f t="shared" si="416"/>
        <v>1.8353174603174576E-2</v>
      </c>
      <c r="AU1181" s="77">
        <f t="shared" si="416"/>
        <v>2.7876984126984122E-2</v>
      </c>
      <c r="AV1181" s="77">
        <f t="shared" si="416"/>
        <v>320</v>
      </c>
      <c r="AW1181" s="77">
        <f t="shared" si="416"/>
        <v>179</v>
      </c>
      <c r="AX1181" s="77" t="str">
        <f t="shared" si="416"/>
        <v>SAT</v>
      </c>
    </row>
    <row r="1182" spans="1:50" x14ac:dyDescent="0.25">
      <c r="A1182">
        <v>1168</v>
      </c>
      <c r="B1182" s="36" t="str">
        <f t="shared" si="402"/>
        <v>BARATA Y MORADA</v>
      </c>
      <c r="C1182" s="151">
        <v>621</v>
      </c>
      <c r="D1182" s="152">
        <v>0.94652777777777775</v>
      </c>
      <c r="E1182" s="152">
        <v>0.9555555555555556</v>
      </c>
      <c r="F1182" s="153">
        <v>9.0277777777778567E-3</v>
      </c>
      <c r="G1182" s="152">
        <v>0.96527777777777779</v>
      </c>
      <c r="H1182" s="153">
        <v>9.7222222222221877E-3</v>
      </c>
      <c r="I1182" s="67">
        <v>41713</v>
      </c>
      <c r="J1182" s="68" t="s">
        <v>19</v>
      </c>
      <c r="K1182" s="135">
        <v>8.410493827160451E-3</v>
      </c>
      <c r="L1182" s="135">
        <v>7.9475308641975394E-3</v>
      </c>
      <c r="M1182" s="175">
        <v>1.635802469135799E-2</v>
      </c>
      <c r="N1182" s="90">
        <v>320</v>
      </c>
      <c r="O1182" s="91">
        <v>179</v>
      </c>
      <c r="P1182" s="92" t="s">
        <v>67</v>
      </c>
      <c r="R1182">
        <v>1168</v>
      </c>
      <c r="S1182" s="36" t="str">
        <f t="shared" si="405"/>
        <v>INTERAVIÓN</v>
      </c>
      <c r="T1182" s="36">
        <f t="shared" si="405"/>
        <v>2210</v>
      </c>
      <c r="U1182" s="73">
        <v>0.4375</v>
      </c>
      <c r="V1182" s="74">
        <v>0.44444444444444442</v>
      </c>
      <c r="W1182" s="75">
        <v>6.9444444444444198E-3</v>
      </c>
      <c r="X1182" s="74">
        <v>0.45069444444444445</v>
      </c>
      <c r="Y1182" s="75">
        <v>6.2500000000000333E-3</v>
      </c>
      <c r="Z1182" s="76">
        <v>41748</v>
      </c>
      <c r="AA1182" s="36" t="str">
        <f t="shared" si="411"/>
        <v>Nacional</v>
      </c>
      <c r="AB1182" s="36">
        <f t="shared" si="411"/>
        <v>5.6944444444444655E-3</v>
      </c>
      <c r="AC1182" s="36">
        <f t="shared" si="411"/>
        <v>5.0347222222222269E-3</v>
      </c>
      <c r="AD1182" s="36">
        <f t="shared" si="411"/>
        <v>1.0729166666666692E-2</v>
      </c>
      <c r="AE1182" s="36">
        <f t="shared" si="411"/>
        <v>320</v>
      </c>
      <c r="AF1182" s="36">
        <f t="shared" si="411"/>
        <v>179</v>
      </c>
      <c r="AG1182" s="36" t="str">
        <f t="shared" si="411"/>
        <v>MEX</v>
      </c>
      <c r="AI1182">
        <v>1168</v>
      </c>
      <c r="AJ1182" s="77" t="str">
        <f t="shared" si="415"/>
        <v xml:space="preserve">INTERAVIÓN </v>
      </c>
      <c r="AK1182" s="77">
        <f t="shared" si="415"/>
        <v>957</v>
      </c>
      <c r="AL1182" s="186">
        <v>0.62986111111111109</v>
      </c>
      <c r="AM1182" s="79">
        <v>0.63750000000000007</v>
      </c>
      <c r="AN1182" s="80">
        <v>7.6388888888889728E-3</v>
      </c>
      <c r="AO1182" s="79">
        <v>0.66527777777777775</v>
      </c>
      <c r="AP1182" s="80">
        <v>2.7777777777777679E-2</v>
      </c>
      <c r="AQ1182" s="81">
        <v>41798</v>
      </c>
      <c r="AR1182" s="77" t="str">
        <f t="shared" si="416"/>
        <v>Internacional</v>
      </c>
      <c r="AS1182" s="77">
        <f t="shared" si="416"/>
        <v>9.5238095238095455E-3</v>
      </c>
      <c r="AT1182" s="77">
        <f t="shared" si="416"/>
        <v>1.8353174603174576E-2</v>
      </c>
      <c r="AU1182" s="77">
        <f t="shared" si="416"/>
        <v>2.7876984126984122E-2</v>
      </c>
      <c r="AV1182" s="77">
        <f t="shared" si="416"/>
        <v>320</v>
      </c>
      <c r="AW1182" s="77">
        <f t="shared" si="416"/>
        <v>179</v>
      </c>
      <c r="AX1182" s="77" t="str">
        <f t="shared" si="416"/>
        <v>SAT</v>
      </c>
    </row>
    <row r="1183" spans="1:50" x14ac:dyDescent="0.25">
      <c r="A1183">
        <v>1169</v>
      </c>
      <c r="B1183" s="36" t="str">
        <f t="shared" si="402"/>
        <v>BARATA Y MORADA</v>
      </c>
      <c r="C1183" s="36">
        <f t="shared" si="402"/>
        <v>621</v>
      </c>
      <c r="D1183" s="118">
        <v>0.9472222222222223</v>
      </c>
      <c r="E1183" s="118">
        <v>0.95416666666666661</v>
      </c>
      <c r="F1183" s="119">
        <v>6.9444444444443088E-3</v>
      </c>
      <c r="G1183" s="118">
        <v>0.96319444444444446</v>
      </c>
      <c r="H1183" s="119">
        <v>9.0277777777778567E-3</v>
      </c>
      <c r="I1183" s="81">
        <v>41715</v>
      </c>
      <c r="J1183" s="36" t="str">
        <f t="shared" ref="J1183:P1191" si="417">J1182</f>
        <v>Nacional</v>
      </c>
      <c r="K1183" s="36">
        <f t="shared" si="417"/>
        <v>8.410493827160451E-3</v>
      </c>
      <c r="L1183" s="36">
        <f t="shared" si="417"/>
        <v>7.9475308641975394E-3</v>
      </c>
      <c r="M1183" s="36">
        <f t="shared" si="417"/>
        <v>1.635802469135799E-2</v>
      </c>
      <c r="N1183" s="36">
        <f t="shared" si="417"/>
        <v>320</v>
      </c>
      <c r="O1183" s="36">
        <f t="shared" si="417"/>
        <v>179</v>
      </c>
      <c r="P1183" s="36" t="str">
        <f t="shared" si="417"/>
        <v>MXL</v>
      </c>
      <c r="R1183">
        <v>1169</v>
      </c>
      <c r="S1183" s="36" t="str">
        <f t="shared" si="405"/>
        <v>INTERAVIÓN</v>
      </c>
      <c r="T1183" s="36">
        <f t="shared" si="405"/>
        <v>2210</v>
      </c>
      <c r="U1183" s="73">
        <v>0.42708333333333331</v>
      </c>
      <c r="V1183" s="74">
        <v>0.4375</v>
      </c>
      <c r="W1183" s="75">
        <v>1.0416666666666685E-2</v>
      </c>
      <c r="X1183" s="74">
        <v>0.44375000000000003</v>
      </c>
      <c r="Y1183" s="75">
        <v>6.2500000000000333E-3</v>
      </c>
      <c r="Z1183" s="76">
        <v>41750</v>
      </c>
      <c r="AA1183" s="36" t="str">
        <f t="shared" si="411"/>
        <v>Nacional</v>
      </c>
      <c r="AB1183" s="36">
        <f t="shared" si="411"/>
        <v>5.6944444444444655E-3</v>
      </c>
      <c r="AC1183" s="36">
        <f t="shared" si="411"/>
        <v>5.0347222222222269E-3</v>
      </c>
      <c r="AD1183" s="36">
        <f t="shared" si="411"/>
        <v>1.0729166666666692E-2</v>
      </c>
      <c r="AE1183" s="36">
        <f t="shared" si="411"/>
        <v>320</v>
      </c>
      <c r="AF1183" s="36">
        <f t="shared" si="411"/>
        <v>179</v>
      </c>
      <c r="AG1183" s="36" t="str">
        <f t="shared" si="411"/>
        <v>MEX</v>
      </c>
      <c r="AI1183">
        <v>1169</v>
      </c>
      <c r="AJ1183" s="77" t="str">
        <f t="shared" si="415"/>
        <v xml:space="preserve">INTERAVIÓN </v>
      </c>
      <c r="AK1183" s="77">
        <f t="shared" si="415"/>
        <v>957</v>
      </c>
      <c r="AL1183" s="186">
        <v>0.84652777777777777</v>
      </c>
      <c r="AM1183" s="79">
        <v>0.86111111111111116</v>
      </c>
      <c r="AN1183" s="80">
        <v>1.4583333333333393E-2</v>
      </c>
      <c r="AO1183" s="79">
        <v>0.86805555555555547</v>
      </c>
      <c r="AP1183" s="80">
        <v>6.9444444444443088E-3</v>
      </c>
      <c r="AQ1183" s="81">
        <v>41802</v>
      </c>
      <c r="AR1183" s="77" t="str">
        <f t="shared" si="416"/>
        <v>Internacional</v>
      </c>
      <c r="AS1183" s="77">
        <f t="shared" si="416"/>
        <v>9.5238095238095455E-3</v>
      </c>
      <c r="AT1183" s="77">
        <f t="shared" si="416"/>
        <v>1.8353174603174576E-2</v>
      </c>
      <c r="AU1183" s="77">
        <f t="shared" si="416"/>
        <v>2.7876984126984122E-2</v>
      </c>
      <c r="AV1183" s="77">
        <f t="shared" si="416"/>
        <v>320</v>
      </c>
      <c r="AW1183" s="77">
        <f t="shared" si="416"/>
        <v>179</v>
      </c>
      <c r="AX1183" s="77" t="str">
        <f t="shared" si="416"/>
        <v>SAT</v>
      </c>
    </row>
    <row r="1184" spans="1:50" x14ac:dyDescent="0.25">
      <c r="A1184">
        <v>1170</v>
      </c>
      <c r="B1184" s="36" t="str">
        <f t="shared" si="402"/>
        <v>BARATA Y MORADA</v>
      </c>
      <c r="C1184" s="36">
        <f t="shared" si="402"/>
        <v>621</v>
      </c>
      <c r="D1184" s="118">
        <v>0.95138888888888884</v>
      </c>
      <c r="E1184" s="118">
        <v>0.95486111111111116</v>
      </c>
      <c r="F1184" s="119">
        <v>3.4722222222223209E-3</v>
      </c>
      <c r="G1184" s="118">
        <v>0.96388888888888891</v>
      </c>
      <c r="H1184" s="119">
        <v>9.0277777777777457E-3</v>
      </c>
      <c r="I1184" s="81">
        <v>41719</v>
      </c>
      <c r="J1184" s="36" t="str">
        <f t="shared" si="417"/>
        <v>Nacional</v>
      </c>
      <c r="K1184" s="36">
        <f t="shared" si="417"/>
        <v>8.410493827160451E-3</v>
      </c>
      <c r="L1184" s="36">
        <f t="shared" si="417"/>
        <v>7.9475308641975394E-3</v>
      </c>
      <c r="M1184" s="36">
        <f t="shared" si="417"/>
        <v>1.635802469135799E-2</v>
      </c>
      <c r="N1184" s="36">
        <f t="shared" si="417"/>
        <v>320</v>
      </c>
      <c r="O1184" s="36">
        <f t="shared" si="417"/>
        <v>179</v>
      </c>
      <c r="P1184" s="36" t="str">
        <f t="shared" si="417"/>
        <v>MXL</v>
      </c>
      <c r="R1184">
        <v>1170</v>
      </c>
      <c r="S1184" s="36" t="str">
        <f t="shared" si="405"/>
        <v>INTERAVIÓN</v>
      </c>
      <c r="T1184" s="36">
        <f t="shared" si="405"/>
        <v>2210</v>
      </c>
      <c r="U1184" s="73">
        <v>0.43402777777777773</v>
      </c>
      <c r="V1184" s="74">
        <v>0.44097222222222227</v>
      </c>
      <c r="W1184" s="75">
        <v>6.9444444444445308E-3</v>
      </c>
      <c r="X1184" s="74">
        <v>0.44513888888888892</v>
      </c>
      <c r="Y1184" s="75">
        <v>4.1666666666666519E-3</v>
      </c>
      <c r="Z1184" s="76">
        <v>41751</v>
      </c>
      <c r="AA1184" s="36" t="str">
        <f t="shared" si="411"/>
        <v>Nacional</v>
      </c>
      <c r="AB1184" s="36">
        <f t="shared" si="411"/>
        <v>5.6944444444444655E-3</v>
      </c>
      <c r="AC1184" s="36">
        <f t="shared" si="411"/>
        <v>5.0347222222222269E-3</v>
      </c>
      <c r="AD1184" s="36">
        <f t="shared" si="411"/>
        <v>1.0729166666666692E-2</v>
      </c>
      <c r="AE1184" s="36">
        <f t="shared" si="411"/>
        <v>320</v>
      </c>
      <c r="AF1184" s="36">
        <f t="shared" si="411"/>
        <v>179</v>
      </c>
      <c r="AG1184" s="36" t="str">
        <f t="shared" si="411"/>
        <v>MEX</v>
      </c>
      <c r="AI1184">
        <v>1170</v>
      </c>
      <c r="AJ1184" s="77" t="str">
        <f t="shared" si="415"/>
        <v xml:space="preserve">INTERAVIÓN </v>
      </c>
      <c r="AK1184" s="77">
        <f t="shared" si="415"/>
        <v>957</v>
      </c>
      <c r="AL1184" s="186">
        <v>0.45555555555555555</v>
      </c>
      <c r="AM1184" s="79">
        <v>0.46319444444444446</v>
      </c>
      <c r="AN1184" s="80">
        <v>7.6388888888889173E-3</v>
      </c>
      <c r="AO1184" s="79">
        <v>0.47986111111111113</v>
      </c>
      <c r="AP1184" s="80">
        <v>1.6666666666666663E-2</v>
      </c>
      <c r="AQ1184" s="81">
        <v>41805</v>
      </c>
      <c r="AR1184" s="77" t="str">
        <f t="shared" si="416"/>
        <v>Internacional</v>
      </c>
      <c r="AS1184" s="77">
        <f t="shared" si="416"/>
        <v>9.5238095238095455E-3</v>
      </c>
      <c r="AT1184" s="77">
        <f t="shared" si="416"/>
        <v>1.8353174603174576E-2</v>
      </c>
      <c r="AU1184" s="77">
        <f t="shared" si="416"/>
        <v>2.7876984126984122E-2</v>
      </c>
      <c r="AV1184" s="77">
        <f t="shared" si="416"/>
        <v>320</v>
      </c>
      <c r="AW1184" s="77">
        <f t="shared" si="416"/>
        <v>179</v>
      </c>
      <c r="AX1184" s="77" t="str">
        <f t="shared" si="416"/>
        <v>SAT</v>
      </c>
    </row>
    <row r="1185" spans="1:50" x14ac:dyDescent="0.25">
      <c r="A1185">
        <v>1171</v>
      </c>
      <c r="B1185" s="36" t="str">
        <f t="shared" si="402"/>
        <v>BARATA Y MORADA</v>
      </c>
      <c r="C1185" s="36">
        <f t="shared" si="402"/>
        <v>621</v>
      </c>
      <c r="D1185" s="118">
        <v>0.95486111111111116</v>
      </c>
      <c r="E1185" s="118">
        <v>0.96180555555555547</v>
      </c>
      <c r="F1185" s="119">
        <v>6.9444444444443088E-3</v>
      </c>
      <c r="G1185" s="118">
        <v>0.97361111111111109</v>
      </c>
      <c r="H1185" s="119">
        <v>1.1805555555555625E-2</v>
      </c>
      <c r="I1185" s="81">
        <v>41721</v>
      </c>
      <c r="J1185" s="36" t="str">
        <f t="shared" si="417"/>
        <v>Nacional</v>
      </c>
      <c r="K1185" s="36">
        <f t="shared" si="417"/>
        <v>8.410493827160451E-3</v>
      </c>
      <c r="L1185" s="36">
        <f t="shared" si="417"/>
        <v>7.9475308641975394E-3</v>
      </c>
      <c r="M1185" s="36">
        <f t="shared" si="417"/>
        <v>1.635802469135799E-2</v>
      </c>
      <c r="N1185" s="36">
        <f t="shared" si="417"/>
        <v>320</v>
      </c>
      <c r="O1185" s="36">
        <f t="shared" si="417"/>
        <v>179</v>
      </c>
      <c r="P1185" s="36" t="str">
        <f t="shared" si="417"/>
        <v>MXL</v>
      </c>
      <c r="R1185">
        <v>1171</v>
      </c>
      <c r="S1185" s="36" t="str">
        <f t="shared" si="405"/>
        <v>INTERAVIÓN</v>
      </c>
      <c r="T1185" s="36">
        <f t="shared" si="405"/>
        <v>2210</v>
      </c>
      <c r="U1185" s="73">
        <v>0.43541666666666662</v>
      </c>
      <c r="V1185" s="74">
        <v>0.44097222222222227</v>
      </c>
      <c r="W1185" s="75">
        <v>5.5555555555556468E-3</v>
      </c>
      <c r="X1185" s="74">
        <v>0.44791666666666669</v>
      </c>
      <c r="Y1185" s="75">
        <v>6.9444444444444198E-3</v>
      </c>
      <c r="Z1185" s="76">
        <v>41753</v>
      </c>
      <c r="AA1185" s="36" t="str">
        <f t="shared" si="411"/>
        <v>Nacional</v>
      </c>
      <c r="AB1185" s="36">
        <f t="shared" si="411"/>
        <v>5.6944444444444655E-3</v>
      </c>
      <c r="AC1185" s="36">
        <f t="shared" si="411"/>
        <v>5.0347222222222269E-3</v>
      </c>
      <c r="AD1185" s="36">
        <f t="shared" si="411"/>
        <v>1.0729166666666692E-2</v>
      </c>
      <c r="AE1185" s="36">
        <f t="shared" si="411"/>
        <v>320</v>
      </c>
      <c r="AF1185" s="36">
        <f t="shared" si="411"/>
        <v>179</v>
      </c>
      <c r="AG1185" s="36" t="str">
        <f t="shared" si="411"/>
        <v>MEX</v>
      </c>
      <c r="AI1185">
        <v>1171</v>
      </c>
      <c r="AJ1185" s="77" t="str">
        <f t="shared" si="415"/>
        <v xml:space="preserve">INTERAVIÓN </v>
      </c>
      <c r="AK1185" s="77">
        <f t="shared" si="415"/>
        <v>957</v>
      </c>
      <c r="AL1185" s="186">
        <v>0.63402777777777775</v>
      </c>
      <c r="AM1185" s="79">
        <v>0.64652777777777781</v>
      </c>
      <c r="AN1185" s="80">
        <v>1.2500000000000067E-2</v>
      </c>
      <c r="AO1185" s="79">
        <v>0.65972222222222221</v>
      </c>
      <c r="AP1185" s="80">
        <v>1.3194444444444398E-2</v>
      </c>
      <c r="AQ1185" s="81">
        <v>41809</v>
      </c>
      <c r="AR1185" s="77" t="str">
        <f t="shared" si="416"/>
        <v>Internacional</v>
      </c>
      <c r="AS1185" s="77">
        <f t="shared" si="416"/>
        <v>9.5238095238095455E-3</v>
      </c>
      <c r="AT1185" s="77">
        <f t="shared" si="416"/>
        <v>1.8353174603174576E-2</v>
      </c>
      <c r="AU1185" s="77">
        <f t="shared" si="416"/>
        <v>2.7876984126984122E-2</v>
      </c>
      <c r="AV1185" s="77">
        <f t="shared" si="416"/>
        <v>320</v>
      </c>
      <c r="AW1185" s="77">
        <f t="shared" si="416"/>
        <v>179</v>
      </c>
      <c r="AX1185" s="77" t="str">
        <f t="shared" si="416"/>
        <v>SAT</v>
      </c>
    </row>
    <row r="1186" spans="1:50" ht="15.75" thickBot="1" x14ac:dyDescent="0.3">
      <c r="A1186">
        <v>1172</v>
      </c>
      <c r="B1186" s="36" t="str">
        <f t="shared" si="402"/>
        <v>BARATA Y MORADA</v>
      </c>
      <c r="C1186" s="36">
        <f t="shared" si="402"/>
        <v>621</v>
      </c>
      <c r="D1186" s="118">
        <v>0.94444444444444453</v>
      </c>
      <c r="E1186" s="118">
        <v>0.95694444444444438</v>
      </c>
      <c r="F1186" s="119">
        <v>1.2499999999999845E-2</v>
      </c>
      <c r="G1186" s="118">
        <v>0.96180555555555547</v>
      </c>
      <c r="H1186" s="119">
        <v>4.8611111111110938E-3</v>
      </c>
      <c r="I1186" s="81">
        <v>41721</v>
      </c>
      <c r="J1186" s="36" t="str">
        <f t="shared" si="417"/>
        <v>Nacional</v>
      </c>
      <c r="K1186" s="36">
        <f t="shared" si="417"/>
        <v>8.410493827160451E-3</v>
      </c>
      <c r="L1186" s="36">
        <f t="shared" si="417"/>
        <v>7.9475308641975394E-3</v>
      </c>
      <c r="M1186" s="36">
        <f t="shared" si="417"/>
        <v>1.635802469135799E-2</v>
      </c>
      <c r="N1186" s="36">
        <f t="shared" si="417"/>
        <v>320</v>
      </c>
      <c r="O1186" s="36">
        <f t="shared" si="417"/>
        <v>179</v>
      </c>
      <c r="P1186" s="36" t="str">
        <f t="shared" si="417"/>
        <v>MXL</v>
      </c>
      <c r="R1186">
        <v>1172</v>
      </c>
      <c r="S1186" s="36" t="str">
        <f t="shared" si="405"/>
        <v>INTERAVIÓN</v>
      </c>
      <c r="T1186" s="36">
        <f t="shared" si="405"/>
        <v>2210</v>
      </c>
      <c r="U1186" s="73">
        <v>0.43611111111111112</v>
      </c>
      <c r="V1186" s="74">
        <v>0.44236111111111115</v>
      </c>
      <c r="W1186" s="75">
        <v>6.2500000000000333E-3</v>
      </c>
      <c r="X1186" s="74">
        <v>0.4465277777777778</v>
      </c>
      <c r="Y1186" s="75">
        <v>4.1666666666666519E-3</v>
      </c>
      <c r="Z1186" s="76">
        <v>41754</v>
      </c>
      <c r="AA1186" s="36" t="str">
        <f t="shared" si="411"/>
        <v>Nacional</v>
      </c>
      <c r="AB1186" s="36">
        <f t="shared" si="411"/>
        <v>5.6944444444444655E-3</v>
      </c>
      <c r="AC1186" s="36">
        <f t="shared" si="411"/>
        <v>5.0347222222222269E-3</v>
      </c>
      <c r="AD1186" s="36">
        <f t="shared" si="411"/>
        <v>1.0729166666666692E-2</v>
      </c>
      <c r="AE1186" s="36">
        <f t="shared" si="411"/>
        <v>320</v>
      </c>
      <c r="AF1186" s="36">
        <f t="shared" si="411"/>
        <v>179</v>
      </c>
      <c r="AG1186" s="36" t="str">
        <f t="shared" si="411"/>
        <v>MEX</v>
      </c>
      <c r="AI1186">
        <v>1172</v>
      </c>
      <c r="AJ1186" s="77" t="str">
        <f t="shared" si="415"/>
        <v xml:space="preserve">INTERAVIÓN </v>
      </c>
      <c r="AK1186" s="77">
        <f t="shared" si="415"/>
        <v>957</v>
      </c>
      <c r="AL1186" s="187">
        <v>0.63472222222222219</v>
      </c>
      <c r="AM1186" s="95">
        <v>0.64236111111111105</v>
      </c>
      <c r="AN1186" s="96">
        <v>7.6388888888888618E-3</v>
      </c>
      <c r="AO1186" s="95">
        <v>0.65972222222222221</v>
      </c>
      <c r="AP1186" s="96">
        <v>1.736111111111116E-2</v>
      </c>
      <c r="AQ1186" s="97">
        <v>41812</v>
      </c>
      <c r="AR1186" s="77" t="str">
        <f t="shared" si="416"/>
        <v>Internacional</v>
      </c>
      <c r="AS1186" s="77">
        <f t="shared" si="416"/>
        <v>9.5238095238095455E-3</v>
      </c>
      <c r="AT1186" s="77">
        <f t="shared" si="416"/>
        <v>1.8353174603174576E-2</v>
      </c>
      <c r="AU1186" s="77">
        <f t="shared" si="416"/>
        <v>2.7876984126984122E-2</v>
      </c>
      <c r="AV1186" s="77">
        <f t="shared" si="416"/>
        <v>320</v>
      </c>
      <c r="AW1186" s="77">
        <f t="shared" si="416"/>
        <v>179</v>
      </c>
      <c r="AX1186" s="77" t="str">
        <f t="shared" si="416"/>
        <v>SAT</v>
      </c>
    </row>
    <row r="1187" spans="1:50" ht="15.75" thickBot="1" x14ac:dyDescent="0.3">
      <c r="A1187">
        <v>1173</v>
      </c>
      <c r="B1187" s="36" t="str">
        <f t="shared" si="402"/>
        <v>BARATA Y MORADA</v>
      </c>
      <c r="C1187" s="36">
        <f t="shared" si="402"/>
        <v>621</v>
      </c>
      <c r="D1187" s="118">
        <v>0.93888888888888899</v>
      </c>
      <c r="E1187" s="118">
        <v>0.94652777777777775</v>
      </c>
      <c r="F1187" s="119">
        <v>7.6388888888887507E-3</v>
      </c>
      <c r="G1187" s="118">
        <v>0.95277777777777783</v>
      </c>
      <c r="H1187" s="119">
        <v>6.2500000000000888E-3</v>
      </c>
      <c r="I1187" s="81">
        <v>41723</v>
      </c>
      <c r="J1187" s="36" t="str">
        <f t="shared" si="417"/>
        <v>Nacional</v>
      </c>
      <c r="K1187" s="36">
        <f t="shared" si="417"/>
        <v>8.410493827160451E-3</v>
      </c>
      <c r="L1187" s="36">
        <f t="shared" si="417"/>
        <v>7.9475308641975394E-3</v>
      </c>
      <c r="M1187" s="36">
        <f t="shared" si="417"/>
        <v>1.635802469135799E-2</v>
      </c>
      <c r="N1187" s="36">
        <f t="shared" si="417"/>
        <v>320</v>
      </c>
      <c r="O1187" s="36">
        <f t="shared" si="417"/>
        <v>179</v>
      </c>
      <c r="P1187" s="36" t="str">
        <f t="shared" si="417"/>
        <v>MXL</v>
      </c>
      <c r="R1187">
        <v>1173</v>
      </c>
      <c r="S1187" s="36" t="str">
        <f t="shared" si="405"/>
        <v>INTERAVIÓN</v>
      </c>
      <c r="T1187" s="36">
        <f t="shared" si="405"/>
        <v>2210</v>
      </c>
      <c r="U1187" s="73">
        <v>0.43263888888888885</v>
      </c>
      <c r="V1187" s="74">
        <v>0.4375</v>
      </c>
      <c r="W1187" s="75">
        <v>4.8611111111111494E-3</v>
      </c>
      <c r="X1187" s="74">
        <v>0.44375000000000003</v>
      </c>
      <c r="Y1187" s="75">
        <v>6.2500000000000333E-3</v>
      </c>
      <c r="Z1187" s="76">
        <v>41756</v>
      </c>
      <c r="AA1187" s="36" t="str">
        <f t="shared" si="411"/>
        <v>Nacional</v>
      </c>
      <c r="AB1187" s="36">
        <f t="shared" si="411"/>
        <v>5.6944444444444655E-3</v>
      </c>
      <c r="AC1187" s="36">
        <f t="shared" si="411"/>
        <v>5.0347222222222269E-3</v>
      </c>
      <c r="AD1187" s="36">
        <f t="shared" si="411"/>
        <v>1.0729166666666692E-2</v>
      </c>
      <c r="AE1187" s="36">
        <f t="shared" si="411"/>
        <v>320</v>
      </c>
      <c r="AF1187" s="36">
        <f t="shared" si="411"/>
        <v>179</v>
      </c>
      <c r="AG1187" s="36" t="str">
        <f t="shared" si="411"/>
        <v>MEX</v>
      </c>
      <c r="AI1187">
        <v>1173</v>
      </c>
      <c r="AJ1187" s="77" t="str">
        <f t="shared" si="415"/>
        <v xml:space="preserve">INTERAVIÓN </v>
      </c>
      <c r="AK1187" s="99">
        <v>913</v>
      </c>
      <c r="AL1187" s="188">
        <v>0.26250000000000001</v>
      </c>
      <c r="AM1187" s="101">
        <v>0.27499999999999997</v>
      </c>
      <c r="AN1187" s="102">
        <v>1.2499999999999956E-2</v>
      </c>
      <c r="AO1187" s="101">
        <v>0.29583333333333334</v>
      </c>
      <c r="AP1187" s="102">
        <v>2.083333333333337E-2</v>
      </c>
      <c r="AQ1187" s="103">
        <v>41806</v>
      </c>
      <c r="AR1187" s="104" t="s">
        <v>19</v>
      </c>
      <c r="AS1187" s="105">
        <v>1.2499999999999956E-2</v>
      </c>
      <c r="AT1187" s="105">
        <v>2.083333333333337E-2</v>
      </c>
      <c r="AU1187" s="105">
        <v>3.3333333333333326E-2</v>
      </c>
      <c r="AV1187" s="136" t="s">
        <v>25</v>
      </c>
      <c r="AW1187" s="77">
        <f t="shared" si="416"/>
        <v>179</v>
      </c>
      <c r="AX1187" s="77" t="str">
        <f t="shared" si="416"/>
        <v>SAT</v>
      </c>
    </row>
    <row r="1188" spans="1:50" x14ac:dyDescent="0.25">
      <c r="A1188">
        <v>1174</v>
      </c>
      <c r="B1188" s="36" t="str">
        <f t="shared" si="402"/>
        <v>BARATA Y MORADA</v>
      </c>
      <c r="C1188" s="36">
        <f t="shared" si="402"/>
        <v>621</v>
      </c>
      <c r="D1188" s="118">
        <v>0.97222222222222221</v>
      </c>
      <c r="E1188" s="118">
        <v>0.98611111111111116</v>
      </c>
      <c r="F1188" s="119">
        <v>1.3888888888888951E-2</v>
      </c>
      <c r="G1188" s="118">
        <v>0.99236111111111114</v>
      </c>
      <c r="H1188" s="119">
        <v>6.2499999999999778E-3</v>
      </c>
      <c r="I1188" s="81">
        <v>41725</v>
      </c>
      <c r="J1188" s="36" t="str">
        <f t="shared" si="417"/>
        <v>Nacional</v>
      </c>
      <c r="K1188" s="36">
        <f t="shared" si="417"/>
        <v>8.410493827160451E-3</v>
      </c>
      <c r="L1188" s="36">
        <f t="shared" si="417"/>
        <v>7.9475308641975394E-3</v>
      </c>
      <c r="M1188" s="36">
        <f t="shared" si="417"/>
        <v>1.635802469135799E-2</v>
      </c>
      <c r="N1188" s="36">
        <f t="shared" si="417"/>
        <v>320</v>
      </c>
      <c r="O1188" s="36">
        <f t="shared" si="417"/>
        <v>179</v>
      </c>
      <c r="P1188" s="36" t="str">
        <f t="shared" si="417"/>
        <v>MXL</v>
      </c>
      <c r="R1188">
        <v>1174</v>
      </c>
      <c r="S1188" s="36" t="str">
        <f t="shared" si="405"/>
        <v>INTERAVIÓN</v>
      </c>
      <c r="T1188" s="36">
        <f t="shared" si="405"/>
        <v>2210</v>
      </c>
      <c r="U1188" s="73">
        <v>0.43194444444444446</v>
      </c>
      <c r="V1188" s="74">
        <v>0.43958333333333338</v>
      </c>
      <c r="W1188" s="75">
        <v>7.6388888888889173E-3</v>
      </c>
      <c r="X1188" s="74">
        <v>0.44305555555555554</v>
      </c>
      <c r="Y1188" s="75">
        <v>3.4722222222221544E-3</v>
      </c>
      <c r="Z1188" s="76">
        <v>41757</v>
      </c>
      <c r="AA1188" s="36" t="str">
        <f t="shared" si="411"/>
        <v>Nacional</v>
      </c>
      <c r="AB1188" s="36">
        <f t="shared" si="411"/>
        <v>5.6944444444444655E-3</v>
      </c>
      <c r="AC1188" s="36">
        <f t="shared" si="411"/>
        <v>5.0347222222222269E-3</v>
      </c>
      <c r="AD1188" s="36">
        <f t="shared" si="411"/>
        <v>1.0729166666666692E-2</v>
      </c>
      <c r="AE1188" s="36">
        <f t="shared" si="411"/>
        <v>320</v>
      </c>
      <c r="AF1188" s="36">
        <f t="shared" si="411"/>
        <v>179</v>
      </c>
      <c r="AG1188" s="36" t="str">
        <f t="shared" si="411"/>
        <v>MEX</v>
      </c>
      <c r="AI1188">
        <v>1174</v>
      </c>
      <c r="AJ1188" s="77" t="str">
        <f t="shared" si="415"/>
        <v xml:space="preserve">INTERAVIÓN </v>
      </c>
      <c r="AK1188" s="63">
        <v>810</v>
      </c>
      <c r="AL1188" s="185">
        <v>0.61527777777777781</v>
      </c>
      <c r="AM1188" s="65">
        <v>0.62291666666666667</v>
      </c>
      <c r="AN1188" s="66">
        <v>7.6388888888888618E-3</v>
      </c>
      <c r="AO1188" s="65">
        <v>0.6333333333333333</v>
      </c>
      <c r="AP1188" s="66">
        <v>1.041666666666663E-2</v>
      </c>
      <c r="AQ1188" s="67">
        <v>41792</v>
      </c>
      <c r="AR1188" s="68" t="s">
        <v>19</v>
      </c>
      <c r="AS1188" s="69">
        <v>6.3078703703703942E-3</v>
      </c>
      <c r="AT1188" s="70">
        <v>7.4652777777777695E-3</v>
      </c>
      <c r="AU1188" s="70">
        <v>1.3773148148148163E-2</v>
      </c>
      <c r="AV1188" s="71">
        <v>320</v>
      </c>
      <c r="AW1188" s="71">
        <v>179</v>
      </c>
      <c r="AX1188" s="72" t="s">
        <v>88</v>
      </c>
    </row>
    <row r="1189" spans="1:50" ht="15.75" thickBot="1" x14ac:dyDescent="0.3">
      <c r="A1189">
        <v>1175</v>
      </c>
      <c r="B1189" s="36" t="str">
        <f t="shared" si="402"/>
        <v>BARATA Y MORADA</v>
      </c>
      <c r="C1189" s="36">
        <f t="shared" si="402"/>
        <v>621</v>
      </c>
      <c r="D1189" s="118">
        <v>0.95000000000000007</v>
      </c>
      <c r="E1189" s="118">
        <v>0.95833333333333337</v>
      </c>
      <c r="F1189" s="119">
        <v>8.3333333333333037E-3</v>
      </c>
      <c r="G1189" s="118">
        <v>0.96527777777777779</v>
      </c>
      <c r="H1189" s="119">
        <v>6.9444444444444198E-3</v>
      </c>
      <c r="I1189" s="81">
        <v>41726</v>
      </c>
      <c r="J1189" s="36" t="str">
        <f t="shared" si="417"/>
        <v>Nacional</v>
      </c>
      <c r="K1189" s="36">
        <f t="shared" si="417"/>
        <v>8.410493827160451E-3</v>
      </c>
      <c r="L1189" s="36">
        <f t="shared" si="417"/>
        <v>7.9475308641975394E-3</v>
      </c>
      <c r="M1189" s="36">
        <f t="shared" si="417"/>
        <v>1.635802469135799E-2</v>
      </c>
      <c r="N1189" s="36">
        <f t="shared" si="417"/>
        <v>320</v>
      </c>
      <c r="O1189" s="36">
        <f t="shared" si="417"/>
        <v>179</v>
      </c>
      <c r="P1189" s="36" t="str">
        <f t="shared" si="417"/>
        <v>MXL</v>
      </c>
      <c r="R1189">
        <v>1175</v>
      </c>
      <c r="S1189" s="36" t="str">
        <f t="shared" si="405"/>
        <v>INTERAVIÓN</v>
      </c>
      <c r="T1189" s="36">
        <f t="shared" si="405"/>
        <v>2210</v>
      </c>
      <c r="U1189" s="83">
        <v>0.43333333333333335</v>
      </c>
      <c r="V1189" s="84">
        <v>0.4381944444444445</v>
      </c>
      <c r="W1189" s="85">
        <v>4.8611111111111494E-3</v>
      </c>
      <c r="X1189" s="84">
        <v>0.44305555555555554</v>
      </c>
      <c r="Y1189" s="85">
        <v>4.8611111111110383E-3</v>
      </c>
      <c r="Z1189" s="86">
        <v>41758</v>
      </c>
      <c r="AA1189" s="36" t="str">
        <f t="shared" si="411"/>
        <v>Nacional</v>
      </c>
      <c r="AB1189" s="36">
        <f t="shared" si="411"/>
        <v>5.6944444444444655E-3</v>
      </c>
      <c r="AC1189" s="36">
        <f t="shared" si="411"/>
        <v>5.0347222222222269E-3</v>
      </c>
      <c r="AD1189" s="36">
        <f t="shared" si="411"/>
        <v>1.0729166666666692E-2</v>
      </c>
      <c r="AE1189" s="36">
        <f t="shared" si="411"/>
        <v>320</v>
      </c>
      <c r="AF1189" s="36">
        <f t="shared" si="411"/>
        <v>179</v>
      </c>
      <c r="AG1189" s="36" t="str">
        <f t="shared" si="411"/>
        <v>MEX</v>
      </c>
      <c r="AI1189">
        <v>1175</v>
      </c>
      <c r="AJ1189" s="77" t="str">
        <f t="shared" si="415"/>
        <v xml:space="preserve">INTERAVIÓN </v>
      </c>
      <c r="AK1189" s="77">
        <f t="shared" si="415"/>
        <v>810</v>
      </c>
      <c r="AL1189" s="186">
        <v>0.61111111111111105</v>
      </c>
      <c r="AM1189" s="79">
        <v>0.6166666666666667</v>
      </c>
      <c r="AN1189" s="80">
        <v>5.5555555555556468E-3</v>
      </c>
      <c r="AO1189" s="79">
        <v>0.62361111111111112</v>
      </c>
      <c r="AP1189" s="80">
        <v>6.9444444444444198E-3</v>
      </c>
      <c r="AQ1189" s="81">
        <v>41795</v>
      </c>
      <c r="AR1189" s="77" t="str">
        <f t="shared" ref="AR1189:AX1199" si="418">AR1188</f>
        <v>Nacional</v>
      </c>
      <c r="AS1189" s="77">
        <f t="shared" si="418"/>
        <v>6.3078703703703942E-3</v>
      </c>
      <c r="AT1189" s="77">
        <f t="shared" si="418"/>
        <v>7.4652777777777695E-3</v>
      </c>
      <c r="AU1189" s="77">
        <f t="shared" si="418"/>
        <v>1.3773148148148163E-2</v>
      </c>
      <c r="AV1189" s="77">
        <f t="shared" si="418"/>
        <v>320</v>
      </c>
      <c r="AW1189" s="77">
        <f t="shared" si="418"/>
        <v>179</v>
      </c>
      <c r="AX1189" s="77" t="str">
        <f t="shared" si="418"/>
        <v>SID</v>
      </c>
    </row>
    <row r="1190" spans="1:50" ht="15.75" thickBot="1" x14ac:dyDescent="0.3">
      <c r="A1190">
        <v>1176</v>
      </c>
      <c r="B1190" s="36" t="str">
        <f t="shared" si="402"/>
        <v>BARATA Y MORADA</v>
      </c>
      <c r="C1190" s="36">
        <f t="shared" si="402"/>
        <v>621</v>
      </c>
      <c r="D1190" s="176">
        <v>0.44236111111111115</v>
      </c>
      <c r="E1190" s="176">
        <v>0.44930555555555557</v>
      </c>
      <c r="F1190" s="177">
        <v>6.9444444444444198E-3</v>
      </c>
      <c r="G1190" s="176">
        <v>0.45694444444444443</v>
      </c>
      <c r="H1190" s="177">
        <v>7.6388888888888618E-3</v>
      </c>
      <c r="I1190" s="97">
        <v>41726</v>
      </c>
      <c r="J1190" s="36" t="str">
        <f t="shared" si="417"/>
        <v>Nacional</v>
      </c>
      <c r="K1190" s="36">
        <f t="shared" si="417"/>
        <v>8.410493827160451E-3</v>
      </c>
      <c r="L1190" s="36">
        <f t="shared" si="417"/>
        <v>7.9475308641975394E-3</v>
      </c>
      <c r="M1190" s="36">
        <f t="shared" si="417"/>
        <v>1.635802469135799E-2</v>
      </c>
      <c r="N1190" s="36">
        <f t="shared" si="417"/>
        <v>320</v>
      </c>
      <c r="O1190" s="36">
        <f t="shared" si="417"/>
        <v>179</v>
      </c>
      <c r="P1190" s="36" t="str">
        <f t="shared" si="417"/>
        <v>MXL</v>
      </c>
      <c r="R1190">
        <v>1176</v>
      </c>
      <c r="S1190" s="36" t="str">
        <f t="shared" si="405"/>
        <v>INTERAVIÓN</v>
      </c>
      <c r="T1190" s="55">
        <v>2208</v>
      </c>
      <c r="U1190" s="56">
        <v>0.38263888888888892</v>
      </c>
      <c r="V1190" s="57">
        <v>0.38819444444444445</v>
      </c>
      <c r="W1190" s="58">
        <v>5.5555555555555358E-3</v>
      </c>
      <c r="X1190" s="57">
        <v>0.39305555555555555</v>
      </c>
      <c r="Y1190" s="58">
        <v>4.8611111111110938E-3</v>
      </c>
      <c r="Z1190" s="59">
        <v>41730</v>
      </c>
      <c r="AA1190" s="60" t="s">
        <v>19</v>
      </c>
      <c r="AB1190" s="61">
        <v>5.8796296296296235E-3</v>
      </c>
      <c r="AC1190" s="61">
        <v>6.7129629629629579E-3</v>
      </c>
      <c r="AD1190" s="62">
        <v>1.2592592592592582E-2</v>
      </c>
      <c r="AE1190" s="191">
        <v>320</v>
      </c>
      <c r="AF1190" s="191">
        <v>179</v>
      </c>
      <c r="AG1190" s="192" t="s">
        <v>21</v>
      </c>
      <c r="AI1190">
        <v>1176</v>
      </c>
      <c r="AJ1190" s="77" t="str">
        <f t="shared" si="415"/>
        <v xml:space="preserve">INTERAVIÓN </v>
      </c>
      <c r="AK1190" s="77">
        <f t="shared" si="415"/>
        <v>810</v>
      </c>
      <c r="AL1190" s="186">
        <v>0.60555555555555551</v>
      </c>
      <c r="AM1190" s="79">
        <v>0.61249999999999993</v>
      </c>
      <c r="AN1190" s="80">
        <v>6.9444444444444198E-3</v>
      </c>
      <c r="AO1190" s="79">
        <v>0.61805555555555558</v>
      </c>
      <c r="AP1190" s="80">
        <v>5.5555555555556468E-3</v>
      </c>
      <c r="AQ1190" s="81">
        <v>41796</v>
      </c>
      <c r="AR1190" s="77" t="str">
        <f t="shared" si="418"/>
        <v>Nacional</v>
      </c>
      <c r="AS1190" s="77">
        <f t="shared" si="418"/>
        <v>6.3078703703703942E-3</v>
      </c>
      <c r="AT1190" s="77">
        <f t="shared" si="418"/>
        <v>7.4652777777777695E-3</v>
      </c>
      <c r="AU1190" s="77">
        <f t="shared" si="418"/>
        <v>1.3773148148148163E-2</v>
      </c>
      <c r="AV1190" s="77">
        <f t="shared" si="418"/>
        <v>320</v>
      </c>
      <c r="AW1190" s="77">
        <f t="shared" si="418"/>
        <v>179</v>
      </c>
      <c r="AX1190" s="77" t="str">
        <f t="shared" si="418"/>
        <v>SID</v>
      </c>
    </row>
    <row r="1191" spans="1:50" ht="15.75" thickBot="1" x14ac:dyDescent="0.3">
      <c r="A1191">
        <v>1177</v>
      </c>
      <c r="B1191" s="36" t="str">
        <f t="shared" si="402"/>
        <v>BARATA Y MORADA</v>
      </c>
      <c r="C1191" s="146">
        <v>475</v>
      </c>
      <c r="D1191" s="147">
        <v>0.18124999999999999</v>
      </c>
      <c r="E1191" s="147">
        <v>0.19236111111111112</v>
      </c>
      <c r="F1191" s="148">
        <v>1.1111111111111127E-2</v>
      </c>
      <c r="G1191" s="147">
        <v>0.20694444444444446</v>
      </c>
      <c r="H1191" s="148">
        <v>1.4583333333333337E-2</v>
      </c>
      <c r="I1191" s="103">
        <v>41724</v>
      </c>
      <c r="J1191" s="184" t="s">
        <v>22</v>
      </c>
      <c r="K1191" s="149">
        <v>1.1111111111111127E-2</v>
      </c>
      <c r="L1191" s="149">
        <v>1.4583333333333337E-2</v>
      </c>
      <c r="M1191" s="150">
        <v>2.5694444444444464E-2</v>
      </c>
      <c r="N1191" s="82" t="s">
        <v>25</v>
      </c>
      <c r="O1191" s="36">
        <f t="shared" si="417"/>
        <v>179</v>
      </c>
      <c r="P1191" s="36" t="str">
        <f t="shared" si="417"/>
        <v>MXL</v>
      </c>
      <c r="R1191">
        <v>1177</v>
      </c>
      <c r="S1191" s="36" t="str">
        <f t="shared" si="405"/>
        <v>INTERAVIÓN</v>
      </c>
      <c r="T1191" s="36">
        <f t="shared" si="405"/>
        <v>2208</v>
      </c>
      <c r="U1191" s="73">
        <v>0.38541666666666669</v>
      </c>
      <c r="V1191" s="74">
        <v>0.38750000000000001</v>
      </c>
      <c r="W1191" s="75">
        <v>2.0833333333333259E-3</v>
      </c>
      <c r="X1191" s="74">
        <v>0.39027777777777778</v>
      </c>
      <c r="Y1191" s="75">
        <v>2.7777777777777679E-3</v>
      </c>
      <c r="Z1191" s="76">
        <v>41731</v>
      </c>
      <c r="AA1191" s="36" t="str">
        <f t="shared" ref="AA1191:AG1204" si="419">AA1190</f>
        <v>Nacional</v>
      </c>
      <c r="AB1191" s="36">
        <f t="shared" si="419"/>
        <v>5.8796296296296235E-3</v>
      </c>
      <c r="AC1191" s="36">
        <f t="shared" si="419"/>
        <v>6.7129629629629579E-3</v>
      </c>
      <c r="AD1191" s="36">
        <f t="shared" si="419"/>
        <v>1.2592592592592582E-2</v>
      </c>
      <c r="AE1191" s="36">
        <f t="shared" si="419"/>
        <v>320</v>
      </c>
      <c r="AF1191" s="36">
        <f t="shared" si="419"/>
        <v>179</v>
      </c>
      <c r="AG1191" s="36" t="str">
        <f t="shared" si="419"/>
        <v>MEX</v>
      </c>
      <c r="AI1191">
        <v>1177</v>
      </c>
      <c r="AJ1191" s="77" t="str">
        <f t="shared" si="415"/>
        <v xml:space="preserve">INTERAVIÓN </v>
      </c>
      <c r="AK1191" s="77">
        <f t="shared" si="415"/>
        <v>810</v>
      </c>
      <c r="AL1191" s="186">
        <v>0.61041666666666672</v>
      </c>
      <c r="AM1191" s="79">
        <v>0.61249999999999993</v>
      </c>
      <c r="AN1191" s="80">
        <v>2.0833333333332149E-3</v>
      </c>
      <c r="AO1191" s="79">
        <v>0.62013888888888891</v>
      </c>
      <c r="AP1191" s="80">
        <v>7.6388888888889728E-3</v>
      </c>
      <c r="AQ1191" s="81">
        <v>41799</v>
      </c>
      <c r="AR1191" s="77" t="str">
        <f t="shared" si="418"/>
        <v>Nacional</v>
      </c>
      <c r="AS1191" s="77">
        <f t="shared" si="418"/>
        <v>6.3078703703703942E-3</v>
      </c>
      <c r="AT1191" s="77">
        <f t="shared" si="418"/>
        <v>7.4652777777777695E-3</v>
      </c>
      <c r="AU1191" s="77">
        <f t="shared" si="418"/>
        <v>1.3773148148148163E-2</v>
      </c>
      <c r="AV1191" s="77">
        <f t="shared" si="418"/>
        <v>320</v>
      </c>
      <c r="AW1191" s="77">
        <f t="shared" si="418"/>
        <v>179</v>
      </c>
      <c r="AX1191" s="77" t="str">
        <f t="shared" si="418"/>
        <v>SID</v>
      </c>
    </row>
    <row r="1192" spans="1:50" x14ac:dyDescent="0.25">
      <c r="A1192">
        <v>1178</v>
      </c>
      <c r="B1192" s="36" t="str">
        <f t="shared" si="402"/>
        <v>BARATA Y MORADA</v>
      </c>
      <c r="C1192" s="151">
        <v>436</v>
      </c>
      <c r="D1192" s="152">
        <v>0.97916666666666663</v>
      </c>
      <c r="E1192" s="152">
        <v>0.9902777777777777</v>
      </c>
      <c r="F1192" s="153">
        <v>1.1111111111111072E-2</v>
      </c>
      <c r="G1192" s="152">
        <v>1.0020833333333334</v>
      </c>
      <c r="H1192" s="153">
        <v>1.1805555555555736E-2</v>
      </c>
      <c r="I1192" s="67">
        <v>41715</v>
      </c>
      <c r="J1192" s="174" t="s">
        <v>19</v>
      </c>
      <c r="K1192" s="135">
        <v>8.3333333333333037E-3</v>
      </c>
      <c r="L1192" s="135">
        <v>8.6111111111111475E-3</v>
      </c>
      <c r="M1192" s="175">
        <v>1.6944444444444449E-2</v>
      </c>
      <c r="N1192" s="90">
        <v>320</v>
      </c>
      <c r="O1192" s="91">
        <v>179</v>
      </c>
      <c r="P1192" s="92" t="s">
        <v>34</v>
      </c>
      <c r="R1192">
        <v>1178</v>
      </c>
      <c r="S1192" s="36" t="str">
        <f t="shared" si="405"/>
        <v>INTERAVIÓN</v>
      </c>
      <c r="T1192" s="36">
        <f t="shared" si="405"/>
        <v>2208</v>
      </c>
      <c r="U1192" s="73">
        <v>0.38819444444444445</v>
      </c>
      <c r="V1192" s="74">
        <v>0.40138888888888885</v>
      </c>
      <c r="W1192" s="75">
        <v>1.3194444444444398E-2</v>
      </c>
      <c r="X1192" s="74">
        <v>0.40833333333333338</v>
      </c>
      <c r="Y1192" s="75">
        <v>6.9444444444445308E-3</v>
      </c>
      <c r="Z1192" s="76">
        <v>41732</v>
      </c>
      <c r="AA1192" s="36" t="str">
        <f t="shared" si="419"/>
        <v>Nacional</v>
      </c>
      <c r="AB1192" s="36">
        <f t="shared" si="419"/>
        <v>5.8796296296296235E-3</v>
      </c>
      <c r="AC1192" s="36">
        <f t="shared" si="419"/>
        <v>6.7129629629629579E-3</v>
      </c>
      <c r="AD1192" s="36">
        <f t="shared" si="419"/>
        <v>1.2592592592592582E-2</v>
      </c>
      <c r="AE1192" s="36">
        <f t="shared" si="419"/>
        <v>320</v>
      </c>
      <c r="AF1192" s="36">
        <f t="shared" si="419"/>
        <v>179</v>
      </c>
      <c r="AG1192" s="36" t="str">
        <f t="shared" si="419"/>
        <v>MEX</v>
      </c>
      <c r="AI1192">
        <v>1178</v>
      </c>
      <c r="AJ1192" s="77" t="str">
        <f t="shared" si="415"/>
        <v xml:space="preserve">INTERAVIÓN </v>
      </c>
      <c r="AK1192" s="77">
        <f t="shared" si="415"/>
        <v>810</v>
      </c>
      <c r="AL1192" s="186">
        <v>1.0097222222222222</v>
      </c>
      <c r="AM1192" s="79">
        <v>1.0159722222222223</v>
      </c>
      <c r="AN1192" s="80">
        <v>6.2500000000000888E-3</v>
      </c>
      <c r="AO1192" s="79">
        <v>1.0229166666666667</v>
      </c>
      <c r="AP1192" s="80">
        <v>6.9444444444444198E-3</v>
      </c>
      <c r="AQ1192" s="81">
        <v>41802</v>
      </c>
      <c r="AR1192" s="77" t="str">
        <f t="shared" si="418"/>
        <v>Nacional</v>
      </c>
      <c r="AS1192" s="77">
        <f t="shared" si="418"/>
        <v>6.3078703703703942E-3</v>
      </c>
      <c r="AT1192" s="77">
        <f t="shared" si="418"/>
        <v>7.4652777777777695E-3</v>
      </c>
      <c r="AU1192" s="77">
        <f t="shared" si="418"/>
        <v>1.3773148148148163E-2</v>
      </c>
      <c r="AV1192" s="77">
        <f t="shared" si="418"/>
        <v>320</v>
      </c>
      <c r="AW1192" s="77">
        <f t="shared" si="418"/>
        <v>179</v>
      </c>
      <c r="AX1192" s="77" t="str">
        <f t="shared" si="418"/>
        <v>SID</v>
      </c>
    </row>
    <row r="1193" spans="1:50" x14ac:dyDescent="0.25">
      <c r="A1193">
        <v>1179</v>
      </c>
      <c r="B1193" s="36" t="str">
        <f t="shared" si="402"/>
        <v>BARATA Y MORADA</v>
      </c>
      <c r="C1193" s="36">
        <f t="shared" si="402"/>
        <v>436</v>
      </c>
      <c r="D1193" s="118">
        <v>0.98749999999999993</v>
      </c>
      <c r="E1193" s="118">
        <v>0.99513888888888891</v>
      </c>
      <c r="F1193" s="119">
        <v>7.6388888888889728E-3</v>
      </c>
      <c r="G1193" s="118">
        <v>1.0062499999999999</v>
      </c>
      <c r="H1193" s="119">
        <v>1.1111111111110961E-2</v>
      </c>
      <c r="I1193" s="81">
        <v>41719</v>
      </c>
      <c r="J1193" s="36" t="str">
        <f t="shared" ref="J1193:P1196" si="420">J1192</f>
        <v>Nacional</v>
      </c>
      <c r="K1193" s="36">
        <f t="shared" si="420"/>
        <v>8.3333333333333037E-3</v>
      </c>
      <c r="L1193" s="36">
        <f t="shared" si="420"/>
        <v>8.6111111111111475E-3</v>
      </c>
      <c r="M1193" s="36">
        <f t="shared" si="420"/>
        <v>1.6944444444444449E-2</v>
      </c>
      <c r="N1193" s="36">
        <f t="shared" si="420"/>
        <v>320</v>
      </c>
      <c r="O1193" s="36">
        <f t="shared" si="420"/>
        <v>179</v>
      </c>
      <c r="P1193" s="36" t="str">
        <f t="shared" si="420"/>
        <v>TIJ</v>
      </c>
      <c r="R1193">
        <v>1179</v>
      </c>
      <c r="S1193" s="36" t="str">
        <f t="shared" si="405"/>
        <v>INTERAVIÓN</v>
      </c>
      <c r="T1193" s="36">
        <f t="shared" si="405"/>
        <v>2208</v>
      </c>
      <c r="U1193" s="73">
        <v>0.38472222222222219</v>
      </c>
      <c r="V1193" s="74">
        <v>0.39027777777777778</v>
      </c>
      <c r="W1193" s="75">
        <v>5.5555555555555913E-3</v>
      </c>
      <c r="X1193" s="74">
        <v>0.3979166666666667</v>
      </c>
      <c r="Y1193" s="75">
        <v>7.6388888888889173E-3</v>
      </c>
      <c r="Z1193" s="76">
        <v>41733</v>
      </c>
      <c r="AA1193" s="36" t="str">
        <f t="shared" si="419"/>
        <v>Nacional</v>
      </c>
      <c r="AB1193" s="36">
        <f t="shared" si="419"/>
        <v>5.8796296296296235E-3</v>
      </c>
      <c r="AC1193" s="36">
        <f t="shared" si="419"/>
        <v>6.7129629629629579E-3</v>
      </c>
      <c r="AD1193" s="36">
        <f t="shared" si="419"/>
        <v>1.2592592592592582E-2</v>
      </c>
      <c r="AE1193" s="36">
        <f t="shared" si="419"/>
        <v>320</v>
      </c>
      <c r="AF1193" s="36">
        <f t="shared" si="419"/>
        <v>179</v>
      </c>
      <c r="AG1193" s="36" t="str">
        <f t="shared" si="419"/>
        <v>MEX</v>
      </c>
      <c r="AI1193">
        <v>1179</v>
      </c>
      <c r="AJ1193" s="77" t="str">
        <f t="shared" si="415"/>
        <v xml:space="preserve">INTERAVIÓN </v>
      </c>
      <c r="AK1193" s="77">
        <f t="shared" si="415"/>
        <v>810</v>
      </c>
      <c r="AL1193" s="186">
        <v>0.70138888888888884</v>
      </c>
      <c r="AM1193" s="79">
        <v>0.70208333333333339</v>
      </c>
      <c r="AN1193" s="80">
        <v>6.94444444444553E-4</v>
      </c>
      <c r="AO1193" s="79">
        <v>0.7055555555555556</v>
      </c>
      <c r="AP1193" s="80">
        <v>3.4722222222222099E-3</v>
      </c>
      <c r="AQ1193" s="81">
        <v>41803</v>
      </c>
      <c r="AR1193" s="77" t="str">
        <f t="shared" si="418"/>
        <v>Nacional</v>
      </c>
      <c r="AS1193" s="77">
        <f t="shared" si="418"/>
        <v>6.3078703703703942E-3</v>
      </c>
      <c r="AT1193" s="77">
        <f t="shared" si="418"/>
        <v>7.4652777777777695E-3</v>
      </c>
      <c r="AU1193" s="77">
        <f t="shared" si="418"/>
        <v>1.3773148148148163E-2</v>
      </c>
      <c r="AV1193" s="77">
        <f t="shared" si="418"/>
        <v>320</v>
      </c>
      <c r="AW1193" s="77">
        <f t="shared" si="418"/>
        <v>179</v>
      </c>
      <c r="AX1193" s="77" t="str">
        <f t="shared" si="418"/>
        <v>SID</v>
      </c>
    </row>
    <row r="1194" spans="1:50" x14ac:dyDescent="0.25">
      <c r="A1194">
        <v>1180</v>
      </c>
      <c r="B1194" s="36" t="str">
        <f t="shared" si="402"/>
        <v>BARATA Y MORADA</v>
      </c>
      <c r="C1194" s="36">
        <f t="shared" si="402"/>
        <v>436</v>
      </c>
      <c r="D1194" s="118">
        <v>0.9784722222222223</v>
      </c>
      <c r="E1194" s="118">
        <v>0.98611111111111116</v>
      </c>
      <c r="F1194" s="119">
        <v>7.6388888888888618E-3</v>
      </c>
      <c r="G1194" s="118">
        <v>0.98958333333333337</v>
      </c>
      <c r="H1194" s="119">
        <v>3.4722222222222099E-3</v>
      </c>
      <c r="I1194" s="81">
        <v>41723</v>
      </c>
      <c r="J1194" s="36" t="str">
        <f t="shared" si="420"/>
        <v>Nacional</v>
      </c>
      <c r="K1194" s="36">
        <f t="shared" si="420"/>
        <v>8.3333333333333037E-3</v>
      </c>
      <c r="L1194" s="36">
        <f t="shared" si="420"/>
        <v>8.6111111111111475E-3</v>
      </c>
      <c r="M1194" s="36">
        <f t="shared" si="420"/>
        <v>1.6944444444444449E-2</v>
      </c>
      <c r="N1194" s="36">
        <f t="shared" si="420"/>
        <v>320</v>
      </c>
      <c r="O1194" s="36">
        <f t="shared" si="420"/>
        <v>179</v>
      </c>
      <c r="P1194" s="36" t="str">
        <f t="shared" si="420"/>
        <v>TIJ</v>
      </c>
      <c r="R1194">
        <v>1180</v>
      </c>
      <c r="S1194" s="36" t="str">
        <f t="shared" si="405"/>
        <v>INTERAVIÓN</v>
      </c>
      <c r="T1194" s="36">
        <f t="shared" si="405"/>
        <v>2208</v>
      </c>
      <c r="U1194" s="73">
        <v>0.40416666666666662</v>
      </c>
      <c r="V1194" s="74">
        <v>0.40833333333333338</v>
      </c>
      <c r="W1194" s="75">
        <v>4.1666666666667629E-3</v>
      </c>
      <c r="X1194" s="74">
        <v>0.41319444444444442</v>
      </c>
      <c r="Y1194" s="75">
        <v>4.8611111111110383E-3</v>
      </c>
      <c r="Z1194" s="76">
        <v>41737</v>
      </c>
      <c r="AA1194" s="36" t="str">
        <f t="shared" si="419"/>
        <v>Nacional</v>
      </c>
      <c r="AB1194" s="36">
        <f t="shared" si="419"/>
        <v>5.8796296296296235E-3</v>
      </c>
      <c r="AC1194" s="36">
        <f t="shared" si="419"/>
        <v>6.7129629629629579E-3</v>
      </c>
      <c r="AD1194" s="36">
        <f t="shared" si="419"/>
        <v>1.2592592592592582E-2</v>
      </c>
      <c r="AE1194" s="36">
        <f t="shared" si="419"/>
        <v>320</v>
      </c>
      <c r="AF1194" s="36">
        <f t="shared" si="419"/>
        <v>179</v>
      </c>
      <c r="AG1194" s="36" t="str">
        <f t="shared" si="419"/>
        <v>MEX</v>
      </c>
      <c r="AI1194">
        <v>1180</v>
      </c>
      <c r="AJ1194" s="77" t="str">
        <f t="shared" si="415"/>
        <v xml:space="preserve">INTERAVIÓN </v>
      </c>
      <c r="AK1194" s="77">
        <f t="shared" si="415"/>
        <v>810</v>
      </c>
      <c r="AL1194" s="186">
        <v>0.70416666666666661</v>
      </c>
      <c r="AM1194" s="79">
        <v>0.71111111111111114</v>
      </c>
      <c r="AN1194" s="80">
        <v>6.9444444444445308E-3</v>
      </c>
      <c r="AO1194" s="79">
        <v>0.71875</v>
      </c>
      <c r="AP1194" s="80">
        <v>7.6388888888888618E-3</v>
      </c>
      <c r="AQ1194" s="81">
        <v>41805</v>
      </c>
      <c r="AR1194" s="77" t="str">
        <f t="shared" si="418"/>
        <v>Nacional</v>
      </c>
      <c r="AS1194" s="77">
        <f t="shared" si="418"/>
        <v>6.3078703703703942E-3</v>
      </c>
      <c r="AT1194" s="77">
        <f t="shared" si="418"/>
        <v>7.4652777777777695E-3</v>
      </c>
      <c r="AU1194" s="77">
        <f t="shared" si="418"/>
        <v>1.3773148148148163E-2</v>
      </c>
      <c r="AV1194" s="77">
        <f t="shared" si="418"/>
        <v>320</v>
      </c>
      <c r="AW1194" s="77">
        <f t="shared" si="418"/>
        <v>179</v>
      </c>
      <c r="AX1194" s="77" t="str">
        <f t="shared" si="418"/>
        <v>SID</v>
      </c>
    </row>
    <row r="1195" spans="1:50" x14ac:dyDescent="0.25">
      <c r="A1195">
        <v>1181</v>
      </c>
      <c r="B1195" s="36" t="str">
        <f t="shared" si="402"/>
        <v>BARATA Y MORADA</v>
      </c>
      <c r="C1195" s="36">
        <f t="shared" si="402"/>
        <v>436</v>
      </c>
      <c r="D1195" s="118">
        <v>0.98125000000000007</v>
      </c>
      <c r="E1195" s="118">
        <v>0.99097222222222225</v>
      </c>
      <c r="F1195" s="119">
        <v>9.7222222222221877E-3</v>
      </c>
      <c r="G1195" s="118">
        <v>0.99930555555555556</v>
      </c>
      <c r="H1195" s="119">
        <v>8.3333333333333037E-3</v>
      </c>
      <c r="I1195" s="81">
        <v>41724</v>
      </c>
      <c r="J1195" s="36" t="str">
        <f t="shared" si="420"/>
        <v>Nacional</v>
      </c>
      <c r="K1195" s="36">
        <f t="shared" si="420"/>
        <v>8.3333333333333037E-3</v>
      </c>
      <c r="L1195" s="36">
        <f t="shared" si="420"/>
        <v>8.6111111111111475E-3</v>
      </c>
      <c r="M1195" s="36">
        <f t="shared" si="420"/>
        <v>1.6944444444444449E-2</v>
      </c>
      <c r="N1195" s="36">
        <f t="shared" si="420"/>
        <v>320</v>
      </c>
      <c r="O1195" s="36">
        <f t="shared" si="420"/>
        <v>179</v>
      </c>
      <c r="P1195" s="36" t="str">
        <f t="shared" si="420"/>
        <v>TIJ</v>
      </c>
      <c r="R1195">
        <v>1181</v>
      </c>
      <c r="S1195" s="36" t="str">
        <f t="shared" si="405"/>
        <v>INTERAVIÓN</v>
      </c>
      <c r="T1195" s="36">
        <f t="shared" si="405"/>
        <v>2208</v>
      </c>
      <c r="U1195" s="73">
        <v>0.41666666666666669</v>
      </c>
      <c r="V1195" s="74">
        <v>0.42291666666666666</v>
      </c>
      <c r="W1195" s="75">
        <v>6.2499999999999778E-3</v>
      </c>
      <c r="X1195" s="74">
        <v>0.42986111111111108</v>
      </c>
      <c r="Y1195" s="75">
        <v>6.9444444444444198E-3</v>
      </c>
      <c r="Z1195" s="76">
        <v>41739</v>
      </c>
      <c r="AA1195" s="36" t="str">
        <f t="shared" si="419"/>
        <v>Nacional</v>
      </c>
      <c r="AB1195" s="36">
        <f t="shared" si="419"/>
        <v>5.8796296296296235E-3</v>
      </c>
      <c r="AC1195" s="36">
        <f t="shared" si="419"/>
        <v>6.7129629629629579E-3</v>
      </c>
      <c r="AD1195" s="36">
        <f t="shared" si="419"/>
        <v>1.2592592592592582E-2</v>
      </c>
      <c r="AE1195" s="36">
        <f t="shared" si="419"/>
        <v>320</v>
      </c>
      <c r="AF1195" s="36">
        <f t="shared" si="419"/>
        <v>179</v>
      </c>
      <c r="AG1195" s="36" t="str">
        <f t="shared" si="419"/>
        <v>MEX</v>
      </c>
      <c r="AI1195">
        <v>1181</v>
      </c>
      <c r="AJ1195" s="77" t="str">
        <f t="shared" si="415"/>
        <v xml:space="preserve">INTERAVIÓN </v>
      </c>
      <c r="AK1195" s="77">
        <f t="shared" si="415"/>
        <v>810</v>
      </c>
      <c r="AL1195" s="186">
        <v>0.76736111111111116</v>
      </c>
      <c r="AM1195" s="79">
        <v>0.77777777777777779</v>
      </c>
      <c r="AN1195" s="80">
        <v>1.041666666666663E-2</v>
      </c>
      <c r="AO1195" s="79">
        <v>0.79166666666666663</v>
      </c>
      <c r="AP1195" s="80">
        <v>1.388888888888884E-2</v>
      </c>
      <c r="AQ1195" s="81">
        <v>41806</v>
      </c>
      <c r="AR1195" s="77" t="str">
        <f t="shared" si="418"/>
        <v>Nacional</v>
      </c>
      <c r="AS1195" s="77">
        <f t="shared" si="418"/>
        <v>6.3078703703703942E-3</v>
      </c>
      <c r="AT1195" s="77">
        <f t="shared" si="418"/>
        <v>7.4652777777777695E-3</v>
      </c>
      <c r="AU1195" s="77">
        <f t="shared" si="418"/>
        <v>1.3773148148148163E-2</v>
      </c>
      <c r="AV1195" s="77">
        <f t="shared" si="418"/>
        <v>320</v>
      </c>
      <c r="AW1195" s="77">
        <f t="shared" si="418"/>
        <v>179</v>
      </c>
      <c r="AX1195" s="77" t="str">
        <f t="shared" si="418"/>
        <v>SID</v>
      </c>
    </row>
    <row r="1196" spans="1:50" ht="15.75" thickBot="1" x14ac:dyDescent="0.3">
      <c r="A1196">
        <v>1182</v>
      </c>
      <c r="B1196" s="36" t="str">
        <f t="shared" si="402"/>
        <v>BARATA Y MORADA</v>
      </c>
      <c r="C1196" s="36">
        <f t="shared" si="402"/>
        <v>436</v>
      </c>
      <c r="D1196" s="176">
        <v>0.99791666666666667</v>
      </c>
      <c r="E1196" s="176">
        <v>1.0034722222222221</v>
      </c>
      <c r="F1196" s="177">
        <v>5.5555555555554248E-3</v>
      </c>
      <c r="G1196" s="176">
        <v>1.0118055555555556</v>
      </c>
      <c r="H1196" s="177">
        <v>8.3333333333335258E-3</v>
      </c>
      <c r="I1196" s="97">
        <v>41725</v>
      </c>
      <c r="J1196" s="36" t="str">
        <f t="shared" si="420"/>
        <v>Nacional</v>
      </c>
      <c r="K1196" s="36">
        <f t="shared" si="420"/>
        <v>8.3333333333333037E-3</v>
      </c>
      <c r="L1196" s="36">
        <f t="shared" si="420"/>
        <v>8.6111111111111475E-3</v>
      </c>
      <c r="M1196" s="36">
        <f t="shared" si="420"/>
        <v>1.6944444444444449E-2</v>
      </c>
      <c r="N1196" s="36">
        <f t="shared" si="420"/>
        <v>320</v>
      </c>
      <c r="O1196" s="36">
        <f t="shared" si="420"/>
        <v>179</v>
      </c>
      <c r="P1196" s="36" t="str">
        <f t="shared" si="420"/>
        <v>TIJ</v>
      </c>
      <c r="R1196">
        <v>1182</v>
      </c>
      <c r="S1196" s="36" t="str">
        <f t="shared" si="405"/>
        <v>INTERAVIÓN</v>
      </c>
      <c r="T1196" s="36">
        <f t="shared" si="405"/>
        <v>2208</v>
      </c>
      <c r="U1196" s="73">
        <v>0.3923611111111111</v>
      </c>
      <c r="V1196" s="74">
        <v>0.3972222222222222</v>
      </c>
      <c r="W1196" s="75">
        <v>4.8611111111110938E-3</v>
      </c>
      <c r="X1196" s="74">
        <v>0.4236111111111111</v>
      </c>
      <c r="Y1196" s="75">
        <v>2.6388888888888906E-2</v>
      </c>
      <c r="Z1196" s="76">
        <v>41741</v>
      </c>
      <c r="AA1196" s="36" t="str">
        <f t="shared" si="419"/>
        <v>Nacional</v>
      </c>
      <c r="AB1196" s="36">
        <f t="shared" si="419"/>
        <v>5.8796296296296235E-3</v>
      </c>
      <c r="AC1196" s="36">
        <f t="shared" si="419"/>
        <v>6.7129629629629579E-3</v>
      </c>
      <c r="AD1196" s="36">
        <f t="shared" si="419"/>
        <v>1.2592592592592582E-2</v>
      </c>
      <c r="AE1196" s="36">
        <f t="shared" si="419"/>
        <v>320</v>
      </c>
      <c r="AF1196" s="36">
        <f t="shared" si="419"/>
        <v>179</v>
      </c>
      <c r="AG1196" s="36" t="str">
        <f t="shared" si="419"/>
        <v>MEX</v>
      </c>
      <c r="AI1196">
        <v>1182</v>
      </c>
      <c r="AJ1196" s="77" t="str">
        <f t="shared" si="415"/>
        <v xml:space="preserve">INTERAVIÓN </v>
      </c>
      <c r="AK1196" s="77">
        <f t="shared" si="415"/>
        <v>810</v>
      </c>
      <c r="AL1196" s="186">
        <v>0.61249999999999993</v>
      </c>
      <c r="AM1196" s="79">
        <v>0.62291666666666667</v>
      </c>
      <c r="AN1196" s="80">
        <v>1.0416666666666741E-2</v>
      </c>
      <c r="AO1196" s="79">
        <v>0.62986111111111109</v>
      </c>
      <c r="AP1196" s="80">
        <v>6.9444444444444198E-3</v>
      </c>
      <c r="AQ1196" s="81">
        <v>41809</v>
      </c>
      <c r="AR1196" s="77" t="str">
        <f t="shared" si="418"/>
        <v>Nacional</v>
      </c>
      <c r="AS1196" s="77">
        <f t="shared" si="418"/>
        <v>6.3078703703703942E-3</v>
      </c>
      <c r="AT1196" s="77">
        <f t="shared" si="418"/>
        <v>7.4652777777777695E-3</v>
      </c>
      <c r="AU1196" s="77">
        <f t="shared" si="418"/>
        <v>1.3773148148148163E-2</v>
      </c>
      <c r="AV1196" s="77">
        <f t="shared" si="418"/>
        <v>320</v>
      </c>
      <c r="AW1196" s="77">
        <f t="shared" si="418"/>
        <v>179</v>
      </c>
      <c r="AX1196" s="77" t="str">
        <f t="shared" si="418"/>
        <v>SID</v>
      </c>
    </row>
    <row r="1197" spans="1:50" x14ac:dyDescent="0.25">
      <c r="A1197">
        <v>1183</v>
      </c>
      <c r="B1197" s="36" t="str">
        <f t="shared" si="402"/>
        <v>BARATA Y MORADA</v>
      </c>
      <c r="C1197" s="151">
        <v>432</v>
      </c>
      <c r="D1197" s="152">
        <v>0.93680555555555556</v>
      </c>
      <c r="E1197" s="152">
        <v>0.94444444444444453</v>
      </c>
      <c r="F1197" s="153">
        <v>7.6388888888889728E-3</v>
      </c>
      <c r="G1197" s="152">
        <v>0.95486111111111116</v>
      </c>
      <c r="H1197" s="153">
        <v>1.041666666666663E-2</v>
      </c>
      <c r="I1197" s="67">
        <v>41713</v>
      </c>
      <c r="J1197" s="68" t="s">
        <v>19</v>
      </c>
      <c r="K1197" s="135">
        <v>7.013888888888908E-3</v>
      </c>
      <c r="L1197" s="135">
        <v>1.2083333333333302E-2</v>
      </c>
      <c r="M1197" s="175">
        <v>1.909722222222221E-2</v>
      </c>
      <c r="N1197" s="90">
        <v>320</v>
      </c>
      <c r="O1197" s="91">
        <v>179</v>
      </c>
      <c r="P1197" s="92" t="s">
        <v>34</v>
      </c>
      <c r="R1197">
        <v>1183</v>
      </c>
      <c r="S1197" s="36" t="str">
        <f t="shared" si="405"/>
        <v>INTERAVIÓN</v>
      </c>
      <c r="T1197" s="36">
        <f t="shared" si="405"/>
        <v>2208</v>
      </c>
      <c r="U1197" s="73">
        <v>0.38263888888888892</v>
      </c>
      <c r="V1197" s="74">
        <v>0.38819444444444445</v>
      </c>
      <c r="W1197" s="75">
        <v>5.5555555555555358E-3</v>
      </c>
      <c r="X1197" s="74">
        <v>0.39305555555555555</v>
      </c>
      <c r="Y1197" s="75">
        <v>4.8611111111110938E-3</v>
      </c>
      <c r="Z1197" s="76">
        <v>41742</v>
      </c>
      <c r="AA1197" s="36" t="str">
        <f t="shared" si="419"/>
        <v>Nacional</v>
      </c>
      <c r="AB1197" s="36">
        <f t="shared" si="419"/>
        <v>5.8796296296296235E-3</v>
      </c>
      <c r="AC1197" s="36">
        <f t="shared" si="419"/>
        <v>6.7129629629629579E-3</v>
      </c>
      <c r="AD1197" s="36">
        <f t="shared" si="419"/>
        <v>1.2592592592592582E-2</v>
      </c>
      <c r="AE1197" s="36">
        <f t="shared" si="419"/>
        <v>320</v>
      </c>
      <c r="AF1197" s="36">
        <f t="shared" si="419"/>
        <v>179</v>
      </c>
      <c r="AG1197" s="36" t="str">
        <f t="shared" si="419"/>
        <v>MEX</v>
      </c>
      <c r="AI1197">
        <v>1183</v>
      </c>
      <c r="AJ1197" s="77" t="str">
        <f t="shared" si="415"/>
        <v xml:space="preserve">INTERAVIÓN </v>
      </c>
      <c r="AK1197" s="77">
        <f t="shared" si="415"/>
        <v>810</v>
      </c>
      <c r="AL1197" s="186">
        <v>0.61458333333333337</v>
      </c>
      <c r="AM1197" s="79">
        <v>0.61875000000000002</v>
      </c>
      <c r="AN1197" s="80">
        <v>4.1666666666666519E-3</v>
      </c>
      <c r="AO1197" s="79">
        <v>0.625</v>
      </c>
      <c r="AP1197" s="80">
        <v>6.2499999999999778E-3</v>
      </c>
      <c r="AQ1197" s="81">
        <v>41810</v>
      </c>
      <c r="AR1197" s="77" t="str">
        <f t="shared" si="418"/>
        <v>Nacional</v>
      </c>
      <c r="AS1197" s="77">
        <f t="shared" si="418"/>
        <v>6.3078703703703942E-3</v>
      </c>
      <c r="AT1197" s="77">
        <f t="shared" si="418"/>
        <v>7.4652777777777695E-3</v>
      </c>
      <c r="AU1197" s="77">
        <f t="shared" si="418"/>
        <v>1.3773148148148163E-2</v>
      </c>
      <c r="AV1197" s="77">
        <f t="shared" si="418"/>
        <v>320</v>
      </c>
      <c r="AW1197" s="77">
        <f t="shared" si="418"/>
        <v>179</v>
      </c>
      <c r="AX1197" s="77" t="str">
        <f t="shared" si="418"/>
        <v>SID</v>
      </c>
    </row>
    <row r="1198" spans="1:50" x14ac:dyDescent="0.25">
      <c r="A1198">
        <v>1184</v>
      </c>
      <c r="B1198" s="36" t="str">
        <f t="shared" si="402"/>
        <v>BARATA Y MORADA</v>
      </c>
      <c r="C1198" s="36">
        <f t="shared" si="402"/>
        <v>432</v>
      </c>
      <c r="D1198" s="118">
        <v>0.89027777777777783</v>
      </c>
      <c r="E1198" s="118">
        <v>0.90069444444444446</v>
      </c>
      <c r="F1198" s="119">
        <v>1.041666666666663E-2</v>
      </c>
      <c r="G1198" s="118">
        <v>0.91736111111111107</v>
      </c>
      <c r="H1198" s="119">
        <v>1.6666666666666607E-2</v>
      </c>
      <c r="I1198" s="81">
        <v>41715</v>
      </c>
      <c r="J1198" s="36" t="str">
        <f t="shared" ref="J1198:P1206" si="421">J1197</f>
        <v>Nacional</v>
      </c>
      <c r="K1198" s="36">
        <f t="shared" si="421"/>
        <v>7.013888888888908E-3</v>
      </c>
      <c r="L1198" s="36">
        <f t="shared" si="421"/>
        <v>1.2083333333333302E-2</v>
      </c>
      <c r="M1198" s="36">
        <f t="shared" si="421"/>
        <v>1.909722222222221E-2</v>
      </c>
      <c r="N1198" s="36">
        <f t="shared" si="421"/>
        <v>320</v>
      </c>
      <c r="O1198" s="36">
        <f t="shared" si="421"/>
        <v>179</v>
      </c>
      <c r="P1198" s="36" t="str">
        <f t="shared" si="421"/>
        <v>TIJ</v>
      </c>
      <c r="R1198">
        <v>1184</v>
      </c>
      <c r="S1198" s="36" t="str">
        <f t="shared" si="405"/>
        <v>INTERAVIÓN</v>
      </c>
      <c r="T1198" s="36">
        <f t="shared" si="405"/>
        <v>2208</v>
      </c>
      <c r="U1198" s="73">
        <v>0.39930555555555558</v>
      </c>
      <c r="V1198" s="74">
        <v>0.40416666666666662</v>
      </c>
      <c r="W1198" s="75">
        <v>4.8611111111110383E-3</v>
      </c>
      <c r="X1198" s="74">
        <v>0.40625</v>
      </c>
      <c r="Y1198" s="75">
        <v>2.0833333333333814E-3</v>
      </c>
      <c r="Z1198" s="76">
        <v>41743</v>
      </c>
      <c r="AA1198" s="36" t="str">
        <f t="shared" si="419"/>
        <v>Nacional</v>
      </c>
      <c r="AB1198" s="36">
        <f t="shared" si="419"/>
        <v>5.8796296296296235E-3</v>
      </c>
      <c r="AC1198" s="36">
        <f t="shared" si="419"/>
        <v>6.7129629629629579E-3</v>
      </c>
      <c r="AD1198" s="36">
        <f t="shared" si="419"/>
        <v>1.2592592592592582E-2</v>
      </c>
      <c r="AE1198" s="36">
        <f t="shared" si="419"/>
        <v>320</v>
      </c>
      <c r="AF1198" s="36">
        <f t="shared" si="419"/>
        <v>179</v>
      </c>
      <c r="AG1198" s="36" t="str">
        <f t="shared" si="419"/>
        <v>MEX</v>
      </c>
      <c r="AI1198">
        <v>1184</v>
      </c>
      <c r="AJ1198" s="77" t="str">
        <f t="shared" si="415"/>
        <v xml:space="preserve">INTERAVIÓN </v>
      </c>
      <c r="AK1198" s="77">
        <f t="shared" si="415"/>
        <v>810</v>
      </c>
      <c r="AL1198" s="186">
        <v>0.61458333333333337</v>
      </c>
      <c r="AM1198" s="79">
        <v>0.62291666666666667</v>
      </c>
      <c r="AN1198" s="80">
        <v>8.3333333333333037E-3</v>
      </c>
      <c r="AO1198" s="79">
        <v>0.63055555555555554</v>
      </c>
      <c r="AP1198" s="80">
        <v>7.6388888888888618E-3</v>
      </c>
      <c r="AQ1198" s="81">
        <v>41813</v>
      </c>
      <c r="AR1198" s="77" t="str">
        <f t="shared" si="418"/>
        <v>Nacional</v>
      </c>
      <c r="AS1198" s="77">
        <f t="shared" si="418"/>
        <v>6.3078703703703942E-3</v>
      </c>
      <c r="AT1198" s="77">
        <f t="shared" si="418"/>
        <v>7.4652777777777695E-3</v>
      </c>
      <c r="AU1198" s="77">
        <f t="shared" si="418"/>
        <v>1.3773148148148163E-2</v>
      </c>
      <c r="AV1198" s="77">
        <f t="shared" si="418"/>
        <v>320</v>
      </c>
      <c r="AW1198" s="77">
        <f t="shared" si="418"/>
        <v>179</v>
      </c>
      <c r="AX1198" s="77" t="str">
        <f t="shared" si="418"/>
        <v>SID</v>
      </c>
    </row>
    <row r="1199" spans="1:50" ht="15.75" thickBot="1" x14ac:dyDescent="0.3">
      <c r="A1199">
        <v>1185</v>
      </c>
      <c r="B1199" s="36" t="str">
        <f t="shared" si="402"/>
        <v>BARATA Y MORADA</v>
      </c>
      <c r="C1199" s="36">
        <f t="shared" si="402"/>
        <v>432</v>
      </c>
      <c r="D1199" s="118">
        <v>0.8256944444444444</v>
      </c>
      <c r="E1199" s="118">
        <v>0.83263888888888893</v>
      </c>
      <c r="F1199" s="119">
        <v>6.9444444444445308E-3</v>
      </c>
      <c r="G1199" s="118">
        <v>0.84375</v>
      </c>
      <c r="H1199" s="119">
        <v>1.1111111111111072E-2</v>
      </c>
      <c r="I1199" s="81">
        <v>41716</v>
      </c>
      <c r="J1199" s="36" t="str">
        <f t="shared" si="421"/>
        <v>Nacional</v>
      </c>
      <c r="K1199" s="36">
        <f t="shared" si="421"/>
        <v>7.013888888888908E-3</v>
      </c>
      <c r="L1199" s="36">
        <f t="shared" si="421"/>
        <v>1.2083333333333302E-2</v>
      </c>
      <c r="M1199" s="36">
        <f t="shared" si="421"/>
        <v>1.909722222222221E-2</v>
      </c>
      <c r="N1199" s="36">
        <f t="shared" si="421"/>
        <v>320</v>
      </c>
      <c r="O1199" s="36">
        <f t="shared" si="421"/>
        <v>179</v>
      </c>
      <c r="P1199" s="36" t="str">
        <f t="shared" si="421"/>
        <v>TIJ</v>
      </c>
      <c r="R1199">
        <v>1185</v>
      </c>
      <c r="S1199" s="36" t="str">
        <f t="shared" si="405"/>
        <v>INTERAVIÓN</v>
      </c>
      <c r="T1199" s="36">
        <f t="shared" si="405"/>
        <v>2208</v>
      </c>
      <c r="U1199" s="73">
        <v>0.38541666666666669</v>
      </c>
      <c r="V1199" s="74">
        <v>0.39583333333333331</v>
      </c>
      <c r="W1199" s="75">
        <v>1.041666666666663E-2</v>
      </c>
      <c r="X1199" s="74">
        <v>0.40138888888888885</v>
      </c>
      <c r="Y1199" s="75">
        <v>5.5555555555555358E-3</v>
      </c>
      <c r="Z1199" s="76">
        <v>41750</v>
      </c>
      <c r="AA1199" s="36" t="str">
        <f t="shared" si="419"/>
        <v>Nacional</v>
      </c>
      <c r="AB1199" s="36">
        <f t="shared" si="419"/>
        <v>5.8796296296296235E-3</v>
      </c>
      <c r="AC1199" s="36">
        <f t="shared" si="419"/>
        <v>6.7129629629629579E-3</v>
      </c>
      <c r="AD1199" s="36">
        <f t="shared" si="419"/>
        <v>1.2592592592592582E-2</v>
      </c>
      <c r="AE1199" s="36">
        <f t="shared" si="419"/>
        <v>320</v>
      </c>
      <c r="AF1199" s="36">
        <f t="shared" si="419"/>
        <v>179</v>
      </c>
      <c r="AG1199" s="36" t="str">
        <f t="shared" si="419"/>
        <v>MEX</v>
      </c>
      <c r="AI1199">
        <v>1185</v>
      </c>
      <c r="AJ1199" s="77" t="str">
        <f t="shared" si="415"/>
        <v xml:space="preserve">INTERAVIÓN </v>
      </c>
      <c r="AK1199" s="77">
        <f t="shared" si="415"/>
        <v>810</v>
      </c>
      <c r="AL1199" s="187">
        <v>0.85486111111111107</v>
      </c>
      <c r="AM1199" s="95">
        <v>0.86111111111111116</v>
      </c>
      <c r="AN1199" s="96">
        <v>6.2500000000000888E-3</v>
      </c>
      <c r="AO1199" s="95">
        <v>0.86736111111111114</v>
      </c>
      <c r="AP1199" s="96">
        <v>6.2499999999999778E-3</v>
      </c>
      <c r="AQ1199" s="97">
        <v>41812</v>
      </c>
      <c r="AR1199" s="77" t="str">
        <f t="shared" si="418"/>
        <v>Nacional</v>
      </c>
      <c r="AS1199" s="77">
        <f t="shared" si="418"/>
        <v>6.3078703703703942E-3</v>
      </c>
      <c r="AT1199" s="77">
        <f t="shared" si="418"/>
        <v>7.4652777777777695E-3</v>
      </c>
      <c r="AU1199" s="77">
        <f t="shared" si="418"/>
        <v>1.3773148148148163E-2</v>
      </c>
      <c r="AV1199" s="77">
        <f t="shared" si="418"/>
        <v>320</v>
      </c>
      <c r="AW1199" s="77">
        <f t="shared" si="418"/>
        <v>179</v>
      </c>
      <c r="AX1199" s="77" t="str">
        <f t="shared" si="418"/>
        <v>SID</v>
      </c>
    </row>
    <row r="1200" spans="1:50" x14ac:dyDescent="0.25">
      <c r="A1200">
        <v>1186</v>
      </c>
      <c r="B1200" s="36" t="str">
        <f t="shared" si="402"/>
        <v>BARATA Y MORADA</v>
      </c>
      <c r="C1200" s="36">
        <f t="shared" si="402"/>
        <v>432</v>
      </c>
      <c r="D1200" s="118">
        <v>0.93819444444444444</v>
      </c>
      <c r="E1200" s="118">
        <v>0.94236111111111109</v>
      </c>
      <c r="F1200" s="119">
        <v>4.1666666666666519E-3</v>
      </c>
      <c r="G1200" s="118">
        <v>0.96250000000000002</v>
      </c>
      <c r="H1200" s="119">
        <v>2.0138888888888928E-2</v>
      </c>
      <c r="I1200" s="81">
        <v>41721</v>
      </c>
      <c r="J1200" s="36" t="str">
        <f t="shared" si="421"/>
        <v>Nacional</v>
      </c>
      <c r="K1200" s="36">
        <f t="shared" si="421"/>
        <v>7.013888888888908E-3</v>
      </c>
      <c r="L1200" s="36">
        <f t="shared" si="421"/>
        <v>1.2083333333333302E-2</v>
      </c>
      <c r="M1200" s="36">
        <f t="shared" si="421"/>
        <v>1.909722222222221E-2</v>
      </c>
      <c r="N1200" s="36">
        <f t="shared" si="421"/>
        <v>320</v>
      </c>
      <c r="O1200" s="36">
        <f t="shared" si="421"/>
        <v>179</v>
      </c>
      <c r="P1200" s="36" t="str">
        <f t="shared" si="421"/>
        <v>TIJ</v>
      </c>
      <c r="R1200">
        <v>1186</v>
      </c>
      <c r="S1200" s="36" t="str">
        <f t="shared" si="405"/>
        <v>INTERAVIÓN</v>
      </c>
      <c r="T1200" s="36">
        <f t="shared" si="405"/>
        <v>2208</v>
      </c>
      <c r="U1200" s="73">
        <v>0.39930555555555558</v>
      </c>
      <c r="V1200" s="74">
        <v>0.40347222222222223</v>
      </c>
      <c r="W1200" s="75">
        <v>4.1666666666666519E-3</v>
      </c>
      <c r="X1200" s="74">
        <v>0.40763888888888888</v>
      </c>
      <c r="Y1200" s="75">
        <v>4.1666666666666519E-3</v>
      </c>
      <c r="Z1200" s="76">
        <v>41751</v>
      </c>
      <c r="AA1200" s="36" t="str">
        <f t="shared" si="419"/>
        <v>Nacional</v>
      </c>
      <c r="AB1200" s="36">
        <f t="shared" si="419"/>
        <v>5.8796296296296235E-3</v>
      </c>
      <c r="AC1200" s="36">
        <f t="shared" si="419"/>
        <v>6.7129629629629579E-3</v>
      </c>
      <c r="AD1200" s="36">
        <f t="shared" si="419"/>
        <v>1.2592592592592582E-2</v>
      </c>
      <c r="AE1200" s="36">
        <f t="shared" si="419"/>
        <v>320</v>
      </c>
      <c r="AF1200" s="36">
        <f t="shared" si="419"/>
        <v>179</v>
      </c>
      <c r="AG1200" s="36" t="str">
        <f t="shared" si="419"/>
        <v>MEX</v>
      </c>
      <c r="AI1200">
        <v>1186</v>
      </c>
      <c r="AJ1200" s="77" t="str">
        <f t="shared" si="415"/>
        <v xml:space="preserve">INTERAVIÓN </v>
      </c>
      <c r="AK1200" s="63">
        <v>808</v>
      </c>
      <c r="AL1200" s="185">
        <v>0.69097222222222221</v>
      </c>
      <c r="AM1200" s="65">
        <v>0.70972222222222225</v>
      </c>
      <c r="AN1200" s="66">
        <v>1.8750000000000044E-2</v>
      </c>
      <c r="AO1200" s="65">
        <v>0.71736111111111101</v>
      </c>
      <c r="AP1200" s="66">
        <v>7.6388888888887507E-3</v>
      </c>
      <c r="AQ1200" s="67">
        <v>41791</v>
      </c>
      <c r="AR1200" s="68" t="s">
        <v>19</v>
      </c>
      <c r="AS1200" s="69">
        <v>8.9646464646464547E-3</v>
      </c>
      <c r="AT1200" s="70">
        <v>9.6906565656565795E-3</v>
      </c>
      <c r="AU1200" s="70">
        <v>1.8655303030303036E-2</v>
      </c>
      <c r="AV1200" s="71">
        <v>320</v>
      </c>
      <c r="AW1200" s="71">
        <v>179</v>
      </c>
      <c r="AX1200" s="72" t="s">
        <v>88</v>
      </c>
    </row>
    <row r="1201" spans="1:50" x14ac:dyDescent="0.25">
      <c r="A1201">
        <v>1187</v>
      </c>
      <c r="B1201" s="36" t="str">
        <f t="shared" si="402"/>
        <v>BARATA Y MORADA</v>
      </c>
      <c r="C1201" s="36">
        <f t="shared" si="402"/>
        <v>432</v>
      </c>
      <c r="D1201" s="118">
        <v>0.87638888888888899</v>
      </c>
      <c r="E1201" s="118">
        <v>0.88194444444444453</v>
      </c>
      <c r="F1201" s="119">
        <v>5.5555555555555358E-3</v>
      </c>
      <c r="G1201" s="118">
        <v>0.89236111111111116</v>
      </c>
      <c r="H1201" s="119">
        <v>1.041666666666663E-2</v>
      </c>
      <c r="I1201" s="81">
        <v>41721</v>
      </c>
      <c r="J1201" s="36" t="str">
        <f t="shared" si="421"/>
        <v>Nacional</v>
      </c>
      <c r="K1201" s="36">
        <f t="shared" si="421"/>
        <v>7.013888888888908E-3</v>
      </c>
      <c r="L1201" s="36">
        <f t="shared" si="421"/>
        <v>1.2083333333333302E-2</v>
      </c>
      <c r="M1201" s="36">
        <f t="shared" si="421"/>
        <v>1.909722222222221E-2</v>
      </c>
      <c r="N1201" s="36">
        <f t="shared" si="421"/>
        <v>320</v>
      </c>
      <c r="O1201" s="36">
        <f t="shared" si="421"/>
        <v>179</v>
      </c>
      <c r="P1201" s="36" t="str">
        <f t="shared" si="421"/>
        <v>TIJ</v>
      </c>
      <c r="R1201">
        <v>1187</v>
      </c>
      <c r="S1201" s="36" t="str">
        <f t="shared" si="405"/>
        <v>INTERAVIÓN</v>
      </c>
      <c r="T1201" s="36">
        <f t="shared" si="405"/>
        <v>2208</v>
      </c>
      <c r="U1201" s="73">
        <v>0.40486111111111112</v>
      </c>
      <c r="V1201" s="74">
        <v>0.41111111111111115</v>
      </c>
      <c r="W1201" s="75">
        <v>6.2500000000000333E-3</v>
      </c>
      <c r="X1201" s="74">
        <v>0.41944444444444445</v>
      </c>
      <c r="Y1201" s="75">
        <v>8.3333333333333037E-3</v>
      </c>
      <c r="Z1201" s="76">
        <v>41753</v>
      </c>
      <c r="AA1201" s="36" t="str">
        <f t="shared" si="419"/>
        <v>Nacional</v>
      </c>
      <c r="AB1201" s="36">
        <f t="shared" si="419"/>
        <v>5.8796296296296235E-3</v>
      </c>
      <c r="AC1201" s="36">
        <f t="shared" si="419"/>
        <v>6.7129629629629579E-3</v>
      </c>
      <c r="AD1201" s="36">
        <f t="shared" si="419"/>
        <v>1.2592592592592582E-2</v>
      </c>
      <c r="AE1201" s="36">
        <f t="shared" si="419"/>
        <v>320</v>
      </c>
      <c r="AF1201" s="36">
        <f t="shared" si="419"/>
        <v>179</v>
      </c>
      <c r="AG1201" s="36" t="str">
        <f t="shared" si="419"/>
        <v>MEX</v>
      </c>
      <c r="AI1201">
        <v>1187</v>
      </c>
      <c r="AJ1201" s="77" t="str">
        <f t="shared" si="415"/>
        <v xml:space="preserve">INTERAVIÓN </v>
      </c>
      <c r="AK1201" s="77">
        <f t="shared" si="415"/>
        <v>808</v>
      </c>
      <c r="AL1201" s="186">
        <v>0.71180555555555547</v>
      </c>
      <c r="AM1201" s="79">
        <v>0.71736111111111101</v>
      </c>
      <c r="AN1201" s="80">
        <v>5.5555555555555358E-3</v>
      </c>
      <c r="AO1201" s="79">
        <v>0.72083333333333333</v>
      </c>
      <c r="AP1201" s="80">
        <v>3.4722222222223209E-3</v>
      </c>
      <c r="AQ1201" s="81">
        <v>41792</v>
      </c>
      <c r="AR1201" s="77" t="str">
        <f t="shared" ref="AR1201:AX1221" si="422">AR1200</f>
        <v>Nacional</v>
      </c>
      <c r="AS1201" s="77">
        <f t="shared" si="422"/>
        <v>8.9646464646464547E-3</v>
      </c>
      <c r="AT1201" s="77">
        <f t="shared" si="422"/>
        <v>9.6906565656565795E-3</v>
      </c>
      <c r="AU1201" s="77">
        <f t="shared" si="422"/>
        <v>1.8655303030303036E-2</v>
      </c>
      <c r="AV1201" s="77">
        <f t="shared" si="422"/>
        <v>320</v>
      </c>
      <c r="AW1201" s="77">
        <f t="shared" si="422"/>
        <v>179</v>
      </c>
      <c r="AX1201" s="77" t="str">
        <f t="shared" si="422"/>
        <v>SID</v>
      </c>
    </row>
    <row r="1202" spans="1:50" x14ac:dyDescent="0.25">
      <c r="A1202">
        <v>1188</v>
      </c>
      <c r="B1202" s="36" t="str">
        <f t="shared" si="402"/>
        <v>BARATA Y MORADA</v>
      </c>
      <c r="C1202" s="36">
        <f t="shared" si="402"/>
        <v>432</v>
      </c>
      <c r="D1202" s="118">
        <v>0.86458333333333337</v>
      </c>
      <c r="E1202" s="118">
        <v>0.875</v>
      </c>
      <c r="F1202" s="119">
        <v>1.041666666666663E-2</v>
      </c>
      <c r="G1202" s="118">
        <v>0.88402777777777775</v>
      </c>
      <c r="H1202" s="119">
        <v>9.0277777777777457E-3</v>
      </c>
      <c r="I1202" s="81">
        <v>41723</v>
      </c>
      <c r="J1202" s="36" t="str">
        <f t="shared" si="421"/>
        <v>Nacional</v>
      </c>
      <c r="K1202" s="36">
        <f t="shared" si="421"/>
        <v>7.013888888888908E-3</v>
      </c>
      <c r="L1202" s="36">
        <f t="shared" si="421"/>
        <v>1.2083333333333302E-2</v>
      </c>
      <c r="M1202" s="36">
        <f t="shared" si="421"/>
        <v>1.909722222222221E-2</v>
      </c>
      <c r="N1202" s="36">
        <f t="shared" si="421"/>
        <v>320</v>
      </c>
      <c r="O1202" s="36">
        <f t="shared" si="421"/>
        <v>179</v>
      </c>
      <c r="P1202" s="36" t="str">
        <f t="shared" si="421"/>
        <v>TIJ</v>
      </c>
      <c r="R1202">
        <v>1188</v>
      </c>
      <c r="S1202" s="36" t="str">
        <f t="shared" si="405"/>
        <v>INTERAVIÓN</v>
      </c>
      <c r="T1202" s="36">
        <f t="shared" si="405"/>
        <v>2208</v>
      </c>
      <c r="U1202" s="73">
        <v>0.39097222222222222</v>
      </c>
      <c r="V1202" s="74">
        <v>0.39444444444444443</v>
      </c>
      <c r="W1202" s="75">
        <v>3.4722222222222099E-3</v>
      </c>
      <c r="X1202" s="74">
        <v>0.39861111111111108</v>
      </c>
      <c r="Y1202" s="75">
        <v>4.1666666666666519E-3</v>
      </c>
      <c r="Z1202" s="76">
        <v>41754</v>
      </c>
      <c r="AA1202" s="36" t="str">
        <f t="shared" si="419"/>
        <v>Nacional</v>
      </c>
      <c r="AB1202" s="36">
        <f t="shared" si="419"/>
        <v>5.8796296296296235E-3</v>
      </c>
      <c r="AC1202" s="36">
        <f t="shared" si="419"/>
        <v>6.7129629629629579E-3</v>
      </c>
      <c r="AD1202" s="36">
        <f t="shared" si="419"/>
        <v>1.2592592592592582E-2</v>
      </c>
      <c r="AE1202" s="36">
        <f t="shared" si="419"/>
        <v>320</v>
      </c>
      <c r="AF1202" s="36">
        <f t="shared" si="419"/>
        <v>179</v>
      </c>
      <c r="AG1202" s="36" t="str">
        <f t="shared" si="419"/>
        <v>MEX</v>
      </c>
      <c r="AI1202">
        <v>1188</v>
      </c>
      <c r="AJ1202" s="77" t="str">
        <f t="shared" si="415"/>
        <v xml:space="preserve">INTERAVIÓN </v>
      </c>
      <c r="AK1202" s="77">
        <f t="shared" si="415"/>
        <v>808</v>
      </c>
      <c r="AL1202" s="186">
        <v>0.71527777777777779</v>
      </c>
      <c r="AM1202" s="79">
        <v>0.71944444444444444</v>
      </c>
      <c r="AN1202" s="80">
        <v>4.1666666666666519E-3</v>
      </c>
      <c r="AO1202" s="79">
        <v>0.7284722222222223</v>
      </c>
      <c r="AP1202" s="80">
        <v>9.0277777777778567E-3</v>
      </c>
      <c r="AQ1202" s="81">
        <v>41793</v>
      </c>
      <c r="AR1202" s="77" t="str">
        <f t="shared" si="422"/>
        <v>Nacional</v>
      </c>
      <c r="AS1202" s="77">
        <f t="shared" si="422"/>
        <v>8.9646464646464547E-3</v>
      </c>
      <c r="AT1202" s="77">
        <f t="shared" si="422"/>
        <v>9.6906565656565795E-3</v>
      </c>
      <c r="AU1202" s="77">
        <f t="shared" si="422"/>
        <v>1.8655303030303036E-2</v>
      </c>
      <c r="AV1202" s="77">
        <f t="shared" si="422"/>
        <v>320</v>
      </c>
      <c r="AW1202" s="77">
        <f t="shared" si="422"/>
        <v>179</v>
      </c>
      <c r="AX1202" s="77" t="str">
        <f t="shared" si="422"/>
        <v>SID</v>
      </c>
    </row>
    <row r="1203" spans="1:50" x14ac:dyDescent="0.25">
      <c r="A1203">
        <v>1189</v>
      </c>
      <c r="B1203" s="36" t="str">
        <f t="shared" si="402"/>
        <v>BARATA Y MORADA</v>
      </c>
      <c r="C1203" s="36">
        <f t="shared" si="402"/>
        <v>432</v>
      </c>
      <c r="D1203" s="118">
        <v>0.88263888888888886</v>
      </c>
      <c r="E1203" s="118">
        <v>0.88750000000000007</v>
      </c>
      <c r="F1203" s="119">
        <v>4.8611111111112049E-3</v>
      </c>
      <c r="G1203" s="118">
        <v>0.90625</v>
      </c>
      <c r="H1203" s="119">
        <v>1.8749999999999933E-2</v>
      </c>
      <c r="I1203" s="81">
        <v>41724</v>
      </c>
      <c r="J1203" s="36" t="str">
        <f t="shared" si="421"/>
        <v>Nacional</v>
      </c>
      <c r="K1203" s="36">
        <f t="shared" si="421"/>
        <v>7.013888888888908E-3</v>
      </c>
      <c r="L1203" s="36">
        <f t="shared" si="421"/>
        <v>1.2083333333333302E-2</v>
      </c>
      <c r="M1203" s="36">
        <f t="shared" si="421"/>
        <v>1.909722222222221E-2</v>
      </c>
      <c r="N1203" s="36">
        <f t="shared" si="421"/>
        <v>320</v>
      </c>
      <c r="O1203" s="36">
        <f t="shared" si="421"/>
        <v>179</v>
      </c>
      <c r="P1203" s="36" t="str">
        <f t="shared" si="421"/>
        <v>TIJ</v>
      </c>
      <c r="R1203">
        <v>1189</v>
      </c>
      <c r="S1203" s="36" t="str">
        <f t="shared" si="405"/>
        <v>INTERAVIÓN</v>
      </c>
      <c r="T1203" s="36">
        <f t="shared" si="405"/>
        <v>2208</v>
      </c>
      <c r="U1203" s="73">
        <v>0.38680555555555557</v>
      </c>
      <c r="V1203" s="74">
        <v>0.39166666666666666</v>
      </c>
      <c r="W1203" s="75">
        <v>4.8611111111110938E-3</v>
      </c>
      <c r="X1203" s="74">
        <v>0.3972222222222222</v>
      </c>
      <c r="Y1203" s="75">
        <v>5.5555555555555358E-3</v>
      </c>
      <c r="Z1203" s="76">
        <v>41757</v>
      </c>
      <c r="AA1203" s="36" t="str">
        <f t="shared" si="419"/>
        <v>Nacional</v>
      </c>
      <c r="AB1203" s="36">
        <f t="shared" si="419"/>
        <v>5.8796296296296235E-3</v>
      </c>
      <c r="AC1203" s="36">
        <f t="shared" si="419"/>
        <v>6.7129629629629579E-3</v>
      </c>
      <c r="AD1203" s="36">
        <f t="shared" si="419"/>
        <v>1.2592592592592582E-2</v>
      </c>
      <c r="AE1203" s="36">
        <f t="shared" si="419"/>
        <v>320</v>
      </c>
      <c r="AF1203" s="36">
        <f t="shared" si="419"/>
        <v>179</v>
      </c>
      <c r="AG1203" s="36" t="str">
        <f t="shared" si="419"/>
        <v>MEX</v>
      </c>
      <c r="AI1203">
        <v>1189</v>
      </c>
      <c r="AJ1203" s="77" t="str">
        <f t="shared" si="415"/>
        <v xml:space="preserve">INTERAVIÓN </v>
      </c>
      <c r="AK1203" s="77">
        <f t="shared" si="415"/>
        <v>808</v>
      </c>
      <c r="AL1203" s="186">
        <v>0.70972222222222225</v>
      </c>
      <c r="AM1203" s="79">
        <v>0.71527777777777779</v>
      </c>
      <c r="AN1203" s="80">
        <v>5.5555555555555358E-3</v>
      </c>
      <c r="AO1203" s="79">
        <v>0.72222222222222221</v>
      </c>
      <c r="AP1203" s="80">
        <v>6.9444444444444198E-3</v>
      </c>
      <c r="AQ1203" s="81">
        <v>41794</v>
      </c>
      <c r="AR1203" s="77" t="str">
        <f t="shared" si="422"/>
        <v>Nacional</v>
      </c>
      <c r="AS1203" s="77">
        <f t="shared" si="422"/>
        <v>8.9646464646464547E-3</v>
      </c>
      <c r="AT1203" s="77">
        <f t="shared" si="422"/>
        <v>9.6906565656565795E-3</v>
      </c>
      <c r="AU1203" s="77">
        <f t="shared" si="422"/>
        <v>1.8655303030303036E-2</v>
      </c>
      <c r="AV1203" s="77">
        <f t="shared" si="422"/>
        <v>320</v>
      </c>
      <c r="AW1203" s="77">
        <f t="shared" si="422"/>
        <v>179</v>
      </c>
      <c r="AX1203" s="77" t="str">
        <f t="shared" si="422"/>
        <v>SID</v>
      </c>
    </row>
    <row r="1204" spans="1:50" ht="15.75" thickBot="1" x14ac:dyDescent="0.3">
      <c r="A1204">
        <v>1190</v>
      </c>
      <c r="B1204" s="36" t="str">
        <f t="shared" si="402"/>
        <v>BARATA Y MORADA</v>
      </c>
      <c r="C1204" s="36">
        <f t="shared" si="402"/>
        <v>432</v>
      </c>
      <c r="D1204" s="118">
        <v>0.86597222222222225</v>
      </c>
      <c r="E1204" s="118">
        <v>0.87222222222222223</v>
      </c>
      <c r="F1204" s="119">
        <v>6.2499999999999778E-3</v>
      </c>
      <c r="G1204" s="118">
        <v>0.88263888888888886</v>
      </c>
      <c r="H1204" s="119">
        <v>1.041666666666663E-2</v>
      </c>
      <c r="I1204" s="81">
        <v>41725</v>
      </c>
      <c r="J1204" s="36" t="str">
        <f t="shared" si="421"/>
        <v>Nacional</v>
      </c>
      <c r="K1204" s="36">
        <f t="shared" si="421"/>
        <v>7.013888888888908E-3</v>
      </c>
      <c r="L1204" s="36">
        <f t="shared" si="421"/>
        <v>1.2083333333333302E-2</v>
      </c>
      <c r="M1204" s="36">
        <f t="shared" si="421"/>
        <v>1.909722222222221E-2</v>
      </c>
      <c r="N1204" s="36">
        <f t="shared" si="421"/>
        <v>320</v>
      </c>
      <c r="O1204" s="36">
        <f t="shared" si="421"/>
        <v>179</v>
      </c>
      <c r="P1204" s="36" t="str">
        <f t="shared" si="421"/>
        <v>TIJ</v>
      </c>
      <c r="R1204">
        <v>1190</v>
      </c>
      <c r="S1204" s="36" t="str">
        <f t="shared" si="405"/>
        <v>INTERAVIÓN</v>
      </c>
      <c r="T1204" s="36">
        <f t="shared" si="405"/>
        <v>2208</v>
      </c>
      <c r="U1204" s="83">
        <v>0.39513888888888887</v>
      </c>
      <c r="V1204" s="84">
        <v>0.40208333333333335</v>
      </c>
      <c r="W1204" s="85">
        <v>6.9444444444444753E-3</v>
      </c>
      <c r="X1204" s="84">
        <v>0.40763888888888888</v>
      </c>
      <c r="Y1204" s="85">
        <v>5.5555555555555358E-3</v>
      </c>
      <c r="Z1204" s="86">
        <v>41758</v>
      </c>
      <c r="AA1204" s="36" t="str">
        <f t="shared" si="419"/>
        <v>Nacional</v>
      </c>
      <c r="AB1204" s="36">
        <f t="shared" si="419"/>
        <v>5.8796296296296235E-3</v>
      </c>
      <c r="AC1204" s="36">
        <f t="shared" si="419"/>
        <v>6.7129629629629579E-3</v>
      </c>
      <c r="AD1204" s="36">
        <f t="shared" si="419"/>
        <v>1.2592592592592582E-2</v>
      </c>
      <c r="AE1204" s="36">
        <f t="shared" si="419"/>
        <v>320</v>
      </c>
      <c r="AF1204" s="36">
        <f t="shared" si="419"/>
        <v>179</v>
      </c>
      <c r="AG1204" s="36" t="str">
        <f t="shared" si="419"/>
        <v>MEX</v>
      </c>
      <c r="AI1204">
        <v>1190</v>
      </c>
      <c r="AJ1204" s="77" t="str">
        <f t="shared" si="415"/>
        <v xml:space="preserve">INTERAVIÓN </v>
      </c>
      <c r="AK1204" s="77">
        <f t="shared" si="415"/>
        <v>808</v>
      </c>
      <c r="AL1204" s="186">
        <v>0.7090277777777777</v>
      </c>
      <c r="AM1204" s="79">
        <v>0.71875</v>
      </c>
      <c r="AN1204" s="80">
        <v>9.7222222222222987E-3</v>
      </c>
      <c r="AO1204" s="79">
        <v>0.72430555555555554</v>
      </c>
      <c r="AP1204" s="80">
        <v>5.5555555555555358E-3</v>
      </c>
      <c r="AQ1204" s="81">
        <v>41795</v>
      </c>
      <c r="AR1204" s="77" t="str">
        <f t="shared" si="422"/>
        <v>Nacional</v>
      </c>
      <c r="AS1204" s="77">
        <f t="shared" si="422"/>
        <v>8.9646464646464547E-3</v>
      </c>
      <c r="AT1204" s="77">
        <f t="shared" si="422"/>
        <v>9.6906565656565795E-3</v>
      </c>
      <c r="AU1204" s="77">
        <f t="shared" si="422"/>
        <v>1.8655303030303036E-2</v>
      </c>
      <c r="AV1204" s="77">
        <f t="shared" si="422"/>
        <v>320</v>
      </c>
      <c r="AW1204" s="77">
        <f t="shared" si="422"/>
        <v>179</v>
      </c>
      <c r="AX1204" s="77" t="str">
        <f t="shared" si="422"/>
        <v>SID</v>
      </c>
    </row>
    <row r="1205" spans="1:50" x14ac:dyDescent="0.25">
      <c r="A1205">
        <v>1191</v>
      </c>
      <c r="B1205" s="77" t="s">
        <v>77</v>
      </c>
      <c r="C1205" s="36">
        <f t="shared" ref="C1205:C1213" si="423">C1204</f>
        <v>432</v>
      </c>
      <c r="D1205" s="118">
        <v>0.87083333333333324</v>
      </c>
      <c r="E1205" s="118">
        <v>0.8833333333333333</v>
      </c>
      <c r="F1205" s="119">
        <v>1.2500000000000067E-2</v>
      </c>
      <c r="G1205" s="118">
        <v>0.89166666666666661</v>
      </c>
      <c r="H1205" s="119">
        <v>8.3333333333333037E-3</v>
      </c>
      <c r="I1205" s="81">
        <v>41726</v>
      </c>
      <c r="J1205" s="36" t="str">
        <f t="shared" si="421"/>
        <v>Nacional</v>
      </c>
      <c r="K1205" s="36">
        <f t="shared" si="421"/>
        <v>7.013888888888908E-3</v>
      </c>
      <c r="L1205" s="36">
        <f t="shared" si="421"/>
        <v>1.2083333333333302E-2</v>
      </c>
      <c r="M1205" s="36">
        <f t="shared" si="421"/>
        <v>1.909722222222221E-2</v>
      </c>
      <c r="N1205" s="36">
        <f t="shared" si="421"/>
        <v>320</v>
      </c>
      <c r="O1205" s="36">
        <f t="shared" si="421"/>
        <v>179</v>
      </c>
      <c r="P1205" s="36" t="str">
        <f t="shared" si="421"/>
        <v>TIJ</v>
      </c>
      <c r="R1205">
        <v>1191</v>
      </c>
      <c r="S1205" s="45" t="s">
        <v>65</v>
      </c>
      <c r="T1205" s="55">
        <v>2206</v>
      </c>
      <c r="U1205" s="56">
        <v>0.47222222222222227</v>
      </c>
      <c r="V1205" s="57">
        <v>0.47638888888888892</v>
      </c>
      <c r="W1205" s="58">
        <v>4.1666666666666519E-3</v>
      </c>
      <c r="X1205" s="57">
        <v>0.47916666666666669</v>
      </c>
      <c r="Y1205" s="58">
        <v>2.7777777777777679E-3</v>
      </c>
      <c r="Z1205" s="59">
        <v>41730</v>
      </c>
      <c r="AA1205" s="60" t="s">
        <v>19</v>
      </c>
      <c r="AB1205" s="61">
        <v>5.2083333333333261E-3</v>
      </c>
      <c r="AC1205" s="61">
        <v>4.722222222222211E-3</v>
      </c>
      <c r="AD1205" s="62">
        <v>9.9305555555555362E-3</v>
      </c>
      <c r="AE1205" s="191">
        <v>320</v>
      </c>
      <c r="AF1205" s="191">
        <v>179</v>
      </c>
      <c r="AG1205" s="192" t="s">
        <v>21</v>
      </c>
      <c r="AI1205">
        <v>1191</v>
      </c>
      <c r="AJ1205" s="77" t="str">
        <f t="shared" si="415"/>
        <v xml:space="preserve">INTERAVIÓN </v>
      </c>
      <c r="AK1205" s="77">
        <f t="shared" si="415"/>
        <v>808</v>
      </c>
      <c r="AL1205" s="186">
        <v>0.70833333333333337</v>
      </c>
      <c r="AM1205" s="79">
        <v>0.71458333333333324</v>
      </c>
      <c r="AN1205" s="80">
        <v>6.2499999999998668E-3</v>
      </c>
      <c r="AO1205" s="79">
        <v>0.71944444444444444</v>
      </c>
      <c r="AP1205" s="80">
        <v>4.8611111111112049E-3</v>
      </c>
      <c r="AQ1205" s="81">
        <v>41796</v>
      </c>
      <c r="AR1205" s="77" t="str">
        <f t="shared" si="422"/>
        <v>Nacional</v>
      </c>
      <c r="AS1205" s="77">
        <f t="shared" si="422"/>
        <v>8.9646464646464547E-3</v>
      </c>
      <c r="AT1205" s="77">
        <f t="shared" si="422"/>
        <v>9.6906565656565795E-3</v>
      </c>
      <c r="AU1205" s="77">
        <f t="shared" si="422"/>
        <v>1.8655303030303036E-2</v>
      </c>
      <c r="AV1205" s="77">
        <f t="shared" si="422"/>
        <v>320</v>
      </c>
      <c r="AW1205" s="77">
        <f t="shared" si="422"/>
        <v>179</v>
      </c>
      <c r="AX1205" s="77" t="str">
        <f t="shared" si="422"/>
        <v>SID</v>
      </c>
    </row>
    <row r="1206" spans="1:50" ht="15.75" thickBot="1" x14ac:dyDescent="0.3">
      <c r="A1206">
        <v>1192</v>
      </c>
      <c r="B1206" s="36" t="str">
        <f t="shared" ref="B1206:C1269" si="424">B1205</f>
        <v>BARATA Y MORADA</v>
      </c>
      <c r="C1206" s="36">
        <f t="shared" si="423"/>
        <v>432</v>
      </c>
      <c r="D1206" s="176">
        <v>0.93402777777777779</v>
      </c>
      <c r="E1206" s="176">
        <v>0.93541666666666667</v>
      </c>
      <c r="F1206" s="177">
        <v>1.388888888888884E-3</v>
      </c>
      <c r="G1206" s="176">
        <v>0.94097222222222221</v>
      </c>
      <c r="H1206" s="177">
        <v>5.5555555555555358E-3</v>
      </c>
      <c r="I1206" s="97">
        <v>41727</v>
      </c>
      <c r="J1206" s="36" t="str">
        <f t="shared" si="421"/>
        <v>Nacional</v>
      </c>
      <c r="K1206" s="36">
        <f t="shared" si="421"/>
        <v>7.013888888888908E-3</v>
      </c>
      <c r="L1206" s="36">
        <f t="shared" si="421"/>
        <v>1.2083333333333302E-2</v>
      </c>
      <c r="M1206" s="36">
        <f t="shared" si="421"/>
        <v>1.909722222222221E-2</v>
      </c>
      <c r="N1206" s="36">
        <f t="shared" si="421"/>
        <v>320</v>
      </c>
      <c r="O1206" s="36">
        <f t="shared" si="421"/>
        <v>179</v>
      </c>
      <c r="P1206" s="36" t="str">
        <f t="shared" si="421"/>
        <v>TIJ</v>
      </c>
      <c r="R1206">
        <v>1192</v>
      </c>
      <c r="S1206" s="36" t="str">
        <f t="shared" ref="S1206:T1264" si="425">S1205</f>
        <v>INTERAVIÓN</v>
      </c>
      <c r="T1206" s="36">
        <f t="shared" si="425"/>
        <v>2206</v>
      </c>
      <c r="U1206" s="73">
        <v>0.47500000000000003</v>
      </c>
      <c r="V1206" s="74">
        <v>0.48333333333333334</v>
      </c>
      <c r="W1206" s="75">
        <v>8.3333333333333037E-3</v>
      </c>
      <c r="X1206" s="74">
        <v>0.4861111111111111</v>
      </c>
      <c r="Y1206" s="75">
        <v>2.7777777777777679E-3</v>
      </c>
      <c r="Z1206" s="76">
        <v>41731</v>
      </c>
      <c r="AA1206" s="36" t="str">
        <f t="shared" ref="AA1206:AG1214" si="426">AA1205</f>
        <v>Nacional</v>
      </c>
      <c r="AB1206" s="36">
        <f t="shared" si="426"/>
        <v>5.2083333333333261E-3</v>
      </c>
      <c r="AC1206" s="36">
        <f t="shared" si="426"/>
        <v>4.722222222222211E-3</v>
      </c>
      <c r="AD1206" s="36">
        <f t="shared" si="426"/>
        <v>9.9305555555555362E-3</v>
      </c>
      <c r="AE1206" s="36">
        <f t="shared" si="426"/>
        <v>320</v>
      </c>
      <c r="AF1206" s="36">
        <f t="shared" si="426"/>
        <v>179</v>
      </c>
      <c r="AG1206" s="36" t="str">
        <f t="shared" si="426"/>
        <v>MEX</v>
      </c>
      <c r="AI1206">
        <v>1192</v>
      </c>
      <c r="AJ1206" s="77" t="str">
        <f t="shared" si="415"/>
        <v xml:space="preserve">INTERAVIÓN </v>
      </c>
      <c r="AK1206" s="77">
        <f t="shared" si="415"/>
        <v>808</v>
      </c>
      <c r="AL1206" s="186">
        <v>0.70694444444444438</v>
      </c>
      <c r="AM1206" s="79">
        <v>0.7270833333333333</v>
      </c>
      <c r="AN1206" s="80">
        <v>2.0138888888888928E-2</v>
      </c>
      <c r="AO1206" s="79">
        <v>0.74305555555555547</v>
      </c>
      <c r="AP1206" s="80">
        <v>1.5972222222222165E-2</v>
      </c>
      <c r="AQ1206" s="81">
        <v>41797</v>
      </c>
      <c r="AR1206" s="77" t="str">
        <f t="shared" si="422"/>
        <v>Nacional</v>
      </c>
      <c r="AS1206" s="77">
        <f t="shared" si="422"/>
        <v>8.9646464646464547E-3</v>
      </c>
      <c r="AT1206" s="77">
        <f t="shared" si="422"/>
        <v>9.6906565656565795E-3</v>
      </c>
      <c r="AU1206" s="77">
        <f t="shared" si="422"/>
        <v>1.8655303030303036E-2</v>
      </c>
      <c r="AV1206" s="77">
        <f t="shared" si="422"/>
        <v>320</v>
      </c>
      <c r="AW1206" s="77">
        <f t="shared" si="422"/>
        <v>179</v>
      </c>
      <c r="AX1206" s="77" t="str">
        <f t="shared" si="422"/>
        <v>SID</v>
      </c>
    </row>
    <row r="1207" spans="1:50" x14ac:dyDescent="0.25">
      <c r="A1207">
        <v>1193</v>
      </c>
      <c r="B1207" s="36" t="str">
        <f t="shared" si="424"/>
        <v>BARATA Y MORADA</v>
      </c>
      <c r="C1207" s="151">
        <v>430</v>
      </c>
      <c r="D1207" s="152">
        <v>0.75416666666666676</v>
      </c>
      <c r="E1207" s="152">
        <v>0.76180555555555562</v>
      </c>
      <c r="F1207" s="153">
        <v>7.6388888888888618E-3</v>
      </c>
      <c r="G1207" s="152">
        <v>0.77083333333333337</v>
      </c>
      <c r="H1207" s="153">
        <v>9.0277777777777457E-3</v>
      </c>
      <c r="I1207" s="67">
        <v>41714</v>
      </c>
      <c r="J1207" s="68" t="s">
        <v>19</v>
      </c>
      <c r="K1207" s="135">
        <v>7.5757575757575491E-3</v>
      </c>
      <c r="L1207" s="135">
        <v>1.0353535353535347E-2</v>
      </c>
      <c r="M1207" s="175">
        <v>1.7929292929292896E-2</v>
      </c>
      <c r="N1207" s="90">
        <v>320</v>
      </c>
      <c r="O1207" s="91">
        <v>179</v>
      </c>
      <c r="P1207" s="92" t="s">
        <v>34</v>
      </c>
      <c r="R1207">
        <v>1193</v>
      </c>
      <c r="S1207" s="36" t="str">
        <f t="shared" si="425"/>
        <v>INTERAVIÓN</v>
      </c>
      <c r="T1207" s="36">
        <f t="shared" si="425"/>
        <v>2206</v>
      </c>
      <c r="U1207" s="73">
        <v>0.49305555555555558</v>
      </c>
      <c r="V1207" s="74">
        <v>0.49722222222222223</v>
      </c>
      <c r="W1207" s="75">
        <v>4.1666666666666519E-3</v>
      </c>
      <c r="X1207" s="74">
        <v>0.50416666666666665</v>
      </c>
      <c r="Y1207" s="75">
        <v>6.9444444444444198E-3</v>
      </c>
      <c r="Z1207" s="76">
        <v>41732</v>
      </c>
      <c r="AA1207" s="36" t="str">
        <f t="shared" si="426"/>
        <v>Nacional</v>
      </c>
      <c r="AB1207" s="36">
        <f t="shared" si="426"/>
        <v>5.2083333333333261E-3</v>
      </c>
      <c r="AC1207" s="36">
        <f t="shared" si="426"/>
        <v>4.722222222222211E-3</v>
      </c>
      <c r="AD1207" s="36">
        <f t="shared" si="426"/>
        <v>9.9305555555555362E-3</v>
      </c>
      <c r="AE1207" s="36">
        <f t="shared" si="426"/>
        <v>320</v>
      </c>
      <c r="AF1207" s="36">
        <f t="shared" si="426"/>
        <v>179</v>
      </c>
      <c r="AG1207" s="36" t="str">
        <f t="shared" si="426"/>
        <v>MEX</v>
      </c>
      <c r="AI1207">
        <v>1193</v>
      </c>
      <c r="AJ1207" s="77" t="str">
        <f t="shared" si="415"/>
        <v xml:space="preserve">INTERAVIÓN </v>
      </c>
      <c r="AK1207" s="77">
        <f t="shared" si="415"/>
        <v>808</v>
      </c>
      <c r="AL1207" s="186">
        <v>0.70208333333333339</v>
      </c>
      <c r="AM1207" s="79">
        <v>0.70833333333333337</v>
      </c>
      <c r="AN1207" s="80">
        <v>6.2499999999999778E-3</v>
      </c>
      <c r="AO1207" s="79">
        <v>0.71597222222222223</v>
      </c>
      <c r="AP1207" s="80">
        <v>7.6388888888888618E-3</v>
      </c>
      <c r="AQ1207" s="81">
        <v>41798</v>
      </c>
      <c r="AR1207" s="77" t="str">
        <f t="shared" si="422"/>
        <v>Nacional</v>
      </c>
      <c r="AS1207" s="77">
        <f t="shared" si="422"/>
        <v>8.9646464646464547E-3</v>
      </c>
      <c r="AT1207" s="77">
        <f t="shared" si="422"/>
        <v>9.6906565656565795E-3</v>
      </c>
      <c r="AU1207" s="77">
        <f t="shared" si="422"/>
        <v>1.8655303030303036E-2</v>
      </c>
      <c r="AV1207" s="77">
        <f t="shared" si="422"/>
        <v>320</v>
      </c>
      <c r="AW1207" s="77">
        <f t="shared" si="422"/>
        <v>179</v>
      </c>
      <c r="AX1207" s="77" t="str">
        <f t="shared" si="422"/>
        <v>SID</v>
      </c>
    </row>
    <row r="1208" spans="1:50" x14ac:dyDescent="0.25">
      <c r="A1208">
        <v>1194</v>
      </c>
      <c r="B1208" s="36" t="str">
        <f t="shared" si="424"/>
        <v>BARATA Y MORADA</v>
      </c>
      <c r="C1208" s="36">
        <f t="shared" si="424"/>
        <v>430</v>
      </c>
      <c r="D1208" s="118">
        <v>0.75277777777777777</v>
      </c>
      <c r="E1208" s="118">
        <v>0.76180555555555562</v>
      </c>
      <c r="F1208" s="119">
        <v>9.0277777777778567E-3</v>
      </c>
      <c r="G1208" s="118">
        <v>0.77083333333333337</v>
      </c>
      <c r="H1208" s="119">
        <v>9.0277777777777457E-3</v>
      </c>
      <c r="I1208" s="81">
        <v>41715</v>
      </c>
      <c r="J1208" s="36" t="str">
        <f t="shared" ref="J1208:P1217" si="427">J1207</f>
        <v>Nacional</v>
      </c>
      <c r="K1208" s="36">
        <f t="shared" si="427"/>
        <v>7.5757575757575491E-3</v>
      </c>
      <c r="L1208" s="36">
        <f t="shared" si="427"/>
        <v>1.0353535353535347E-2</v>
      </c>
      <c r="M1208" s="36">
        <f t="shared" si="427"/>
        <v>1.7929292929292896E-2</v>
      </c>
      <c r="N1208" s="36">
        <f t="shared" si="427"/>
        <v>320</v>
      </c>
      <c r="O1208" s="36">
        <f t="shared" si="427"/>
        <v>179</v>
      </c>
      <c r="P1208" s="36" t="str">
        <f t="shared" si="427"/>
        <v>TIJ</v>
      </c>
      <c r="R1208">
        <v>1194</v>
      </c>
      <c r="S1208" s="36" t="str">
        <f t="shared" si="425"/>
        <v>INTERAVIÓN</v>
      </c>
      <c r="T1208" s="36">
        <f t="shared" si="425"/>
        <v>2206</v>
      </c>
      <c r="U1208" s="73">
        <v>0.47291666666666665</v>
      </c>
      <c r="V1208" s="74">
        <v>0.47847222222222219</v>
      </c>
      <c r="W1208" s="75">
        <v>5.5555555555555358E-3</v>
      </c>
      <c r="X1208" s="74">
        <v>0.4826388888888889</v>
      </c>
      <c r="Y1208" s="75">
        <v>4.1666666666667074E-3</v>
      </c>
      <c r="Z1208" s="76">
        <v>41733</v>
      </c>
      <c r="AA1208" s="36" t="str">
        <f t="shared" si="426"/>
        <v>Nacional</v>
      </c>
      <c r="AB1208" s="36">
        <f t="shared" si="426"/>
        <v>5.2083333333333261E-3</v>
      </c>
      <c r="AC1208" s="36">
        <f t="shared" si="426"/>
        <v>4.722222222222211E-3</v>
      </c>
      <c r="AD1208" s="36">
        <f t="shared" si="426"/>
        <v>9.9305555555555362E-3</v>
      </c>
      <c r="AE1208" s="36">
        <f t="shared" si="426"/>
        <v>320</v>
      </c>
      <c r="AF1208" s="36">
        <f t="shared" si="426"/>
        <v>179</v>
      </c>
      <c r="AG1208" s="36" t="str">
        <f t="shared" si="426"/>
        <v>MEX</v>
      </c>
      <c r="AI1208">
        <v>1194</v>
      </c>
      <c r="AJ1208" s="77" t="str">
        <f t="shared" si="415"/>
        <v xml:space="preserve">INTERAVIÓN </v>
      </c>
      <c r="AK1208" s="77">
        <f t="shared" si="415"/>
        <v>808</v>
      </c>
      <c r="AL1208" s="186">
        <v>0.70138888888888884</v>
      </c>
      <c r="AM1208" s="79">
        <v>0.70624999999999993</v>
      </c>
      <c r="AN1208" s="80">
        <v>4.8611111111110938E-3</v>
      </c>
      <c r="AO1208" s="79">
        <v>0.71527777777777779</v>
      </c>
      <c r="AP1208" s="80">
        <v>9.0277777777778567E-3</v>
      </c>
      <c r="AQ1208" s="81">
        <v>41799</v>
      </c>
      <c r="AR1208" s="77" t="str">
        <f t="shared" si="422"/>
        <v>Nacional</v>
      </c>
      <c r="AS1208" s="77">
        <f t="shared" si="422"/>
        <v>8.9646464646464547E-3</v>
      </c>
      <c r="AT1208" s="77">
        <f t="shared" si="422"/>
        <v>9.6906565656565795E-3</v>
      </c>
      <c r="AU1208" s="77">
        <f t="shared" si="422"/>
        <v>1.8655303030303036E-2</v>
      </c>
      <c r="AV1208" s="77">
        <f t="shared" si="422"/>
        <v>320</v>
      </c>
      <c r="AW1208" s="77">
        <f t="shared" si="422"/>
        <v>179</v>
      </c>
      <c r="AX1208" s="77" t="str">
        <f t="shared" si="422"/>
        <v>SID</v>
      </c>
    </row>
    <row r="1209" spans="1:50" x14ac:dyDescent="0.25">
      <c r="A1209">
        <v>1195</v>
      </c>
      <c r="B1209" s="36" t="str">
        <f t="shared" si="424"/>
        <v>BARATA Y MORADA</v>
      </c>
      <c r="C1209" s="36">
        <f t="shared" si="424"/>
        <v>430</v>
      </c>
      <c r="D1209" s="118">
        <v>0.76458333333333339</v>
      </c>
      <c r="E1209" s="118">
        <v>0.77222222222222225</v>
      </c>
      <c r="F1209" s="119">
        <v>7.6388888888888618E-3</v>
      </c>
      <c r="G1209" s="118">
        <v>0.77847222222222223</v>
      </c>
      <c r="H1209" s="119">
        <v>6.2499999999999778E-3</v>
      </c>
      <c r="I1209" s="81">
        <v>41716</v>
      </c>
      <c r="J1209" s="36" t="str">
        <f t="shared" si="427"/>
        <v>Nacional</v>
      </c>
      <c r="K1209" s="36">
        <f t="shared" si="427"/>
        <v>7.5757575757575491E-3</v>
      </c>
      <c r="L1209" s="36">
        <f t="shared" si="427"/>
        <v>1.0353535353535347E-2</v>
      </c>
      <c r="M1209" s="36">
        <f t="shared" si="427"/>
        <v>1.7929292929292896E-2</v>
      </c>
      <c r="N1209" s="36">
        <f t="shared" si="427"/>
        <v>320</v>
      </c>
      <c r="O1209" s="36">
        <f t="shared" si="427"/>
        <v>179</v>
      </c>
      <c r="P1209" s="36" t="str">
        <f t="shared" si="427"/>
        <v>TIJ</v>
      </c>
      <c r="R1209">
        <v>1195</v>
      </c>
      <c r="S1209" s="36" t="str">
        <f t="shared" si="425"/>
        <v>INTERAVIÓN</v>
      </c>
      <c r="T1209" s="36">
        <f t="shared" si="425"/>
        <v>2206</v>
      </c>
      <c r="U1209" s="73">
        <v>0.48749999999999999</v>
      </c>
      <c r="V1209" s="74">
        <v>0.48819444444444443</v>
      </c>
      <c r="W1209" s="75">
        <v>6.9444444444444198E-4</v>
      </c>
      <c r="X1209" s="74">
        <v>0.50138888888888888</v>
      </c>
      <c r="Y1209" s="75">
        <v>1.3194444444444453E-2</v>
      </c>
      <c r="Z1209" s="76">
        <v>41737</v>
      </c>
      <c r="AA1209" s="36" t="str">
        <f t="shared" si="426"/>
        <v>Nacional</v>
      </c>
      <c r="AB1209" s="36">
        <f t="shared" si="426"/>
        <v>5.2083333333333261E-3</v>
      </c>
      <c r="AC1209" s="36">
        <f t="shared" si="426"/>
        <v>4.722222222222211E-3</v>
      </c>
      <c r="AD1209" s="36">
        <f t="shared" si="426"/>
        <v>9.9305555555555362E-3</v>
      </c>
      <c r="AE1209" s="36">
        <f t="shared" si="426"/>
        <v>320</v>
      </c>
      <c r="AF1209" s="36">
        <f t="shared" si="426"/>
        <v>179</v>
      </c>
      <c r="AG1209" s="36" t="str">
        <f t="shared" si="426"/>
        <v>MEX</v>
      </c>
      <c r="AI1209">
        <v>1195</v>
      </c>
      <c r="AJ1209" s="77" t="str">
        <f t="shared" si="415"/>
        <v xml:space="preserve">INTERAVIÓN </v>
      </c>
      <c r="AK1209" s="77">
        <f t="shared" si="415"/>
        <v>808</v>
      </c>
      <c r="AL1209" s="186">
        <v>0.43958333333333338</v>
      </c>
      <c r="AM1209" s="79">
        <v>0.44722222222222219</v>
      </c>
      <c r="AN1209" s="80">
        <v>7.6388888888888062E-3</v>
      </c>
      <c r="AO1209" s="79">
        <v>0.45277777777777778</v>
      </c>
      <c r="AP1209" s="80">
        <v>5.5555555555555913E-3</v>
      </c>
      <c r="AQ1209" s="81">
        <v>41801</v>
      </c>
      <c r="AR1209" s="77" t="str">
        <f t="shared" si="422"/>
        <v>Nacional</v>
      </c>
      <c r="AS1209" s="77">
        <f t="shared" si="422"/>
        <v>8.9646464646464547E-3</v>
      </c>
      <c r="AT1209" s="77">
        <f t="shared" si="422"/>
        <v>9.6906565656565795E-3</v>
      </c>
      <c r="AU1209" s="77">
        <f t="shared" si="422"/>
        <v>1.8655303030303036E-2</v>
      </c>
      <c r="AV1209" s="77">
        <f t="shared" si="422"/>
        <v>320</v>
      </c>
      <c r="AW1209" s="77">
        <f t="shared" si="422"/>
        <v>179</v>
      </c>
      <c r="AX1209" s="77" t="str">
        <f t="shared" si="422"/>
        <v>SID</v>
      </c>
    </row>
    <row r="1210" spans="1:50" x14ac:dyDescent="0.25">
      <c r="A1210">
        <v>1196</v>
      </c>
      <c r="B1210" s="36" t="str">
        <f t="shared" si="424"/>
        <v>BARATA Y MORADA</v>
      </c>
      <c r="C1210" s="36">
        <f t="shared" si="424"/>
        <v>430</v>
      </c>
      <c r="D1210" s="118">
        <v>0.76180555555555562</v>
      </c>
      <c r="E1210" s="118">
        <v>0.77222222222222225</v>
      </c>
      <c r="F1210" s="119">
        <v>1.041666666666663E-2</v>
      </c>
      <c r="G1210" s="118">
        <v>0.77847222222222223</v>
      </c>
      <c r="H1210" s="119">
        <v>6.2499999999999778E-3</v>
      </c>
      <c r="I1210" s="81">
        <v>41716</v>
      </c>
      <c r="J1210" s="36" t="str">
        <f t="shared" si="427"/>
        <v>Nacional</v>
      </c>
      <c r="K1210" s="36">
        <f t="shared" si="427"/>
        <v>7.5757575757575491E-3</v>
      </c>
      <c r="L1210" s="36">
        <f t="shared" si="427"/>
        <v>1.0353535353535347E-2</v>
      </c>
      <c r="M1210" s="36">
        <f t="shared" si="427"/>
        <v>1.7929292929292896E-2</v>
      </c>
      <c r="N1210" s="36">
        <f t="shared" si="427"/>
        <v>320</v>
      </c>
      <c r="O1210" s="36">
        <f t="shared" si="427"/>
        <v>179</v>
      </c>
      <c r="P1210" s="36" t="str">
        <f t="shared" si="427"/>
        <v>TIJ</v>
      </c>
      <c r="R1210">
        <v>1196</v>
      </c>
      <c r="S1210" s="36" t="str">
        <f t="shared" si="425"/>
        <v>INTERAVIÓN</v>
      </c>
      <c r="T1210" s="36">
        <f t="shared" si="425"/>
        <v>2206</v>
      </c>
      <c r="U1210" s="73">
        <v>0.4680555555555555</v>
      </c>
      <c r="V1210" s="74">
        <v>0.47500000000000003</v>
      </c>
      <c r="W1210" s="75">
        <v>6.9444444444445308E-3</v>
      </c>
      <c r="X1210" s="74">
        <v>0.47916666666666669</v>
      </c>
      <c r="Y1210" s="75">
        <v>4.1666666666666519E-3</v>
      </c>
      <c r="Z1210" s="76">
        <v>41739</v>
      </c>
      <c r="AA1210" s="36" t="str">
        <f t="shared" si="426"/>
        <v>Nacional</v>
      </c>
      <c r="AB1210" s="36">
        <f t="shared" si="426"/>
        <v>5.2083333333333261E-3</v>
      </c>
      <c r="AC1210" s="36">
        <f t="shared" si="426"/>
        <v>4.722222222222211E-3</v>
      </c>
      <c r="AD1210" s="36">
        <f t="shared" si="426"/>
        <v>9.9305555555555362E-3</v>
      </c>
      <c r="AE1210" s="36">
        <f t="shared" si="426"/>
        <v>320</v>
      </c>
      <c r="AF1210" s="36">
        <f t="shared" si="426"/>
        <v>179</v>
      </c>
      <c r="AG1210" s="36" t="str">
        <f t="shared" si="426"/>
        <v>MEX</v>
      </c>
      <c r="AI1210">
        <v>1196</v>
      </c>
      <c r="AJ1210" s="77" t="str">
        <f t="shared" si="415"/>
        <v xml:space="preserve">INTERAVIÓN </v>
      </c>
      <c r="AK1210" s="77">
        <f t="shared" si="415"/>
        <v>808</v>
      </c>
      <c r="AL1210" s="186">
        <v>0.25416666666666665</v>
      </c>
      <c r="AM1210" s="79">
        <v>0.26944444444444443</v>
      </c>
      <c r="AN1210" s="80">
        <v>1.5277777777777779E-2</v>
      </c>
      <c r="AO1210" s="79">
        <v>0.29097222222222224</v>
      </c>
      <c r="AP1210" s="80">
        <v>2.1527777777777812E-2</v>
      </c>
      <c r="AQ1210" s="81">
        <v>41801</v>
      </c>
      <c r="AR1210" s="77" t="str">
        <f t="shared" si="422"/>
        <v>Nacional</v>
      </c>
      <c r="AS1210" s="77">
        <f t="shared" si="422"/>
        <v>8.9646464646464547E-3</v>
      </c>
      <c r="AT1210" s="77">
        <f t="shared" si="422"/>
        <v>9.6906565656565795E-3</v>
      </c>
      <c r="AU1210" s="77">
        <f t="shared" si="422"/>
        <v>1.8655303030303036E-2</v>
      </c>
      <c r="AV1210" s="77">
        <f t="shared" si="422"/>
        <v>320</v>
      </c>
      <c r="AW1210" s="77">
        <f t="shared" si="422"/>
        <v>179</v>
      </c>
      <c r="AX1210" s="77" t="str">
        <f t="shared" si="422"/>
        <v>SID</v>
      </c>
    </row>
    <row r="1211" spans="1:50" x14ac:dyDescent="0.25">
      <c r="A1211">
        <v>1197</v>
      </c>
      <c r="B1211" s="36" t="str">
        <f t="shared" si="424"/>
        <v>BARATA Y MORADA</v>
      </c>
      <c r="C1211" s="36">
        <f t="shared" si="424"/>
        <v>430</v>
      </c>
      <c r="D1211" s="118">
        <v>0.7597222222222223</v>
      </c>
      <c r="E1211" s="118">
        <v>0.76874999999999993</v>
      </c>
      <c r="F1211" s="119">
        <v>9.0277777777776347E-3</v>
      </c>
      <c r="G1211" s="118">
        <v>0.77847222222222223</v>
      </c>
      <c r="H1211" s="119">
        <v>9.7222222222222987E-3</v>
      </c>
      <c r="I1211" s="81">
        <v>41718</v>
      </c>
      <c r="J1211" s="36" t="str">
        <f t="shared" si="427"/>
        <v>Nacional</v>
      </c>
      <c r="K1211" s="36">
        <f t="shared" si="427"/>
        <v>7.5757575757575491E-3</v>
      </c>
      <c r="L1211" s="36">
        <f t="shared" si="427"/>
        <v>1.0353535353535347E-2</v>
      </c>
      <c r="M1211" s="36">
        <f t="shared" si="427"/>
        <v>1.7929292929292896E-2</v>
      </c>
      <c r="N1211" s="36">
        <f t="shared" si="427"/>
        <v>320</v>
      </c>
      <c r="O1211" s="36">
        <f t="shared" si="427"/>
        <v>179</v>
      </c>
      <c r="P1211" s="36" t="str">
        <f t="shared" si="427"/>
        <v>TIJ</v>
      </c>
      <c r="R1211">
        <v>1197</v>
      </c>
      <c r="S1211" s="36" t="str">
        <f t="shared" si="425"/>
        <v>INTERAVIÓN</v>
      </c>
      <c r="T1211" s="36">
        <f t="shared" si="425"/>
        <v>2206</v>
      </c>
      <c r="U1211" s="73">
        <v>0.47222222222222227</v>
      </c>
      <c r="V1211" s="74">
        <v>0.47638888888888892</v>
      </c>
      <c r="W1211" s="75">
        <v>4.1666666666666519E-3</v>
      </c>
      <c r="X1211" s="74">
        <v>0.47916666666666669</v>
      </c>
      <c r="Y1211" s="75">
        <v>2.7777777777777679E-3</v>
      </c>
      <c r="Z1211" s="76">
        <v>41742</v>
      </c>
      <c r="AA1211" s="36" t="str">
        <f t="shared" si="426"/>
        <v>Nacional</v>
      </c>
      <c r="AB1211" s="36">
        <f t="shared" si="426"/>
        <v>5.2083333333333261E-3</v>
      </c>
      <c r="AC1211" s="36">
        <f t="shared" si="426"/>
        <v>4.722222222222211E-3</v>
      </c>
      <c r="AD1211" s="36">
        <f t="shared" si="426"/>
        <v>9.9305555555555362E-3</v>
      </c>
      <c r="AE1211" s="36">
        <f t="shared" si="426"/>
        <v>320</v>
      </c>
      <c r="AF1211" s="36">
        <f t="shared" si="426"/>
        <v>179</v>
      </c>
      <c r="AG1211" s="36" t="str">
        <f t="shared" si="426"/>
        <v>MEX</v>
      </c>
      <c r="AI1211">
        <v>1197</v>
      </c>
      <c r="AJ1211" s="77" t="str">
        <f t="shared" si="415"/>
        <v xml:space="preserve">INTERAVIÓN </v>
      </c>
      <c r="AK1211" s="77">
        <f t="shared" si="415"/>
        <v>808</v>
      </c>
      <c r="AL1211" s="186">
        <v>0.25</v>
      </c>
      <c r="AM1211" s="79">
        <v>0.26666666666666666</v>
      </c>
      <c r="AN1211" s="80">
        <v>1.6666666666666663E-2</v>
      </c>
      <c r="AO1211" s="79">
        <v>0.29097222222222224</v>
      </c>
      <c r="AP1211" s="80">
        <v>2.430555555555558E-2</v>
      </c>
      <c r="AQ1211" s="81">
        <v>41802</v>
      </c>
      <c r="AR1211" s="77" t="str">
        <f t="shared" si="422"/>
        <v>Nacional</v>
      </c>
      <c r="AS1211" s="77">
        <f t="shared" si="422"/>
        <v>8.9646464646464547E-3</v>
      </c>
      <c r="AT1211" s="77">
        <f t="shared" si="422"/>
        <v>9.6906565656565795E-3</v>
      </c>
      <c r="AU1211" s="77">
        <f t="shared" si="422"/>
        <v>1.8655303030303036E-2</v>
      </c>
      <c r="AV1211" s="77">
        <f t="shared" si="422"/>
        <v>320</v>
      </c>
      <c r="AW1211" s="77">
        <f t="shared" si="422"/>
        <v>179</v>
      </c>
      <c r="AX1211" s="77" t="str">
        <f t="shared" si="422"/>
        <v>SID</v>
      </c>
    </row>
    <row r="1212" spans="1:50" x14ac:dyDescent="0.25">
      <c r="A1212">
        <v>1198</v>
      </c>
      <c r="B1212" s="36" t="str">
        <f t="shared" si="424"/>
        <v>BARATA Y MORADA</v>
      </c>
      <c r="C1212" s="36">
        <f t="shared" si="424"/>
        <v>430</v>
      </c>
      <c r="D1212" s="118">
        <v>0.76458333333333339</v>
      </c>
      <c r="E1212" s="118">
        <v>0.76666666666666661</v>
      </c>
      <c r="F1212" s="119">
        <v>2.0833333333332149E-3</v>
      </c>
      <c r="G1212" s="118">
        <v>0.78333333333333333</v>
      </c>
      <c r="H1212" s="119">
        <v>1.6666666666666718E-2</v>
      </c>
      <c r="I1212" s="81">
        <v>41720</v>
      </c>
      <c r="J1212" s="36" t="str">
        <f t="shared" si="427"/>
        <v>Nacional</v>
      </c>
      <c r="K1212" s="36">
        <f t="shared" si="427"/>
        <v>7.5757575757575491E-3</v>
      </c>
      <c r="L1212" s="36">
        <f t="shared" si="427"/>
        <v>1.0353535353535347E-2</v>
      </c>
      <c r="M1212" s="36">
        <f t="shared" si="427"/>
        <v>1.7929292929292896E-2</v>
      </c>
      <c r="N1212" s="36">
        <f t="shared" si="427"/>
        <v>320</v>
      </c>
      <c r="O1212" s="36">
        <f t="shared" si="427"/>
        <v>179</v>
      </c>
      <c r="P1212" s="36" t="str">
        <f t="shared" si="427"/>
        <v>TIJ</v>
      </c>
      <c r="R1212">
        <v>1198</v>
      </c>
      <c r="S1212" s="36" t="str">
        <f t="shared" si="425"/>
        <v>INTERAVIÓN</v>
      </c>
      <c r="T1212" s="36">
        <f t="shared" si="425"/>
        <v>2206</v>
      </c>
      <c r="U1212" s="73">
        <v>0.4694444444444445</v>
      </c>
      <c r="V1212" s="74">
        <v>0.47569444444444442</v>
      </c>
      <c r="W1212" s="75">
        <v>6.2499999999999223E-3</v>
      </c>
      <c r="X1212" s="74">
        <v>0.47847222222222219</v>
      </c>
      <c r="Y1212" s="75">
        <v>2.7777777777777679E-3</v>
      </c>
      <c r="Z1212" s="76">
        <v>41757</v>
      </c>
      <c r="AA1212" s="36" t="str">
        <f t="shared" si="426"/>
        <v>Nacional</v>
      </c>
      <c r="AB1212" s="36">
        <f t="shared" si="426"/>
        <v>5.2083333333333261E-3</v>
      </c>
      <c r="AC1212" s="36">
        <f t="shared" si="426"/>
        <v>4.722222222222211E-3</v>
      </c>
      <c r="AD1212" s="36">
        <f t="shared" si="426"/>
        <v>9.9305555555555362E-3</v>
      </c>
      <c r="AE1212" s="36">
        <f t="shared" si="426"/>
        <v>320</v>
      </c>
      <c r="AF1212" s="36">
        <f t="shared" si="426"/>
        <v>179</v>
      </c>
      <c r="AG1212" s="36" t="str">
        <f t="shared" si="426"/>
        <v>MEX</v>
      </c>
      <c r="AI1212">
        <v>1198</v>
      </c>
      <c r="AJ1212" s="77" t="str">
        <f t="shared" si="415"/>
        <v xml:space="preserve">INTERAVIÓN </v>
      </c>
      <c r="AK1212" s="77">
        <f t="shared" si="415"/>
        <v>808</v>
      </c>
      <c r="AL1212" s="186">
        <v>0.69861111111111107</v>
      </c>
      <c r="AM1212" s="79">
        <v>0.70486111111111116</v>
      </c>
      <c r="AN1212" s="80">
        <v>6.2500000000000888E-3</v>
      </c>
      <c r="AO1212" s="79">
        <v>0.7090277777777777</v>
      </c>
      <c r="AP1212" s="80">
        <v>4.1666666666665408E-3</v>
      </c>
      <c r="AQ1212" s="81">
        <v>41803</v>
      </c>
      <c r="AR1212" s="77" t="str">
        <f t="shared" si="422"/>
        <v>Nacional</v>
      </c>
      <c r="AS1212" s="77">
        <f t="shared" si="422"/>
        <v>8.9646464646464547E-3</v>
      </c>
      <c r="AT1212" s="77">
        <f t="shared" si="422"/>
        <v>9.6906565656565795E-3</v>
      </c>
      <c r="AU1212" s="77">
        <f t="shared" si="422"/>
        <v>1.8655303030303036E-2</v>
      </c>
      <c r="AV1212" s="77">
        <f t="shared" si="422"/>
        <v>320</v>
      </c>
      <c r="AW1212" s="77">
        <f t="shared" si="422"/>
        <v>179</v>
      </c>
      <c r="AX1212" s="77" t="str">
        <f t="shared" si="422"/>
        <v>SID</v>
      </c>
    </row>
    <row r="1213" spans="1:50" x14ac:dyDescent="0.25">
      <c r="A1213">
        <v>1199</v>
      </c>
      <c r="B1213" s="36" t="str">
        <f t="shared" si="424"/>
        <v>BARATA Y MORADA</v>
      </c>
      <c r="C1213" s="36">
        <f t="shared" si="424"/>
        <v>430</v>
      </c>
      <c r="D1213" s="118">
        <v>0.74652777777777779</v>
      </c>
      <c r="E1213" s="118">
        <v>0.75347222222222221</v>
      </c>
      <c r="F1213" s="119">
        <v>6.9444444444444198E-3</v>
      </c>
      <c r="G1213" s="118">
        <v>0.76666666666666661</v>
      </c>
      <c r="H1213" s="119">
        <v>1.3194444444444398E-2</v>
      </c>
      <c r="I1213" s="81">
        <v>41721</v>
      </c>
      <c r="J1213" s="36" t="str">
        <f t="shared" si="427"/>
        <v>Nacional</v>
      </c>
      <c r="K1213" s="36">
        <f t="shared" si="427"/>
        <v>7.5757575757575491E-3</v>
      </c>
      <c r="L1213" s="36">
        <f t="shared" si="427"/>
        <v>1.0353535353535347E-2</v>
      </c>
      <c r="M1213" s="36">
        <f t="shared" si="427"/>
        <v>1.7929292929292896E-2</v>
      </c>
      <c r="N1213" s="36">
        <f t="shared" si="427"/>
        <v>320</v>
      </c>
      <c r="O1213" s="36">
        <f t="shared" si="427"/>
        <v>179</v>
      </c>
      <c r="P1213" s="36" t="str">
        <f t="shared" si="427"/>
        <v>TIJ</v>
      </c>
      <c r="R1213">
        <v>1199</v>
      </c>
      <c r="S1213" s="36" t="str">
        <f t="shared" si="425"/>
        <v>INTERAVIÓN</v>
      </c>
      <c r="T1213" s="36">
        <f t="shared" si="425"/>
        <v>2206</v>
      </c>
      <c r="U1213" s="73">
        <v>0.47638888888888892</v>
      </c>
      <c r="V1213" s="74">
        <v>0.4826388888888889</v>
      </c>
      <c r="W1213" s="75">
        <v>6.2499999999999778E-3</v>
      </c>
      <c r="X1213" s="74">
        <v>0.48680555555555555</v>
      </c>
      <c r="Y1213" s="75">
        <v>4.1666666666666519E-3</v>
      </c>
      <c r="Z1213" s="76">
        <v>41758</v>
      </c>
      <c r="AA1213" s="36" t="str">
        <f t="shared" si="426"/>
        <v>Nacional</v>
      </c>
      <c r="AB1213" s="36">
        <f t="shared" si="426"/>
        <v>5.2083333333333261E-3</v>
      </c>
      <c r="AC1213" s="36">
        <f t="shared" si="426"/>
        <v>4.722222222222211E-3</v>
      </c>
      <c r="AD1213" s="36">
        <f t="shared" si="426"/>
        <v>9.9305555555555362E-3</v>
      </c>
      <c r="AE1213" s="36">
        <f t="shared" si="426"/>
        <v>320</v>
      </c>
      <c r="AF1213" s="36">
        <f t="shared" si="426"/>
        <v>179</v>
      </c>
      <c r="AG1213" s="36" t="str">
        <f t="shared" si="426"/>
        <v>MEX</v>
      </c>
      <c r="AI1213">
        <v>1199</v>
      </c>
      <c r="AJ1213" s="77" t="str">
        <f t="shared" si="415"/>
        <v xml:space="preserve">INTERAVIÓN </v>
      </c>
      <c r="AK1213" s="77">
        <f t="shared" si="415"/>
        <v>808</v>
      </c>
      <c r="AL1213" s="186">
        <v>0.84027777777777779</v>
      </c>
      <c r="AM1213" s="79">
        <v>0.85625000000000007</v>
      </c>
      <c r="AN1213" s="80">
        <v>1.5972222222222276E-2</v>
      </c>
      <c r="AO1213" s="79">
        <v>0.85833333333333339</v>
      </c>
      <c r="AP1213" s="80">
        <v>2.0833333333333259E-3</v>
      </c>
      <c r="AQ1213" s="81">
        <v>41804</v>
      </c>
      <c r="AR1213" s="77" t="str">
        <f t="shared" si="422"/>
        <v>Nacional</v>
      </c>
      <c r="AS1213" s="77">
        <f t="shared" si="422"/>
        <v>8.9646464646464547E-3</v>
      </c>
      <c r="AT1213" s="77">
        <f t="shared" si="422"/>
        <v>9.6906565656565795E-3</v>
      </c>
      <c r="AU1213" s="77">
        <f t="shared" si="422"/>
        <v>1.8655303030303036E-2</v>
      </c>
      <c r="AV1213" s="77">
        <f t="shared" si="422"/>
        <v>320</v>
      </c>
      <c r="AW1213" s="77">
        <f t="shared" si="422"/>
        <v>179</v>
      </c>
      <c r="AX1213" s="77" t="str">
        <f t="shared" si="422"/>
        <v>SID</v>
      </c>
    </row>
    <row r="1214" spans="1:50" ht="15.75" thickBot="1" x14ac:dyDescent="0.3">
      <c r="A1214">
        <v>1200</v>
      </c>
      <c r="B1214" s="36" t="str">
        <f t="shared" si="424"/>
        <v>BARATA Y MORADA</v>
      </c>
      <c r="C1214" s="36">
        <f t="shared" si="424"/>
        <v>430</v>
      </c>
      <c r="D1214" s="118">
        <v>0.75763888888888886</v>
      </c>
      <c r="E1214" s="118">
        <v>0.76597222222222217</v>
      </c>
      <c r="F1214" s="119">
        <v>8.3333333333333037E-3</v>
      </c>
      <c r="G1214" s="118">
        <v>0.77361111111111114</v>
      </c>
      <c r="H1214" s="119">
        <v>7.6388888888889728E-3</v>
      </c>
      <c r="I1214" s="81">
        <v>41725</v>
      </c>
      <c r="J1214" s="36" t="str">
        <f t="shared" si="427"/>
        <v>Nacional</v>
      </c>
      <c r="K1214" s="36">
        <f t="shared" si="427"/>
        <v>7.5757575757575491E-3</v>
      </c>
      <c r="L1214" s="36">
        <f t="shared" si="427"/>
        <v>1.0353535353535347E-2</v>
      </c>
      <c r="M1214" s="36">
        <f t="shared" si="427"/>
        <v>1.7929292929292896E-2</v>
      </c>
      <c r="N1214" s="36">
        <f t="shared" si="427"/>
        <v>320</v>
      </c>
      <c r="O1214" s="36">
        <f t="shared" si="427"/>
        <v>179</v>
      </c>
      <c r="P1214" s="36" t="str">
        <f t="shared" si="427"/>
        <v>TIJ</v>
      </c>
      <c r="R1214">
        <v>1200</v>
      </c>
      <c r="S1214" s="36" t="str">
        <f t="shared" si="425"/>
        <v>INTERAVIÓN</v>
      </c>
      <c r="T1214" s="36">
        <f t="shared" si="425"/>
        <v>2206</v>
      </c>
      <c r="U1214" s="83">
        <v>0.4861111111111111</v>
      </c>
      <c r="V1214" s="84">
        <v>0.4916666666666667</v>
      </c>
      <c r="W1214" s="85">
        <v>5.5555555555555913E-3</v>
      </c>
      <c r="X1214" s="84">
        <v>0.49513888888888885</v>
      </c>
      <c r="Y1214" s="85">
        <v>3.4722222222221544E-3</v>
      </c>
      <c r="Z1214" s="86">
        <v>41759</v>
      </c>
      <c r="AA1214" s="36" t="str">
        <f t="shared" si="426"/>
        <v>Nacional</v>
      </c>
      <c r="AB1214" s="36">
        <f t="shared" si="426"/>
        <v>5.2083333333333261E-3</v>
      </c>
      <c r="AC1214" s="36">
        <f t="shared" si="426"/>
        <v>4.722222222222211E-3</v>
      </c>
      <c r="AD1214" s="36">
        <f t="shared" si="426"/>
        <v>9.9305555555555362E-3</v>
      </c>
      <c r="AE1214" s="36">
        <f t="shared" si="426"/>
        <v>320</v>
      </c>
      <c r="AF1214" s="36">
        <f t="shared" si="426"/>
        <v>179</v>
      </c>
      <c r="AG1214" s="36" t="str">
        <f t="shared" si="426"/>
        <v>MEX</v>
      </c>
      <c r="AI1214">
        <v>1200</v>
      </c>
      <c r="AJ1214" s="77" t="str">
        <f t="shared" si="415"/>
        <v xml:space="preserve">INTERAVIÓN </v>
      </c>
      <c r="AK1214" s="77">
        <f t="shared" si="415"/>
        <v>808</v>
      </c>
      <c r="AL1214" s="186">
        <v>0.45</v>
      </c>
      <c r="AM1214" s="79">
        <v>0.46388888888888885</v>
      </c>
      <c r="AN1214" s="80">
        <v>1.388888888888884E-2</v>
      </c>
      <c r="AO1214" s="79">
        <v>0.47222222222222227</v>
      </c>
      <c r="AP1214" s="80">
        <v>8.3333333333334147E-3</v>
      </c>
      <c r="AQ1214" s="81">
        <v>41805</v>
      </c>
      <c r="AR1214" s="77" t="str">
        <f t="shared" si="422"/>
        <v>Nacional</v>
      </c>
      <c r="AS1214" s="77">
        <f t="shared" si="422"/>
        <v>8.9646464646464547E-3</v>
      </c>
      <c r="AT1214" s="77">
        <f t="shared" si="422"/>
        <v>9.6906565656565795E-3</v>
      </c>
      <c r="AU1214" s="77">
        <f t="shared" si="422"/>
        <v>1.8655303030303036E-2</v>
      </c>
      <c r="AV1214" s="77">
        <f t="shared" si="422"/>
        <v>320</v>
      </c>
      <c r="AW1214" s="77">
        <f t="shared" si="422"/>
        <v>179</v>
      </c>
      <c r="AX1214" s="77" t="str">
        <f t="shared" si="422"/>
        <v>SID</v>
      </c>
    </row>
    <row r="1215" spans="1:50" x14ac:dyDescent="0.25">
      <c r="A1215">
        <v>1201</v>
      </c>
      <c r="B1215" s="36" t="str">
        <f t="shared" si="424"/>
        <v>BARATA Y MORADA</v>
      </c>
      <c r="C1215" s="36">
        <f t="shared" si="424"/>
        <v>430</v>
      </c>
      <c r="D1215" s="118">
        <v>0.75624999999999998</v>
      </c>
      <c r="E1215" s="118">
        <v>0.7631944444444444</v>
      </c>
      <c r="F1215" s="119">
        <v>6.9444444444444198E-3</v>
      </c>
      <c r="G1215" s="118">
        <v>0.77638888888888891</v>
      </c>
      <c r="H1215" s="119">
        <v>1.3194444444444509E-2</v>
      </c>
      <c r="I1215" s="81">
        <v>41725</v>
      </c>
      <c r="J1215" s="36" t="str">
        <f t="shared" si="427"/>
        <v>Nacional</v>
      </c>
      <c r="K1215" s="36">
        <f t="shared" si="427"/>
        <v>7.5757575757575491E-3</v>
      </c>
      <c r="L1215" s="36">
        <f t="shared" si="427"/>
        <v>1.0353535353535347E-2</v>
      </c>
      <c r="M1215" s="36">
        <f t="shared" si="427"/>
        <v>1.7929292929292896E-2</v>
      </c>
      <c r="N1215" s="36">
        <f t="shared" si="427"/>
        <v>320</v>
      </c>
      <c r="O1215" s="36">
        <f t="shared" si="427"/>
        <v>179</v>
      </c>
      <c r="P1215" s="36" t="str">
        <f t="shared" si="427"/>
        <v>TIJ</v>
      </c>
      <c r="R1215">
        <v>1201</v>
      </c>
      <c r="S1215" s="36" t="str">
        <f t="shared" si="425"/>
        <v>INTERAVIÓN</v>
      </c>
      <c r="T1215" s="55">
        <v>2204</v>
      </c>
      <c r="U1215" s="56">
        <v>0.36249999999999999</v>
      </c>
      <c r="V1215" s="57">
        <v>0.36805555555555558</v>
      </c>
      <c r="W1215" s="58">
        <v>5.5555555555555913E-3</v>
      </c>
      <c r="X1215" s="57">
        <v>0.37152777777777773</v>
      </c>
      <c r="Y1215" s="58">
        <v>3.4722222222221544E-3</v>
      </c>
      <c r="Z1215" s="59">
        <v>41730</v>
      </c>
      <c r="AA1215" s="60" t="s">
        <v>19</v>
      </c>
      <c r="AB1215" s="61">
        <v>6.303418803418807E-3</v>
      </c>
      <c r="AC1215" s="61">
        <v>4.4871794871794712E-3</v>
      </c>
      <c r="AD1215" s="62">
        <v>1.0790598290598278E-2</v>
      </c>
      <c r="AE1215" s="191">
        <v>320</v>
      </c>
      <c r="AF1215" s="191">
        <v>179</v>
      </c>
      <c r="AG1215" s="192" t="s">
        <v>21</v>
      </c>
      <c r="AI1215">
        <v>1201</v>
      </c>
      <c r="AJ1215" s="77" t="str">
        <f t="shared" si="415"/>
        <v xml:space="preserve">INTERAVIÓN </v>
      </c>
      <c r="AK1215" s="77">
        <f t="shared" si="415"/>
        <v>808</v>
      </c>
      <c r="AL1215" s="186">
        <v>0.8534722222222223</v>
      </c>
      <c r="AM1215" s="79">
        <v>0.86388888888888893</v>
      </c>
      <c r="AN1215" s="80">
        <v>1.041666666666663E-2</v>
      </c>
      <c r="AO1215" s="79">
        <v>0.88263888888888886</v>
      </c>
      <c r="AP1215" s="80">
        <v>1.8749999999999933E-2</v>
      </c>
      <c r="AQ1215" s="81">
        <v>41806</v>
      </c>
      <c r="AR1215" s="77" t="str">
        <f t="shared" si="422"/>
        <v>Nacional</v>
      </c>
      <c r="AS1215" s="77">
        <f t="shared" si="422"/>
        <v>8.9646464646464547E-3</v>
      </c>
      <c r="AT1215" s="77">
        <f t="shared" si="422"/>
        <v>9.6906565656565795E-3</v>
      </c>
      <c r="AU1215" s="77">
        <f t="shared" si="422"/>
        <v>1.8655303030303036E-2</v>
      </c>
      <c r="AV1215" s="77">
        <f t="shared" si="422"/>
        <v>320</v>
      </c>
      <c r="AW1215" s="77">
        <f t="shared" si="422"/>
        <v>179</v>
      </c>
      <c r="AX1215" s="77" t="str">
        <f t="shared" si="422"/>
        <v>SID</v>
      </c>
    </row>
    <row r="1216" spans="1:50" x14ac:dyDescent="0.25">
      <c r="A1216">
        <v>1202</v>
      </c>
      <c r="B1216" s="36" t="str">
        <f t="shared" si="424"/>
        <v>BARATA Y MORADA</v>
      </c>
      <c r="C1216" s="36">
        <f t="shared" si="424"/>
        <v>430</v>
      </c>
      <c r="D1216" s="118">
        <v>0.77013888888888893</v>
      </c>
      <c r="E1216" s="118">
        <v>0.78125</v>
      </c>
      <c r="F1216" s="119">
        <v>1.1111111111111072E-2</v>
      </c>
      <c r="G1216" s="118">
        <v>0.79791666666666661</v>
      </c>
      <c r="H1216" s="119">
        <v>1.6666666666666607E-2</v>
      </c>
      <c r="I1216" s="81">
        <v>41726</v>
      </c>
      <c r="J1216" s="36" t="str">
        <f t="shared" si="427"/>
        <v>Nacional</v>
      </c>
      <c r="K1216" s="36">
        <f t="shared" si="427"/>
        <v>7.5757575757575491E-3</v>
      </c>
      <c r="L1216" s="36">
        <f t="shared" si="427"/>
        <v>1.0353535353535347E-2</v>
      </c>
      <c r="M1216" s="36">
        <f t="shared" si="427"/>
        <v>1.7929292929292896E-2</v>
      </c>
      <c r="N1216" s="36">
        <f t="shared" si="427"/>
        <v>320</v>
      </c>
      <c r="O1216" s="36">
        <f t="shared" si="427"/>
        <v>179</v>
      </c>
      <c r="P1216" s="36" t="str">
        <f t="shared" si="427"/>
        <v>TIJ</v>
      </c>
      <c r="R1216">
        <v>1202</v>
      </c>
      <c r="S1216" s="36" t="str">
        <f t="shared" si="425"/>
        <v>INTERAVIÓN</v>
      </c>
      <c r="T1216" s="36">
        <f t="shared" si="425"/>
        <v>2204</v>
      </c>
      <c r="U1216" s="73">
        <v>0.36319444444444443</v>
      </c>
      <c r="V1216" s="74">
        <v>0.37222222222222223</v>
      </c>
      <c r="W1216" s="75">
        <v>9.0277777777778012E-3</v>
      </c>
      <c r="X1216" s="74">
        <v>0.37638888888888888</v>
      </c>
      <c r="Y1216" s="75">
        <v>4.1666666666666519E-3</v>
      </c>
      <c r="Z1216" s="76">
        <v>41731</v>
      </c>
      <c r="AA1216" s="36" t="str">
        <f t="shared" ref="AA1216:AG1227" si="428">AA1215</f>
        <v>Nacional</v>
      </c>
      <c r="AB1216" s="36">
        <f t="shared" si="428"/>
        <v>6.303418803418807E-3</v>
      </c>
      <c r="AC1216" s="36">
        <f t="shared" si="428"/>
        <v>4.4871794871794712E-3</v>
      </c>
      <c r="AD1216" s="36">
        <f t="shared" si="428"/>
        <v>1.0790598290598278E-2</v>
      </c>
      <c r="AE1216" s="36">
        <f t="shared" si="428"/>
        <v>320</v>
      </c>
      <c r="AF1216" s="36">
        <f t="shared" si="428"/>
        <v>179</v>
      </c>
      <c r="AG1216" s="36" t="str">
        <f t="shared" si="428"/>
        <v>MEX</v>
      </c>
      <c r="AI1216">
        <v>1202</v>
      </c>
      <c r="AJ1216" s="77" t="str">
        <f t="shared" si="415"/>
        <v xml:space="preserve">INTERAVIÓN </v>
      </c>
      <c r="AK1216" s="77">
        <f t="shared" si="415"/>
        <v>808</v>
      </c>
      <c r="AL1216" s="186">
        <v>0.83888888888888891</v>
      </c>
      <c r="AM1216" s="79">
        <v>0.84583333333333333</v>
      </c>
      <c r="AN1216" s="80">
        <v>6.9444444444444198E-3</v>
      </c>
      <c r="AO1216" s="79">
        <v>0.85833333333333339</v>
      </c>
      <c r="AP1216" s="80">
        <v>1.2500000000000067E-2</v>
      </c>
      <c r="AQ1216" s="81">
        <v>41807</v>
      </c>
      <c r="AR1216" s="77" t="str">
        <f t="shared" si="422"/>
        <v>Nacional</v>
      </c>
      <c r="AS1216" s="77">
        <f t="shared" si="422"/>
        <v>8.9646464646464547E-3</v>
      </c>
      <c r="AT1216" s="77">
        <f t="shared" si="422"/>
        <v>9.6906565656565795E-3</v>
      </c>
      <c r="AU1216" s="77">
        <f t="shared" si="422"/>
        <v>1.8655303030303036E-2</v>
      </c>
      <c r="AV1216" s="77">
        <f t="shared" si="422"/>
        <v>320</v>
      </c>
      <c r="AW1216" s="77">
        <f t="shared" si="422"/>
        <v>179</v>
      </c>
      <c r="AX1216" s="77" t="str">
        <f t="shared" si="422"/>
        <v>SID</v>
      </c>
    </row>
    <row r="1217" spans="1:50" ht="15.75" thickBot="1" x14ac:dyDescent="0.3">
      <c r="A1217">
        <v>1203</v>
      </c>
      <c r="B1217" s="36" t="str">
        <f t="shared" si="424"/>
        <v>BARATA Y MORADA</v>
      </c>
      <c r="C1217" s="36">
        <f t="shared" si="424"/>
        <v>430</v>
      </c>
      <c r="D1217" s="176">
        <v>0.76388888888888884</v>
      </c>
      <c r="E1217" s="176">
        <v>0.7680555555555556</v>
      </c>
      <c r="F1217" s="177">
        <v>4.1666666666667629E-3</v>
      </c>
      <c r="G1217" s="176">
        <v>0.77430555555555547</v>
      </c>
      <c r="H1217" s="177">
        <v>6.2499999999998668E-3</v>
      </c>
      <c r="I1217" s="97">
        <v>41729</v>
      </c>
      <c r="J1217" s="36" t="str">
        <f t="shared" si="427"/>
        <v>Nacional</v>
      </c>
      <c r="K1217" s="36">
        <f t="shared" si="427"/>
        <v>7.5757575757575491E-3</v>
      </c>
      <c r="L1217" s="36">
        <f t="shared" si="427"/>
        <v>1.0353535353535347E-2</v>
      </c>
      <c r="M1217" s="36">
        <f t="shared" si="427"/>
        <v>1.7929292929292896E-2</v>
      </c>
      <c r="N1217" s="36">
        <f t="shared" si="427"/>
        <v>320</v>
      </c>
      <c r="O1217" s="36">
        <f t="shared" si="427"/>
        <v>179</v>
      </c>
      <c r="P1217" s="36" t="str">
        <f t="shared" si="427"/>
        <v>TIJ</v>
      </c>
      <c r="R1217">
        <v>1203</v>
      </c>
      <c r="S1217" s="36" t="str">
        <f t="shared" si="425"/>
        <v>INTERAVIÓN</v>
      </c>
      <c r="T1217" s="36">
        <f t="shared" si="425"/>
        <v>2204</v>
      </c>
      <c r="U1217" s="73">
        <v>0.35486111111111113</v>
      </c>
      <c r="V1217" s="74">
        <v>0.36319444444444443</v>
      </c>
      <c r="W1217" s="75">
        <v>8.3333333333333037E-3</v>
      </c>
      <c r="X1217" s="74">
        <v>0.36805555555555558</v>
      </c>
      <c r="Y1217" s="75">
        <v>4.8611111111111494E-3</v>
      </c>
      <c r="Z1217" s="76">
        <v>41732</v>
      </c>
      <c r="AA1217" s="36" t="str">
        <f t="shared" si="428"/>
        <v>Nacional</v>
      </c>
      <c r="AB1217" s="36">
        <f t="shared" si="428"/>
        <v>6.303418803418807E-3</v>
      </c>
      <c r="AC1217" s="36">
        <f t="shared" si="428"/>
        <v>4.4871794871794712E-3</v>
      </c>
      <c r="AD1217" s="36">
        <f t="shared" si="428"/>
        <v>1.0790598290598278E-2</v>
      </c>
      <c r="AE1217" s="36">
        <f t="shared" si="428"/>
        <v>320</v>
      </c>
      <c r="AF1217" s="36">
        <f t="shared" si="428"/>
        <v>179</v>
      </c>
      <c r="AG1217" s="36" t="str">
        <f t="shared" si="428"/>
        <v>MEX</v>
      </c>
      <c r="AI1217">
        <v>1203</v>
      </c>
      <c r="AJ1217" s="77" t="str">
        <f t="shared" si="415"/>
        <v xml:space="preserve">INTERAVIÓN </v>
      </c>
      <c r="AK1217" s="77">
        <f t="shared" si="415"/>
        <v>808</v>
      </c>
      <c r="AL1217" s="186">
        <v>0.70277777777777783</v>
      </c>
      <c r="AM1217" s="79">
        <v>0.70347222222222217</v>
      </c>
      <c r="AN1217" s="80">
        <v>6.9444444444433095E-4</v>
      </c>
      <c r="AO1217" s="79">
        <v>0.71875</v>
      </c>
      <c r="AP1217" s="80">
        <v>1.5277777777777835E-2</v>
      </c>
      <c r="AQ1217" s="81">
        <v>41808</v>
      </c>
      <c r="AR1217" s="77" t="str">
        <f t="shared" si="422"/>
        <v>Nacional</v>
      </c>
      <c r="AS1217" s="77">
        <f t="shared" si="422"/>
        <v>8.9646464646464547E-3</v>
      </c>
      <c r="AT1217" s="77">
        <f t="shared" si="422"/>
        <v>9.6906565656565795E-3</v>
      </c>
      <c r="AU1217" s="77">
        <f t="shared" si="422"/>
        <v>1.8655303030303036E-2</v>
      </c>
      <c r="AV1217" s="77">
        <f t="shared" si="422"/>
        <v>320</v>
      </c>
      <c r="AW1217" s="77">
        <f t="shared" si="422"/>
        <v>179</v>
      </c>
      <c r="AX1217" s="77" t="str">
        <f t="shared" si="422"/>
        <v>SID</v>
      </c>
    </row>
    <row r="1218" spans="1:50" x14ac:dyDescent="0.25">
      <c r="A1218">
        <v>1204</v>
      </c>
      <c r="B1218" s="36" t="str">
        <f t="shared" si="424"/>
        <v>BARATA Y MORADA</v>
      </c>
      <c r="C1218" s="151">
        <v>428</v>
      </c>
      <c r="D1218" s="152">
        <v>0.66319444444444442</v>
      </c>
      <c r="E1218" s="152">
        <v>0.66527777777777775</v>
      </c>
      <c r="F1218" s="153">
        <v>2.0833333333333259E-3</v>
      </c>
      <c r="G1218" s="152">
        <v>0.68263888888888891</v>
      </c>
      <c r="H1218" s="153">
        <v>1.736111111111116E-2</v>
      </c>
      <c r="I1218" s="67">
        <v>41714</v>
      </c>
      <c r="J1218" s="68" t="s">
        <v>19</v>
      </c>
      <c r="K1218" s="135">
        <v>7.4652777777777886E-3</v>
      </c>
      <c r="L1218" s="135">
        <v>1.0069444444444428E-2</v>
      </c>
      <c r="M1218" s="175">
        <v>1.7534722222222215E-2</v>
      </c>
      <c r="N1218" s="90">
        <v>320</v>
      </c>
      <c r="O1218" s="91">
        <v>179</v>
      </c>
      <c r="P1218" s="92" t="s">
        <v>34</v>
      </c>
      <c r="R1218">
        <v>1204</v>
      </c>
      <c r="S1218" s="36" t="str">
        <f t="shared" si="425"/>
        <v>INTERAVIÓN</v>
      </c>
      <c r="T1218" s="36">
        <f t="shared" si="425"/>
        <v>2204</v>
      </c>
      <c r="U1218" s="73">
        <v>0.36874999999999997</v>
      </c>
      <c r="V1218" s="74">
        <v>0.3756944444444445</v>
      </c>
      <c r="W1218" s="75">
        <v>6.9444444444445308E-3</v>
      </c>
      <c r="X1218" s="74">
        <v>0.37986111111111115</v>
      </c>
      <c r="Y1218" s="75">
        <v>4.1666666666666519E-3</v>
      </c>
      <c r="Z1218" s="76">
        <v>41733</v>
      </c>
      <c r="AA1218" s="36" t="str">
        <f t="shared" si="428"/>
        <v>Nacional</v>
      </c>
      <c r="AB1218" s="36">
        <f t="shared" si="428"/>
        <v>6.303418803418807E-3</v>
      </c>
      <c r="AC1218" s="36">
        <f t="shared" si="428"/>
        <v>4.4871794871794712E-3</v>
      </c>
      <c r="AD1218" s="36">
        <f t="shared" si="428"/>
        <v>1.0790598290598278E-2</v>
      </c>
      <c r="AE1218" s="36">
        <f t="shared" si="428"/>
        <v>320</v>
      </c>
      <c r="AF1218" s="36">
        <f t="shared" si="428"/>
        <v>179</v>
      </c>
      <c r="AG1218" s="36" t="str">
        <f t="shared" si="428"/>
        <v>MEX</v>
      </c>
      <c r="AI1218">
        <v>1204</v>
      </c>
      <c r="AJ1218" s="77" t="str">
        <f t="shared" si="415"/>
        <v xml:space="preserve">INTERAVIÓN </v>
      </c>
      <c r="AK1218" s="77">
        <f t="shared" si="415"/>
        <v>808</v>
      </c>
      <c r="AL1218" s="186">
        <v>0.70624999999999993</v>
      </c>
      <c r="AM1218" s="79">
        <v>0.71250000000000002</v>
      </c>
      <c r="AN1218" s="80">
        <v>6.2500000000000888E-3</v>
      </c>
      <c r="AO1218" s="79">
        <v>0.71944444444444444</v>
      </c>
      <c r="AP1218" s="80">
        <v>6.9444444444444198E-3</v>
      </c>
      <c r="AQ1218" s="81">
        <v>41809</v>
      </c>
      <c r="AR1218" s="77" t="str">
        <f t="shared" si="422"/>
        <v>Nacional</v>
      </c>
      <c r="AS1218" s="77">
        <f t="shared" si="422"/>
        <v>8.9646464646464547E-3</v>
      </c>
      <c r="AT1218" s="77">
        <f t="shared" si="422"/>
        <v>9.6906565656565795E-3</v>
      </c>
      <c r="AU1218" s="77">
        <f t="shared" si="422"/>
        <v>1.8655303030303036E-2</v>
      </c>
      <c r="AV1218" s="77">
        <f t="shared" si="422"/>
        <v>320</v>
      </c>
      <c r="AW1218" s="77">
        <f t="shared" si="422"/>
        <v>179</v>
      </c>
      <c r="AX1218" s="77" t="str">
        <f t="shared" si="422"/>
        <v>SID</v>
      </c>
    </row>
    <row r="1219" spans="1:50" x14ac:dyDescent="0.25">
      <c r="A1219">
        <v>1205</v>
      </c>
      <c r="B1219" s="36" t="str">
        <f t="shared" si="424"/>
        <v>BARATA Y MORADA</v>
      </c>
      <c r="C1219" s="36">
        <f t="shared" si="424"/>
        <v>428</v>
      </c>
      <c r="D1219" s="118">
        <v>0.65902777777777777</v>
      </c>
      <c r="E1219" s="118">
        <v>0.66805555555555562</v>
      </c>
      <c r="F1219" s="119">
        <v>9.0277777777778567E-3</v>
      </c>
      <c r="G1219" s="118">
        <v>0.68125000000000002</v>
      </c>
      <c r="H1219" s="119">
        <v>1.3194444444444398E-2</v>
      </c>
      <c r="I1219" s="81">
        <v>41715</v>
      </c>
      <c r="J1219" s="36" t="str">
        <f t="shared" ref="J1219:P1229" si="429">J1218</f>
        <v>Nacional</v>
      </c>
      <c r="K1219" s="36">
        <f t="shared" si="429"/>
        <v>7.4652777777777886E-3</v>
      </c>
      <c r="L1219" s="36">
        <f t="shared" si="429"/>
        <v>1.0069444444444428E-2</v>
      </c>
      <c r="M1219" s="36">
        <f t="shared" si="429"/>
        <v>1.7534722222222215E-2</v>
      </c>
      <c r="N1219" s="36">
        <f t="shared" si="429"/>
        <v>320</v>
      </c>
      <c r="O1219" s="36">
        <f t="shared" si="429"/>
        <v>179</v>
      </c>
      <c r="P1219" s="36" t="str">
        <f t="shared" si="429"/>
        <v>TIJ</v>
      </c>
      <c r="R1219">
        <v>1205</v>
      </c>
      <c r="S1219" s="36" t="str">
        <f t="shared" si="425"/>
        <v>INTERAVIÓN</v>
      </c>
      <c r="T1219" s="36">
        <f t="shared" si="425"/>
        <v>2204</v>
      </c>
      <c r="U1219" s="73">
        <v>0.3576388888888889</v>
      </c>
      <c r="V1219" s="74">
        <v>0.36458333333333331</v>
      </c>
      <c r="W1219" s="75">
        <v>6.9444444444444198E-3</v>
      </c>
      <c r="X1219" s="74">
        <v>0.36874999999999997</v>
      </c>
      <c r="Y1219" s="75">
        <v>4.1666666666666519E-3</v>
      </c>
      <c r="Z1219" s="76">
        <v>41737</v>
      </c>
      <c r="AA1219" s="36" t="str">
        <f t="shared" si="428"/>
        <v>Nacional</v>
      </c>
      <c r="AB1219" s="36">
        <f t="shared" si="428"/>
        <v>6.303418803418807E-3</v>
      </c>
      <c r="AC1219" s="36">
        <f t="shared" si="428"/>
        <v>4.4871794871794712E-3</v>
      </c>
      <c r="AD1219" s="36">
        <f t="shared" si="428"/>
        <v>1.0790598290598278E-2</v>
      </c>
      <c r="AE1219" s="36">
        <f t="shared" si="428"/>
        <v>320</v>
      </c>
      <c r="AF1219" s="36">
        <f t="shared" si="428"/>
        <v>179</v>
      </c>
      <c r="AG1219" s="36" t="str">
        <f t="shared" si="428"/>
        <v>MEX</v>
      </c>
      <c r="AI1219">
        <v>1205</v>
      </c>
      <c r="AJ1219" s="77" t="str">
        <f t="shared" si="415"/>
        <v xml:space="preserve">INTERAVIÓN </v>
      </c>
      <c r="AK1219" s="77">
        <f t="shared" si="415"/>
        <v>808</v>
      </c>
      <c r="AL1219" s="186">
        <v>0.71805555555555556</v>
      </c>
      <c r="AM1219" s="79">
        <v>0.72222222222222221</v>
      </c>
      <c r="AN1219" s="80">
        <v>4.1666666666666519E-3</v>
      </c>
      <c r="AO1219" s="79">
        <v>0.73055555555555562</v>
      </c>
      <c r="AP1219" s="80">
        <v>8.3333333333334147E-3</v>
      </c>
      <c r="AQ1219" s="81">
        <v>41810</v>
      </c>
      <c r="AR1219" s="77" t="str">
        <f t="shared" si="422"/>
        <v>Nacional</v>
      </c>
      <c r="AS1219" s="77">
        <f t="shared" si="422"/>
        <v>8.9646464646464547E-3</v>
      </c>
      <c r="AT1219" s="77">
        <f t="shared" si="422"/>
        <v>9.6906565656565795E-3</v>
      </c>
      <c r="AU1219" s="77">
        <f t="shared" si="422"/>
        <v>1.8655303030303036E-2</v>
      </c>
      <c r="AV1219" s="77">
        <f t="shared" si="422"/>
        <v>320</v>
      </c>
      <c r="AW1219" s="77">
        <f t="shared" si="422"/>
        <v>179</v>
      </c>
      <c r="AX1219" s="77" t="str">
        <f t="shared" si="422"/>
        <v>SID</v>
      </c>
    </row>
    <row r="1220" spans="1:50" x14ac:dyDescent="0.25">
      <c r="A1220">
        <v>1206</v>
      </c>
      <c r="B1220" s="36" t="str">
        <f t="shared" si="424"/>
        <v>BARATA Y MORADA</v>
      </c>
      <c r="C1220" s="36">
        <f t="shared" si="424"/>
        <v>428</v>
      </c>
      <c r="D1220" s="118">
        <v>0.66041666666666665</v>
      </c>
      <c r="E1220" s="118">
        <v>0.67708333333333337</v>
      </c>
      <c r="F1220" s="119">
        <v>1.6666666666666718E-2</v>
      </c>
      <c r="G1220" s="118">
        <v>0.68333333333333324</v>
      </c>
      <c r="H1220" s="119">
        <v>6.2499999999998668E-3</v>
      </c>
      <c r="I1220" s="81">
        <v>41716</v>
      </c>
      <c r="J1220" s="36" t="str">
        <f t="shared" si="429"/>
        <v>Nacional</v>
      </c>
      <c r="K1220" s="36">
        <f t="shared" si="429"/>
        <v>7.4652777777777886E-3</v>
      </c>
      <c r="L1220" s="36">
        <f t="shared" si="429"/>
        <v>1.0069444444444428E-2</v>
      </c>
      <c r="M1220" s="36">
        <f t="shared" si="429"/>
        <v>1.7534722222222215E-2</v>
      </c>
      <c r="N1220" s="36">
        <f t="shared" si="429"/>
        <v>320</v>
      </c>
      <c r="O1220" s="36">
        <f t="shared" si="429"/>
        <v>179</v>
      </c>
      <c r="P1220" s="36" t="str">
        <f t="shared" si="429"/>
        <v>TIJ</v>
      </c>
      <c r="R1220">
        <v>1206</v>
      </c>
      <c r="S1220" s="36" t="str">
        <f t="shared" si="425"/>
        <v>INTERAVIÓN</v>
      </c>
      <c r="T1220" s="36">
        <f t="shared" si="425"/>
        <v>2204</v>
      </c>
      <c r="U1220" s="73">
        <v>0.38263888888888892</v>
      </c>
      <c r="V1220" s="74">
        <v>0.39097222222222222</v>
      </c>
      <c r="W1220" s="75">
        <v>8.3333333333333037E-3</v>
      </c>
      <c r="X1220" s="74">
        <v>0.39444444444444443</v>
      </c>
      <c r="Y1220" s="75">
        <v>3.4722222222222099E-3</v>
      </c>
      <c r="Z1220" s="76">
        <v>41739</v>
      </c>
      <c r="AA1220" s="36" t="str">
        <f t="shared" si="428"/>
        <v>Nacional</v>
      </c>
      <c r="AB1220" s="36">
        <f t="shared" si="428"/>
        <v>6.303418803418807E-3</v>
      </c>
      <c r="AC1220" s="36">
        <f t="shared" si="428"/>
        <v>4.4871794871794712E-3</v>
      </c>
      <c r="AD1220" s="36">
        <f t="shared" si="428"/>
        <v>1.0790598290598278E-2</v>
      </c>
      <c r="AE1220" s="36">
        <f t="shared" si="428"/>
        <v>320</v>
      </c>
      <c r="AF1220" s="36">
        <f t="shared" si="428"/>
        <v>179</v>
      </c>
      <c r="AG1220" s="36" t="str">
        <f t="shared" si="428"/>
        <v>MEX</v>
      </c>
      <c r="AI1220">
        <v>1206</v>
      </c>
      <c r="AJ1220" s="77" t="str">
        <f t="shared" si="415"/>
        <v xml:space="preserve">INTERAVIÓN </v>
      </c>
      <c r="AK1220" s="77">
        <f t="shared" si="415"/>
        <v>808</v>
      </c>
      <c r="AL1220" s="186">
        <v>0.71527777777777779</v>
      </c>
      <c r="AM1220" s="79">
        <v>0.72222222222222221</v>
      </c>
      <c r="AN1220" s="80">
        <v>6.9444444444444198E-3</v>
      </c>
      <c r="AO1220" s="79">
        <v>0.73125000000000007</v>
      </c>
      <c r="AP1220" s="80">
        <v>9.0277777777778567E-3</v>
      </c>
      <c r="AQ1220" s="81">
        <v>41811</v>
      </c>
      <c r="AR1220" s="77" t="str">
        <f t="shared" si="422"/>
        <v>Nacional</v>
      </c>
      <c r="AS1220" s="77">
        <f t="shared" si="422"/>
        <v>8.9646464646464547E-3</v>
      </c>
      <c r="AT1220" s="77">
        <f t="shared" si="422"/>
        <v>9.6906565656565795E-3</v>
      </c>
      <c r="AU1220" s="77">
        <f t="shared" si="422"/>
        <v>1.8655303030303036E-2</v>
      </c>
      <c r="AV1220" s="77">
        <f t="shared" si="422"/>
        <v>320</v>
      </c>
      <c r="AW1220" s="77">
        <f t="shared" si="422"/>
        <v>179</v>
      </c>
      <c r="AX1220" s="77" t="str">
        <f t="shared" si="422"/>
        <v>SID</v>
      </c>
    </row>
    <row r="1221" spans="1:50" ht="15.75" thickBot="1" x14ac:dyDescent="0.3">
      <c r="A1221">
        <v>1207</v>
      </c>
      <c r="B1221" s="36" t="str">
        <f t="shared" si="424"/>
        <v>BARATA Y MORADA</v>
      </c>
      <c r="C1221" s="36">
        <f t="shared" si="424"/>
        <v>428</v>
      </c>
      <c r="D1221" s="118">
        <v>0.66805555555555562</v>
      </c>
      <c r="E1221" s="118">
        <v>0.67638888888888893</v>
      </c>
      <c r="F1221" s="119">
        <v>8.3333333333333037E-3</v>
      </c>
      <c r="G1221" s="118">
        <v>0.68263888888888891</v>
      </c>
      <c r="H1221" s="119">
        <v>6.2499999999999778E-3</v>
      </c>
      <c r="I1221" s="81">
        <v>41717</v>
      </c>
      <c r="J1221" s="36" t="str">
        <f t="shared" si="429"/>
        <v>Nacional</v>
      </c>
      <c r="K1221" s="36">
        <f t="shared" si="429"/>
        <v>7.4652777777777886E-3</v>
      </c>
      <c r="L1221" s="36">
        <f t="shared" si="429"/>
        <v>1.0069444444444428E-2</v>
      </c>
      <c r="M1221" s="36">
        <f t="shared" si="429"/>
        <v>1.7534722222222215E-2</v>
      </c>
      <c r="N1221" s="36">
        <f t="shared" si="429"/>
        <v>320</v>
      </c>
      <c r="O1221" s="36">
        <f t="shared" si="429"/>
        <v>179</v>
      </c>
      <c r="P1221" s="36" t="str">
        <f t="shared" si="429"/>
        <v>TIJ</v>
      </c>
      <c r="R1221">
        <v>1207</v>
      </c>
      <c r="S1221" s="36" t="str">
        <f t="shared" si="425"/>
        <v>INTERAVIÓN</v>
      </c>
      <c r="T1221" s="36">
        <f t="shared" si="425"/>
        <v>2204</v>
      </c>
      <c r="U1221" s="73">
        <v>0.36249999999999999</v>
      </c>
      <c r="V1221" s="74">
        <v>0.36805555555555558</v>
      </c>
      <c r="W1221" s="75">
        <v>5.5555555555555913E-3</v>
      </c>
      <c r="X1221" s="74">
        <v>0.37152777777777773</v>
      </c>
      <c r="Y1221" s="75">
        <v>3.4722222222221544E-3</v>
      </c>
      <c r="Z1221" s="76">
        <v>41742</v>
      </c>
      <c r="AA1221" s="36" t="str">
        <f t="shared" si="428"/>
        <v>Nacional</v>
      </c>
      <c r="AB1221" s="36">
        <f t="shared" si="428"/>
        <v>6.303418803418807E-3</v>
      </c>
      <c r="AC1221" s="36">
        <f t="shared" si="428"/>
        <v>4.4871794871794712E-3</v>
      </c>
      <c r="AD1221" s="36">
        <f t="shared" si="428"/>
        <v>1.0790598290598278E-2</v>
      </c>
      <c r="AE1221" s="36">
        <f t="shared" si="428"/>
        <v>320</v>
      </c>
      <c r="AF1221" s="36">
        <f t="shared" si="428"/>
        <v>179</v>
      </c>
      <c r="AG1221" s="36" t="str">
        <f t="shared" si="428"/>
        <v>MEX</v>
      </c>
      <c r="AI1221">
        <v>1207</v>
      </c>
      <c r="AJ1221" s="77" t="str">
        <f t="shared" si="415"/>
        <v xml:space="preserve">INTERAVIÓN </v>
      </c>
      <c r="AK1221" s="77">
        <f t="shared" si="415"/>
        <v>808</v>
      </c>
      <c r="AL1221" s="187">
        <v>0.71875</v>
      </c>
      <c r="AM1221" s="95">
        <v>0.72361111111111109</v>
      </c>
      <c r="AN1221" s="96">
        <v>4.8611111111110938E-3</v>
      </c>
      <c r="AO1221" s="95">
        <v>0.72986111111111107</v>
      </c>
      <c r="AP1221" s="96">
        <v>6.2499999999999778E-3</v>
      </c>
      <c r="AQ1221" s="97">
        <v>41813</v>
      </c>
      <c r="AR1221" s="77" t="str">
        <f t="shared" si="422"/>
        <v>Nacional</v>
      </c>
      <c r="AS1221" s="77">
        <f t="shared" si="422"/>
        <v>8.9646464646464547E-3</v>
      </c>
      <c r="AT1221" s="77">
        <f t="shared" si="422"/>
        <v>9.6906565656565795E-3</v>
      </c>
      <c r="AU1221" s="77">
        <f t="shared" si="422"/>
        <v>1.8655303030303036E-2</v>
      </c>
      <c r="AV1221" s="77">
        <f t="shared" si="422"/>
        <v>320</v>
      </c>
      <c r="AW1221" s="77">
        <f t="shared" si="422"/>
        <v>179</v>
      </c>
      <c r="AX1221" s="77" t="str">
        <f t="shared" si="422"/>
        <v>SID</v>
      </c>
    </row>
    <row r="1222" spans="1:50" x14ac:dyDescent="0.25">
      <c r="A1222">
        <v>1208</v>
      </c>
      <c r="B1222" s="36" t="str">
        <f t="shared" si="424"/>
        <v>BARATA Y MORADA</v>
      </c>
      <c r="C1222" s="36">
        <f t="shared" si="424"/>
        <v>428</v>
      </c>
      <c r="D1222" s="118">
        <v>0.66388888888888886</v>
      </c>
      <c r="E1222" s="118">
        <v>0.67152777777777783</v>
      </c>
      <c r="F1222" s="119">
        <v>7.6388888888889728E-3</v>
      </c>
      <c r="G1222" s="118">
        <v>0.67638888888888893</v>
      </c>
      <c r="H1222" s="119">
        <v>4.8611111111110938E-3</v>
      </c>
      <c r="I1222" s="81">
        <v>41718</v>
      </c>
      <c r="J1222" s="36" t="str">
        <f t="shared" si="429"/>
        <v>Nacional</v>
      </c>
      <c r="K1222" s="36">
        <f t="shared" si="429"/>
        <v>7.4652777777777886E-3</v>
      </c>
      <c r="L1222" s="36">
        <f t="shared" si="429"/>
        <v>1.0069444444444428E-2</v>
      </c>
      <c r="M1222" s="36">
        <f t="shared" si="429"/>
        <v>1.7534722222222215E-2</v>
      </c>
      <c r="N1222" s="36">
        <f t="shared" si="429"/>
        <v>320</v>
      </c>
      <c r="O1222" s="36">
        <f t="shared" si="429"/>
        <v>179</v>
      </c>
      <c r="P1222" s="36" t="str">
        <f t="shared" si="429"/>
        <v>TIJ</v>
      </c>
      <c r="R1222">
        <v>1208</v>
      </c>
      <c r="S1222" s="36" t="str">
        <f t="shared" si="425"/>
        <v>INTERAVIÓN</v>
      </c>
      <c r="T1222" s="36">
        <f t="shared" si="425"/>
        <v>2204</v>
      </c>
      <c r="U1222" s="73">
        <v>0.3576388888888889</v>
      </c>
      <c r="V1222" s="74">
        <v>0.3611111111111111</v>
      </c>
      <c r="W1222" s="75">
        <v>3.4722222222222099E-3</v>
      </c>
      <c r="X1222" s="74">
        <v>0.37083333333333335</v>
      </c>
      <c r="Y1222" s="75">
        <v>9.7222222222222432E-3</v>
      </c>
      <c r="Z1222" s="76">
        <v>41743</v>
      </c>
      <c r="AA1222" s="36" t="str">
        <f t="shared" si="428"/>
        <v>Nacional</v>
      </c>
      <c r="AB1222" s="36">
        <f t="shared" si="428"/>
        <v>6.303418803418807E-3</v>
      </c>
      <c r="AC1222" s="36">
        <f t="shared" si="428"/>
        <v>4.4871794871794712E-3</v>
      </c>
      <c r="AD1222" s="36">
        <f t="shared" si="428"/>
        <v>1.0790598290598278E-2</v>
      </c>
      <c r="AE1222" s="36">
        <f t="shared" si="428"/>
        <v>320</v>
      </c>
      <c r="AF1222" s="36">
        <f t="shared" si="428"/>
        <v>179</v>
      </c>
      <c r="AG1222" s="36" t="str">
        <f t="shared" si="428"/>
        <v>MEX</v>
      </c>
      <c r="AI1222">
        <v>1208</v>
      </c>
      <c r="AJ1222" s="77" t="str">
        <f t="shared" si="415"/>
        <v xml:space="preserve">INTERAVIÓN </v>
      </c>
      <c r="AK1222" s="63">
        <v>413</v>
      </c>
      <c r="AL1222" s="185">
        <v>0.55694444444444446</v>
      </c>
      <c r="AM1222" s="65">
        <v>0.56388888888888888</v>
      </c>
      <c r="AN1222" s="66">
        <v>6.9444444444444198E-3</v>
      </c>
      <c r="AO1222" s="65">
        <v>0.5756944444444444</v>
      </c>
      <c r="AP1222" s="66">
        <v>1.1805555555555514E-2</v>
      </c>
      <c r="AQ1222" s="67">
        <v>41791</v>
      </c>
      <c r="AR1222" s="68" t="s">
        <v>19</v>
      </c>
      <c r="AS1222" s="69">
        <v>7.5347222222222118E-3</v>
      </c>
      <c r="AT1222" s="70">
        <v>1.0138888888888916E-2</v>
      </c>
      <c r="AU1222" s="70">
        <v>1.7673611111111126E-2</v>
      </c>
      <c r="AV1222" s="71">
        <v>320</v>
      </c>
      <c r="AW1222" s="71">
        <v>179</v>
      </c>
      <c r="AX1222" s="72" t="s">
        <v>34</v>
      </c>
    </row>
    <row r="1223" spans="1:50" ht="15.75" thickBot="1" x14ac:dyDescent="0.3">
      <c r="A1223">
        <v>1209</v>
      </c>
      <c r="B1223" s="36" t="str">
        <f t="shared" si="424"/>
        <v>BARATA Y MORADA</v>
      </c>
      <c r="C1223" s="36">
        <f t="shared" si="424"/>
        <v>428</v>
      </c>
      <c r="D1223" s="118">
        <v>0.67222222222222217</v>
      </c>
      <c r="E1223" s="118">
        <v>0.67499999999999993</v>
      </c>
      <c r="F1223" s="119">
        <v>2.7777777777777679E-3</v>
      </c>
      <c r="G1223" s="118">
        <v>0.69305555555555554</v>
      </c>
      <c r="H1223" s="119">
        <v>1.8055555555555602E-2</v>
      </c>
      <c r="I1223" s="81">
        <v>41720</v>
      </c>
      <c r="J1223" s="36" t="str">
        <f t="shared" si="429"/>
        <v>Nacional</v>
      </c>
      <c r="K1223" s="36">
        <f t="shared" si="429"/>
        <v>7.4652777777777886E-3</v>
      </c>
      <c r="L1223" s="36">
        <f t="shared" si="429"/>
        <v>1.0069444444444428E-2</v>
      </c>
      <c r="M1223" s="36">
        <f t="shared" si="429"/>
        <v>1.7534722222222215E-2</v>
      </c>
      <c r="N1223" s="36">
        <f t="shared" si="429"/>
        <v>320</v>
      </c>
      <c r="O1223" s="36">
        <f t="shared" si="429"/>
        <v>179</v>
      </c>
      <c r="P1223" s="36" t="str">
        <f t="shared" si="429"/>
        <v>TIJ</v>
      </c>
      <c r="R1223">
        <v>1209</v>
      </c>
      <c r="S1223" s="36" t="str">
        <f t="shared" si="425"/>
        <v>INTERAVIÓN</v>
      </c>
      <c r="T1223" s="36">
        <f t="shared" si="425"/>
        <v>2204</v>
      </c>
      <c r="U1223" s="73">
        <v>0.35833333333333334</v>
      </c>
      <c r="V1223" s="74">
        <v>0.36388888888888887</v>
      </c>
      <c r="W1223" s="75">
        <v>5.5555555555555358E-3</v>
      </c>
      <c r="X1223" s="74">
        <v>0.37222222222222223</v>
      </c>
      <c r="Y1223" s="75">
        <v>8.3333333333333592E-3</v>
      </c>
      <c r="Z1223" s="76">
        <v>41744</v>
      </c>
      <c r="AA1223" s="36" t="str">
        <f t="shared" si="428"/>
        <v>Nacional</v>
      </c>
      <c r="AB1223" s="36">
        <f t="shared" si="428"/>
        <v>6.303418803418807E-3</v>
      </c>
      <c r="AC1223" s="36">
        <f t="shared" si="428"/>
        <v>4.4871794871794712E-3</v>
      </c>
      <c r="AD1223" s="36">
        <f t="shared" si="428"/>
        <v>1.0790598290598278E-2</v>
      </c>
      <c r="AE1223" s="36">
        <f t="shared" si="428"/>
        <v>320</v>
      </c>
      <c r="AF1223" s="36">
        <f t="shared" si="428"/>
        <v>179</v>
      </c>
      <c r="AG1223" s="36" t="str">
        <f t="shared" si="428"/>
        <v>MEX</v>
      </c>
      <c r="AI1223">
        <v>1209</v>
      </c>
      <c r="AJ1223" s="77" t="str">
        <f t="shared" si="415"/>
        <v xml:space="preserve">INTERAVIÓN </v>
      </c>
      <c r="AK1223" s="77">
        <f t="shared" si="415"/>
        <v>413</v>
      </c>
      <c r="AL1223" s="186">
        <v>0.60486111111111118</v>
      </c>
      <c r="AM1223" s="79">
        <v>0.61111111111111105</v>
      </c>
      <c r="AN1223" s="80">
        <v>6.2499999999998668E-3</v>
      </c>
      <c r="AO1223" s="79">
        <v>0.61597222222222225</v>
      </c>
      <c r="AP1223" s="80">
        <v>4.8611111111112049E-3</v>
      </c>
      <c r="AQ1223" s="81">
        <v>41792</v>
      </c>
      <c r="AR1223" s="77" t="str">
        <f t="shared" ref="AR1223:AX1241" si="430">AR1222</f>
        <v>Nacional</v>
      </c>
      <c r="AS1223" s="77">
        <f t="shared" si="430"/>
        <v>7.5347222222222118E-3</v>
      </c>
      <c r="AT1223" s="77">
        <f t="shared" si="430"/>
        <v>1.0138888888888916E-2</v>
      </c>
      <c r="AU1223" s="77">
        <f t="shared" si="430"/>
        <v>1.7673611111111126E-2</v>
      </c>
      <c r="AV1223" s="77">
        <f t="shared" si="430"/>
        <v>320</v>
      </c>
      <c r="AW1223" s="77">
        <f t="shared" si="430"/>
        <v>179</v>
      </c>
      <c r="AX1223" s="77" t="str">
        <f t="shared" si="430"/>
        <v>TIJ</v>
      </c>
    </row>
    <row r="1224" spans="1:50" x14ac:dyDescent="0.25">
      <c r="A1224">
        <v>1210</v>
      </c>
      <c r="B1224" s="36" t="str">
        <f t="shared" si="424"/>
        <v>BARATA Y MORADA</v>
      </c>
      <c r="C1224" s="36">
        <f t="shared" si="424"/>
        <v>428</v>
      </c>
      <c r="D1224" s="118">
        <v>0.66041666666666665</v>
      </c>
      <c r="E1224" s="118">
        <v>0.66805555555555562</v>
      </c>
      <c r="F1224" s="119">
        <v>7.6388888888889728E-3</v>
      </c>
      <c r="G1224" s="118">
        <v>0.67638888888888893</v>
      </c>
      <c r="H1224" s="119">
        <v>8.3333333333333037E-3</v>
      </c>
      <c r="I1224" s="81">
        <v>41721</v>
      </c>
      <c r="J1224" s="36" t="str">
        <f t="shared" si="429"/>
        <v>Nacional</v>
      </c>
      <c r="K1224" s="36">
        <f t="shared" si="429"/>
        <v>7.4652777777777886E-3</v>
      </c>
      <c r="L1224" s="36">
        <f t="shared" si="429"/>
        <v>1.0069444444444428E-2</v>
      </c>
      <c r="M1224" s="36">
        <f t="shared" si="429"/>
        <v>1.7534722222222215E-2</v>
      </c>
      <c r="N1224" s="36">
        <f t="shared" si="429"/>
        <v>320</v>
      </c>
      <c r="O1224" s="36">
        <f t="shared" si="429"/>
        <v>179</v>
      </c>
      <c r="P1224" s="36" t="str">
        <f t="shared" si="429"/>
        <v>TIJ</v>
      </c>
      <c r="R1224">
        <v>1210</v>
      </c>
      <c r="S1224" s="36" t="str">
        <f t="shared" si="425"/>
        <v>INTERAVIÓN</v>
      </c>
      <c r="T1224" s="36">
        <f t="shared" si="425"/>
        <v>2204</v>
      </c>
      <c r="U1224" s="73">
        <v>0.35694444444444445</v>
      </c>
      <c r="V1224" s="74">
        <v>0.36319444444444443</v>
      </c>
      <c r="W1224" s="75">
        <v>6.2499999999999778E-3</v>
      </c>
      <c r="X1224" s="74">
        <v>0.3659722222222222</v>
      </c>
      <c r="Y1224" s="75">
        <v>2.7777777777777679E-3</v>
      </c>
      <c r="Z1224" s="76">
        <v>41745</v>
      </c>
      <c r="AA1224" s="36" t="str">
        <f t="shared" si="428"/>
        <v>Nacional</v>
      </c>
      <c r="AB1224" s="36">
        <f t="shared" si="428"/>
        <v>6.303418803418807E-3</v>
      </c>
      <c r="AC1224" s="36">
        <f t="shared" si="428"/>
        <v>4.4871794871794712E-3</v>
      </c>
      <c r="AD1224" s="36">
        <f t="shared" si="428"/>
        <v>1.0790598290598278E-2</v>
      </c>
      <c r="AE1224" s="36">
        <f t="shared" si="428"/>
        <v>320</v>
      </c>
      <c r="AF1224" s="36">
        <f t="shared" si="428"/>
        <v>179</v>
      </c>
      <c r="AG1224" s="36" t="str">
        <f t="shared" si="428"/>
        <v>MEX</v>
      </c>
      <c r="AI1224">
        <v>1210</v>
      </c>
      <c r="AJ1224" s="63" t="s">
        <v>87</v>
      </c>
      <c r="AK1224" s="77">
        <f t="shared" ref="AK1224:AK1242" si="431">AK1223</f>
        <v>413</v>
      </c>
      <c r="AL1224" s="186">
        <v>0.65</v>
      </c>
      <c r="AM1224" s="79">
        <v>0.65625</v>
      </c>
      <c r="AN1224" s="80">
        <v>6.2499999999999778E-3</v>
      </c>
      <c r="AO1224" s="79">
        <v>0.66319444444444442</v>
      </c>
      <c r="AP1224" s="80">
        <v>6.9444444444444198E-3</v>
      </c>
      <c r="AQ1224" s="81">
        <v>41793</v>
      </c>
      <c r="AR1224" s="77" t="str">
        <f t="shared" si="430"/>
        <v>Nacional</v>
      </c>
      <c r="AS1224" s="77">
        <f t="shared" si="430"/>
        <v>7.5347222222222118E-3</v>
      </c>
      <c r="AT1224" s="77">
        <f t="shared" si="430"/>
        <v>1.0138888888888916E-2</v>
      </c>
      <c r="AU1224" s="77">
        <f t="shared" si="430"/>
        <v>1.7673611111111126E-2</v>
      </c>
      <c r="AV1224" s="77">
        <f t="shared" si="430"/>
        <v>320</v>
      </c>
      <c r="AW1224" s="77">
        <f t="shared" si="430"/>
        <v>179</v>
      </c>
      <c r="AX1224" s="77" t="str">
        <f t="shared" si="430"/>
        <v>TIJ</v>
      </c>
    </row>
    <row r="1225" spans="1:50" x14ac:dyDescent="0.25">
      <c r="A1225">
        <v>1211</v>
      </c>
      <c r="B1225" s="36" t="str">
        <f t="shared" si="424"/>
        <v>BARATA Y MORADA</v>
      </c>
      <c r="C1225" s="36">
        <f t="shared" si="424"/>
        <v>428</v>
      </c>
      <c r="D1225" s="118">
        <v>0.66597222222222219</v>
      </c>
      <c r="E1225" s="118">
        <v>0.67291666666666661</v>
      </c>
      <c r="F1225" s="119">
        <v>6.9444444444444198E-3</v>
      </c>
      <c r="G1225" s="118">
        <v>0.67847222222222225</v>
      </c>
      <c r="H1225" s="119">
        <v>5.5555555555556468E-3</v>
      </c>
      <c r="I1225" s="81">
        <v>41722</v>
      </c>
      <c r="J1225" s="36" t="str">
        <f t="shared" si="429"/>
        <v>Nacional</v>
      </c>
      <c r="K1225" s="36">
        <f t="shared" si="429"/>
        <v>7.4652777777777886E-3</v>
      </c>
      <c r="L1225" s="36">
        <f t="shared" si="429"/>
        <v>1.0069444444444428E-2</v>
      </c>
      <c r="M1225" s="36">
        <f t="shared" si="429"/>
        <v>1.7534722222222215E-2</v>
      </c>
      <c r="N1225" s="36">
        <f t="shared" si="429"/>
        <v>320</v>
      </c>
      <c r="O1225" s="36">
        <f t="shared" si="429"/>
        <v>179</v>
      </c>
      <c r="P1225" s="36" t="str">
        <f t="shared" si="429"/>
        <v>TIJ</v>
      </c>
      <c r="R1225">
        <v>1211</v>
      </c>
      <c r="S1225" s="36" t="str">
        <f t="shared" si="425"/>
        <v>INTERAVIÓN</v>
      </c>
      <c r="T1225" s="36">
        <f t="shared" si="425"/>
        <v>2204</v>
      </c>
      <c r="U1225" s="73">
        <v>0.35694444444444445</v>
      </c>
      <c r="V1225" s="74">
        <v>0.36388888888888887</v>
      </c>
      <c r="W1225" s="75">
        <v>6.9444444444444198E-3</v>
      </c>
      <c r="X1225" s="74">
        <v>0.36736111111111108</v>
      </c>
      <c r="Y1225" s="75">
        <v>3.4722222222222099E-3</v>
      </c>
      <c r="Z1225" s="76">
        <v>41757</v>
      </c>
      <c r="AA1225" s="36" t="str">
        <f t="shared" si="428"/>
        <v>Nacional</v>
      </c>
      <c r="AB1225" s="36">
        <f t="shared" si="428"/>
        <v>6.303418803418807E-3</v>
      </c>
      <c r="AC1225" s="36">
        <f t="shared" si="428"/>
        <v>4.4871794871794712E-3</v>
      </c>
      <c r="AD1225" s="36">
        <f t="shared" si="428"/>
        <v>1.0790598290598278E-2</v>
      </c>
      <c r="AE1225" s="36">
        <f t="shared" si="428"/>
        <v>320</v>
      </c>
      <c r="AF1225" s="36">
        <f t="shared" si="428"/>
        <v>179</v>
      </c>
      <c r="AG1225" s="36" t="str">
        <f t="shared" si="428"/>
        <v>MEX</v>
      </c>
      <c r="AI1225">
        <v>1211</v>
      </c>
      <c r="AJ1225" s="77" t="str">
        <f t="shared" ref="AJ1225:AK1272" si="432">AJ1224</f>
        <v xml:space="preserve">INTERAVIÓN </v>
      </c>
      <c r="AK1225" s="77">
        <f t="shared" si="431"/>
        <v>413</v>
      </c>
      <c r="AL1225" s="186">
        <v>0.59722222222222221</v>
      </c>
      <c r="AM1225" s="79">
        <v>0.60416666666666663</v>
      </c>
      <c r="AN1225" s="80">
        <v>6.9444444444444198E-3</v>
      </c>
      <c r="AO1225" s="79">
        <v>0.61805555555555558</v>
      </c>
      <c r="AP1225" s="80">
        <v>1.3888888888888951E-2</v>
      </c>
      <c r="AQ1225" s="81">
        <v>41794</v>
      </c>
      <c r="AR1225" s="77" t="str">
        <f t="shared" si="430"/>
        <v>Nacional</v>
      </c>
      <c r="AS1225" s="77">
        <f t="shared" si="430"/>
        <v>7.5347222222222118E-3</v>
      </c>
      <c r="AT1225" s="77">
        <f t="shared" si="430"/>
        <v>1.0138888888888916E-2</v>
      </c>
      <c r="AU1225" s="77">
        <f t="shared" si="430"/>
        <v>1.7673611111111126E-2</v>
      </c>
      <c r="AV1225" s="77">
        <f t="shared" si="430"/>
        <v>320</v>
      </c>
      <c r="AW1225" s="77">
        <f t="shared" si="430"/>
        <v>179</v>
      </c>
      <c r="AX1225" s="77" t="str">
        <f t="shared" si="430"/>
        <v>TIJ</v>
      </c>
    </row>
    <row r="1226" spans="1:50" x14ac:dyDescent="0.25">
      <c r="A1226">
        <v>1212</v>
      </c>
      <c r="B1226" s="36" t="str">
        <f t="shared" si="424"/>
        <v>BARATA Y MORADA</v>
      </c>
      <c r="C1226" s="36">
        <f t="shared" si="424"/>
        <v>428</v>
      </c>
      <c r="D1226" s="118">
        <v>0.67638888888888893</v>
      </c>
      <c r="E1226" s="118">
        <v>0.68680555555555556</v>
      </c>
      <c r="F1226" s="119">
        <v>1.041666666666663E-2</v>
      </c>
      <c r="G1226" s="118">
        <v>0.69513888888888886</v>
      </c>
      <c r="H1226" s="119">
        <v>8.3333333333333037E-3</v>
      </c>
      <c r="I1226" s="81">
        <v>41725</v>
      </c>
      <c r="J1226" s="36" t="str">
        <f t="shared" si="429"/>
        <v>Nacional</v>
      </c>
      <c r="K1226" s="36">
        <f t="shared" si="429"/>
        <v>7.4652777777777886E-3</v>
      </c>
      <c r="L1226" s="36">
        <f t="shared" si="429"/>
        <v>1.0069444444444428E-2</v>
      </c>
      <c r="M1226" s="36">
        <f t="shared" si="429"/>
        <v>1.7534722222222215E-2</v>
      </c>
      <c r="N1226" s="36">
        <f t="shared" si="429"/>
        <v>320</v>
      </c>
      <c r="O1226" s="36">
        <f t="shared" si="429"/>
        <v>179</v>
      </c>
      <c r="P1226" s="36" t="str">
        <f t="shared" si="429"/>
        <v>TIJ</v>
      </c>
      <c r="R1226">
        <v>1212</v>
      </c>
      <c r="S1226" s="36" t="str">
        <f t="shared" si="425"/>
        <v>INTERAVIÓN</v>
      </c>
      <c r="T1226" s="36">
        <f t="shared" si="425"/>
        <v>2204</v>
      </c>
      <c r="U1226" s="73">
        <v>0.60555555555555551</v>
      </c>
      <c r="V1226" s="74">
        <v>0.6069444444444444</v>
      </c>
      <c r="W1226" s="75">
        <v>1.388888888888884E-3</v>
      </c>
      <c r="X1226" s="74">
        <v>0.61111111111111105</v>
      </c>
      <c r="Y1226" s="75">
        <v>4.1666666666666519E-3</v>
      </c>
      <c r="Z1226" s="76">
        <v>41757</v>
      </c>
      <c r="AA1226" s="36" t="str">
        <f t="shared" si="428"/>
        <v>Nacional</v>
      </c>
      <c r="AB1226" s="36">
        <f t="shared" si="428"/>
        <v>6.303418803418807E-3</v>
      </c>
      <c r="AC1226" s="36">
        <f t="shared" si="428"/>
        <v>4.4871794871794712E-3</v>
      </c>
      <c r="AD1226" s="36">
        <f t="shared" si="428"/>
        <v>1.0790598290598278E-2</v>
      </c>
      <c r="AE1226" s="36">
        <f t="shared" si="428"/>
        <v>320</v>
      </c>
      <c r="AF1226" s="36">
        <f t="shared" si="428"/>
        <v>179</v>
      </c>
      <c r="AG1226" s="36" t="str">
        <f t="shared" si="428"/>
        <v>MEX</v>
      </c>
      <c r="AI1226">
        <v>1212</v>
      </c>
      <c r="AJ1226" s="77" t="str">
        <f t="shared" si="432"/>
        <v xml:space="preserve">INTERAVIÓN </v>
      </c>
      <c r="AK1226" s="77">
        <f t="shared" si="431"/>
        <v>413</v>
      </c>
      <c r="AL1226" s="186">
        <v>0.61319444444444449</v>
      </c>
      <c r="AM1226" s="79">
        <v>0.61527777777777781</v>
      </c>
      <c r="AN1226" s="80">
        <v>2.0833333333333259E-3</v>
      </c>
      <c r="AO1226" s="79">
        <v>0.62083333333333335</v>
      </c>
      <c r="AP1226" s="80">
        <v>5.5555555555555358E-3</v>
      </c>
      <c r="AQ1226" s="81">
        <v>41795</v>
      </c>
      <c r="AR1226" s="77" t="str">
        <f t="shared" si="430"/>
        <v>Nacional</v>
      </c>
      <c r="AS1226" s="77">
        <f t="shared" si="430"/>
        <v>7.5347222222222118E-3</v>
      </c>
      <c r="AT1226" s="77">
        <f t="shared" si="430"/>
        <v>1.0138888888888916E-2</v>
      </c>
      <c r="AU1226" s="77">
        <f t="shared" si="430"/>
        <v>1.7673611111111126E-2</v>
      </c>
      <c r="AV1226" s="77">
        <f t="shared" si="430"/>
        <v>320</v>
      </c>
      <c r="AW1226" s="77">
        <f t="shared" si="430"/>
        <v>179</v>
      </c>
      <c r="AX1226" s="77" t="str">
        <f t="shared" si="430"/>
        <v>TIJ</v>
      </c>
    </row>
    <row r="1227" spans="1:50" ht="15.75" thickBot="1" x14ac:dyDescent="0.3">
      <c r="A1227">
        <v>1213</v>
      </c>
      <c r="B1227" s="36" t="str">
        <f t="shared" si="424"/>
        <v>BARATA Y MORADA</v>
      </c>
      <c r="C1227" s="36">
        <f t="shared" si="424"/>
        <v>428</v>
      </c>
      <c r="D1227" s="118">
        <v>0.70486111111111116</v>
      </c>
      <c r="E1227" s="118">
        <v>0.71250000000000002</v>
      </c>
      <c r="F1227" s="119">
        <v>7.6388888888888618E-3</v>
      </c>
      <c r="G1227" s="118">
        <v>0.72499999999999998</v>
      </c>
      <c r="H1227" s="119">
        <v>1.2499999999999956E-2</v>
      </c>
      <c r="I1227" s="81">
        <v>41725</v>
      </c>
      <c r="J1227" s="36" t="str">
        <f t="shared" si="429"/>
        <v>Nacional</v>
      </c>
      <c r="K1227" s="36">
        <f t="shared" si="429"/>
        <v>7.4652777777777886E-3</v>
      </c>
      <c r="L1227" s="36">
        <f t="shared" si="429"/>
        <v>1.0069444444444428E-2</v>
      </c>
      <c r="M1227" s="36">
        <f t="shared" si="429"/>
        <v>1.7534722222222215E-2</v>
      </c>
      <c r="N1227" s="36">
        <f t="shared" si="429"/>
        <v>320</v>
      </c>
      <c r="O1227" s="36">
        <f t="shared" si="429"/>
        <v>179</v>
      </c>
      <c r="P1227" s="36" t="str">
        <f t="shared" si="429"/>
        <v>TIJ</v>
      </c>
      <c r="R1227">
        <v>1213</v>
      </c>
      <c r="S1227" s="36" t="str">
        <f t="shared" si="425"/>
        <v>INTERAVIÓN</v>
      </c>
      <c r="T1227" s="36">
        <f t="shared" si="425"/>
        <v>2204</v>
      </c>
      <c r="U1227" s="83">
        <v>0.3576388888888889</v>
      </c>
      <c r="V1227" s="84">
        <v>0.36527777777777781</v>
      </c>
      <c r="W1227" s="85">
        <v>7.6388888888889173E-3</v>
      </c>
      <c r="X1227" s="84">
        <v>0.36736111111111108</v>
      </c>
      <c r="Y1227" s="85">
        <v>2.0833333333332704E-3</v>
      </c>
      <c r="Z1227" s="86">
        <v>41759</v>
      </c>
      <c r="AA1227" s="36" t="str">
        <f t="shared" si="428"/>
        <v>Nacional</v>
      </c>
      <c r="AB1227" s="36">
        <f t="shared" si="428"/>
        <v>6.303418803418807E-3</v>
      </c>
      <c r="AC1227" s="36">
        <f t="shared" si="428"/>
        <v>4.4871794871794712E-3</v>
      </c>
      <c r="AD1227" s="36">
        <f t="shared" si="428"/>
        <v>1.0790598290598278E-2</v>
      </c>
      <c r="AE1227" s="36">
        <f t="shared" si="428"/>
        <v>320</v>
      </c>
      <c r="AF1227" s="36">
        <f t="shared" si="428"/>
        <v>179</v>
      </c>
      <c r="AG1227" s="36" t="str">
        <f t="shared" si="428"/>
        <v>MEX</v>
      </c>
      <c r="AI1227">
        <v>1213</v>
      </c>
      <c r="AJ1227" s="77" t="str">
        <f t="shared" si="432"/>
        <v xml:space="preserve">INTERAVIÓN </v>
      </c>
      <c r="AK1227" s="77">
        <f t="shared" si="431"/>
        <v>413</v>
      </c>
      <c r="AL1227" s="186">
        <v>0.61527777777777781</v>
      </c>
      <c r="AM1227" s="79">
        <v>0.62361111111111112</v>
      </c>
      <c r="AN1227" s="80">
        <v>8.3333333333333037E-3</v>
      </c>
      <c r="AO1227" s="79">
        <v>0.63611111111111118</v>
      </c>
      <c r="AP1227" s="80">
        <v>1.2500000000000067E-2</v>
      </c>
      <c r="AQ1227" s="81">
        <v>41796</v>
      </c>
      <c r="AR1227" s="77" t="str">
        <f t="shared" si="430"/>
        <v>Nacional</v>
      </c>
      <c r="AS1227" s="77">
        <f t="shared" si="430"/>
        <v>7.5347222222222118E-3</v>
      </c>
      <c r="AT1227" s="77">
        <f t="shared" si="430"/>
        <v>1.0138888888888916E-2</v>
      </c>
      <c r="AU1227" s="77">
        <f t="shared" si="430"/>
        <v>1.7673611111111126E-2</v>
      </c>
      <c r="AV1227" s="77">
        <f t="shared" si="430"/>
        <v>320</v>
      </c>
      <c r="AW1227" s="77">
        <f t="shared" si="430"/>
        <v>179</v>
      </c>
      <c r="AX1227" s="77" t="str">
        <f t="shared" si="430"/>
        <v>TIJ</v>
      </c>
    </row>
    <row r="1228" spans="1:50" x14ac:dyDescent="0.25">
      <c r="A1228">
        <v>1214</v>
      </c>
      <c r="B1228" s="36" t="str">
        <f t="shared" si="424"/>
        <v>BARATA Y MORADA</v>
      </c>
      <c r="C1228" s="36">
        <f t="shared" si="424"/>
        <v>428</v>
      </c>
      <c r="D1228" s="118">
        <v>0.66875000000000007</v>
      </c>
      <c r="E1228" s="118">
        <v>0.67638888888888893</v>
      </c>
      <c r="F1228" s="119">
        <v>7.6388888888888618E-3</v>
      </c>
      <c r="G1228" s="118">
        <v>0.69374999999999998</v>
      </c>
      <c r="H1228" s="119">
        <v>1.7361111111111049E-2</v>
      </c>
      <c r="I1228" s="81">
        <v>41726</v>
      </c>
      <c r="J1228" s="36" t="str">
        <f t="shared" si="429"/>
        <v>Nacional</v>
      </c>
      <c r="K1228" s="36">
        <f t="shared" si="429"/>
        <v>7.4652777777777886E-3</v>
      </c>
      <c r="L1228" s="36">
        <f t="shared" si="429"/>
        <v>1.0069444444444428E-2</v>
      </c>
      <c r="M1228" s="36">
        <f t="shared" si="429"/>
        <v>1.7534722222222215E-2</v>
      </c>
      <c r="N1228" s="36">
        <f t="shared" si="429"/>
        <v>320</v>
      </c>
      <c r="O1228" s="36">
        <f t="shared" si="429"/>
        <v>179</v>
      </c>
      <c r="P1228" s="36" t="str">
        <f t="shared" si="429"/>
        <v>TIJ</v>
      </c>
      <c r="R1228">
        <v>1214</v>
      </c>
      <c r="S1228" s="36" t="str">
        <f t="shared" si="425"/>
        <v>INTERAVIÓN</v>
      </c>
      <c r="T1228" s="55">
        <v>2202</v>
      </c>
      <c r="U1228" s="56">
        <v>0.55555555555555558</v>
      </c>
      <c r="V1228" s="57">
        <v>0.56458333333333333</v>
      </c>
      <c r="W1228" s="58">
        <v>9.0277777777777457E-3</v>
      </c>
      <c r="X1228" s="57">
        <v>0.57291666666666663</v>
      </c>
      <c r="Y1228" s="58">
        <v>8.3333333333333037E-3</v>
      </c>
      <c r="Z1228" s="59">
        <v>41731</v>
      </c>
      <c r="AA1228" s="60" t="s">
        <v>19</v>
      </c>
      <c r="AB1228" s="61">
        <v>7.5571895424836532E-3</v>
      </c>
      <c r="AC1228" s="61">
        <v>7.2303921568627454E-3</v>
      </c>
      <c r="AD1228" s="62">
        <v>1.4787581699346398E-2</v>
      </c>
      <c r="AE1228" s="191">
        <v>320</v>
      </c>
      <c r="AF1228" s="191">
        <v>179</v>
      </c>
      <c r="AG1228" s="192" t="s">
        <v>21</v>
      </c>
      <c r="AI1228">
        <v>1214</v>
      </c>
      <c r="AJ1228" s="77" t="str">
        <f t="shared" si="432"/>
        <v xml:space="preserve">INTERAVIÓN </v>
      </c>
      <c r="AK1228" s="77">
        <f t="shared" si="431"/>
        <v>413</v>
      </c>
      <c r="AL1228" s="186">
        <v>0.6118055555555556</v>
      </c>
      <c r="AM1228" s="79">
        <v>0.61805555555555558</v>
      </c>
      <c r="AN1228" s="80">
        <v>6.2499999999999778E-3</v>
      </c>
      <c r="AO1228" s="79">
        <v>0.62847222222222221</v>
      </c>
      <c r="AP1228" s="80">
        <v>1.041666666666663E-2</v>
      </c>
      <c r="AQ1228" s="81">
        <v>41797</v>
      </c>
      <c r="AR1228" s="77" t="str">
        <f t="shared" si="430"/>
        <v>Nacional</v>
      </c>
      <c r="AS1228" s="77">
        <f t="shared" si="430"/>
        <v>7.5347222222222118E-3</v>
      </c>
      <c r="AT1228" s="77">
        <f t="shared" si="430"/>
        <v>1.0138888888888916E-2</v>
      </c>
      <c r="AU1228" s="77">
        <f t="shared" si="430"/>
        <v>1.7673611111111126E-2</v>
      </c>
      <c r="AV1228" s="77">
        <f t="shared" si="430"/>
        <v>320</v>
      </c>
      <c r="AW1228" s="77">
        <f t="shared" si="430"/>
        <v>179</v>
      </c>
      <c r="AX1228" s="77" t="str">
        <f t="shared" si="430"/>
        <v>TIJ</v>
      </c>
    </row>
    <row r="1229" spans="1:50" ht="15.75" thickBot="1" x14ac:dyDescent="0.3">
      <c r="A1229">
        <v>1215</v>
      </c>
      <c r="B1229" s="36" t="str">
        <f t="shared" si="424"/>
        <v>BARATA Y MORADA</v>
      </c>
      <c r="C1229" s="36">
        <f t="shared" si="424"/>
        <v>428</v>
      </c>
      <c r="D1229" s="176">
        <v>0.6743055555555556</v>
      </c>
      <c r="E1229" s="176">
        <v>0.67708333333333337</v>
      </c>
      <c r="F1229" s="177">
        <v>2.7777777777777679E-3</v>
      </c>
      <c r="G1229" s="176">
        <v>0.67986111111111114</v>
      </c>
      <c r="H1229" s="177">
        <v>2.7777777777777679E-3</v>
      </c>
      <c r="I1229" s="97">
        <v>41729</v>
      </c>
      <c r="J1229" s="36" t="str">
        <f t="shared" si="429"/>
        <v>Nacional</v>
      </c>
      <c r="K1229" s="36">
        <f t="shared" si="429"/>
        <v>7.4652777777777886E-3</v>
      </c>
      <c r="L1229" s="36">
        <f t="shared" si="429"/>
        <v>1.0069444444444428E-2</v>
      </c>
      <c r="M1229" s="36">
        <f t="shared" si="429"/>
        <v>1.7534722222222215E-2</v>
      </c>
      <c r="N1229" s="36">
        <f t="shared" si="429"/>
        <v>320</v>
      </c>
      <c r="O1229" s="36">
        <f t="shared" si="429"/>
        <v>179</v>
      </c>
      <c r="P1229" s="36" t="str">
        <f t="shared" si="429"/>
        <v>TIJ</v>
      </c>
      <c r="R1229">
        <v>1215</v>
      </c>
      <c r="S1229" s="36" t="str">
        <f t="shared" si="425"/>
        <v>INTERAVIÓN</v>
      </c>
      <c r="T1229" s="36">
        <f t="shared" si="425"/>
        <v>2202</v>
      </c>
      <c r="U1229" s="73">
        <v>0.55277777777777781</v>
      </c>
      <c r="V1229" s="74">
        <v>0.55555555555555558</v>
      </c>
      <c r="W1229" s="75">
        <v>2.7777777777777679E-3</v>
      </c>
      <c r="X1229" s="74">
        <v>0.56041666666666667</v>
      </c>
      <c r="Y1229" s="75">
        <v>4.8611111111110938E-3</v>
      </c>
      <c r="Z1229" s="76">
        <v>41733</v>
      </c>
      <c r="AA1229" s="36" t="str">
        <f t="shared" ref="AA1229:AG1244" si="433">AA1228</f>
        <v>Nacional</v>
      </c>
      <c r="AB1229" s="36">
        <f t="shared" si="433"/>
        <v>7.5571895424836532E-3</v>
      </c>
      <c r="AC1229" s="36">
        <f t="shared" si="433"/>
        <v>7.2303921568627454E-3</v>
      </c>
      <c r="AD1229" s="36">
        <f t="shared" si="433"/>
        <v>1.4787581699346398E-2</v>
      </c>
      <c r="AE1229" s="36">
        <f t="shared" si="433"/>
        <v>320</v>
      </c>
      <c r="AF1229" s="36">
        <f t="shared" si="433"/>
        <v>179</v>
      </c>
      <c r="AG1229" s="36" t="str">
        <f t="shared" si="433"/>
        <v>MEX</v>
      </c>
      <c r="AI1229">
        <v>1215</v>
      </c>
      <c r="AJ1229" s="77" t="str">
        <f t="shared" si="432"/>
        <v xml:space="preserve">INTERAVIÓN </v>
      </c>
      <c r="AK1229" s="77">
        <f t="shared" si="431"/>
        <v>413</v>
      </c>
      <c r="AL1229" s="186">
        <v>0.53125</v>
      </c>
      <c r="AM1229" s="79">
        <v>0.53819444444444442</v>
      </c>
      <c r="AN1229" s="80">
        <v>6.9444444444444198E-3</v>
      </c>
      <c r="AO1229" s="79">
        <v>0.55069444444444449</v>
      </c>
      <c r="AP1229" s="80">
        <v>1.2500000000000067E-2</v>
      </c>
      <c r="AQ1229" s="81">
        <v>41798</v>
      </c>
      <c r="AR1229" s="77" t="str">
        <f t="shared" si="430"/>
        <v>Nacional</v>
      </c>
      <c r="AS1229" s="77">
        <f t="shared" si="430"/>
        <v>7.5347222222222118E-3</v>
      </c>
      <c r="AT1229" s="77">
        <f t="shared" si="430"/>
        <v>1.0138888888888916E-2</v>
      </c>
      <c r="AU1229" s="77">
        <f t="shared" si="430"/>
        <v>1.7673611111111126E-2</v>
      </c>
      <c r="AV1229" s="77">
        <f t="shared" si="430"/>
        <v>320</v>
      </c>
      <c r="AW1229" s="77">
        <f t="shared" si="430"/>
        <v>179</v>
      </c>
      <c r="AX1229" s="77" t="str">
        <f t="shared" si="430"/>
        <v>TIJ</v>
      </c>
    </row>
    <row r="1230" spans="1:50" x14ac:dyDescent="0.25">
      <c r="A1230">
        <v>1216</v>
      </c>
      <c r="B1230" s="36" t="str">
        <f t="shared" si="424"/>
        <v>BARATA Y MORADA</v>
      </c>
      <c r="C1230" s="151">
        <v>426</v>
      </c>
      <c r="D1230" s="152">
        <v>0.56944444444444442</v>
      </c>
      <c r="E1230" s="152">
        <v>0.57638888888888895</v>
      </c>
      <c r="F1230" s="153">
        <v>6.9444444444445308E-3</v>
      </c>
      <c r="G1230" s="152">
        <v>0.58750000000000002</v>
      </c>
      <c r="H1230" s="153">
        <v>1.1111111111111072E-2</v>
      </c>
      <c r="I1230" s="67">
        <v>41715</v>
      </c>
      <c r="J1230" s="68" t="s">
        <v>19</v>
      </c>
      <c r="K1230" s="135">
        <v>9.9747474747474904E-3</v>
      </c>
      <c r="L1230" s="135">
        <v>1.1174242424242446E-2</v>
      </c>
      <c r="M1230" s="175">
        <v>2.1148989898989938E-2</v>
      </c>
      <c r="N1230" s="90">
        <v>320</v>
      </c>
      <c r="O1230" s="91">
        <v>179</v>
      </c>
      <c r="P1230" s="92" t="s">
        <v>34</v>
      </c>
      <c r="R1230">
        <v>1216</v>
      </c>
      <c r="S1230" s="36" t="str">
        <f t="shared" si="425"/>
        <v>INTERAVIÓN</v>
      </c>
      <c r="T1230" s="36">
        <f t="shared" si="425"/>
        <v>2202</v>
      </c>
      <c r="U1230" s="73">
        <v>0.55486111111111114</v>
      </c>
      <c r="V1230" s="74">
        <v>0.55972222222222223</v>
      </c>
      <c r="W1230" s="75">
        <v>4.8611111111110938E-3</v>
      </c>
      <c r="X1230" s="74">
        <v>0.56527777777777777</v>
      </c>
      <c r="Y1230" s="75">
        <v>5.5555555555555358E-3</v>
      </c>
      <c r="Z1230" s="76">
        <v>41736</v>
      </c>
      <c r="AA1230" s="36" t="str">
        <f t="shared" si="433"/>
        <v>Nacional</v>
      </c>
      <c r="AB1230" s="36">
        <f t="shared" si="433"/>
        <v>7.5571895424836532E-3</v>
      </c>
      <c r="AC1230" s="36">
        <f t="shared" si="433"/>
        <v>7.2303921568627454E-3</v>
      </c>
      <c r="AD1230" s="36">
        <f t="shared" si="433"/>
        <v>1.4787581699346398E-2</v>
      </c>
      <c r="AE1230" s="36">
        <f t="shared" si="433"/>
        <v>320</v>
      </c>
      <c r="AF1230" s="36">
        <f t="shared" si="433"/>
        <v>179</v>
      </c>
      <c r="AG1230" s="36" t="str">
        <f t="shared" si="433"/>
        <v>MEX</v>
      </c>
      <c r="AI1230">
        <v>1216</v>
      </c>
      <c r="AJ1230" s="77" t="str">
        <f t="shared" si="432"/>
        <v xml:space="preserve">INTERAVIÓN </v>
      </c>
      <c r="AK1230" s="77">
        <f t="shared" si="431"/>
        <v>413</v>
      </c>
      <c r="AL1230" s="186">
        <v>0.43958333333333338</v>
      </c>
      <c r="AM1230" s="79">
        <v>0.4458333333333333</v>
      </c>
      <c r="AN1230" s="80">
        <v>6.2499999999999223E-3</v>
      </c>
      <c r="AO1230" s="79">
        <v>0.4604166666666667</v>
      </c>
      <c r="AP1230" s="80">
        <v>1.4583333333333393E-2</v>
      </c>
      <c r="AQ1230" s="81">
        <v>41801</v>
      </c>
      <c r="AR1230" s="77" t="str">
        <f t="shared" si="430"/>
        <v>Nacional</v>
      </c>
      <c r="AS1230" s="77">
        <f t="shared" si="430"/>
        <v>7.5347222222222118E-3</v>
      </c>
      <c r="AT1230" s="77">
        <f t="shared" si="430"/>
        <v>1.0138888888888916E-2</v>
      </c>
      <c r="AU1230" s="77">
        <f t="shared" si="430"/>
        <v>1.7673611111111126E-2</v>
      </c>
      <c r="AV1230" s="77">
        <f t="shared" si="430"/>
        <v>320</v>
      </c>
      <c r="AW1230" s="77">
        <f t="shared" si="430"/>
        <v>179</v>
      </c>
      <c r="AX1230" s="77" t="str">
        <f t="shared" si="430"/>
        <v>TIJ</v>
      </c>
    </row>
    <row r="1231" spans="1:50" x14ac:dyDescent="0.25">
      <c r="A1231">
        <v>1217</v>
      </c>
      <c r="B1231" s="36" t="str">
        <f t="shared" si="424"/>
        <v>BARATA Y MORADA</v>
      </c>
      <c r="C1231" s="36">
        <f t="shared" si="424"/>
        <v>426</v>
      </c>
      <c r="D1231" s="118">
        <v>0.56805555555555554</v>
      </c>
      <c r="E1231" s="118">
        <v>0.57430555555555551</v>
      </c>
      <c r="F1231" s="119">
        <v>6.2499999999999778E-3</v>
      </c>
      <c r="G1231" s="118">
        <v>0.58472222222222225</v>
      </c>
      <c r="H1231" s="119">
        <v>1.0416666666666741E-2</v>
      </c>
      <c r="I1231" s="81">
        <v>41716</v>
      </c>
      <c r="J1231" s="36" t="str">
        <f t="shared" ref="J1231:P1240" si="434">J1230</f>
        <v>Nacional</v>
      </c>
      <c r="K1231" s="36">
        <f t="shared" si="434"/>
        <v>9.9747474747474904E-3</v>
      </c>
      <c r="L1231" s="36">
        <f t="shared" si="434"/>
        <v>1.1174242424242446E-2</v>
      </c>
      <c r="M1231" s="36">
        <f t="shared" si="434"/>
        <v>2.1148989898989938E-2</v>
      </c>
      <c r="N1231" s="36">
        <f t="shared" si="434"/>
        <v>320</v>
      </c>
      <c r="O1231" s="36">
        <f t="shared" si="434"/>
        <v>179</v>
      </c>
      <c r="P1231" s="36" t="str">
        <f t="shared" si="434"/>
        <v>TIJ</v>
      </c>
      <c r="R1231">
        <v>1217</v>
      </c>
      <c r="S1231" s="36" t="str">
        <f t="shared" si="425"/>
        <v>INTERAVIÓN</v>
      </c>
      <c r="T1231" s="36">
        <f t="shared" si="425"/>
        <v>2202</v>
      </c>
      <c r="U1231" s="73">
        <v>0.54166666666666663</v>
      </c>
      <c r="V1231" s="74">
        <v>0.54722222222222217</v>
      </c>
      <c r="W1231" s="75">
        <v>5.5555555555555358E-3</v>
      </c>
      <c r="X1231" s="74">
        <v>0.55694444444444446</v>
      </c>
      <c r="Y1231" s="75">
        <v>9.7222222222222987E-3</v>
      </c>
      <c r="Z1231" s="76">
        <v>41737</v>
      </c>
      <c r="AA1231" s="36" t="str">
        <f t="shared" si="433"/>
        <v>Nacional</v>
      </c>
      <c r="AB1231" s="36">
        <f t="shared" si="433"/>
        <v>7.5571895424836532E-3</v>
      </c>
      <c r="AC1231" s="36">
        <f t="shared" si="433"/>
        <v>7.2303921568627454E-3</v>
      </c>
      <c r="AD1231" s="36">
        <f t="shared" si="433"/>
        <v>1.4787581699346398E-2</v>
      </c>
      <c r="AE1231" s="36">
        <f t="shared" si="433"/>
        <v>320</v>
      </c>
      <c r="AF1231" s="36">
        <f t="shared" si="433"/>
        <v>179</v>
      </c>
      <c r="AG1231" s="36" t="str">
        <f t="shared" si="433"/>
        <v>MEX</v>
      </c>
      <c r="AI1231">
        <v>1217</v>
      </c>
      <c r="AJ1231" s="77" t="str">
        <f t="shared" si="432"/>
        <v xml:space="preserve">INTERAVIÓN </v>
      </c>
      <c r="AK1231" s="77">
        <f t="shared" si="431"/>
        <v>413</v>
      </c>
      <c r="AL1231" s="186">
        <v>0.43402777777777773</v>
      </c>
      <c r="AM1231" s="79">
        <v>0.43888888888888888</v>
      </c>
      <c r="AN1231" s="80">
        <v>4.8611111111111494E-3</v>
      </c>
      <c r="AO1231" s="79">
        <v>0.44097222222222227</v>
      </c>
      <c r="AP1231" s="80">
        <v>2.0833333333333814E-3</v>
      </c>
      <c r="AQ1231" s="81">
        <v>41801</v>
      </c>
      <c r="AR1231" s="77" t="str">
        <f t="shared" si="430"/>
        <v>Nacional</v>
      </c>
      <c r="AS1231" s="77">
        <f t="shared" si="430"/>
        <v>7.5347222222222118E-3</v>
      </c>
      <c r="AT1231" s="77">
        <f t="shared" si="430"/>
        <v>1.0138888888888916E-2</v>
      </c>
      <c r="AU1231" s="77">
        <f t="shared" si="430"/>
        <v>1.7673611111111126E-2</v>
      </c>
      <c r="AV1231" s="77">
        <f t="shared" si="430"/>
        <v>320</v>
      </c>
      <c r="AW1231" s="77">
        <f t="shared" si="430"/>
        <v>179</v>
      </c>
      <c r="AX1231" s="77" t="str">
        <f t="shared" si="430"/>
        <v>TIJ</v>
      </c>
    </row>
    <row r="1232" spans="1:50" x14ac:dyDescent="0.25">
      <c r="A1232">
        <v>1218</v>
      </c>
      <c r="B1232" s="36" t="str">
        <f t="shared" si="424"/>
        <v>BARATA Y MORADA</v>
      </c>
      <c r="C1232" s="36">
        <f t="shared" si="424"/>
        <v>426</v>
      </c>
      <c r="D1232" s="118">
        <v>0.57013888888888886</v>
      </c>
      <c r="E1232" s="118">
        <v>0.57916666666666672</v>
      </c>
      <c r="F1232" s="119">
        <v>9.0277777777778567E-3</v>
      </c>
      <c r="G1232" s="118">
        <v>0.58888888888888891</v>
      </c>
      <c r="H1232" s="119">
        <v>9.7222222222221877E-3</v>
      </c>
      <c r="I1232" s="81">
        <v>41716</v>
      </c>
      <c r="J1232" s="36" t="str">
        <f t="shared" si="434"/>
        <v>Nacional</v>
      </c>
      <c r="K1232" s="36">
        <f t="shared" si="434"/>
        <v>9.9747474747474904E-3</v>
      </c>
      <c r="L1232" s="36">
        <f t="shared" si="434"/>
        <v>1.1174242424242446E-2</v>
      </c>
      <c r="M1232" s="36">
        <f t="shared" si="434"/>
        <v>2.1148989898989938E-2</v>
      </c>
      <c r="N1232" s="36">
        <f t="shared" si="434"/>
        <v>320</v>
      </c>
      <c r="O1232" s="36">
        <f t="shared" si="434"/>
        <v>179</v>
      </c>
      <c r="P1232" s="36" t="str">
        <f t="shared" si="434"/>
        <v>TIJ</v>
      </c>
      <c r="R1232">
        <v>1218</v>
      </c>
      <c r="S1232" s="36" t="str">
        <f t="shared" si="425"/>
        <v>INTERAVIÓN</v>
      </c>
      <c r="T1232" s="36">
        <f t="shared" si="425"/>
        <v>2202</v>
      </c>
      <c r="U1232" s="73">
        <v>0.54583333333333328</v>
      </c>
      <c r="V1232" s="74">
        <v>0.54861111111111105</v>
      </c>
      <c r="W1232" s="75">
        <v>2.7777777777777679E-3</v>
      </c>
      <c r="X1232" s="74">
        <v>0.55277777777777781</v>
      </c>
      <c r="Y1232" s="75">
        <v>4.1666666666667629E-3</v>
      </c>
      <c r="Z1232" s="76">
        <v>41739</v>
      </c>
      <c r="AA1232" s="36" t="str">
        <f t="shared" si="433"/>
        <v>Nacional</v>
      </c>
      <c r="AB1232" s="36">
        <f t="shared" si="433"/>
        <v>7.5571895424836532E-3</v>
      </c>
      <c r="AC1232" s="36">
        <f t="shared" si="433"/>
        <v>7.2303921568627454E-3</v>
      </c>
      <c r="AD1232" s="36">
        <f t="shared" si="433"/>
        <v>1.4787581699346398E-2</v>
      </c>
      <c r="AE1232" s="36">
        <f t="shared" si="433"/>
        <v>320</v>
      </c>
      <c r="AF1232" s="36">
        <f t="shared" si="433"/>
        <v>179</v>
      </c>
      <c r="AG1232" s="36" t="str">
        <f t="shared" si="433"/>
        <v>MEX</v>
      </c>
      <c r="AI1232">
        <v>1218</v>
      </c>
      <c r="AJ1232" s="77" t="str">
        <f t="shared" si="432"/>
        <v xml:space="preserve">INTERAVIÓN </v>
      </c>
      <c r="AK1232" s="77">
        <f t="shared" si="431"/>
        <v>413</v>
      </c>
      <c r="AL1232" s="186">
        <v>0.84444444444444444</v>
      </c>
      <c r="AM1232" s="79">
        <v>0.8569444444444444</v>
      </c>
      <c r="AN1232" s="80">
        <v>1.2499999999999956E-2</v>
      </c>
      <c r="AO1232" s="79">
        <v>0.86111111111111116</v>
      </c>
      <c r="AP1232" s="80">
        <v>4.1666666666667629E-3</v>
      </c>
      <c r="AQ1232" s="81">
        <v>41802</v>
      </c>
      <c r="AR1232" s="77" t="str">
        <f t="shared" si="430"/>
        <v>Nacional</v>
      </c>
      <c r="AS1232" s="77">
        <f t="shared" si="430"/>
        <v>7.5347222222222118E-3</v>
      </c>
      <c r="AT1232" s="77">
        <f t="shared" si="430"/>
        <v>1.0138888888888916E-2</v>
      </c>
      <c r="AU1232" s="77">
        <f t="shared" si="430"/>
        <v>1.7673611111111126E-2</v>
      </c>
      <c r="AV1232" s="77">
        <f t="shared" si="430"/>
        <v>320</v>
      </c>
      <c r="AW1232" s="77">
        <f t="shared" si="430"/>
        <v>179</v>
      </c>
      <c r="AX1232" s="77" t="str">
        <f t="shared" si="430"/>
        <v>TIJ</v>
      </c>
    </row>
    <row r="1233" spans="1:50" x14ac:dyDescent="0.25">
      <c r="A1233">
        <v>1219</v>
      </c>
      <c r="B1233" s="36" t="str">
        <f t="shared" si="424"/>
        <v>BARATA Y MORADA</v>
      </c>
      <c r="C1233" s="36">
        <f t="shared" si="424"/>
        <v>426</v>
      </c>
      <c r="D1233" s="118">
        <v>0.56805555555555554</v>
      </c>
      <c r="E1233" s="118">
        <v>0.57430555555555551</v>
      </c>
      <c r="F1233" s="119">
        <v>6.2499999999999778E-3</v>
      </c>
      <c r="G1233" s="118">
        <v>0.59027777777777779</v>
      </c>
      <c r="H1233" s="119">
        <v>1.5972222222222276E-2</v>
      </c>
      <c r="I1233" s="81">
        <v>41717</v>
      </c>
      <c r="J1233" s="36" t="str">
        <f t="shared" si="434"/>
        <v>Nacional</v>
      </c>
      <c r="K1233" s="36">
        <f t="shared" si="434"/>
        <v>9.9747474747474904E-3</v>
      </c>
      <c r="L1233" s="36">
        <f t="shared" si="434"/>
        <v>1.1174242424242446E-2</v>
      </c>
      <c r="M1233" s="36">
        <f t="shared" si="434"/>
        <v>2.1148989898989938E-2</v>
      </c>
      <c r="N1233" s="36">
        <f t="shared" si="434"/>
        <v>320</v>
      </c>
      <c r="O1233" s="36">
        <f t="shared" si="434"/>
        <v>179</v>
      </c>
      <c r="P1233" s="36" t="str">
        <f t="shared" si="434"/>
        <v>TIJ</v>
      </c>
      <c r="R1233">
        <v>1219</v>
      </c>
      <c r="S1233" s="36" t="str">
        <f t="shared" si="425"/>
        <v>INTERAVIÓN</v>
      </c>
      <c r="T1233" s="36">
        <f t="shared" si="425"/>
        <v>2202</v>
      </c>
      <c r="U1233" s="73">
        <v>0.55625000000000002</v>
      </c>
      <c r="V1233" s="74">
        <v>0.56527777777777777</v>
      </c>
      <c r="W1233" s="75">
        <v>9.0277777777777457E-3</v>
      </c>
      <c r="X1233" s="74">
        <v>0.57430555555555551</v>
      </c>
      <c r="Y1233" s="75">
        <v>9.0277777777777457E-3</v>
      </c>
      <c r="Z1233" s="76">
        <v>41743</v>
      </c>
      <c r="AA1233" s="36" t="str">
        <f t="shared" si="433"/>
        <v>Nacional</v>
      </c>
      <c r="AB1233" s="36">
        <f t="shared" si="433"/>
        <v>7.5571895424836532E-3</v>
      </c>
      <c r="AC1233" s="36">
        <f t="shared" si="433"/>
        <v>7.2303921568627454E-3</v>
      </c>
      <c r="AD1233" s="36">
        <f t="shared" si="433"/>
        <v>1.4787581699346398E-2</v>
      </c>
      <c r="AE1233" s="36">
        <f t="shared" si="433"/>
        <v>320</v>
      </c>
      <c r="AF1233" s="36">
        <f t="shared" si="433"/>
        <v>179</v>
      </c>
      <c r="AG1233" s="36" t="str">
        <f t="shared" si="433"/>
        <v>MEX</v>
      </c>
      <c r="AI1233">
        <v>1219</v>
      </c>
      <c r="AJ1233" s="77" t="str">
        <f t="shared" si="432"/>
        <v xml:space="preserve">INTERAVIÓN </v>
      </c>
      <c r="AK1233" s="77">
        <f t="shared" si="431"/>
        <v>413</v>
      </c>
      <c r="AL1233" s="186">
        <v>0.63402777777777775</v>
      </c>
      <c r="AM1233" s="79">
        <v>0.64236111111111105</v>
      </c>
      <c r="AN1233" s="80">
        <v>8.3333333333333037E-3</v>
      </c>
      <c r="AO1233" s="79">
        <v>0.64583333333333337</v>
      </c>
      <c r="AP1233" s="80">
        <v>3.4722222222223209E-3</v>
      </c>
      <c r="AQ1233" s="81">
        <v>41804</v>
      </c>
      <c r="AR1233" s="77" t="str">
        <f t="shared" si="430"/>
        <v>Nacional</v>
      </c>
      <c r="AS1233" s="77">
        <f t="shared" si="430"/>
        <v>7.5347222222222118E-3</v>
      </c>
      <c r="AT1233" s="77">
        <f t="shared" si="430"/>
        <v>1.0138888888888916E-2</v>
      </c>
      <c r="AU1233" s="77">
        <f t="shared" si="430"/>
        <v>1.7673611111111126E-2</v>
      </c>
      <c r="AV1233" s="77">
        <f t="shared" si="430"/>
        <v>320</v>
      </c>
      <c r="AW1233" s="77">
        <f t="shared" si="430"/>
        <v>179</v>
      </c>
      <c r="AX1233" s="77" t="str">
        <f t="shared" si="430"/>
        <v>TIJ</v>
      </c>
    </row>
    <row r="1234" spans="1:50" x14ac:dyDescent="0.25">
      <c r="A1234">
        <v>1220</v>
      </c>
      <c r="B1234" s="36" t="str">
        <f t="shared" si="424"/>
        <v>BARATA Y MORADA</v>
      </c>
      <c r="C1234" s="36">
        <f t="shared" si="424"/>
        <v>426</v>
      </c>
      <c r="D1234" s="118">
        <v>0.56597222222222221</v>
      </c>
      <c r="E1234" s="118">
        <v>0.57916666666666672</v>
      </c>
      <c r="F1234" s="119">
        <v>1.3194444444444509E-2</v>
      </c>
      <c r="G1234" s="118">
        <v>0.58958333333333335</v>
      </c>
      <c r="H1234" s="119">
        <v>1.041666666666663E-2</v>
      </c>
      <c r="I1234" s="81">
        <v>41718</v>
      </c>
      <c r="J1234" s="36" t="str">
        <f t="shared" si="434"/>
        <v>Nacional</v>
      </c>
      <c r="K1234" s="36">
        <f t="shared" si="434"/>
        <v>9.9747474747474904E-3</v>
      </c>
      <c r="L1234" s="36">
        <f t="shared" si="434"/>
        <v>1.1174242424242446E-2</v>
      </c>
      <c r="M1234" s="36">
        <f t="shared" si="434"/>
        <v>2.1148989898989938E-2</v>
      </c>
      <c r="N1234" s="36">
        <f t="shared" si="434"/>
        <v>320</v>
      </c>
      <c r="O1234" s="36">
        <f t="shared" si="434"/>
        <v>179</v>
      </c>
      <c r="P1234" s="36" t="str">
        <f t="shared" si="434"/>
        <v>TIJ</v>
      </c>
      <c r="R1234">
        <v>1220</v>
      </c>
      <c r="S1234" s="36" t="str">
        <f t="shared" si="425"/>
        <v>INTERAVIÓN</v>
      </c>
      <c r="T1234" s="36">
        <f t="shared" si="425"/>
        <v>2202</v>
      </c>
      <c r="U1234" s="73">
        <v>0.54305555555555551</v>
      </c>
      <c r="V1234" s="74">
        <v>0.55208333333333337</v>
      </c>
      <c r="W1234" s="75">
        <v>9.0277777777778567E-3</v>
      </c>
      <c r="X1234" s="74">
        <v>0.57291666666666663</v>
      </c>
      <c r="Y1234" s="75">
        <v>2.0833333333333259E-2</v>
      </c>
      <c r="Z1234" s="76">
        <v>41744</v>
      </c>
      <c r="AA1234" s="36" t="str">
        <f t="shared" si="433"/>
        <v>Nacional</v>
      </c>
      <c r="AB1234" s="36">
        <f t="shared" si="433"/>
        <v>7.5571895424836532E-3</v>
      </c>
      <c r="AC1234" s="36">
        <f t="shared" si="433"/>
        <v>7.2303921568627454E-3</v>
      </c>
      <c r="AD1234" s="36">
        <f t="shared" si="433"/>
        <v>1.4787581699346398E-2</v>
      </c>
      <c r="AE1234" s="36">
        <f t="shared" si="433"/>
        <v>320</v>
      </c>
      <c r="AF1234" s="36">
        <f t="shared" si="433"/>
        <v>179</v>
      </c>
      <c r="AG1234" s="36" t="str">
        <f t="shared" si="433"/>
        <v>MEX</v>
      </c>
      <c r="AI1234">
        <v>1220</v>
      </c>
      <c r="AJ1234" s="77" t="str">
        <f t="shared" si="432"/>
        <v xml:space="preserve">INTERAVIÓN </v>
      </c>
      <c r="AK1234" s="77">
        <f t="shared" si="431"/>
        <v>413</v>
      </c>
      <c r="AL1234" s="186">
        <v>0.56319444444444444</v>
      </c>
      <c r="AM1234" s="79">
        <v>0.5708333333333333</v>
      </c>
      <c r="AN1234" s="80">
        <v>7.6388888888888618E-3</v>
      </c>
      <c r="AO1234" s="79">
        <v>0.57916666666666672</v>
      </c>
      <c r="AP1234" s="80">
        <v>8.3333333333334147E-3</v>
      </c>
      <c r="AQ1234" s="81">
        <v>41805</v>
      </c>
      <c r="AR1234" s="77" t="str">
        <f t="shared" si="430"/>
        <v>Nacional</v>
      </c>
      <c r="AS1234" s="77">
        <f t="shared" si="430"/>
        <v>7.5347222222222118E-3</v>
      </c>
      <c r="AT1234" s="77">
        <f t="shared" si="430"/>
        <v>1.0138888888888916E-2</v>
      </c>
      <c r="AU1234" s="77">
        <f t="shared" si="430"/>
        <v>1.7673611111111126E-2</v>
      </c>
      <c r="AV1234" s="77">
        <f t="shared" si="430"/>
        <v>320</v>
      </c>
      <c r="AW1234" s="77">
        <f t="shared" si="430"/>
        <v>179</v>
      </c>
      <c r="AX1234" s="77" t="str">
        <f t="shared" si="430"/>
        <v>TIJ</v>
      </c>
    </row>
    <row r="1235" spans="1:50" x14ac:dyDescent="0.25">
      <c r="A1235">
        <v>1221</v>
      </c>
      <c r="B1235" s="36" t="str">
        <f t="shared" si="424"/>
        <v>BARATA Y MORADA</v>
      </c>
      <c r="C1235" s="36">
        <f t="shared" si="424"/>
        <v>426</v>
      </c>
      <c r="D1235" s="118">
        <v>0.59027777777777779</v>
      </c>
      <c r="E1235" s="118">
        <v>0.59513888888888888</v>
      </c>
      <c r="F1235" s="119">
        <v>4.8611111111110938E-3</v>
      </c>
      <c r="G1235" s="118">
        <v>0.60902777777777783</v>
      </c>
      <c r="H1235" s="119">
        <v>1.3888888888888951E-2</v>
      </c>
      <c r="I1235" s="81">
        <v>41720</v>
      </c>
      <c r="J1235" s="36" t="str">
        <f t="shared" si="434"/>
        <v>Nacional</v>
      </c>
      <c r="K1235" s="36">
        <f t="shared" si="434"/>
        <v>9.9747474747474904E-3</v>
      </c>
      <c r="L1235" s="36">
        <f t="shared" si="434"/>
        <v>1.1174242424242446E-2</v>
      </c>
      <c r="M1235" s="36">
        <f t="shared" si="434"/>
        <v>2.1148989898989938E-2</v>
      </c>
      <c r="N1235" s="36">
        <f t="shared" si="434"/>
        <v>320</v>
      </c>
      <c r="O1235" s="36">
        <f t="shared" si="434"/>
        <v>179</v>
      </c>
      <c r="P1235" s="36" t="str">
        <f t="shared" si="434"/>
        <v>TIJ</v>
      </c>
      <c r="R1235">
        <v>1221</v>
      </c>
      <c r="S1235" s="36" t="str">
        <f t="shared" si="425"/>
        <v>INTERAVIÓN</v>
      </c>
      <c r="T1235" s="36">
        <f t="shared" si="425"/>
        <v>2202</v>
      </c>
      <c r="U1235" s="73">
        <v>0.54027777777777775</v>
      </c>
      <c r="V1235" s="74">
        <v>0.55069444444444449</v>
      </c>
      <c r="W1235" s="75">
        <v>1.0416666666666741E-2</v>
      </c>
      <c r="X1235" s="74">
        <v>0.55902777777777779</v>
      </c>
      <c r="Y1235" s="75">
        <v>8.3333333333333037E-3</v>
      </c>
      <c r="Z1235" s="76">
        <v>41745</v>
      </c>
      <c r="AA1235" s="36" t="str">
        <f t="shared" si="433"/>
        <v>Nacional</v>
      </c>
      <c r="AB1235" s="36">
        <f t="shared" si="433"/>
        <v>7.5571895424836532E-3</v>
      </c>
      <c r="AC1235" s="36">
        <f t="shared" si="433"/>
        <v>7.2303921568627454E-3</v>
      </c>
      <c r="AD1235" s="36">
        <f t="shared" si="433"/>
        <v>1.4787581699346398E-2</v>
      </c>
      <c r="AE1235" s="36">
        <f t="shared" si="433"/>
        <v>320</v>
      </c>
      <c r="AF1235" s="36">
        <f t="shared" si="433"/>
        <v>179</v>
      </c>
      <c r="AG1235" s="36" t="str">
        <f t="shared" si="433"/>
        <v>MEX</v>
      </c>
      <c r="AI1235">
        <v>1221</v>
      </c>
      <c r="AJ1235" s="77" t="str">
        <f t="shared" si="432"/>
        <v xml:space="preserve">INTERAVIÓN </v>
      </c>
      <c r="AK1235" s="77">
        <f t="shared" si="431"/>
        <v>413</v>
      </c>
      <c r="AL1235" s="186">
        <v>0.84930555555555554</v>
      </c>
      <c r="AM1235" s="79">
        <v>0.85763888888888884</v>
      </c>
      <c r="AN1235" s="80">
        <v>8.3333333333333037E-3</v>
      </c>
      <c r="AO1235" s="79">
        <v>0.87638888888888899</v>
      </c>
      <c r="AP1235" s="80">
        <v>1.8750000000000155E-2</v>
      </c>
      <c r="AQ1235" s="81">
        <v>41807</v>
      </c>
      <c r="AR1235" s="77" t="str">
        <f t="shared" si="430"/>
        <v>Nacional</v>
      </c>
      <c r="AS1235" s="77">
        <f t="shared" si="430"/>
        <v>7.5347222222222118E-3</v>
      </c>
      <c r="AT1235" s="77">
        <f t="shared" si="430"/>
        <v>1.0138888888888916E-2</v>
      </c>
      <c r="AU1235" s="77">
        <f t="shared" si="430"/>
        <v>1.7673611111111126E-2</v>
      </c>
      <c r="AV1235" s="77">
        <f t="shared" si="430"/>
        <v>320</v>
      </c>
      <c r="AW1235" s="77">
        <f t="shared" si="430"/>
        <v>179</v>
      </c>
      <c r="AX1235" s="77" t="str">
        <f t="shared" si="430"/>
        <v>TIJ</v>
      </c>
    </row>
    <row r="1236" spans="1:50" x14ac:dyDescent="0.25">
      <c r="A1236">
        <v>1222</v>
      </c>
      <c r="B1236" s="36" t="str">
        <f t="shared" si="424"/>
        <v>BARATA Y MORADA</v>
      </c>
      <c r="C1236" s="36">
        <f t="shared" si="424"/>
        <v>426</v>
      </c>
      <c r="D1236" s="118">
        <v>0.57638888888888895</v>
      </c>
      <c r="E1236" s="118">
        <v>0.57986111111111105</v>
      </c>
      <c r="F1236" s="119">
        <v>3.4722222222220989E-3</v>
      </c>
      <c r="G1236" s="118">
        <v>0.58958333333333335</v>
      </c>
      <c r="H1236" s="119">
        <v>9.7222222222222987E-3</v>
      </c>
      <c r="I1236" s="81">
        <v>41722</v>
      </c>
      <c r="J1236" s="36" t="str">
        <f t="shared" si="434"/>
        <v>Nacional</v>
      </c>
      <c r="K1236" s="36">
        <f t="shared" si="434"/>
        <v>9.9747474747474904E-3</v>
      </c>
      <c r="L1236" s="36">
        <f t="shared" si="434"/>
        <v>1.1174242424242446E-2</v>
      </c>
      <c r="M1236" s="36">
        <f t="shared" si="434"/>
        <v>2.1148989898989938E-2</v>
      </c>
      <c r="N1236" s="36">
        <f t="shared" si="434"/>
        <v>320</v>
      </c>
      <c r="O1236" s="36">
        <f t="shared" si="434"/>
        <v>179</v>
      </c>
      <c r="P1236" s="36" t="str">
        <f t="shared" si="434"/>
        <v>TIJ</v>
      </c>
      <c r="R1236">
        <v>1222</v>
      </c>
      <c r="S1236" s="36" t="str">
        <f t="shared" si="425"/>
        <v>INTERAVIÓN</v>
      </c>
      <c r="T1236" s="36">
        <f t="shared" si="425"/>
        <v>2202</v>
      </c>
      <c r="U1236" s="73">
        <v>0.54513888888888895</v>
      </c>
      <c r="V1236" s="74">
        <v>0.55208333333333337</v>
      </c>
      <c r="W1236" s="75">
        <v>6.9444444444444198E-3</v>
      </c>
      <c r="X1236" s="74">
        <v>0.55347222222222225</v>
      </c>
      <c r="Y1236" s="75">
        <v>1.388888888888884E-3</v>
      </c>
      <c r="Z1236" s="76">
        <v>41746</v>
      </c>
      <c r="AA1236" s="36" t="str">
        <f t="shared" si="433"/>
        <v>Nacional</v>
      </c>
      <c r="AB1236" s="36">
        <f t="shared" si="433"/>
        <v>7.5571895424836532E-3</v>
      </c>
      <c r="AC1236" s="36">
        <f t="shared" si="433"/>
        <v>7.2303921568627454E-3</v>
      </c>
      <c r="AD1236" s="36">
        <f t="shared" si="433"/>
        <v>1.4787581699346398E-2</v>
      </c>
      <c r="AE1236" s="36">
        <f t="shared" si="433"/>
        <v>320</v>
      </c>
      <c r="AF1236" s="36">
        <f t="shared" si="433"/>
        <v>179</v>
      </c>
      <c r="AG1236" s="36" t="str">
        <f t="shared" si="433"/>
        <v>MEX</v>
      </c>
      <c r="AI1236">
        <v>1222</v>
      </c>
      <c r="AJ1236" s="77" t="str">
        <f t="shared" si="432"/>
        <v xml:space="preserve">INTERAVIÓN </v>
      </c>
      <c r="AK1236" s="77">
        <f t="shared" si="431"/>
        <v>413</v>
      </c>
      <c r="AL1236" s="186">
        <v>0.59375</v>
      </c>
      <c r="AM1236" s="79">
        <v>0.60763888888888895</v>
      </c>
      <c r="AN1236" s="80">
        <v>1.3888888888888951E-2</v>
      </c>
      <c r="AO1236" s="79">
        <v>0.61805555555555558</v>
      </c>
      <c r="AP1236" s="80">
        <v>1.041666666666663E-2</v>
      </c>
      <c r="AQ1236" s="81">
        <v>41808</v>
      </c>
      <c r="AR1236" s="77" t="str">
        <f t="shared" si="430"/>
        <v>Nacional</v>
      </c>
      <c r="AS1236" s="77">
        <f t="shared" si="430"/>
        <v>7.5347222222222118E-3</v>
      </c>
      <c r="AT1236" s="77">
        <f t="shared" si="430"/>
        <v>1.0138888888888916E-2</v>
      </c>
      <c r="AU1236" s="77">
        <f t="shared" si="430"/>
        <v>1.7673611111111126E-2</v>
      </c>
      <c r="AV1236" s="77">
        <f t="shared" si="430"/>
        <v>320</v>
      </c>
      <c r="AW1236" s="77">
        <f t="shared" si="430"/>
        <v>179</v>
      </c>
      <c r="AX1236" s="77" t="str">
        <f t="shared" si="430"/>
        <v>TIJ</v>
      </c>
    </row>
    <row r="1237" spans="1:50" x14ac:dyDescent="0.25">
      <c r="A1237">
        <v>1223</v>
      </c>
      <c r="B1237" s="36" t="str">
        <f t="shared" si="424"/>
        <v>BARATA Y MORADA</v>
      </c>
      <c r="C1237" s="36">
        <f t="shared" si="424"/>
        <v>426</v>
      </c>
      <c r="D1237" s="118">
        <v>0.56527777777777777</v>
      </c>
      <c r="E1237" s="118">
        <v>0.5708333333333333</v>
      </c>
      <c r="F1237" s="119">
        <v>5.5555555555555358E-3</v>
      </c>
      <c r="G1237" s="118">
        <v>0.5805555555555556</v>
      </c>
      <c r="H1237" s="119">
        <v>9.7222222222222987E-3</v>
      </c>
      <c r="I1237" s="81">
        <v>41725</v>
      </c>
      <c r="J1237" s="36" t="str">
        <f t="shared" si="434"/>
        <v>Nacional</v>
      </c>
      <c r="K1237" s="36">
        <f t="shared" si="434"/>
        <v>9.9747474747474904E-3</v>
      </c>
      <c r="L1237" s="36">
        <f t="shared" si="434"/>
        <v>1.1174242424242446E-2</v>
      </c>
      <c r="M1237" s="36">
        <f t="shared" si="434"/>
        <v>2.1148989898989938E-2</v>
      </c>
      <c r="N1237" s="36">
        <f t="shared" si="434"/>
        <v>320</v>
      </c>
      <c r="O1237" s="36">
        <f t="shared" si="434"/>
        <v>179</v>
      </c>
      <c r="P1237" s="36" t="str">
        <f t="shared" si="434"/>
        <v>TIJ</v>
      </c>
      <c r="R1237">
        <v>1223</v>
      </c>
      <c r="S1237" s="36" t="str">
        <f t="shared" si="425"/>
        <v>INTERAVIÓN</v>
      </c>
      <c r="T1237" s="36">
        <f t="shared" si="425"/>
        <v>2202</v>
      </c>
      <c r="U1237" s="73">
        <v>0.55138888888888882</v>
      </c>
      <c r="V1237" s="74">
        <v>0.55555555555555558</v>
      </c>
      <c r="W1237" s="75">
        <v>4.1666666666667629E-3</v>
      </c>
      <c r="X1237" s="74">
        <v>0.56111111111111112</v>
      </c>
      <c r="Y1237" s="75">
        <v>5.5555555555555358E-3</v>
      </c>
      <c r="Z1237" s="76">
        <v>41749</v>
      </c>
      <c r="AA1237" s="36" t="str">
        <f t="shared" si="433"/>
        <v>Nacional</v>
      </c>
      <c r="AB1237" s="36">
        <f t="shared" si="433"/>
        <v>7.5571895424836532E-3</v>
      </c>
      <c r="AC1237" s="36">
        <f t="shared" si="433"/>
        <v>7.2303921568627454E-3</v>
      </c>
      <c r="AD1237" s="36">
        <f t="shared" si="433"/>
        <v>1.4787581699346398E-2</v>
      </c>
      <c r="AE1237" s="36">
        <f t="shared" si="433"/>
        <v>320</v>
      </c>
      <c r="AF1237" s="36">
        <f t="shared" si="433"/>
        <v>179</v>
      </c>
      <c r="AG1237" s="36" t="str">
        <f t="shared" si="433"/>
        <v>MEX</v>
      </c>
      <c r="AI1237">
        <v>1223</v>
      </c>
      <c r="AJ1237" s="77" t="str">
        <f t="shared" si="432"/>
        <v xml:space="preserve">INTERAVIÓN </v>
      </c>
      <c r="AK1237" s="77">
        <f t="shared" si="431"/>
        <v>413</v>
      </c>
      <c r="AL1237" s="186">
        <v>0.60138888888888886</v>
      </c>
      <c r="AM1237" s="79">
        <v>0.61597222222222225</v>
      </c>
      <c r="AN1237" s="80">
        <v>1.4583333333333393E-2</v>
      </c>
      <c r="AO1237" s="79">
        <v>0.63124999999999998</v>
      </c>
      <c r="AP1237" s="80">
        <v>1.5277777777777724E-2</v>
      </c>
      <c r="AQ1237" s="81">
        <v>41809</v>
      </c>
      <c r="AR1237" s="77" t="str">
        <f t="shared" si="430"/>
        <v>Nacional</v>
      </c>
      <c r="AS1237" s="77">
        <f t="shared" si="430"/>
        <v>7.5347222222222118E-3</v>
      </c>
      <c r="AT1237" s="77">
        <f t="shared" si="430"/>
        <v>1.0138888888888916E-2</v>
      </c>
      <c r="AU1237" s="77">
        <f t="shared" si="430"/>
        <v>1.7673611111111126E-2</v>
      </c>
      <c r="AV1237" s="77">
        <f t="shared" si="430"/>
        <v>320</v>
      </c>
      <c r="AW1237" s="77">
        <f t="shared" si="430"/>
        <v>179</v>
      </c>
      <c r="AX1237" s="77" t="str">
        <f t="shared" si="430"/>
        <v>TIJ</v>
      </c>
    </row>
    <row r="1238" spans="1:50" x14ac:dyDescent="0.25">
      <c r="A1238">
        <v>1224</v>
      </c>
      <c r="B1238" s="36" t="str">
        <f t="shared" si="424"/>
        <v>BARATA Y MORADA</v>
      </c>
      <c r="C1238" s="36">
        <f t="shared" si="424"/>
        <v>426</v>
      </c>
      <c r="D1238" s="118">
        <v>0.5708333333333333</v>
      </c>
      <c r="E1238" s="118">
        <v>0.5854166666666667</v>
      </c>
      <c r="F1238" s="119">
        <v>1.4583333333333393E-2</v>
      </c>
      <c r="G1238" s="118">
        <v>0.59097222222222223</v>
      </c>
      <c r="H1238" s="119">
        <v>5.5555555555555358E-3</v>
      </c>
      <c r="I1238" s="81">
        <v>41725</v>
      </c>
      <c r="J1238" s="36" t="str">
        <f t="shared" si="434"/>
        <v>Nacional</v>
      </c>
      <c r="K1238" s="36">
        <f t="shared" si="434"/>
        <v>9.9747474747474904E-3</v>
      </c>
      <c r="L1238" s="36">
        <f t="shared" si="434"/>
        <v>1.1174242424242446E-2</v>
      </c>
      <c r="M1238" s="36">
        <f t="shared" si="434"/>
        <v>2.1148989898989938E-2</v>
      </c>
      <c r="N1238" s="36">
        <f t="shared" si="434"/>
        <v>320</v>
      </c>
      <c r="O1238" s="36">
        <f t="shared" si="434"/>
        <v>179</v>
      </c>
      <c r="P1238" s="36" t="str">
        <f t="shared" si="434"/>
        <v>TIJ</v>
      </c>
      <c r="R1238">
        <v>1224</v>
      </c>
      <c r="S1238" s="36" t="str">
        <f t="shared" si="425"/>
        <v>INTERAVIÓN</v>
      </c>
      <c r="T1238" s="36">
        <f t="shared" si="425"/>
        <v>2202</v>
      </c>
      <c r="U1238" s="73">
        <v>0.54513888888888895</v>
      </c>
      <c r="V1238" s="74">
        <v>0.55555555555555558</v>
      </c>
      <c r="W1238" s="75">
        <v>1.041666666666663E-2</v>
      </c>
      <c r="X1238" s="74">
        <v>0.5625</v>
      </c>
      <c r="Y1238" s="75">
        <v>6.9444444444444198E-3</v>
      </c>
      <c r="Z1238" s="76">
        <v>41750</v>
      </c>
      <c r="AA1238" s="36" t="str">
        <f t="shared" si="433"/>
        <v>Nacional</v>
      </c>
      <c r="AB1238" s="36">
        <f t="shared" si="433"/>
        <v>7.5571895424836532E-3</v>
      </c>
      <c r="AC1238" s="36">
        <f t="shared" si="433"/>
        <v>7.2303921568627454E-3</v>
      </c>
      <c r="AD1238" s="36">
        <f t="shared" si="433"/>
        <v>1.4787581699346398E-2</v>
      </c>
      <c r="AE1238" s="36">
        <f t="shared" si="433"/>
        <v>320</v>
      </c>
      <c r="AF1238" s="36">
        <f t="shared" si="433"/>
        <v>179</v>
      </c>
      <c r="AG1238" s="36" t="str">
        <f t="shared" si="433"/>
        <v>MEX</v>
      </c>
      <c r="AI1238">
        <v>1224</v>
      </c>
      <c r="AJ1238" s="77" t="str">
        <f t="shared" si="432"/>
        <v xml:space="preserve">INTERAVIÓN </v>
      </c>
      <c r="AK1238" s="77">
        <f t="shared" si="431"/>
        <v>413</v>
      </c>
      <c r="AL1238" s="186">
        <v>0.61111111111111105</v>
      </c>
      <c r="AM1238" s="79">
        <v>0.61805555555555558</v>
      </c>
      <c r="AN1238" s="80">
        <v>6.9444444444445308E-3</v>
      </c>
      <c r="AO1238" s="79">
        <v>0.62916666666666665</v>
      </c>
      <c r="AP1238" s="80">
        <v>1.1111111111111072E-2</v>
      </c>
      <c r="AQ1238" s="81">
        <v>41810</v>
      </c>
      <c r="AR1238" s="77" t="str">
        <f t="shared" si="430"/>
        <v>Nacional</v>
      </c>
      <c r="AS1238" s="77">
        <f t="shared" si="430"/>
        <v>7.5347222222222118E-3</v>
      </c>
      <c r="AT1238" s="77">
        <f t="shared" si="430"/>
        <v>1.0138888888888916E-2</v>
      </c>
      <c r="AU1238" s="77">
        <f t="shared" si="430"/>
        <v>1.7673611111111126E-2</v>
      </c>
      <c r="AV1238" s="77">
        <f t="shared" si="430"/>
        <v>320</v>
      </c>
      <c r="AW1238" s="77">
        <f t="shared" si="430"/>
        <v>179</v>
      </c>
      <c r="AX1238" s="77" t="str">
        <f t="shared" si="430"/>
        <v>TIJ</v>
      </c>
    </row>
    <row r="1239" spans="1:50" x14ac:dyDescent="0.25">
      <c r="A1239">
        <v>1225</v>
      </c>
      <c r="B1239" s="36" t="str">
        <f t="shared" si="424"/>
        <v>BARATA Y MORADA</v>
      </c>
      <c r="C1239" s="36">
        <f t="shared" si="424"/>
        <v>426</v>
      </c>
      <c r="D1239" s="118">
        <v>0.57291666666666663</v>
      </c>
      <c r="E1239" s="118">
        <v>0.58194444444444449</v>
      </c>
      <c r="F1239" s="119">
        <v>9.0277777777778567E-3</v>
      </c>
      <c r="G1239" s="118">
        <v>0.6</v>
      </c>
      <c r="H1239" s="119">
        <v>1.8055555555555491E-2</v>
      </c>
      <c r="I1239" s="81">
        <v>41727</v>
      </c>
      <c r="J1239" s="36" t="str">
        <f t="shared" si="434"/>
        <v>Nacional</v>
      </c>
      <c r="K1239" s="36">
        <f t="shared" si="434"/>
        <v>9.9747474747474904E-3</v>
      </c>
      <c r="L1239" s="36">
        <f t="shared" si="434"/>
        <v>1.1174242424242446E-2</v>
      </c>
      <c r="M1239" s="36">
        <f t="shared" si="434"/>
        <v>2.1148989898989938E-2</v>
      </c>
      <c r="N1239" s="36">
        <f t="shared" si="434"/>
        <v>320</v>
      </c>
      <c r="O1239" s="36">
        <f t="shared" si="434"/>
        <v>179</v>
      </c>
      <c r="P1239" s="36" t="str">
        <f t="shared" si="434"/>
        <v>TIJ</v>
      </c>
      <c r="R1239">
        <v>1225</v>
      </c>
      <c r="S1239" s="36" t="str">
        <f t="shared" si="425"/>
        <v>INTERAVIÓN</v>
      </c>
      <c r="T1239" s="36">
        <f t="shared" si="425"/>
        <v>2202</v>
      </c>
      <c r="U1239" s="73">
        <v>0.55486111111111114</v>
      </c>
      <c r="V1239" s="74">
        <v>0.57013888888888886</v>
      </c>
      <c r="W1239" s="75">
        <v>1.5277777777777724E-2</v>
      </c>
      <c r="X1239" s="74">
        <v>0.5756944444444444</v>
      </c>
      <c r="Y1239" s="75">
        <v>5.5555555555555358E-3</v>
      </c>
      <c r="Z1239" s="76">
        <v>41751</v>
      </c>
      <c r="AA1239" s="36" t="str">
        <f t="shared" si="433"/>
        <v>Nacional</v>
      </c>
      <c r="AB1239" s="36">
        <f t="shared" si="433"/>
        <v>7.5571895424836532E-3</v>
      </c>
      <c r="AC1239" s="36">
        <f t="shared" si="433"/>
        <v>7.2303921568627454E-3</v>
      </c>
      <c r="AD1239" s="36">
        <f t="shared" si="433"/>
        <v>1.4787581699346398E-2</v>
      </c>
      <c r="AE1239" s="36">
        <f t="shared" si="433"/>
        <v>320</v>
      </c>
      <c r="AF1239" s="36">
        <f t="shared" si="433"/>
        <v>179</v>
      </c>
      <c r="AG1239" s="36" t="str">
        <f t="shared" si="433"/>
        <v>MEX</v>
      </c>
      <c r="AI1239">
        <v>1225</v>
      </c>
      <c r="AJ1239" s="77" t="str">
        <f t="shared" si="432"/>
        <v xml:space="preserve">INTERAVIÓN </v>
      </c>
      <c r="AK1239" s="77">
        <f t="shared" si="431"/>
        <v>413</v>
      </c>
      <c r="AL1239" s="186">
        <v>0.60972222222222217</v>
      </c>
      <c r="AM1239" s="79">
        <v>0.6166666666666667</v>
      </c>
      <c r="AN1239" s="80">
        <v>6.9444444444445308E-3</v>
      </c>
      <c r="AO1239" s="79">
        <v>0.62847222222222221</v>
      </c>
      <c r="AP1239" s="80">
        <v>1.1805555555555514E-2</v>
      </c>
      <c r="AQ1239" s="81">
        <v>41811</v>
      </c>
      <c r="AR1239" s="77" t="str">
        <f t="shared" si="430"/>
        <v>Nacional</v>
      </c>
      <c r="AS1239" s="77">
        <f t="shared" si="430"/>
        <v>7.5347222222222118E-3</v>
      </c>
      <c r="AT1239" s="77">
        <f t="shared" si="430"/>
        <v>1.0138888888888916E-2</v>
      </c>
      <c r="AU1239" s="77">
        <f t="shared" si="430"/>
        <v>1.7673611111111126E-2</v>
      </c>
      <c r="AV1239" s="77">
        <f t="shared" si="430"/>
        <v>320</v>
      </c>
      <c r="AW1239" s="77">
        <f t="shared" si="430"/>
        <v>179</v>
      </c>
      <c r="AX1239" s="77" t="str">
        <f t="shared" si="430"/>
        <v>TIJ</v>
      </c>
    </row>
    <row r="1240" spans="1:50" ht="15.75" thickBot="1" x14ac:dyDescent="0.3">
      <c r="A1240">
        <v>1226</v>
      </c>
      <c r="B1240" s="36" t="str">
        <f t="shared" si="424"/>
        <v>BARATA Y MORADA</v>
      </c>
      <c r="C1240" s="36">
        <f t="shared" si="424"/>
        <v>426</v>
      </c>
      <c r="D1240" s="176">
        <v>0.54166666666666663</v>
      </c>
      <c r="E1240" s="176">
        <v>0.57222222222222219</v>
      </c>
      <c r="F1240" s="177">
        <v>3.0555555555555558E-2</v>
      </c>
      <c r="G1240" s="176">
        <v>0.5805555555555556</v>
      </c>
      <c r="H1240" s="177">
        <v>8.3333333333334147E-3</v>
      </c>
      <c r="I1240" s="97">
        <v>41729</v>
      </c>
      <c r="J1240" s="36" t="str">
        <f t="shared" si="434"/>
        <v>Nacional</v>
      </c>
      <c r="K1240" s="36">
        <f t="shared" si="434"/>
        <v>9.9747474747474904E-3</v>
      </c>
      <c r="L1240" s="36">
        <f t="shared" si="434"/>
        <v>1.1174242424242446E-2</v>
      </c>
      <c r="M1240" s="36">
        <f t="shared" si="434"/>
        <v>2.1148989898989938E-2</v>
      </c>
      <c r="N1240" s="36">
        <f t="shared" si="434"/>
        <v>320</v>
      </c>
      <c r="O1240" s="36">
        <f t="shared" si="434"/>
        <v>179</v>
      </c>
      <c r="P1240" s="36" t="str">
        <f t="shared" si="434"/>
        <v>TIJ</v>
      </c>
      <c r="R1240">
        <v>1226</v>
      </c>
      <c r="S1240" s="36" t="str">
        <f t="shared" si="425"/>
        <v>INTERAVIÓN</v>
      </c>
      <c r="T1240" s="36">
        <f t="shared" si="425"/>
        <v>2202</v>
      </c>
      <c r="U1240" s="73">
        <v>0.54513888888888895</v>
      </c>
      <c r="V1240" s="74">
        <v>0.54861111111111105</v>
      </c>
      <c r="W1240" s="75">
        <v>3.4722222222220989E-3</v>
      </c>
      <c r="X1240" s="74">
        <v>0.55833333333333335</v>
      </c>
      <c r="Y1240" s="75">
        <v>9.7222222222222987E-3</v>
      </c>
      <c r="Z1240" s="76">
        <v>41753</v>
      </c>
      <c r="AA1240" s="36" t="str">
        <f t="shared" si="433"/>
        <v>Nacional</v>
      </c>
      <c r="AB1240" s="36">
        <f t="shared" si="433"/>
        <v>7.5571895424836532E-3</v>
      </c>
      <c r="AC1240" s="36">
        <f t="shared" si="433"/>
        <v>7.2303921568627454E-3</v>
      </c>
      <c r="AD1240" s="36">
        <f t="shared" si="433"/>
        <v>1.4787581699346398E-2</v>
      </c>
      <c r="AE1240" s="36">
        <f t="shared" si="433"/>
        <v>320</v>
      </c>
      <c r="AF1240" s="36">
        <f t="shared" si="433"/>
        <v>179</v>
      </c>
      <c r="AG1240" s="36" t="str">
        <f t="shared" si="433"/>
        <v>MEX</v>
      </c>
      <c r="AI1240">
        <v>1226</v>
      </c>
      <c r="AJ1240" s="77" t="str">
        <f t="shared" si="432"/>
        <v xml:space="preserve">INTERAVIÓN </v>
      </c>
      <c r="AK1240" s="77">
        <f t="shared" si="431"/>
        <v>413</v>
      </c>
      <c r="AL1240" s="186">
        <v>0.59305555555555556</v>
      </c>
      <c r="AM1240" s="79">
        <v>0.6</v>
      </c>
      <c r="AN1240" s="80">
        <v>6.9444444444444198E-3</v>
      </c>
      <c r="AO1240" s="79">
        <v>0.61041666666666672</v>
      </c>
      <c r="AP1240" s="80">
        <v>1.0416666666666741E-2</v>
      </c>
      <c r="AQ1240" s="81">
        <v>41813</v>
      </c>
      <c r="AR1240" s="77" t="str">
        <f t="shared" si="430"/>
        <v>Nacional</v>
      </c>
      <c r="AS1240" s="77">
        <f t="shared" si="430"/>
        <v>7.5347222222222118E-3</v>
      </c>
      <c r="AT1240" s="77">
        <f t="shared" si="430"/>
        <v>1.0138888888888916E-2</v>
      </c>
      <c r="AU1240" s="77">
        <f t="shared" si="430"/>
        <v>1.7673611111111126E-2</v>
      </c>
      <c r="AV1240" s="77">
        <f t="shared" si="430"/>
        <v>320</v>
      </c>
      <c r="AW1240" s="77">
        <f t="shared" si="430"/>
        <v>179</v>
      </c>
      <c r="AX1240" s="77" t="str">
        <f t="shared" si="430"/>
        <v>TIJ</v>
      </c>
    </row>
    <row r="1241" spans="1:50" ht="15.75" thickBot="1" x14ac:dyDescent="0.3">
      <c r="A1241">
        <v>1227</v>
      </c>
      <c r="B1241" s="36" t="str">
        <f t="shared" si="424"/>
        <v>BARATA Y MORADA</v>
      </c>
      <c r="C1241" s="151">
        <v>424</v>
      </c>
      <c r="D1241" s="152">
        <v>0.51388888888888895</v>
      </c>
      <c r="E1241" s="152">
        <v>0.5180555555555556</v>
      </c>
      <c r="F1241" s="153">
        <v>4.1666666666666519E-3</v>
      </c>
      <c r="G1241" s="152">
        <v>0.54027777777777775</v>
      </c>
      <c r="H1241" s="153">
        <v>2.2222222222222143E-2</v>
      </c>
      <c r="I1241" s="67">
        <v>41714</v>
      </c>
      <c r="J1241" s="68" t="s">
        <v>19</v>
      </c>
      <c r="K1241" s="135">
        <v>7.2916666666666885E-3</v>
      </c>
      <c r="L1241" s="135">
        <v>1.1607142857142832E-2</v>
      </c>
      <c r="M1241" s="175">
        <v>1.8898809523809519E-2</v>
      </c>
      <c r="N1241" s="90">
        <v>320</v>
      </c>
      <c r="O1241" s="91">
        <v>179</v>
      </c>
      <c r="P1241" s="92" t="s">
        <v>34</v>
      </c>
      <c r="R1241">
        <v>1227</v>
      </c>
      <c r="S1241" s="36" t="str">
        <f t="shared" si="425"/>
        <v>INTERAVIÓN</v>
      </c>
      <c r="T1241" s="36">
        <f t="shared" si="425"/>
        <v>2202</v>
      </c>
      <c r="U1241" s="73">
        <v>0.55208333333333337</v>
      </c>
      <c r="V1241" s="74">
        <v>0.55902777777777779</v>
      </c>
      <c r="W1241" s="75">
        <v>6.9444444444444198E-3</v>
      </c>
      <c r="X1241" s="74">
        <v>0.56597222222222221</v>
      </c>
      <c r="Y1241" s="75">
        <v>6.9444444444444198E-3</v>
      </c>
      <c r="Z1241" s="76">
        <v>41756</v>
      </c>
      <c r="AA1241" s="36" t="str">
        <f t="shared" si="433"/>
        <v>Nacional</v>
      </c>
      <c r="AB1241" s="36">
        <f t="shared" si="433"/>
        <v>7.5571895424836532E-3</v>
      </c>
      <c r="AC1241" s="36">
        <f t="shared" si="433"/>
        <v>7.2303921568627454E-3</v>
      </c>
      <c r="AD1241" s="36">
        <f t="shared" si="433"/>
        <v>1.4787581699346398E-2</v>
      </c>
      <c r="AE1241" s="36">
        <f t="shared" si="433"/>
        <v>320</v>
      </c>
      <c r="AF1241" s="36">
        <f t="shared" si="433"/>
        <v>179</v>
      </c>
      <c r="AG1241" s="36" t="str">
        <f t="shared" si="433"/>
        <v>MEX</v>
      </c>
      <c r="AI1241">
        <v>1227</v>
      </c>
      <c r="AJ1241" s="77" t="str">
        <f t="shared" si="432"/>
        <v xml:space="preserve">INTERAVIÓN </v>
      </c>
      <c r="AK1241" s="77">
        <f t="shared" si="431"/>
        <v>413</v>
      </c>
      <c r="AL1241" s="187">
        <v>0.53125</v>
      </c>
      <c r="AM1241" s="95">
        <v>0.53472222222222221</v>
      </c>
      <c r="AN1241" s="96">
        <v>3.4722222222222099E-3</v>
      </c>
      <c r="AO1241" s="95">
        <v>0.54861111111111105</v>
      </c>
      <c r="AP1241" s="96">
        <v>1.388888888888884E-2</v>
      </c>
      <c r="AQ1241" s="97">
        <v>41812</v>
      </c>
      <c r="AR1241" s="77" t="str">
        <f t="shared" si="430"/>
        <v>Nacional</v>
      </c>
      <c r="AS1241" s="77">
        <f t="shared" si="430"/>
        <v>7.5347222222222118E-3</v>
      </c>
      <c r="AT1241" s="77">
        <f t="shared" si="430"/>
        <v>1.0138888888888916E-2</v>
      </c>
      <c r="AU1241" s="77">
        <f t="shared" si="430"/>
        <v>1.7673611111111126E-2</v>
      </c>
      <c r="AV1241" s="77">
        <f t="shared" si="430"/>
        <v>320</v>
      </c>
      <c r="AW1241" s="77">
        <f t="shared" si="430"/>
        <v>179</v>
      </c>
      <c r="AX1241" s="77" t="str">
        <f t="shared" si="430"/>
        <v>TIJ</v>
      </c>
    </row>
    <row r="1242" spans="1:50" x14ac:dyDescent="0.25">
      <c r="A1242">
        <v>1228</v>
      </c>
      <c r="B1242" s="36" t="str">
        <f t="shared" si="424"/>
        <v>BARATA Y MORADA</v>
      </c>
      <c r="C1242" s="36">
        <f t="shared" si="424"/>
        <v>424</v>
      </c>
      <c r="D1242" s="118">
        <v>0.52361111111111114</v>
      </c>
      <c r="E1242" s="118">
        <v>0.53125</v>
      </c>
      <c r="F1242" s="119">
        <v>7.6388888888888618E-3</v>
      </c>
      <c r="G1242" s="118">
        <v>0.54236111111111118</v>
      </c>
      <c r="H1242" s="119">
        <v>1.1111111111111183E-2</v>
      </c>
      <c r="I1242" s="81">
        <v>41715</v>
      </c>
      <c r="J1242" s="36" t="str">
        <f t="shared" ref="J1242:P1254" si="435">J1241</f>
        <v>Nacional</v>
      </c>
      <c r="K1242" s="36">
        <f t="shared" si="435"/>
        <v>7.2916666666666885E-3</v>
      </c>
      <c r="L1242" s="36">
        <f t="shared" si="435"/>
        <v>1.1607142857142832E-2</v>
      </c>
      <c r="M1242" s="36">
        <f t="shared" si="435"/>
        <v>1.8898809523809519E-2</v>
      </c>
      <c r="N1242" s="36">
        <f t="shared" si="435"/>
        <v>320</v>
      </c>
      <c r="O1242" s="36">
        <f t="shared" si="435"/>
        <v>179</v>
      </c>
      <c r="P1242" s="36" t="str">
        <f t="shared" si="435"/>
        <v>TIJ</v>
      </c>
      <c r="R1242">
        <v>1228</v>
      </c>
      <c r="S1242" s="36" t="str">
        <f t="shared" si="425"/>
        <v>INTERAVIÓN</v>
      </c>
      <c r="T1242" s="36">
        <f t="shared" si="425"/>
        <v>2202</v>
      </c>
      <c r="U1242" s="73">
        <v>0.55694444444444446</v>
      </c>
      <c r="V1242" s="74">
        <v>0.56527777777777777</v>
      </c>
      <c r="W1242" s="75">
        <v>8.3333333333333037E-3</v>
      </c>
      <c r="X1242" s="74">
        <v>0.56874999999999998</v>
      </c>
      <c r="Y1242" s="75">
        <v>3.4722222222222099E-3</v>
      </c>
      <c r="Z1242" s="76">
        <v>41757</v>
      </c>
      <c r="AA1242" s="36" t="str">
        <f t="shared" si="433"/>
        <v>Nacional</v>
      </c>
      <c r="AB1242" s="36">
        <f t="shared" si="433"/>
        <v>7.5571895424836532E-3</v>
      </c>
      <c r="AC1242" s="36">
        <f t="shared" si="433"/>
        <v>7.2303921568627454E-3</v>
      </c>
      <c r="AD1242" s="36">
        <f t="shared" si="433"/>
        <v>1.4787581699346398E-2</v>
      </c>
      <c r="AE1242" s="36">
        <f t="shared" si="433"/>
        <v>320</v>
      </c>
      <c r="AF1242" s="36">
        <f t="shared" si="433"/>
        <v>179</v>
      </c>
      <c r="AG1242" s="36" t="str">
        <f t="shared" si="433"/>
        <v>MEX</v>
      </c>
      <c r="AI1242">
        <v>1228</v>
      </c>
      <c r="AJ1242" s="77" t="str">
        <f t="shared" si="432"/>
        <v xml:space="preserve">INTERAVIÓN </v>
      </c>
      <c r="AK1242" s="197">
        <v>411</v>
      </c>
      <c r="AL1242" s="185">
        <v>0.84861111111111109</v>
      </c>
      <c r="AM1242" s="65">
        <v>0.85763888888888884</v>
      </c>
      <c r="AN1242" s="66">
        <v>9.0277777777777457E-3</v>
      </c>
      <c r="AO1242" s="65">
        <v>0.87361111111111101</v>
      </c>
      <c r="AP1242" s="66">
        <v>1.5972222222222165E-2</v>
      </c>
      <c r="AQ1242" s="67">
        <v>41791</v>
      </c>
      <c r="AR1242" s="68" t="s">
        <v>19</v>
      </c>
      <c r="AS1242" s="69">
        <v>1.1210317460317467E-2</v>
      </c>
      <c r="AT1242" s="70">
        <v>1.4583333333333325E-2</v>
      </c>
      <c r="AU1242" s="70">
        <v>2.5793650793650792E-2</v>
      </c>
      <c r="AV1242" s="71">
        <v>320</v>
      </c>
      <c r="AW1242" s="71">
        <v>179</v>
      </c>
      <c r="AX1242" s="72" t="s">
        <v>34</v>
      </c>
    </row>
    <row r="1243" spans="1:50" x14ac:dyDescent="0.25">
      <c r="A1243">
        <v>1229</v>
      </c>
      <c r="B1243" s="36" t="str">
        <f t="shared" si="424"/>
        <v>BARATA Y MORADA</v>
      </c>
      <c r="C1243" s="36">
        <f t="shared" si="424"/>
        <v>424</v>
      </c>
      <c r="D1243" s="118">
        <v>0.52013888888888882</v>
      </c>
      <c r="E1243" s="118">
        <v>0.52986111111111112</v>
      </c>
      <c r="F1243" s="119">
        <v>9.7222222222222987E-3</v>
      </c>
      <c r="G1243" s="118">
        <v>0.54027777777777775</v>
      </c>
      <c r="H1243" s="119">
        <v>1.041666666666663E-2</v>
      </c>
      <c r="I1243" s="81">
        <v>41716</v>
      </c>
      <c r="J1243" s="36" t="str">
        <f t="shared" si="435"/>
        <v>Nacional</v>
      </c>
      <c r="K1243" s="36">
        <f t="shared" si="435"/>
        <v>7.2916666666666885E-3</v>
      </c>
      <c r="L1243" s="36">
        <f t="shared" si="435"/>
        <v>1.1607142857142832E-2</v>
      </c>
      <c r="M1243" s="36">
        <f t="shared" si="435"/>
        <v>1.8898809523809519E-2</v>
      </c>
      <c r="N1243" s="36">
        <f t="shared" si="435"/>
        <v>320</v>
      </c>
      <c r="O1243" s="36">
        <f t="shared" si="435"/>
        <v>179</v>
      </c>
      <c r="P1243" s="36" t="str">
        <f t="shared" si="435"/>
        <v>TIJ</v>
      </c>
      <c r="R1243">
        <v>1229</v>
      </c>
      <c r="S1243" s="36" t="str">
        <f t="shared" si="425"/>
        <v>INTERAVIÓN</v>
      </c>
      <c r="T1243" s="36">
        <f t="shared" si="425"/>
        <v>2202</v>
      </c>
      <c r="U1243" s="73">
        <v>0.53819444444444442</v>
      </c>
      <c r="V1243" s="74">
        <v>0.54861111111111105</v>
      </c>
      <c r="W1243" s="75">
        <v>1.041666666666663E-2</v>
      </c>
      <c r="X1243" s="74">
        <v>0.55277777777777781</v>
      </c>
      <c r="Y1243" s="75">
        <v>4.1666666666667629E-3</v>
      </c>
      <c r="Z1243" s="76">
        <v>41758</v>
      </c>
      <c r="AA1243" s="36" t="str">
        <f t="shared" si="433"/>
        <v>Nacional</v>
      </c>
      <c r="AB1243" s="36">
        <f t="shared" si="433"/>
        <v>7.5571895424836532E-3</v>
      </c>
      <c r="AC1243" s="36">
        <f t="shared" si="433"/>
        <v>7.2303921568627454E-3</v>
      </c>
      <c r="AD1243" s="36">
        <f t="shared" si="433"/>
        <v>1.4787581699346398E-2</v>
      </c>
      <c r="AE1243" s="36">
        <f t="shared" si="433"/>
        <v>320</v>
      </c>
      <c r="AF1243" s="36">
        <f t="shared" si="433"/>
        <v>179</v>
      </c>
      <c r="AG1243" s="36" t="str">
        <f t="shared" si="433"/>
        <v>MEX</v>
      </c>
      <c r="AI1243">
        <v>1229</v>
      </c>
      <c r="AJ1243" s="77" t="str">
        <f t="shared" si="432"/>
        <v xml:space="preserve">INTERAVIÓN </v>
      </c>
      <c r="AK1243" s="77">
        <f t="shared" si="432"/>
        <v>411</v>
      </c>
      <c r="AL1243" s="186">
        <v>0.85138888888888886</v>
      </c>
      <c r="AM1243" s="79">
        <v>0.86458333333333337</v>
      </c>
      <c r="AN1243" s="80">
        <v>1.3194444444444509E-2</v>
      </c>
      <c r="AO1243" s="79">
        <v>0.87708333333333333</v>
      </c>
      <c r="AP1243" s="80">
        <v>1.2499999999999956E-2</v>
      </c>
      <c r="AQ1243" s="81">
        <v>41795</v>
      </c>
      <c r="AR1243" s="77" t="str">
        <f t="shared" ref="AR1243:AX1248" si="436">AR1242</f>
        <v>Nacional</v>
      </c>
      <c r="AS1243" s="77">
        <f t="shared" si="436"/>
        <v>1.1210317460317467E-2</v>
      </c>
      <c r="AT1243" s="77">
        <f t="shared" si="436"/>
        <v>1.4583333333333325E-2</v>
      </c>
      <c r="AU1243" s="77">
        <f t="shared" si="436"/>
        <v>2.5793650793650792E-2</v>
      </c>
      <c r="AV1243" s="77">
        <f t="shared" si="436"/>
        <v>320</v>
      </c>
      <c r="AW1243" s="77">
        <f t="shared" si="436"/>
        <v>179</v>
      </c>
      <c r="AX1243" s="77" t="str">
        <f t="shared" si="436"/>
        <v>TIJ</v>
      </c>
    </row>
    <row r="1244" spans="1:50" ht="15.75" thickBot="1" x14ac:dyDescent="0.3">
      <c r="A1244">
        <v>1230</v>
      </c>
      <c r="B1244" s="36" t="str">
        <f t="shared" si="424"/>
        <v>BARATA Y MORADA</v>
      </c>
      <c r="C1244" s="36">
        <f t="shared" si="424"/>
        <v>424</v>
      </c>
      <c r="D1244" s="118">
        <v>0.52361111111111114</v>
      </c>
      <c r="E1244" s="118">
        <v>0.52986111111111112</v>
      </c>
      <c r="F1244" s="119">
        <v>6.2499999999999778E-3</v>
      </c>
      <c r="G1244" s="118">
        <v>0.54166666666666663</v>
      </c>
      <c r="H1244" s="119">
        <v>1.1805555555555514E-2</v>
      </c>
      <c r="I1244" s="81">
        <v>41717</v>
      </c>
      <c r="J1244" s="36" t="str">
        <f t="shared" si="435"/>
        <v>Nacional</v>
      </c>
      <c r="K1244" s="36">
        <f t="shared" si="435"/>
        <v>7.2916666666666885E-3</v>
      </c>
      <c r="L1244" s="36">
        <f t="shared" si="435"/>
        <v>1.1607142857142832E-2</v>
      </c>
      <c r="M1244" s="36">
        <f t="shared" si="435"/>
        <v>1.8898809523809519E-2</v>
      </c>
      <c r="N1244" s="36">
        <f t="shared" si="435"/>
        <v>320</v>
      </c>
      <c r="O1244" s="36">
        <f t="shared" si="435"/>
        <v>179</v>
      </c>
      <c r="P1244" s="36" t="str">
        <f t="shared" si="435"/>
        <v>TIJ</v>
      </c>
      <c r="R1244">
        <v>1230</v>
      </c>
      <c r="S1244" s="36" t="str">
        <f t="shared" si="425"/>
        <v>INTERAVIÓN</v>
      </c>
      <c r="T1244" s="36">
        <f t="shared" si="425"/>
        <v>2202</v>
      </c>
      <c r="U1244" s="83">
        <v>0.5444444444444444</v>
      </c>
      <c r="V1244" s="84">
        <v>0.55347222222222225</v>
      </c>
      <c r="W1244" s="85">
        <v>9.0277777777778567E-3</v>
      </c>
      <c r="X1244" s="84">
        <v>0.56180555555555556</v>
      </c>
      <c r="Y1244" s="85">
        <v>8.3333333333333037E-3</v>
      </c>
      <c r="Z1244" s="86">
        <v>41759</v>
      </c>
      <c r="AA1244" s="36" t="str">
        <f t="shared" si="433"/>
        <v>Nacional</v>
      </c>
      <c r="AB1244" s="36">
        <f t="shared" si="433"/>
        <v>7.5571895424836532E-3</v>
      </c>
      <c r="AC1244" s="36">
        <f t="shared" si="433"/>
        <v>7.2303921568627454E-3</v>
      </c>
      <c r="AD1244" s="36">
        <f t="shared" si="433"/>
        <v>1.4787581699346398E-2</v>
      </c>
      <c r="AE1244" s="36">
        <f t="shared" si="433"/>
        <v>320</v>
      </c>
      <c r="AF1244" s="36">
        <f t="shared" si="433"/>
        <v>179</v>
      </c>
      <c r="AG1244" s="36" t="str">
        <f t="shared" si="433"/>
        <v>MEX</v>
      </c>
      <c r="AI1244">
        <v>1230</v>
      </c>
      <c r="AJ1244" s="77" t="str">
        <f t="shared" si="432"/>
        <v xml:space="preserve">INTERAVIÓN </v>
      </c>
      <c r="AK1244" s="77">
        <f t="shared" si="432"/>
        <v>411</v>
      </c>
      <c r="AL1244" s="186">
        <v>0.80208333333333337</v>
      </c>
      <c r="AM1244" s="79">
        <v>0.83472222222222225</v>
      </c>
      <c r="AN1244" s="80">
        <v>3.2638888888888884E-2</v>
      </c>
      <c r="AO1244" s="79">
        <v>0.84444444444444444</v>
      </c>
      <c r="AP1244" s="80">
        <v>9.7222222222221877E-3</v>
      </c>
      <c r="AQ1244" s="81">
        <v>41799</v>
      </c>
      <c r="AR1244" s="77" t="str">
        <f t="shared" si="436"/>
        <v>Nacional</v>
      </c>
      <c r="AS1244" s="77">
        <f t="shared" si="436"/>
        <v>1.1210317460317467E-2</v>
      </c>
      <c r="AT1244" s="77">
        <f t="shared" si="436"/>
        <v>1.4583333333333325E-2</v>
      </c>
      <c r="AU1244" s="77">
        <f t="shared" si="436"/>
        <v>2.5793650793650792E-2</v>
      </c>
      <c r="AV1244" s="77">
        <f t="shared" si="436"/>
        <v>320</v>
      </c>
      <c r="AW1244" s="77">
        <f t="shared" si="436"/>
        <v>179</v>
      </c>
      <c r="AX1244" s="77" t="str">
        <f t="shared" si="436"/>
        <v>TIJ</v>
      </c>
    </row>
    <row r="1245" spans="1:50" x14ac:dyDescent="0.25">
      <c r="A1245">
        <v>1231</v>
      </c>
      <c r="B1245" s="36" t="str">
        <f t="shared" si="424"/>
        <v>BARATA Y MORADA</v>
      </c>
      <c r="C1245" s="36">
        <f t="shared" si="424"/>
        <v>424</v>
      </c>
      <c r="D1245" s="118">
        <v>0.52777777777777779</v>
      </c>
      <c r="E1245" s="118">
        <v>0.53611111111111109</v>
      </c>
      <c r="F1245" s="119">
        <v>8.3333333333333037E-3</v>
      </c>
      <c r="G1245" s="118">
        <v>0.5444444444444444</v>
      </c>
      <c r="H1245" s="119">
        <v>8.3333333333333037E-3</v>
      </c>
      <c r="I1245" s="81">
        <v>41718</v>
      </c>
      <c r="J1245" s="36" t="str">
        <f t="shared" si="435"/>
        <v>Nacional</v>
      </c>
      <c r="K1245" s="36">
        <f t="shared" si="435"/>
        <v>7.2916666666666885E-3</v>
      </c>
      <c r="L1245" s="36">
        <f t="shared" si="435"/>
        <v>1.1607142857142832E-2</v>
      </c>
      <c r="M1245" s="36">
        <f t="shared" si="435"/>
        <v>1.8898809523809519E-2</v>
      </c>
      <c r="N1245" s="36">
        <f t="shared" si="435"/>
        <v>320</v>
      </c>
      <c r="O1245" s="36">
        <f t="shared" si="435"/>
        <v>179</v>
      </c>
      <c r="P1245" s="36" t="str">
        <f t="shared" si="435"/>
        <v>TIJ</v>
      </c>
      <c r="R1245">
        <v>1231</v>
      </c>
      <c r="S1245" s="36" t="str">
        <f t="shared" si="425"/>
        <v>INTERAVIÓN</v>
      </c>
      <c r="T1245" s="55">
        <v>2200</v>
      </c>
      <c r="U1245" s="56">
        <v>0.76041666666666663</v>
      </c>
      <c r="V1245" s="57">
        <v>0.7631944444444444</v>
      </c>
      <c r="W1245" s="58">
        <v>2.7777777777777679E-3</v>
      </c>
      <c r="X1245" s="57">
        <v>0.76874999999999993</v>
      </c>
      <c r="Y1245" s="58">
        <v>5.5555555555555358E-3</v>
      </c>
      <c r="Z1245" s="59">
        <v>41732</v>
      </c>
      <c r="AA1245" s="60" t="s">
        <v>19</v>
      </c>
      <c r="AB1245" s="61">
        <v>7.4652777777777513E-3</v>
      </c>
      <c r="AC1245" s="61">
        <v>6.0763888888888951E-3</v>
      </c>
      <c r="AD1245" s="62">
        <v>1.3541666666666646E-2</v>
      </c>
      <c r="AE1245" s="191">
        <v>320</v>
      </c>
      <c r="AF1245" s="191">
        <v>179</v>
      </c>
      <c r="AG1245" s="192" t="s">
        <v>21</v>
      </c>
      <c r="AI1245">
        <v>1231</v>
      </c>
      <c r="AJ1245" s="77" t="str">
        <f t="shared" si="432"/>
        <v xml:space="preserve">INTERAVIÓN </v>
      </c>
      <c r="AK1245" s="77">
        <f t="shared" si="432"/>
        <v>411</v>
      </c>
      <c r="AL1245" s="189">
        <v>0.21527777777777779</v>
      </c>
      <c r="AM1245" s="144">
        <v>0.21875</v>
      </c>
      <c r="AN1245" s="80">
        <v>3.4722222222222099E-3</v>
      </c>
      <c r="AO1245" s="144">
        <v>0.23541666666666669</v>
      </c>
      <c r="AP1245" s="80">
        <v>1.6666666666666691E-2</v>
      </c>
      <c r="AQ1245" s="81">
        <v>41802</v>
      </c>
      <c r="AR1245" s="77" t="str">
        <f t="shared" si="436"/>
        <v>Nacional</v>
      </c>
      <c r="AS1245" s="77">
        <f t="shared" si="436"/>
        <v>1.1210317460317467E-2</v>
      </c>
      <c r="AT1245" s="77">
        <f t="shared" si="436"/>
        <v>1.4583333333333325E-2</v>
      </c>
      <c r="AU1245" s="77">
        <f t="shared" si="436"/>
        <v>2.5793650793650792E-2</v>
      </c>
      <c r="AV1245" s="77">
        <f t="shared" si="436"/>
        <v>320</v>
      </c>
      <c r="AW1245" s="77">
        <f t="shared" si="436"/>
        <v>179</v>
      </c>
      <c r="AX1245" s="77" t="str">
        <f t="shared" si="436"/>
        <v>TIJ</v>
      </c>
    </row>
    <row r="1246" spans="1:50" x14ac:dyDescent="0.25">
      <c r="A1246">
        <v>1232</v>
      </c>
      <c r="B1246" s="36" t="str">
        <f t="shared" si="424"/>
        <v>BARATA Y MORADA</v>
      </c>
      <c r="C1246" s="36">
        <f t="shared" si="424"/>
        <v>424</v>
      </c>
      <c r="D1246" s="118">
        <v>0.51388888888888895</v>
      </c>
      <c r="E1246" s="118">
        <v>0.52361111111111114</v>
      </c>
      <c r="F1246" s="119">
        <v>9.7222222222221877E-3</v>
      </c>
      <c r="G1246" s="118">
        <v>0.54166666666666663</v>
      </c>
      <c r="H1246" s="119">
        <v>1.8055555555555491E-2</v>
      </c>
      <c r="I1246" s="81">
        <v>41720</v>
      </c>
      <c r="J1246" s="36" t="str">
        <f t="shared" si="435"/>
        <v>Nacional</v>
      </c>
      <c r="K1246" s="36">
        <f t="shared" si="435"/>
        <v>7.2916666666666885E-3</v>
      </c>
      <c r="L1246" s="36">
        <f t="shared" si="435"/>
        <v>1.1607142857142832E-2</v>
      </c>
      <c r="M1246" s="36">
        <f t="shared" si="435"/>
        <v>1.8898809523809519E-2</v>
      </c>
      <c r="N1246" s="36">
        <f t="shared" si="435"/>
        <v>320</v>
      </c>
      <c r="O1246" s="36">
        <f t="shared" si="435"/>
        <v>179</v>
      </c>
      <c r="P1246" s="36" t="str">
        <f t="shared" si="435"/>
        <v>TIJ</v>
      </c>
      <c r="R1246">
        <v>1232</v>
      </c>
      <c r="S1246" s="36" t="str">
        <f t="shared" si="425"/>
        <v>INTERAVIÓN</v>
      </c>
      <c r="T1246" s="36">
        <f t="shared" si="425"/>
        <v>2200</v>
      </c>
      <c r="U1246" s="73">
        <v>0.7583333333333333</v>
      </c>
      <c r="V1246" s="74">
        <v>0.76527777777777783</v>
      </c>
      <c r="W1246" s="75">
        <v>6.9444444444445308E-3</v>
      </c>
      <c r="X1246" s="74">
        <v>0.7715277777777777</v>
      </c>
      <c r="Y1246" s="75">
        <v>6.2499999999998668E-3</v>
      </c>
      <c r="Z1246" s="76">
        <v>41733</v>
      </c>
      <c r="AA1246" s="36" t="str">
        <f t="shared" ref="AA1246:AG1248" si="437">AA1245</f>
        <v>Nacional</v>
      </c>
      <c r="AB1246" s="36">
        <f t="shared" si="437"/>
        <v>7.4652777777777513E-3</v>
      </c>
      <c r="AC1246" s="36">
        <f t="shared" si="437"/>
        <v>6.0763888888888951E-3</v>
      </c>
      <c r="AD1246" s="36">
        <f t="shared" si="437"/>
        <v>1.3541666666666646E-2</v>
      </c>
      <c r="AE1246" s="36">
        <f t="shared" si="437"/>
        <v>320</v>
      </c>
      <c r="AF1246" s="36">
        <f t="shared" si="437"/>
        <v>179</v>
      </c>
      <c r="AG1246" s="36" t="str">
        <f t="shared" si="437"/>
        <v>MEX</v>
      </c>
      <c r="AI1246">
        <v>1232</v>
      </c>
      <c r="AJ1246" s="77" t="str">
        <f t="shared" si="432"/>
        <v xml:space="preserve">INTERAVIÓN </v>
      </c>
      <c r="AK1246" s="77">
        <f t="shared" si="432"/>
        <v>411</v>
      </c>
      <c r="AL1246" s="186">
        <v>0.71875</v>
      </c>
      <c r="AM1246" s="79">
        <v>0.72569444444444453</v>
      </c>
      <c r="AN1246" s="80">
        <v>6.9444444444445308E-3</v>
      </c>
      <c r="AO1246" s="79">
        <v>0.73402777777777783</v>
      </c>
      <c r="AP1246" s="80">
        <v>8.3333333333333037E-3</v>
      </c>
      <c r="AQ1246" s="81">
        <v>41805</v>
      </c>
      <c r="AR1246" s="77" t="str">
        <f t="shared" si="436"/>
        <v>Nacional</v>
      </c>
      <c r="AS1246" s="77">
        <f t="shared" si="436"/>
        <v>1.1210317460317467E-2</v>
      </c>
      <c r="AT1246" s="77">
        <f t="shared" si="436"/>
        <v>1.4583333333333325E-2</v>
      </c>
      <c r="AU1246" s="77">
        <f t="shared" si="436"/>
        <v>2.5793650793650792E-2</v>
      </c>
      <c r="AV1246" s="77">
        <f t="shared" si="436"/>
        <v>320</v>
      </c>
      <c r="AW1246" s="77">
        <f t="shared" si="436"/>
        <v>179</v>
      </c>
      <c r="AX1246" s="77" t="str">
        <f t="shared" si="436"/>
        <v>TIJ</v>
      </c>
    </row>
    <row r="1247" spans="1:50" x14ac:dyDescent="0.25">
      <c r="A1247">
        <v>1233</v>
      </c>
      <c r="B1247" s="36" t="str">
        <f t="shared" si="424"/>
        <v>BARATA Y MORADA</v>
      </c>
      <c r="C1247" s="36">
        <f t="shared" si="424"/>
        <v>424</v>
      </c>
      <c r="D1247" s="118">
        <v>0.51180555555555551</v>
      </c>
      <c r="E1247" s="118">
        <v>0.51944444444444449</v>
      </c>
      <c r="F1247" s="119">
        <v>7.6388888888889728E-3</v>
      </c>
      <c r="G1247" s="118">
        <v>0.52638888888888891</v>
      </c>
      <c r="H1247" s="119">
        <v>6.9444444444444198E-3</v>
      </c>
      <c r="I1247" s="81">
        <v>41721</v>
      </c>
      <c r="J1247" s="36" t="str">
        <f t="shared" si="435"/>
        <v>Nacional</v>
      </c>
      <c r="K1247" s="36">
        <f t="shared" si="435"/>
        <v>7.2916666666666885E-3</v>
      </c>
      <c r="L1247" s="36">
        <f t="shared" si="435"/>
        <v>1.1607142857142832E-2</v>
      </c>
      <c r="M1247" s="36">
        <f t="shared" si="435"/>
        <v>1.8898809523809519E-2</v>
      </c>
      <c r="N1247" s="36">
        <f t="shared" si="435"/>
        <v>320</v>
      </c>
      <c r="O1247" s="36">
        <f t="shared" si="435"/>
        <v>179</v>
      </c>
      <c r="P1247" s="36" t="str">
        <f t="shared" si="435"/>
        <v>TIJ</v>
      </c>
      <c r="R1247">
        <v>1233</v>
      </c>
      <c r="S1247" s="36" t="str">
        <f t="shared" si="425"/>
        <v>INTERAVIÓN</v>
      </c>
      <c r="T1247" s="36">
        <f t="shared" si="425"/>
        <v>2200</v>
      </c>
      <c r="U1247" s="73">
        <v>0.76736111111111116</v>
      </c>
      <c r="V1247" s="74">
        <v>0.77708333333333324</v>
      </c>
      <c r="W1247" s="75">
        <v>9.7222222222220767E-3</v>
      </c>
      <c r="X1247" s="74">
        <v>0.78472222222222221</v>
      </c>
      <c r="Y1247" s="75">
        <v>7.6388888888889728E-3</v>
      </c>
      <c r="Z1247" s="76">
        <v>41746</v>
      </c>
      <c r="AA1247" s="36" t="str">
        <f t="shared" si="437"/>
        <v>Nacional</v>
      </c>
      <c r="AB1247" s="36">
        <f t="shared" si="437"/>
        <v>7.4652777777777513E-3</v>
      </c>
      <c r="AC1247" s="36">
        <f t="shared" si="437"/>
        <v>6.0763888888888951E-3</v>
      </c>
      <c r="AD1247" s="36">
        <f t="shared" si="437"/>
        <v>1.3541666666666646E-2</v>
      </c>
      <c r="AE1247" s="36">
        <f t="shared" si="437"/>
        <v>320</v>
      </c>
      <c r="AF1247" s="36">
        <f t="shared" si="437"/>
        <v>179</v>
      </c>
      <c r="AG1247" s="36" t="str">
        <f t="shared" si="437"/>
        <v>MEX</v>
      </c>
      <c r="AI1247">
        <v>1233</v>
      </c>
      <c r="AJ1247" s="77" t="str">
        <f t="shared" si="432"/>
        <v xml:space="preserve">INTERAVIÓN </v>
      </c>
      <c r="AK1247" s="77">
        <f t="shared" si="432"/>
        <v>411</v>
      </c>
      <c r="AL1247" s="186">
        <v>0.87430555555555556</v>
      </c>
      <c r="AM1247" s="79">
        <v>0.88124999999999998</v>
      </c>
      <c r="AN1247" s="80">
        <v>6.9444444444444198E-3</v>
      </c>
      <c r="AO1247" s="79">
        <v>0.8930555555555556</v>
      </c>
      <c r="AP1247" s="80">
        <v>1.1805555555555625E-2</v>
      </c>
      <c r="AQ1247" s="81">
        <v>41809</v>
      </c>
      <c r="AR1247" s="77" t="str">
        <f t="shared" si="436"/>
        <v>Nacional</v>
      </c>
      <c r="AS1247" s="77">
        <f t="shared" si="436"/>
        <v>1.1210317460317467E-2</v>
      </c>
      <c r="AT1247" s="77">
        <f t="shared" si="436"/>
        <v>1.4583333333333325E-2</v>
      </c>
      <c r="AU1247" s="77">
        <f t="shared" si="436"/>
        <v>2.5793650793650792E-2</v>
      </c>
      <c r="AV1247" s="77">
        <f t="shared" si="436"/>
        <v>320</v>
      </c>
      <c r="AW1247" s="77">
        <f t="shared" si="436"/>
        <v>179</v>
      </c>
      <c r="AX1247" s="77" t="str">
        <f t="shared" si="436"/>
        <v>TIJ</v>
      </c>
    </row>
    <row r="1248" spans="1:50" ht="15.75" thickBot="1" x14ac:dyDescent="0.3">
      <c r="A1248">
        <v>1234</v>
      </c>
      <c r="B1248" s="36" t="str">
        <f t="shared" si="424"/>
        <v>BARATA Y MORADA</v>
      </c>
      <c r="C1248" s="36">
        <f t="shared" si="424"/>
        <v>424</v>
      </c>
      <c r="D1248" s="118">
        <v>0.51180555555555551</v>
      </c>
      <c r="E1248" s="118">
        <v>0.51944444444444449</v>
      </c>
      <c r="F1248" s="119">
        <v>7.6388888888889728E-3</v>
      </c>
      <c r="G1248" s="118">
        <v>0.52638888888888891</v>
      </c>
      <c r="H1248" s="119">
        <v>6.9444444444444198E-3</v>
      </c>
      <c r="I1248" s="81">
        <v>41721</v>
      </c>
      <c r="J1248" s="36" t="str">
        <f t="shared" si="435"/>
        <v>Nacional</v>
      </c>
      <c r="K1248" s="36">
        <f t="shared" si="435"/>
        <v>7.2916666666666885E-3</v>
      </c>
      <c r="L1248" s="36">
        <f t="shared" si="435"/>
        <v>1.1607142857142832E-2</v>
      </c>
      <c r="M1248" s="36">
        <f t="shared" si="435"/>
        <v>1.8898809523809519E-2</v>
      </c>
      <c r="N1248" s="36">
        <f t="shared" si="435"/>
        <v>320</v>
      </c>
      <c r="O1248" s="36">
        <f t="shared" si="435"/>
        <v>179</v>
      </c>
      <c r="P1248" s="36" t="str">
        <f t="shared" si="435"/>
        <v>TIJ</v>
      </c>
      <c r="R1248">
        <v>1234</v>
      </c>
      <c r="S1248" s="36" t="str">
        <f t="shared" si="425"/>
        <v>INTERAVIÓN</v>
      </c>
      <c r="T1248" s="36">
        <f t="shared" si="425"/>
        <v>2200</v>
      </c>
      <c r="U1248" s="83">
        <v>0.76388888888888884</v>
      </c>
      <c r="V1248" s="84">
        <v>0.77430555555555547</v>
      </c>
      <c r="W1248" s="85">
        <v>1.041666666666663E-2</v>
      </c>
      <c r="X1248" s="84">
        <v>0.77916666666666667</v>
      </c>
      <c r="Y1248" s="85">
        <v>4.8611111111112049E-3</v>
      </c>
      <c r="Z1248" s="86">
        <v>41753</v>
      </c>
      <c r="AA1248" s="36" t="str">
        <f t="shared" si="437"/>
        <v>Nacional</v>
      </c>
      <c r="AB1248" s="36">
        <f t="shared" si="437"/>
        <v>7.4652777777777513E-3</v>
      </c>
      <c r="AC1248" s="36">
        <f t="shared" si="437"/>
        <v>6.0763888888888951E-3</v>
      </c>
      <c r="AD1248" s="36">
        <f t="shared" si="437"/>
        <v>1.3541666666666646E-2</v>
      </c>
      <c r="AE1248" s="36">
        <f t="shared" si="437"/>
        <v>320</v>
      </c>
      <c r="AF1248" s="36">
        <f t="shared" si="437"/>
        <v>179</v>
      </c>
      <c r="AG1248" s="36" t="str">
        <f t="shared" si="437"/>
        <v>MEX</v>
      </c>
      <c r="AI1248">
        <v>1234</v>
      </c>
      <c r="AJ1248" s="77" t="str">
        <f t="shared" si="432"/>
        <v xml:space="preserve">INTERAVIÓN </v>
      </c>
      <c r="AK1248" s="77">
        <f t="shared" si="432"/>
        <v>411</v>
      </c>
      <c r="AL1248" s="187">
        <v>0.83263888888888893</v>
      </c>
      <c r="AM1248" s="95">
        <v>0.83888888888888891</v>
      </c>
      <c r="AN1248" s="96">
        <v>6.2499999999999778E-3</v>
      </c>
      <c r="AO1248" s="95">
        <v>0.86597222222222225</v>
      </c>
      <c r="AP1248" s="96">
        <v>2.7083333333333348E-2</v>
      </c>
      <c r="AQ1248" s="97">
        <v>41811</v>
      </c>
      <c r="AR1248" s="77" t="str">
        <f t="shared" si="436"/>
        <v>Nacional</v>
      </c>
      <c r="AS1248" s="77">
        <f t="shared" si="436"/>
        <v>1.1210317460317467E-2</v>
      </c>
      <c r="AT1248" s="77">
        <f t="shared" si="436"/>
        <v>1.4583333333333325E-2</v>
      </c>
      <c r="AU1248" s="77">
        <f t="shared" si="436"/>
        <v>2.5793650793650792E-2</v>
      </c>
      <c r="AV1248" s="77">
        <f t="shared" si="436"/>
        <v>320</v>
      </c>
      <c r="AW1248" s="77">
        <f t="shared" si="436"/>
        <v>179</v>
      </c>
      <c r="AX1248" s="77" t="str">
        <f t="shared" si="436"/>
        <v>TIJ</v>
      </c>
    </row>
    <row r="1249" spans="1:50" x14ac:dyDescent="0.25">
      <c r="A1249">
        <v>1235</v>
      </c>
      <c r="B1249" s="36" t="str">
        <f t="shared" si="424"/>
        <v>BARATA Y MORADA</v>
      </c>
      <c r="C1249" s="36">
        <f t="shared" si="424"/>
        <v>424</v>
      </c>
      <c r="D1249" s="118">
        <v>0.51666666666666672</v>
      </c>
      <c r="E1249" s="118">
        <v>0.52152777777777781</v>
      </c>
      <c r="F1249" s="119">
        <v>4.8611111111110938E-3</v>
      </c>
      <c r="G1249" s="118">
        <v>0.53055555555555556</v>
      </c>
      <c r="H1249" s="119">
        <v>9.0277777777777457E-3</v>
      </c>
      <c r="I1249" s="81">
        <v>41722</v>
      </c>
      <c r="J1249" s="36" t="str">
        <f t="shared" si="435"/>
        <v>Nacional</v>
      </c>
      <c r="K1249" s="36">
        <f t="shared" si="435"/>
        <v>7.2916666666666885E-3</v>
      </c>
      <c r="L1249" s="36">
        <f t="shared" si="435"/>
        <v>1.1607142857142832E-2</v>
      </c>
      <c r="M1249" s="36">
        <f t="shared" si="435"/>
        <v>1.8898809523809519E-2</v>
      </c>
      <c r="N1249" s="36">
        <f t="shared" si="435"/>
        <v>320</v>
      </c>
      <c r="O1249" s="36">
        <f t="shared" si="435"/>
        <v>179</v>
      </c>
      <c r="P1249" s="36" t="str">
        <f t="shared" si="435"/>
        <v>TIJ</v>
      </c>
      <c r="R1249">
        <v>1235</v>
      </c>
      <c r="S1249" s="36" t="str">
        <f t="shared" si="425"/>
        <v>INTERAVIÓN</v>
      </c>
      <c r="T1249" s="55">
        <v>957</v>
      </c>
      <c r="U1249" s="56">
        <v>0.67361111111111116</v>
      </c>
      <c r="V1249" s="57">
        <v>0.67986111111111114</v>
      </c>
      <c r="W1249" s="58">
        <v>6.2499999999999778E-3</v>
      </c>
      <c r="X1249" s="57">
        <v>0.6875</v>
      </c>
      <c r="Y1249" s="58">
        <v>7.6388888888888618E-3</v>
      </c>
      <c r="Z1249" s="59">
        <v>41732</v>
      </c>
      <c r="AA1249" s="60" t="s">
        <v>22</v>
      </c>
      <c r="AB1249" s="61">
        <v>8.2341269841270347E-3</v>
      </c>
      <c r="AC1249" s="61">
        <v>1.2400793650793622E-2</v>
      </c>
      <c r="AD1249" s="62">
        <v>2.0634920634920659E-2</v>
      </c>
      <c r="AE1249" s="191">
        <v>320</v>
      </c>
      <c r="AF1249" s="191">
        <v>179</v>
      </c>
      <c r="AG1249" s="192" t="s">
        <v>32</v>
      </c>
      <c r="AI1249">
        <v>1235</v>
      </c>
      <c r="AJ1249" s="77" t="str">
        <f t="shared" si="432"/>
        <v xml:space="preserve">INTERAVIÓN </v>
      </c>
      <c r="AK1249" s="197">
        <v>236</v>
      </c>
      <c r="AL1249" s="185">
        <v>0.88055555555555554</v>
      </c>
      <c r="AM1249" s="65">
        <v>0.8881944444444444</v>
      </c>
      <c r="AN1249" s="66">
        <v>7.6388888888888618E-3</v>
      </c>
      <c r="AO1249" s="65">
        <v>0.89444444444444438</v>
      </c>
      <c r="AP1249" s="66">
        <v>6.2499999999999778E-3</v>
      </c>
      <c r="AQ1249" s="67">
        <v>41791</v>
      </c>
      <c r="AR1249" s="68" t="s">
        <v>19</v>
      </c>
      <c r="AS1249" s="69">
        <v>8.8541666666666456E-3</v>
      </c>
      <c r="AT1249" s="70">
        <v>8.1249999999999985E-3</v>
      </c>
      <c r="AU1249" s="70">
        <v>1.6979166666666642E-2</v>
      </c>
      <c r="AV1249" s="71">
        <v>320</v>
      </c>
      <c r="AW1249" s="71">
        <v>179</v>
      </c>
      <c r="AX1249" s="72" t="s">
        <v>28</v>
      </c>
    </row>
    <row r="1250" spans="1:50" x14ac:dyDescent="0.25">
      <c r="A1250">
        <v>1236</v>
      </c>
      <c r="B1250" s="36" t="str">
        <f t="shared" si="424"/>
        <v>BARATA Y MORADA</v>
      </c>
      <c r="C1250" s="36">
        <f t="shared" si="424"/>
        <v>424</v>
      </c>
      <c r="D1250" s="118">
        <v>0.51736111111111105</v>
      </c>
      <c r="E1250" s="118">
        <v>0.5229166666666667</v>
      </c>
      <c r="F1250" s="119">
        <v>5.5555555555556468E-3</v>
      </c>
      <c r="G1250" s="118">
        <v>0.53402777777777777</v>
      </c>
      <c r="H1250" s="119">
        <v>1.1111111111111072E-2</v>
      </c>
      <c r="I1250" s="81">
        <v>41725</v>
      </c>
      <c r="J1250" s="36" t="str">
        <f t="shared" si="435"/>
        <v>Nacional</v>
      </c>
      <c r="K1250" s="36">
        <f t="shared" si="435"/>
        <v>7.2916666666666885E-3</v>
      </c>
      <c r="L1250" s="36">
        <f t="shared" si="435"/>
        <v>1.1607142857142832E-2</v>
      </c>
      <c r="M1250" s="36">
        <f t="shared" si="435"/>
        <v>1.8898809523809519E-2</v>
      </c>
      <c r="N1250" s="36">
        <f t="shared" si="435"/>
        <v>320</v>
      </c>
      <c r="O1250" s="36">
        <f t="shared" si="435"/>
        <v>179</v>
      </c>
      <c r="P1250" s="36" t="str">
        <f t="shared" si="435"/>
        <v>TIJ</v>
      </c>
      <c r="R1250">
        <v>1236</v>
      </c>
      <c r="S1250" s="36" t="str">
        <f t="shared" si="425"/>
        <v>INTERAVIÓN</v>
      </c>
      <c r="T1250" s="36">
        <f t="shared" si="425"/>
        <v>957</v>
      </c>
      <c r="U1250" s="73">
        <v>0.64097222222222217</v>
      </c>
      <c r="V1250" s="74">
        <v>0.64930555555555558</v>
      </c>
      <c r="W1250" s="75">
        <v>8.3333333333334147E-3</v>
      </c>
      <c r="X1250" s="74">
        <v>0.66180555555555554</v>
      </c>
      <c r="Y1250" s="75">
        <v>1.2499999999999956E-2</v>
      </c>
      <c r="Z1250" s="76">
        <v>41735</v>
      </c>
      <c r="AA1250" s="36" t="str">
        <f t="shared" ref="AA1250:AG1255" si="438">AA1249</f>
        <v>Internacional</v>
      </c>
      <c r="AB1250" s="36">
        <f t="shared" si="438"/>
        <v>8.2341269841270347E-3</v>
      </c>
      <c r="AC1250" s="36">
        <f t="shared" si="438"/>
        <v>1.2400793650793622E-2</v>
      </c>
      <c r="AD1250" s="36">
        <f t="shared" si="438"/>
        <v>2.0634920634920659E-2</v>
      </c>
      <c r="AE1250" s="36">
        <f t="shared" si="438"/>
        <v>320</v>
      </c>
      <c r="AF1250" s="36">
        <f t="shared" si="438"/>
        <v>179</v>
      </c>
      <c r="AG1250" s="36" t="str">
        <f t="shared" si="438"/>
        <v>SAT</v>
      </c>
      <c r="AI1250">
        <v>1236</v>
      </c>
      <c r="AJ1250" s="77" t="str">
        <f t="shared" si="432"/>
        <v xml:space="preserve">INTERAVIÓN </v>
      </c>
      <c r="AK1250" s="77">
        <f t="shared" si="432"/>
        <v>236</v>
      </c>
      <c r="AL1250" s="186">
        <v>0.88680555555555562</v>
      </c>
      <c r="AM1250" s="79">
        <v>0.89166666666666661</v>
      </c>
      <c r="AN1250" s="80">
        <v>4.8611111111109828E-3</v>
      </c>
      <c r="AO1250" s="79">
        <v>0.8965277777777777</v>
      </c>
      <c r="AP1250" s="80">
        <v>4.8611111111110938E-3</v>
      </c>
      <c r="AQ1250" s="81">
        <v>41792</v>
      </c>
      <c r="AR1250" s="77" t="str">
        <f t="shared" ref="AR1250:AX1268" si="439">AR1249</f>
        <v>Nacional</v>
      </c>
      <c r="AS1250" s="77">
        <f t="shared" si="439"/>
        <v>8.8541666666666456E-3</v>
      </c>
      <c r="AT1250" s="77">
        <f t="shared" si="439"/>
        <v>8.1249999999999985E-3</v>
      </c>
      <c r="AU1250" s="77">
        <f t="shared" si="439"/>
        <v>1.6979166666666642E-2</v>
      </c>
      <c r="AV1250" s="77">
        <f t="shared" si="439"/>
        <v>320</v>
      </c>
      <c r="AW1250" s="77">
        <f t="shared" si="439"/>
        <v>179</v>
      </c>
      <c r="AX1250" s="77" t="str">
        <f t="shared" si="439"/>
        <v>MTY</v>
      </c>
    </row>
    <row r="1251" spans="1:50" x14ac:dyDescent="0.25">
      <c r="A1251">
        <v>1237</v>
      </c>
      <c r="B1251" s="36" t="str">
        <f t="shared" si="424"/>
        <v>BARATA Y MORADA</v>
      </c>
      <c r="C1251" s="36">
        <f t="shared" si="424"/>
        <v>424</v>
      </c>
      <c r="D1251" s="118">
        <v>0.51041666666666663</v>
      </c>
      <c r="E1251" s="118">
        <v>0.51736111111111105</v>
      </c>
      <c r="F1251" s="119">
        <v>6.9444444444444198E-3</v>
      </c>
      <c r="G1251" s="118">
        <v>0.52708333333333335</v>
      </c>
      <c r="H1251" s="119">
        <v>9.7222222222222987E-3</v>
      </c>
      <c r="I1251" s="81">
        <v>41725</v>
      </c>
      <c r="J1251" s="36" t="str">
        <f t="shared" si="435"/>
        <v>Nacional</v>
      </c>
      <c r="K1251" s="36">
        <f t="shared" si="435"/>
        <v>7.2916666666666885E-3</v>
      </c>
      <c r="L1251" s="36">
        <f t="shared" si="435"/>
        <v>1.1607142857142832E-2</v>
      </c>
      <c r="M1251" s="36">
        <f t="shared" si="435"/>
        <v>1.8898809523809519E-2</v>
      </c>
      <c r="N1251" s="36">
        <f t="shared" si="435"/>
        <v>320</v>
      </c>
      <c r="O1251" s="36">
        <f t="shared" si="435"/>
        <v>179</v>
      </c>
      <c r="P1251" s="36" t="str">
        <f t="shared" si="435"/>
        <v>TIJ</v>
      </c>
      <c r="R1251">
        <v>1237</v>
      </c>
      <c r="S1251" s="36" t="str">
        <f t="shared" si="425"/>
        <v>INTERAVIÓN</v>
      </c>
      <c r="T1251" s="36">
        <f t="shared" si="425"/>
        <v>957</v>
      </c>
      <c r="U1251" s="73">
        <v>0.64374999999999993</v>
      </c>
      <c r="V1251" s="74">
        <v>0.65069444444444446</v>
      </c>
      <c r="W1251" s="75">
        <v>6.9444444444445308E-3</v>
      </c>
      <c r="X1251" s="74">
        <v>0.65902777777777777</v>
      </c>
      <c r="Y1251" s="75">
        <v>8.3333333333333037E-3</v>
      </c>
      <c r="Z1251" s="76">
        <v>41739</v>
      </c>
      <c r="AA1251" s="36" t="str">
        <f t="shared" si="438"/>
        <v>Internacional</v>
      </c>
      <c r="AB1251" s="36">
        <f t="shared" si="438"/>
        <v>8.2341269841270347E-3</v>
      </c>
      <c r="AC1251" s="36">
        <f t="shared" si="438"/>
        <v>1.2400793650793622E-2</v>
      </c>
      <c r="AD1251" s="36">
        <f t="shared" si="438"/>
        <v>2.0634920634920659E-2</v>
      </c>
      <c r="AE1251" s="36">
        <f t="shared" si="438"/>
        <v>320</v>
      </c>
      <c r="AF1251" s="36">
        <f t="shared" si="438"/>
        <v>179</v>
      </c>
      <c r="AG1251" s="36" t="str">
        <f t="shared" si="438"/>
        <v>SAT</v>
      </c>
      <c r="AI1251">
        <v>1237</v>
      </c>
      <c r="AJ1251" s="77" t="str">
        <f t="shared" si="432"/>
        <v xml:space="preserve">INTERAVIÓN </v>
      </c>
      <c r="AK1251" s="77">
        <f t="shared" si="432"/>
        <v>236</v>
      </c>
      <c r="AL1251" s="186">
        <v>0.85069444444444453</v>
      </c>
      <c r="AM1251" s="79">
        <v>0.86944444444444446</v>
      </c>
      <c r="AN1251" s="80">
        <v>1.8749999999999933E-2</v>
      </c>
      <c r="AO1251" s="79">
        <v>0.88194444444444453</v>
      </c>
      <c r="AP1251" s="80">
        <v>1.2500000000000067E-2</v>
      </c>
      <c r="AQ1251" s="81">
        <v>41793</v>
      </c>
      <c r="AR1251" s="77" t="str">
        <f t="shared" si="439"/>
        <v>Nacional</v>
      </c>
      <c r="AS1251" s="77">
        <f t="shared" si="439"/>
        <v>8.8541666666666456E-3</v>
      </c>
      <c r="AT1251" s="77">
        <f t="shared" si="439"/>
        <v>8.1249999999999985E-3</v>
      </c>
      <c r="AU1251" s="77">
        <f t="shared" si="439"/>
        <v>1.6979166666666642E-2</v>
      </c>
      <c r="AV1251" s="77">
        <f t="shared" si="439"/>
        <v>320</v>
      </c>
      <c r="AW1251" s="77">
        <f t="shared" si="439"/>
        <v>179</v>
      </c>
      <c r="AX1251" s="77" t="str">
        <f t="shared" si="439"/>
        <v>MTY</v>
      </c>
    </row>
    <row r="1252" spans="1:50" x14ac:dyDescent="0.25">
      <c r="A1252">
        <v>1238</v>
      </c>
      <c r="B1252" s="36" t="str">
        <f t="shared" si="424"/>
        <v>BARATA Y MORADA</v>
      </c>
      <c r="C1252" s="36">
        <f t="shared" si="424"/>
        <v>424</v>
      </c>
      <c r="D1252" s="118">
        <v>0.51736111111111105</v>
      </c>
      <c r="E1252" s="118">
        <v>0.5229166666666667</v>
      </c>
      <c r="F1252" s="119">
        <v>5.5555555555556468E-3</v>
      </c>
      <c r="G1252" s="118">
        <v>0.53333333333333333</v>
      </c>
      <c r="H1252" s="119">
        <v>1.041666666666663E-2</v>
      </c>
      <c r="I1252" s="81">
        <v>41726</v>
      </c>
      <c r="J1252" s="36" t="str">
        <f t="shared" si="435"/>
        <v>Nacional</v>
      </c>
      <c r="K1252" s="36">
        <f t="shared" si="435"/>
        <v>7.2916666666666885E-3</v>
      </c>
      <c r="L1252" s="36">
        <f t="shared" si="435"/>
        <v>1.1607142857142832E-2</v>
      </c>
      <c r="M1252" s="36">
        <f t="shared" si="435"/>
        <v>1.8898809523809519E-2</v>
      </c>
      <c r="N1252" s="36">
        <f t="shared" si="435"/>
        <v>320</v>
      </c>
      <c r="O1252" s="36">
        <f t="shared" si="435"/>
        <v>179</v>
      </c>
      <c r="P1252" s="36" t="str">
        <f t="shared" si="435"/>
        <v>TIJ</v>
      </c>
      <c r="R1252">
        <v>1238</v>
      </c>
      <c r="S1252" s="36" t="str">
        <f t="shared" si="425"/>
        <v>INTERAVIÓN</v>
      </c>
      <c r="T1252" s="36">
        <f t="shared" si="425"/>
        <v>957</v>
      </c>
      <c r="U1252" s="73">
        <v>0.63958333333333328</v>
      </c>
      <c r="V1252" s="74">
        <v>0.64583333333333337</v>
      </c>
      <c r="W1252" s="75">
        <v>6.2500000000000888E-3</v>
      </c>
      <c r="X1252" s="74">
        <v>0.65763888888888888</v>
      </c>
      <c r="Y1252" s="75">
        <v>1.1805555555555514E-2</v>
      </c>
      <c r="Z1252" s="76">
        <v>41746</v>
      </c>
      <c r="AA1252" s="36" t="str">
        <f t="shared" si="438"/>
        <v>Internacional</v>
      </c>
      <c r="AB1252" s="36">
        <f t="shared" si="438"/>
        <v>8.2341269841270347E-3</v>
      </c>
      <c r="AC1252" s="36">
        <f t="shared" si="438"/>
        <v>1.2400793650793622E-2</v>
      </c>
      <c r="AD1252" s="36">
        <f t="shared" si="438"/>
        <v>2.0634920634920659E-2</v>
      </c>
      <c r="AE1252" s="36">
        <f t="shared" si="438"/>
        <v>320</v>
      </c>
      <c r="AF1252" s="36">
        <f t="shared" si="438"/>
        <v>179</v>
      </c>
      <c r="AG1252" s="36" t="str">
        <f t="shared" si="438"/>
        <v>SAT</v>
      </c>
      <c r="AI1252">
        <v>1238</v>
      </c>
      <c r="AJ1252" s="77" t="str">
        <f t="shared" si="432"/>
        <v xml:space="preserve">INTERAVIÓN </v>
      </c>
      <c r="AK1252" s="77">
        <f t="shared" si="432"/>
        <v>236</v>
      </c>
      <c r="AL1252" s="186">
        <v>0.87777777777777777</v>
      </c>
      <c r="AM1252" s="79">
        <v>0.88541666666666663</v>
      </c>
      <c r="AN1252" s="80">
        <v>7.6388888888888618E-3</v>
      </c>
      <c r="AO1252" s="79">
        <v>0.89027777777777783</v>
      </c>
      <c r="AP1252" s="80">
        <v>4.8611111111112049E-3</v>
      </c>
      <c r="AQ1252" s="81">
        <v>41794</v>
      </c>
      <c r="AR1252" s="77" t="str">
        <f t="shared" si="439"/>
        <v>Nacional</v>
      </c>
      <c r="AS1252" s="77">
        <f t="shared" si="439"/>
        <v>8.8541666666666456E-3</v>
      </c>
      <c r="AT1252" s="77">
        <f t="shared" si="439"/>
        <v>8.1249999999999985E-3</v>
      </c>
      <c r="AU1252" s="77">
        <f t="shared" si="439"/>
        <v>1.6979166666666642E-2</v>
      </c>
      <c r="AV1252" s="77">
        <f t="shared" si="439"/>
        <v>320</v>
      </c>
      <c r="AW1252" s="77">
        <f t="shared" si="439"/>
        <v>179</v>
      </c>
      <c r="AX1252" s="77" t="str">
        <f t="shared" si="439"/>
        <v>MTY</v>
      </c>
    </row>
    <row r="1253" spans="1:50" x14ac:dyDescent="0.25">
      <c r="A1253">
        <v>1239</v>
      </c>
      <c r="B1253" s="36" t="str">
        <f t="shared" si="424"/>
        <v>BARATA Y MORADA</v>
      </c>
      <c r="C1253" s="36">
        <f t="shared" si="424"/>
        <v>424</v>
      </c>
      <c r="D1253" s="118">
        <v>0.50763888888888886</v>
      </c>
      <c r="E1253" s="118">
        <v>0.52083333333333337</v>
      </c>
      <c r="F1253" s="119">
        <v>1.3194444444444509E-2</v>
      </c>
      <c r="G1253" s="118">
        <v>0.53541666666666665</v>
      </c>
      <c r="H1253" s="119">
        <v>1.4583333333333282E-2</v>
      </c>
      <c r="I1253" s="81">
        <v>41727</v>
      </c>
      <c r="J1253" s="36" t="str">
        <f t="shared" si="435"/>
        <v>Nacional</v>
      </c>
      <c r="K1253" s="36">
        <f t="shared" si="435"/>
        <v>7.2916666666666885E-3</v>
      </c>
      <c r="L1253" s="36">
        <f t="shared" si="435"/>
        <v>1.1607142857142832E-2</v>
      </c>
      <c r="M1253" s="36">
        <f t="shared" si="435"/>
        <v>1.8898809523809519E-2</v>
      </c>
      <c r="N1253" s="36">
        <f t="shared" si="435"/>
        <v>320</v>
      </c>
      <c r="O1253" s="36">
        <f t="shared" si="435"/>
        <v>179</v>
      </c>
      <c r="P1253" s="36" t="str">
        <f t="shared" si="435"/>
        <v>TIJ</v>
      </c>
      <c r="R1253">
        <v>1239</v>
      </c>
      <c r="S1253" s="36" t="str">
        <f t="shared" si="425"/>
        <v>INTERAVIÓN</v>
      </c>
      <c r="T1253" s="36">
        <f t="shared" si="425"/>
        <v>957</v>
      </c>
      <c r="U1253" s="73">
        <v>0.63194444444444442</v>
      </c>
      <c r="V1253" s="74">
        <v>0.64166666666666672</v>
      </c>
      <c r="W1253" s="75">
        <v>9.7222222222222987E-3</v>
      </c>
      <c r="X1253" s="74">
        <v>0.65416666666666667</v>
      </c>
      <c r="Y1253" s="75">
        <v>1.2499999999999956E-2</v>
      </c>
      <c r="Z1253" s="76">
        <v>41749</v>
      </c>
      <c r="AA1253" s="36" t="str">
        <f t="shared" si="438"/>
        <v>Internacional</v>
      </c>
      <c r="AB1253" s="36">
        <f t="shared" si="438"/>
        <v>8.2341269841270347E-3</v>
      </c>
      <c r="AC1253" s="36">
        <f t="shared" si="438"/>
        <v>1.2400793650793622E-2</v>
      </c>
      <c r="AD1253" s="36">
        <f t="shared" si="438"/>
        <v>2.0634920634920659E-2</v>
      </c>
      <c r="AE1253" s="36">
        <f t="shared" si="438"/>
        <v>320</v>
      </c>
      <c r="AF1253" s="36">
        <f t="shared" si="438"/>
        <v>179</v>
      </c>
      <c r="AG1253" s="36" t="str">
        <f t="shared" si="438"/>
        <v>SAT</v>
      </c>
      <c r="AI1253">
        <v>1239</v>
      </c>
      <c r="AJ1253" s="77" t="str">
        <f t="shared" si="432"/>
        <v xml:space="preserve">INTERAVIÓN </v>
      </c>
      <c r="AK1253" s="77">
        <f t="shared" si="432"/>
        <v>236</v>
      </c>
      <c r="AL1253" s="186">
        <v>0.87708333333333333</v>
      </c>
      <c r="AM1253" s="79">
        <v>0.88611111111111107</v>
      </c>
      <c r="AN1253" s="80">
        <v>9.0277777777777457E-3</v>
      </c>
      <c r="AO1253" s="79">
        <v>0.89027777777777783</v>
      </c>
      <c r="AP1253" s="80">
        <v>4.1666666666667629E-3</v>
      </c>
      <c r="AQ1253" s="81">
        <v>41795</v>
      </c>
      <c r="AR1253" s="77" t="str">
        <f t="shared" si="439"/>
        <v>Nacional</v>
      </c>
      <c r="AS1253" s="77">
        <f t="shared" si="439"/>
        <v>8.8541666666666456E-3</v>
      </c>
      <c r="AT1253" s="77">
        <f t="shared" si="439"/>
        <v>8.1249999999999985E-3</v>
      </c>
      <c r="AU1253" s="77">
        <f t="shared" si="439"/>
        <v>1.6979166666666642E-2</v>
      </c>
      <c r="AV1253" s="77">
        <f t="shared" si="439"/>
        <v>320</v>
      </c>
      <c r="AW1253" s="77">
        <f t="shared" si="439"/>
        <v>179</v>
      </c>
      <c r="AX1253" s="77" t="str">
        <f t="shared" si="439"/>
        <v>MTY</v>
      </c>
    </row>
    <row r="1254" spans="1:50" ht="15.75" thickBot="1" x14ac:dyDescent="0.3">
      <c r="A1254">
        <v>1240</v>
      </c>
      <c r="B1254" s="36" t="str">
        <f t="shared" si="424"/>
        <v>BARATA Y MORADA</v>
      </c>
      <c r="C1254" s="36">
        <f t="shared" si="424"/>
        <v>424</v>
      </c>
      <c r="D1254" s="176">
        <v>0.51944444444444449</v>
      </c>
      <c r="E1254" s="176">
        <v>0.52430555555555558</v>
      </c>
      <c r="F1254" s="177">
        <v>4.8611111111110938E-3</v>
      </c>
      <c r="G1254" s="176">
        <v>0.53611111111111109</v>
      </c>
      <c r="H1254" s="177">
        <v>1.1805555555555514E-2</v>
      </c>
      <c r="I1254" s="97">
        <v>41729</v>
      </c>
      <c r="J1254" s="36" t="str">
        <f t="shared" si="435"/>
        <v>Nacional</v>
      </c>
      <c r="K1254" s="36">
        <f t="shared" si="435"/>
        <v>7.2916666666666885E-3</v>
      </c>
      <c r="L1254" s="36">
        <f t="shared" si="435"/>
        <v>1.1607142857142832E-2</v>
      </c>
      <c r="M1254" s="36">
        <f t="shared" si="435"/>
        <v>1.8898809523809519E-2</v>
      </c>
      <c r="N1254" s="36">
        <f t="shared" si="435"/>
        <v>320</v>
      </c>
      <c r="O1254" s="36">
        <f t="shared" si="435"/>
        <v>179</v>
      </c>
      <c r="P1254" s="36" t="str">
        <f t="shared" si="435"/>
        <v>TIJ</v>
      </c>
      <c r="R1254">
        <v>1240</v>
      </c>
      <c r="S1254" s="36" t="str">
        <f t="shared" si="425"/>
        <v>INTERAVIÓN</v>
      </c>
      <c r="T1254" s="36">
        <f t="shared" si="425"/>
        <v>957</v>
      </c>
      <c r="U1254" s="73">
        <v>0.7090277777777777</v>
      </c>
      <c r="V1254" s="74">
        <v>0.71944444444444444</v>
      </c>
      <c r="W1254" s="75">
        <v>1.0416666666666741E-2</v>
      </c>
      <c r="X1254" s="74">
        <v>0.73263888888888884</v>
      </c>
      <c r="Y1254" s="75">
        <v>1.3194444444444398E-2</v>
      </c>
      <c r="Z1254" s="76">
        <v>41753</v>
      </c>
      <c r="AA1254" s="36" t="str">
        <f t="shared" si="438"/>
        <v>Internacional</v>
      </c>
      <c r="AB1254" s="36">
        <f t="shared" si="438"/>
        <v>8.2341269841270347E-3</v>
      </c>
      <c r="AC1254" s="36">
        <f t="shared" si="438"/>
        <v>1.2400793650793622E-2</v>
      </c>
      <c r="AD1254" s="36">
        <f t="shared" si="438"/>
        <v>2.0634920634920659E-2</v>
      </c>
      <c r="AE1254" s="36">
        <f t="shared" si="438"/>
        <v>320</v>
      </c>
      <c r="AF1254" s="36">
        <f t="shared" si="438"/>
        <v>179</v>
      </c>
      <c r="AG1254" s="36" t="str">
        <f t="shared" si="438"/>
        <v>SAT</v>
      </c>
      <c r="AI1254">
        <v>1240</v>
      </c>
      <c r="AJ1254" s="77" t="str">
        <f t="shared" si="432"/>
        <v xml:space="preserve">INTERAVIÓN </v>
      </c>
      <c r="AK1254" s="77">
        <f t="shared" si="432"/>
        <v>236</v>
      </c>
      <c r="AL1254" s="186">
        <v>0.93333333333333324</v>
      </c>
      <c r="AM1254" s="79">
        <v>0.9472222222222223</v>
      </c>
      <c r="AN1254" s="80">
        <v>1.3888888888889062E-2</v>
      </c>
      <c r="AO1254" s="79">
        <v>0.9506944444444444</v>
      </c>
      <c r="AP1254" s="80">
        <v>3.4722222222220989E-3</v>
      </c>
      <c r="AQ1254" s="81">
        <v>41798</v>
      </c>
      <c r="AR1254" s="77" t="str">
        <f t="shared" si="439"/>
        <v>Nacional</v>
      </c>
      <c r="AS1254" s="77">
        <f t="shared" si="439"/>
        <v>8.8541666666666456E-3</v>
      </c>
      <c r="AT1254" s="77">
        <f t="shared" si="439"/>
        <v>8.1249999999999985E-3</v>
      </c>
      <c r="AU1254" s="77">
        <f t="shared" si="439"/>
        <v>1.6979166666666642E-2</v>
      </c>
      <c r="AV1254" s="77">
        <f t="shared" si="439"/>
        <v>320</v>
      </c>
      <c r="AW1254" s="77">
        <f t="shared" si="439"/>
        <v>179</v>
      </c>
      <c r="AX1254" s="77" t="str">
        <f t="shared" si="439"/>
        <v>MTY</v>
      </c>
    </row>
    <row r="1255" spans="1:50" ht="15.75" thickBot="1" x14ac:dyDescent="0.3">
      <c r="A1255">
        <v>1241</v>
      </c>
      <c r="B1255" s="36" t="str">
        <f t="shared" si="424"/>
        <v>BARATA Y MORADA</v>
      </c>
      <c r="C1255" s="151">
        <v>422</v>
      </c>
      <c r="D1255" s="152">
        <v>0.27569444444444446</v>
      </c>
      <c r="E1255" s="152">
        <v>0.28611111111111115</v>
      </c>
      <c r="F1255" s="153">
        <v>1.0416666666666685E-2</v>
      </c>
      <c r="G1255" s="152">
        <v>0.29583333333333334</v>
      </c>
      <c r="H1255" s="153">
        <v>9.7222222222221877E-3</v>
      </c>
      <c r="I1255" s="67">
        <v>41715</v>
      </c>
      <c r="J1255" s="68" t="s">
        <v>19</v>
      </c>
      <c r="K1255" s="135">
        <v>9.3253968253968287E-3</v>
      </c>
      <c r="L1255" s="135">
        <v>1.310763888888888E-2</v>
      </c>
      <c r="M1255" s="175">
        <v>2.2433035714285711E-2</v>
      </c>
      <c r="N1255" s="90">
        <v>320</v>
      </c>
      <c r="O1255" s="91">
        <v>179</v>
      </c>
      <c r="P1255" s="92" t="s">
        <v>34</v>
      </c>
      <c r="R1255">
        <v>1241</v>
      </c>
      <c r="S1255" s="36" t="str">
        <f t="shared" si="425"/>
        <v>INTERAVIÓN</v>
      </c>
      <c r="T1255" s="36">
        <f t="shared" si="425"/>
        <v>957</v>
      </c>
      <c r="U1255" s="83">
        <v>0.71111111111111114</v>
      </c>
      <c r="V1255" s="84">
        <v>0.72083333333333333</v>
      </c>
      <c r="W1255" s="85">
        <v>9.7222222222221877E-3</v>
      </c>
      <c r="X1255" s="84">
        <v>0.7416666666666667</v>
      </c>
      <c r="Y1255" s="85">
        <v>2.083333333333337E-2</v>
      </c>
      <c r="Z1255" s="86">
        <v>41756</v>
      </c>
      <c r="AA1255" s="36" t="str">
        <f t="shared" si="438"/>
        <v>Internacional</v>
      </c>
      <c r="AB1255" s="36">
        <f t="shared" si="438"/>
        <v>8.2341269841270347E-3</v>
      </c>
      <c r="AC1255" s="36">
        <f t="shared" si="438"/>
        <v>1.2400793650793622E-2</v>
      </c>
      <c r="AD1255" s="36">
        <f t="shared" si="438"/>
        <v>2.0634920634920659E-2</v>
      </c>
      <c r="AE1255" s="36">
        <f t="shared" si="438"/>
        <v>320</v>
      </c>
      <c r="AF1255" s="36">
        <f t="shared" si="438"/>
        <v>179</v>
      </c>
      <c r="AG1255" s="36" t="str">
        <f t="shared" si="438"/>
        <v>SAT</v>
      </c>
      <c r="AI1255">
        <v>1241</v>
      </c>
      <c r="AJ1255" s="77" t="str">
        <f t="shared" si="432"/>
        <v xml:space="preserve">INTERAVIÓN </v>
      </c>
      <c r="AK1255" s="77">
        <f t="shared" si="432"/>
        <v>236</v>
      </c>
      <c r="AL1255" s="186">
        <v>0.90277777777777779</v>
      </c>
      <c r="AM1255" s="79">
        <v>0.90625</v>
      </c>
      <c r="AN1255" s="80">
        <v>3.4722222222222099E-3</v>
      </c>
      <c r="AO1255" s="79">
        <v>0.91180555555555554</v>
      </c>
      <c r="AP1255" s="80">
        <v>5.5555555555555358E-3</v>
      </c>
      <c r="AQ1255" s="81">
        <v>41799</v>
      </c>
      <c r="AR1255" s="77" t="str">
        <f t="shared" si="439"/>
        <v>Nacional</v>
      </c>
      <c r="AS1255" s="77">
        <f t="shared" si="439"/>
        <v>8.8541666666666456E-3</v>
      </c>
      <c r="AT1255" s="77">
        <f t="shared" si="439"/>
        <v>8.1249999999999985E-3</v>
      </c>
      <c r="AU1255" s="77">
        <f t="shared" si="439"/>
        <v>1.6979166666666642E-2</v>
      </c>
      <c r="AV1255" s="77">
        <f t="shared" si="439"/>
        <v>320</v>
      </c>
      <c r="AW1255" s="77">
        <f t="shared" si="439"/>
        <v>179</v>
      </c>
      <c r="AX1255" s="77" t="str">
        <f t="shared" si="439"/>
        <v>MTY</v>
      </c>
    </row>
    <row r="1256" spans="1:50" x14ac:dyDescent="0.25">
      <c r="A1256">
        <v>1242</v>
      </c>
      <c r="B1256" s="36" t="str">
        <f t="shared" si="424"/>
        <v>BARATA Y MORADA</v>
      </c>
      <c r="C1256" s="36">
        <f t="shared" si="424"/>
        <v>422</v>
      </c>
      <c r="D1256" s="118">
        <v>0.27708333333333335</v>
      </c>
      <c r="E1256" s="118">
        <v>0.28125</v>
      </c>
      <c r="F1256" s="119">
        <v>4.1666666666666519E-3</v>
      </c>
      <c r="G1256" s="118">
        <v>0.29166666666666669</v>
      </c>
      <c r="H1256" s="119">
        <v>1.0416666666666685E-2</v>
      </c>
      <c r="I1256" s="81">
        <v>41716</v>
      </c>
      <c r="J1256" s="36" t="str">
        <f t="shared" ref="J1256:P1262" si="440">J1255</f>
        <v>Nacional</v>
      </c>
      <c r="K1256" s="36">
        <f t="shared" si="440"/>
        <v>9.3253968253968287E-3</v>
      </c>
      <c r="L1256" s="36">
        <f t="shared" si="440"/>
        <v>1.310763888888888E-2</v>
      </c>
      <c r="M1256" s="36">
        <f t="shared" si="440"/>
        <v>2.2433035714285711E-2</v>
      </c>
      <c r="N1256" s="36">
        <f t="shared" si="440"/>
        <v>320</v>
      </c>
      <c r="O1256" s="36">
        <f t="shared" si="440"/>
        <v>179</v>
      </c>
      <c r="P1256" s="36" t="str">
        <f t="shared" si="440"/>
        <v>TIJ</v>
      </c>
      <c r="R1256">
        <v>1242</v>
      </c>
      <c r="S1256" s="36" t="str">
        <f t="shared" si="425"/>
        <v>INTERAVIÓN</v>
      </c>
      <c r="T1256" s="55">
        <v>810</v>
      </c>
      <c r="U1256" s="56">
        <v>0.60486111111111118</v>
      </c>
      <c r="V1256" s="57">
        <v>0.61319444444444449</v>
      </c>
      <c r="W1256" s="58">
        <v>8.3333333333333037E-3</v>
      </c>
      <c r="X1256" s="57">
        <v>0.61805555555555558</v>
      </c>
      <c r="Y1256" s="58">
        <v>4.8611111111110938E-3</v>
      </c>
      <c r="Z1256" s="59">
        <v>41732</v>
      </c>
      <c r="AA1256" s="60" t="s">
        <v>19</v>
      </c>
      <c r="AB1256" s="61">
        <v>5.4012345679012403E-3</v>
      </c>
      <c r="AC1256" s="61">
        <v>6.7901234567901243E-3</v>
      </c>
      <c r="AD1256" s="62">
        <v>1.2191358024691365E-2</v>
      </c>
      <c r="AE1256" s="191">
        <v>320</v>
      </c>
      <c r="AF1256" s="191">
        <v>179</v>
      </c>
      <c r="AG1256" s="192" t="s">
        <v>88</v>
      </c>
      <c r="AI1256">
        <v>1242</v>
      </c>
      <c r="AJ1256" s="77" t="str">
        <f t="shared" si="432"/>
        <v xml:space="preserve">INTERAVIÓN </v>
      </c>
      <c r="AK1256" s="77">
        <f t="shared" si="432"/>
        <v>236</v>
      </c>
      <c r="AL1256" s="186">
        <v>0.88194444444444453</v>
      </c>
      <c r="AM1256" s="79">
        <v>0.88888888888888884</v>
      </c>
      <c r="AN1256" s="80">
        <v>6.9444444444443088E-3</v>
      </c>
      <c r="AO1256" s="79">
        <v>0.89583333333333337</v>
      </c>
      <c r="AP1256" s="80">
        <v>6.9444444444445308E-3</v>
      </c>
      <c r="AQ1256" s="81">
        <v>41799</v>
      </c>
      <c r="AR1256" s="77" t="str">
        <f t="shared" si="439"/>
        <v>Nacional</v>
      </c>
      <c r="AS1256" s="77">
        <f t="shared" si="439"/>
        <v>8.8541666666666456E-3</v>
      </c>
      <c r="AT1256" s="77">
        <f t="shared" si="439"/>
        <v>8.1249999999999985E-3</v>
      </c>
      <c r="AU1256" s="77">
        <f t="shared" si="439"/>
        <v>1.6979166666666642E-2</v>
      </c>
      <c r="AV1256" s="77">
        <f t="shared" si="439"/>
        <v>320</v>
      </c>
      <c r="AW1256" s="77">
        <f t="shared" si="439"/>
        <v>179</v>
      </c>
      <c r="AX1256" s="77" t="str">
        <f t="shared" si="439"/>
        <v>MTY</v>
      </c>
    </row>
    <row r="1257" spans="1:50" x14ac:dyDescent="0.25">
      <c r="A1257">
        <v>1243</v>
      </c>
      <c r="B1257" s="36" t="str">
        <f t="shared" si="424"/>
        <v>BARATA Y MORADA</v>
      </c>
      <c r="C1257" s="36">
        <f t="shared" si="424"/>
        <v>422</v>
      </c>
      <c r="D1257" s="118">
        <v>0.27638888888888885</v>
      </c>
      <c r="E1257" s="118">
        <v>0.28472222222222221</v>
      </c>
      <c r="F1257" s="119">
        <v>8.3333333333333592E-3</v>
      </c>
      <c r="G1257" s="118">
        <v>0.30069444444444443</v>
      </c>
      <c r="H1257" s="119">
        <v>1.5972222222222221E-2</v>
      </c>
      <c r="I1257" s="81">
        <v>41719</v>
      </c>
      <c r="J1257" s="36" t="str">
        <f t="shared" si="440"/>
        <v>Nacional</v>
      </c>
      <c r="K1257" s="36">
        <f t="shared" si="440"/>
        <v>9.3253968253968287E-3</v>
      </c>
      <c r="L1257" s="36">
        <f t="shared" si="440"/>
        <v>1.310763888888888E-2</v>
      </c>
      <c r="M1257" s="36">
        <f t="shared" si="440"/>
        <v>2.2433035714285711E-2</v>
      </c>
      <c r="N1257" s="36">
        <f t="shared" si="440"/>
        <v>320</v>
      </c>
      <c r="O1257" s="36">
        <f t="shared" si="440"/>
        <v>179</v>
      </c>
      <c r="P1257" s="36" t="str">
        <f t="shared" si="440"/>
        <v>TIJ</v>
      </c>
      <c r="R1257">
        <v>1243</v>
      </c>
      <c r="S1257" s="36" t="str">
        <f t="shared" si="425"/>
        <v>INTERAVIÓN</v>
      </c>
      <c r="T1257" s="36">
        <f t="shared" si="425"/>
        <v>810</v>
      </c>
      <c r="U1257" s="73">
        <v>0.61458333333333337</v>
      </c>
      <c r="V1257" s="74">
        <v>0.61944444444444446</v>
      </c>
      <c r="W1257" s="75">
        <v>4.8611111111110938E-3</v>
      </c>
      <c r="X1257" s="74">
        <v>0.62291666666666667</v>
      </c>
      <c r="Y1257" s="75">
        <v>3.4722222222222099E-3</v>
      </c>
      <c r="Z1257" s="76">
        <v>41733</v>
      </c>
      <c r="AA1257" s="36" t="str">
        <f t="shared" ref="AA1257:AG1264" si="441">AA1256</f>
        <v>Nacional</v>
      </c>
      <c r="AB1257" s="36">
        <f t="shared" si="441"/>
        <v>5.4012345679012403E-3</v>
      </c>
      <c r="AC1257" s="36">
        <f t="shared" si="441"/>
        <v>6.7901234567901243E-3</v>
      </c>
      <c r="AD1257" s="36">
        <f t="shared" si="441"/>
        <v>1.2191358024691365E-2</v>
      </c>
      <c r="AE1257" s="36">
        <f t="shared" si="441"/>
        <v>320</v>
      </c>
      <c r="AF1257" s="36">
        <f t="shared" si="441"/>
        <v>179</v>
      </c>
      <c r="AG1257" s="36" t="str">
        <f t="shared" si="441"/>
        <v>SID</v>
      </c>
      <c r="AI1257">
        <v>1243</v>
      </c>
      <c r="AJ1257" s="77" t="str">
        <f t="shared" si="432"/>
        <v xml:space="preserve">INTERAVIÓN </v>
      </c>
      <c r="AK1257" s="77">
        <f t="shared" si="432"/>
        <v>236</v>
      </c>
      <c r="AL1257" s="186">
        <v>0.37847222222222227</v>
      </c>
      <c r="AM1257" s="79">
        <v>0.38750000000000001</v>
      </c>
      <c r="AN1257" s="80">
        <v>9.0277777777777457E-3</v>
      </c>
      <c r="AO1257" s="79">
        <v>0.39513888888888887</v>
      </c>
      <c r="AP1257" s="80">
        <v>7.6388888888888618E-3</v>
      </c>
      <c r="AQ1257" s="81">
        <v>41800</v>
      </c>
      <c r="AR1257" s="77" t="str">
        <f t="shared" si="439"/>
        <v>Nacional</v>
      </c>
      <c r="AS1257" s="77">
        <f t="shared" si="439"/>
        <v>8.8541666666666456E-3</v>
      </c>
      <c r="AT1257" s="77">
        <f t="shared" si="439"/>
        <v>8.1249999999999985E-3</v>
      </c>
      <c r="AU1257" s="77">
        <f t="shared" si="439"/>
        <v>1.6979166666666642E-2</v>
      </c>
      <c r="AV1257" s="77">
        <f t="shared" si="439"/>
        <v>320</v>
      </c>
      <c r="AW1257" s="77">
        <f t="shared" si="439"/>
        <v>179</v>
      </c>
      <c r="AX1257" s="77" t="str">
        <f t="shared" si="439"/>
        <v>MTY</v>
      </c>
    </row>
    <row r="1258" spans="1:50" x14ac:dyDescent="0.25">
      <c r="A1258">
        <v>1244</v>
      </c>
      <c r="B1258" s="36" t="str">
        <f t="shared" si="424"/>
        <v>BARATA Y MORADA</v>
      </c>
      <c r="C1258" s="36">
        <f t="shared" si="424"/>
        <v>422</v>
      </c>
      <c r="D1258" s="118">
        <v>0.24513888888888888</v>
      </c>
      <c r="E1258" s="118">
        <v>0.26041666666666669</v>
      </c>
      <c r="F1258" s="119">
        <v>1.5277777777777807E-2</v>
      </c>
      <c r="G1258" s="118">
        <v>0.27430555555555552</v>
      </c>
      <c r="H1258" s="119">
        <v>1.388888888888884E-2</v>
      </c>
      <c r="I1258" s="81">
        <v>41722</v>
      </c>
      <c r="J1258" s="36" t="str">
        <f t="shared" si="440"/>
        <v>Nacional</v>
      </c>
      <c r="K1258" s="36">
        <f t="shared" si="440"/>
        <v>9.3253968253968287E-3</v>
      </c>
      <c r="L1258" s="36">
        <f t="shared" si="440"/>
        <v>1.310763888888888E-2</v>
      </c>
      <c r="M1258" s="36">
        <f t="shared" si="440"/>
        <v>2.2433035714285711E-2</v>
      </c>
      <c r="N1258" s="36">
        <f t="shared" si="440"/>
        <v>320</v>
      </c>
      <c r="O1258" s="36">
        <f t="shared" si="440"/>
        <v>179</v>
      </c>
      <c r="P1258" s="36" t="str">
        <f t="shared" si="440"/>
        <v>TIJ</v>
      </c>
      <c r="R1258">
        <v>1244</v>
      </c>
      <c r="S1258" s="36" t="str">
        <f t="shared" si="425"/>
        <v>INTERAVIÓN</v>
      </c>
      <c r="T1258" s="36">
        <f t="shared" si="425"/>
        <v>810</v>
      </c>
      <c r="U1258" s="73">
        <v>0.61388888888888882</v>
      </c>
      <c r="V1258" s="74">
        <v>0.61875000000000002</v>
      </c>
      <c r="W1258" s="75">
        <v>4.8611111111112049E-3</v>
      </c>
      <c r="X1258" s="74">
        <v>0.62291666666666667</v>
      </c>
      <c r="Y1258" s="75">
        <v>4.1666666666666519E-3</v>
      </c>
      <c r="Z1258" s="76">
        <v>41736</v>
      </c>
      <c r="AA1258" s="36" t="str">
        <f t="shared" si="441"/>
        <v>Nacional</v>
      </c>
      <c r="AB1258" s="36">
        <f t="shared" si="441"/>
        <v>5.4012345679012403E-3</v>
      </c>
      <c r="AC1258" s="36">
        <f t="shared" si="441"/>
        <v>6.7901234567901243E-3</v>
      </c>
      <c r="AD1258" s="36">
        <f t="shared" si="441"/>
        <v>1.2191358024691365E-2</v>
      </c>
      <c r="AE1258" s="36">
        <f t="shared" si="441"/>
        <v>320</v>
      </c>
      <c r="AF1258" s="36">
        <f t="shared" si="441"/>
        <v>179</v>
      </c>
      <c r="AG1258" s="36" t="str">
        <f t="shared" si="441"/>
        <v>SID</v>
      </c>
      <c r="AI1258">
        <v>1244</v>
      </c>
      <c r="AJ1258" s="77" t="str">
        <f t="shared" si="432"/>
        <v xml:space="preserve">INTERAVIÓN </v>
      </c>
      <c r="AK1258" s="77">
        <f t="shared" si="432"/>
        <v>236</v>
      </c>
      <c r="AL1258" s="189">
        <v>0.55902777777777779</v>
      </c>
      <c r="AM1258" s="144">
        <v>0.56458333333333333</v>
      </c>
      <c r="AN1258" s="80">
        <v>5.5555555555555358E-3</v>
      </c>
      <c r="AO1258" s="144">
        <v>0.5708333333333333</v>
      </c>
      <c r="AP1258" s="80">
        <v>6.2499999999999778E-3</v>
      </c>
      <c r="AQ1258" s="81">
        <v>41801</v>
      </c>
      <c r="AR1258" s="77" t="str">
        <f t="shared" si="439"/>
        <v>Nacional</v>
      </c>
      <c r="AS1258" s="77">
        <f t="shared" si="439"/>
        <v>8.8541666666666456E-3</v>
      </c>
      <c r="AT1258" s="77">
        <f t="shared" si="439"/>
        <v>8.1249999999999985E-3</v>
      </c>
      <c r="AU1258" s="77">
        <f t="shared" si="439"/>
        <v>1.6979166666666642E-2</v>
      </c>
      <c r="AV1258" s="77">
        <f t="shared" si="439"/>
        <v>320</v>
      </c>
      <c r="AW1258" s="77">
        <f t="shared" si="439"/>
        <v>179</v>
      </c>
      <c r="AX1258" s="77" t="str">
        <f t="shared" si="439"/>
        <v>MTY</v>
      </c>
    </row>
    <row r="1259" spans="1:50" x14ac:dyDescent="0.25">
      <c r="A1259">
        <v>1245</v>
      </c>
      <c r="B1259" s="36" t="str">
        <f t="shared" si="424"/>
        <v>BARATA Y MORADA</v>
      </c>
      <c r="C1259" s="36">
        <f t="shared" si="424"/>
        <v>422</v>
      </c>
      <c r="D1259" s="118">
        <v>0.26527777777777778</v>
      </c>
      <c r="E1259" s="118">
        <v>0.27152777777777776</v>
      </c>
      <c r="F1259" s="119">
        <v>6.2499999999999778E-3</v>
      </c>
      <c r="G1259" s="118">
        <v>0.28402777777777777</v>
      </c>
      <c r="H1259" s="119">
        <v>1.2500000000000011E-2</v>
      </c>
      <c r="I1259" s="81">
        <v>41723</v>
      </c>
      <c r="J1259" s="36" t="str">
        <f t="shared" si="440"/>
        <v>Nacional</v>
      </c>
      <c r="K1259" s="36">
        <f t="shared" si="440"/>
        <v>9.3253968253968287E-3</v>
      </c>
      <c r="L1259" s="36">
        <f t="shared" si="440"/>
        <v>1.310763888888888E-2</v>
      </c>
      <c r="M1259" s="36">
        <f t="shared" si="440"/>
        <v>2.2433035714285711E-2</v>
      </c>
      <c r="N1259" s="36">
        <f t="shared" si="440"/>
        <v>320</v>
      </c>
      <c r="O1259" s="36">
        <f t="shared" si="440"/>
        <v>179</v>
      </c>
      <c r="P1259" s="36" t="str">
        <f t="shared" si="440"/>
        <v>TIJ</v>
      </c>
      <c r="R1259">
        <v>1245</v>
      </c>
      <c r="S1259" s="36" t="str">
        <f t="shared" si="425"/>
        <v>INTERAVIÓN</v>
      </c>
      <c r="T1259" s="36">
        <f t="shared" si="425"/>
        <v>810</v>
      </c>
      <c r="U1259" s="73">
        <v>0.61249999999999993</v>
      </c>
      <c r="V1259" s="74">
        <v>0.61527777777777781</v>
      </c>
      <c r="W1259" s="75">
        <v>2.7777777777778789E-3</v>
      </c>
      <c r="X1259" s="74">
        <v>0.62222222222222223</v>
      </c>
      <c r="Y1259" s="75">
        <v>6.9444444444444198E-3</v>
      </c>
      <c r="Z1259" s="76">
        <v>41739</v>
      </c>
      <c r="AA1259" s="36" t="str">
        <f t="shared" si="441"/>
        <v>Nacional</v>
      </c>
      <c r="AB1259" s="36">
        <f t="shared" si="441"/>
        <v>5.4012345679012403E-3</v>
      </c>
      <c r="AC1259" s="36">
        <f t="shared" si="441"/>
        <v>6.7901234567901243E-3</v>
      </c>
      <c r="AD1259" s="36">
        <f t="shared" si="441"/>
        <v>1.2191358024691365E-2</v>
      </c>
      <c r="AE1259" s="36">
        <f t="shared" si="441"/>
        <v>320</v>
      </c>
      <c r="AF1259" s="36">
        <f t="shared" si="441"/>
        <v>179</v>
      </c>
      <c r="AG1259" s="36" t="str">
        <f t="shared" si="441"/>
        <v>SID</v>
      </c>
      <c r="AI1259">
        <v>1245</v>
      </c>
      <c r="AJ1259" s="77" t="str">
        <f t="shared" si="432"/>
        <v xml:space="preserve">INTERAVIÓN </v>
      </c>
      <c r="AK1259" s="77">
        <f t="shared" si="432"/>
        <v>236</v>
      </c>
      <c r="AL1259" s="186">
        <v>0.57777777777777783</v>
      </c>
      <c r="AM1259" s="79">
        <v>0.58194444444444449</v>
      </c>
      <c r="AN1259" s="80">
        <v>4.1666666666666519E-3</v>
      </c>
      <c r="AO1259" s="79">
        <v>0.60347222222222219</v>
      </c>
      <c r="AP1259" s="80">
        <v>2.1527777777777701E-2</v>
      </c>
      <c r="AQ1259" s="81">
        <v>41802</v>
      </c>
      <c r="AR1259" s="77" t="str">
        <f t="shared" si="439"/>
        <v>Nacional</v>
      </c>
      <c r="AS1259" s="77">
        <f t="shared" si="439"/>
        <v>8.8541666666666456E-3</v>
      </c>
      <c r="AT1259" s="77">
        <f t="shared" si="439"/>
        <v>8.1249999999999985E-3</v>
      </c>
      <c r="AU1259" s="77">
        <f t="shared" si="439"/>
        <v>1.6979166666666642E-2</v>
      </c>
      <c r="AV1259" s="77">
        <f t="shared" si="439"/>
        <v>320</v>
      </c>
      <c r="AW1259" s="77">
        <f t="shared" si="439"/>
        <v>179</v>
      </c>
      <c r="AX1259" s="77" t="str">
        <f t="shared" si="439"/>
        <v>MTY</v>
      </c>
    </row>
    <row r="1260" spans="1:50" x14ac:dyDescent="0.25">
      <c r="A1260">
        <v>1246</v>
      </c>
      <c r="B1260" s="36" t="str">
        <f t="shared" si="424"/>
        <v>BARATA Y MORADA</v>
      </c>
      <c r="C1260" s="36">
        <f t="shared" si="424"/>
        <v>422</v>
      </c>
      <c r="D1260" s="118">
        <v>0.26527777777777778</v>
      </c>
      <c r="E1260" s="118">
        <v>0.27152777777777776</v>
      </c>
      <c r="F1260" s="119">
        <v>6.2499999999999778E-3</v>
      </c>
      <c r="G1260" s="118">
        <v>0.28402777777777777</v>
      </c>
      <c r="H1260" s="119">
        <v>1.2500000000000011E-2</v>
      </c>
      <c r="I1260" s="81">
        <v>41723</v>
      </c>
      <c r="J1260" s="36" t="str">
        <f t="shared" si="440"/>
        <v>Nacional</v>
      </c>
      <c r="K1260" s="36">
        <f t="shared" si="440"/>
        <v>9.3253968253968287E-3</v>
      </c>
      <c r="L1260" s="36">
        <f t="shared" si="440"/>
        <v>1.310763888888888E-2</v>
      </c>
      <c r="M1260" s="36">
        <f t="shared" si="440"/>
        <v>2.2433035714285711E-2</v>
      </c>
      <c r="N1260" s="36">
        <f t="shared" si="440"/>
        <v>320</v>
      </c>
      <c r="O1260" s="36">
        <f t="shared" si="440"/>
        <v>179</v>
      </c>
      <c r="P1260" s="36" t="str">
        <f t="shared" si="440"/>
        <v>TIJ</v>
      </c>
      <c r="R1260">
        <v>1246</v>
      </c>
      <c r="S1260" s="36" t="str">
        <f t="shared" si="425"/>
        <v>INTERAVIÓN</v>
      </c>
      <c r="T1260" s="36">
        <f t="shared" si="425"/>
        <v>810</v>
      </c>
      <c r="U1260" s="73">
        <v>0.61041666666666672</v>
      </c>
      <c r="V1260" s="74">
        <v>0.61249999999999993</v>
      </c>
      <c r="W1260" s="75">
        <v>2.0833333333332149E-3</v>
      </c>
      <c r="X1260" s="74">
        <v>0.6166666666666667</v>
      </c>
      <c r="Y1260" s="75">
        <v>4.1666666666667629E-3</v>
      </c>
      <c r="Z1260" s="76">
        <v>41743</v>
      </c>
      <c r="AA1260" s="36" t="str">
        <f t="shared" si="441"/>
        <v>Nacional</v>
      </c>
      <c r="AB1260" s="36">
        <f t="shared" si="441"/>
        <v>5.4012345679012403E-3</v>
      </c>
      <c r="AC1260" s="36">
        <f t="shared" si="441"/>
        <v>6.7901234567901243E-3</v>
      </c>
      <c r="AD1260" s="36">
        <f t="shared" si="441"/>
        <v>1.2191358024691365E-2</v>
      </c>
      <c r="AE1260" s="36">
        <f t="shared" si="441"/>
        <v>320</v>
      </c>
      <c r="AF1260" s="36">
        <f t="shared" si="441"/>
        <v>179</v>
      </c>
      <c r="AG1260" s="36" t="str">
        <f t="shared" si="441"/>
        <v>SID</v>
      </c>
      <c r="AI1260">
        <v>1246</v>
      </c>
      <c r="AJ1260" s="77" t="str">
        <f t="shared" si="432"/>
        <v xml:space="preserve">INTERAVIÓN </v>
      </c>
      <c r="AK1260" s="77">
        <f t="shared" si="432"/>
        <v>236</v>
      </c>
      <c r="AL1260" s="186">
        <v>0.44444444444444442</v>
      </c>
      <c r="AM1260" s="79">
        <v>0.45624999999999999</v>
      </c>
      <c r="AN1260" s="80">
        <v>1.1805555555555569E-2</v>
      </c>
      <c r="AO1260" s="79">
        <v>0.45833333333333331</v>
      </c>
      <c r="AP1260" s="80">
        <v>2.0833333333333259E-3</v>
      </c>
      <c r="AQ1260" s="81">
        <v>41803</v>
      </c>
      <c r="AR1260" s="77" t="str">
        <f t="shared" si="439"/>
        <v>Nacional</v>
      </c>
      <c r="AS1260" s="77">
        <f t="shared" si="439"/>
        <v>8.8541666666666456E-3</v>
      </c>
      <c r="AT1260" s="77">
        <f t="shared" si="439"/>
        <v>8.1249999999999985E-3</v>
      </c>
      <c r="AU1260" s="77">
        <f t="shared" si="439"/>
        <v>1.6979166666666642E-2</v>
      </c>
      <c r="AV1260" s="77">
        <f t="shared" si="439"/>
        <v>320</v>
      </c>
      <c r="AW1260" s="77">
        <f t="shared" si="439"/>
        <v>179</v>
      </c>
      <c r="AX1260" s="77" t="str">
        <f t="shared" si="439"/>
        <v>MTY</v>
      </c>
    </row>
    <row r="1261" spans="1:50" x14ac:dyDescent="0.25">
      <c r="A1261">
        <v>1247</v>
      </c>
      <c r="B1261" s="36" t="str">
        <f t="shared" si="424"/>
        <v>BARATA Y MORADA</v>
      </c>
      <c r="C1261" s="36">
        <f t="shared" si="424"/>
        <v>422</v>
      </c>
      <c r="D1261" s="118">
        <v>0.27013888888888887</v>
      </c>
      <c r="E1261" s="118">
        <v>0.27777777777777779</v>
      </c>
      <c r="F1261" s="119">
        <v>7.6388888888889173E-3</v>
      </c>
      <c r="G1261" s="118">
        <v>0.28680555555555554</v>
      </c>
      <c r="H1261" s="119">
        <v>9.0277777777777457E-3</v>
      </c>
      <c r="I1261" s="81">
        <v>41725</v>
      </c>
      <c r="J1261" s="36" t="str">
        <f t="shared" si="440"/>
        <v>Nacional</v>
      </c>
      <c r="K1261" s="36">
        <f t="shared" si="440"/>
        <v>9.3253968253968287E-3</v>
      </c>
      <c r="L1261" s="36">
        <f t="shared" si="440"/>
        <v>1.310763888888888E-2</v>
      </c>
      <c r="M1261" s="36">
        <f t="shared" si="440"/>
        <v>2.2433035714285711E-2</v>
      </c>
      <c r="N1261" s="36">
        <f t="shared" si="440"/>
        <v>320</v>
      </c>
      <c r="O1261" s="36">
        <f t="shared" si="440"/>
        <v>179</v>
      </c>
      <c r="P1261" s="36" t="str">
        <f t="shared" si="440"/>
        <v>TIJ</v>
      </c>
      <c r="R1261">
        <v>1247</v>
      </c>
      <c r="S1261" s="36" t="str">
        <f t="shared" si="425"/>
        <v>INTERAVIÓN</v>
      </c>
      <c r="T1261" s="36">
        <f t="shared" si="425"/>
        <v>810</v>
      </c>
      <c r="U1261" s="73">
        <v>0.59722222222222221</v>
      </c>
      <c r="V1261" s="74">
        <v>0.60416666666666663</v>
      </c>
      <c r="W1261" s="75">
        <v>6.9444444444444198E-3</v>
      </c>
      <c r="X1261" s="74">
        <v>0.62152777777777779</v>
      </c>
      <c r="Y1261" s="75">
        <v>1.736111111111116E-2</v>
      </c>
      <c r="Z1261" s="76">
        <v>41750</v>
      </c>
      <c r="AA1261" s="36" t="str">
        <f t="shared" si="441"/>
        <v>Nacional</v>
      </c>
      <c r="AB1261" s="36">
        <f t="shared" si="441"/>
        <v>5.4012345679012403E-3</v>
      </c>
      <c r="AC1261" s="36">
        <f t="shared" si="441"/>
        <v>6.7901234567901243E-3</v>
      </c>
      <c r="AD1261" s="36">
        <f t="shared" si="441"/>
        <v>1.2191358024691365E-2</v>
      </c>
      <c r="AE1261" s="36">
        <f t="shared" si="441"/>
        <v>320</v>
      </c>
      <c r="AF1261" s="36">
        <f t="shared" si="441"/>
        <v>179</v>
      </c>
      <c r="AG1261" s="36" t="str">
        <f t="shared" si="441"/>
        <v>SID</v>
      </c>
      <c r="AI1261">
        <v>1247</v>
      </c>
      <c r="AJ1261" s="77" t="str">
        <f t="shared" si="432"/>
        <v xml:space="preserve">INTERAVIÓN </v>
      </c>
      <c r="AK1261" s="77">
        <f t="shared" si="432"/>
        <v>236</v>
      </c>
      <c r="AL1261" s="186">
        <v>0.27986111111111112</v>
      </c>
      <c r="AM1261" s="79">
        <v>0.29166666666666669</v>
      </c>
      <c r="AN1261" s="80">
        <v>1.1805555555555569E-2</v>
      </c>
      <c r="AO1261" s="79">
        <v>0.3</v>
      </c>
      <c r="AP1261" s="80">
        <v>8.3333333333333037E-3</v>
      </c>
      <c r="AQ1261" s="81">
        <v>41805</v>
      </c>
      <c r="AR1261" s="77" t="str">
        <f t="shared" si="439"/>
        <v>Nacional</v>
      </c>
      <c r="AS1261" s="77">
        <f t="shared" si="439"/>
        <v>8.8541666666666456E-3</v>
      </c>
      <c r="AT1261" s="77">
        <f t="shared" si="439"/>
        <v>8.1249999999999985E-3</v>
      </c>
      <c r="AU1261" s="77">
        <f t="shared" si="439"/>
        <v>1.6979166666666642E-2</v>
      </c>
      <c r="AV1261" s="77">
        <f t="shared" si="439"/>
        <v>320</v>
      </c>
      <c r="AW1261" s="77">
        <f t="shared" si="439"/>
        <v>179</v>
      </c>
      <c r="AX1261" s="77" t="str">
        <f t="shared" si="439"/>
        <v>MTY</v>
      </c>
    </row>
    <row r="1262" spans="1:50" ht="15.75" thickBot="1" x14ac:dyDescent="0.3">
      <c r="A1262">
        <v>1248</v>
      </c>
      <c r="B1262" s="36" t="str">
        <f t="shared" si="424"/>
        <v>BARATA Y MORADA</v>
      </c>
      <c r="C1262" s="36">
        <f t="shared" si="424"/>
        <v>422</v>
      </c>
      <c r="D1262" s="176">
        <v>0.22569444444444445</v>
      </c>
      <c r="E1262" s="176">
        <v>0.24305555555555555</v>
      </c>
      <c r="F1262" s="177">
        <v>1.7361111111111105E-2</v>
      </c>
      <c r="G1262" s="176">
        <v>0.2638888888888889</v>
      </c>
      <c r="H1262" s="177">
        <v>2.0833333333333343E-2</v>
      </c>
      <c r="I1262" s="97">
        <v>41726</v>
      </c>
      <c r="J1262" s="36" t="str">
        <f t="shared" si="440"/>
        <v>Nacional</v>
      </c>
      <c r="K1262" s="36">
        <f t="shared" si="440"/>
        <v>9.3253968253968287E-3</v>
      </c>
      <c r="L1262" s="36">
        <f t="shared" si="440"/>
        <v>1.310763888888888E-2</v>
      </c>
      <c r="M1262" s="36">
        <f t="shared" si="440"/>
        <v>2.2433035714285711E-2</v>
      </c>
      <c r="N1262" s="36">
        <f t="shared" si="440"/>
        <v>320</v>
      </c>
      <c r="O1262" s="36">
        <f t="shared" si="440"/>
        <v>179</v>
      </c>
      <c r="P1262" s="36" t="str">
        <f t="shared" si="440"/>
        <v>TIJ</v>
      </c>
      <c r="R1262">
        <v>1248</v>
      </c>
      <c r="S1262" s="36" t="str">
        <f t="shared" si="425"/>
        <v>INTERAVIÓN</v>
      </c>
      <c r="T1262" s="36">
        <f t="shared" si="425"/>
        <v>810</v>
      </c>
      <c r="U1262" s="73">
        <v>0.61597222222222225</v>
      </c>
      <c r="V1262" s="74">
        <v>0.62152777777777779</v>
      </c>
      <c r="W1262" s="75">
        <v>5.5555555555555358E-3</v>
      </c>
      <c r="X1262" s="74">
        <v>0.62847222222222221</v>
      </c>
      <c r="Y1262" s="75">
        <v>6.9444444444444198E-3</v>
      </c>
      <c r="Z1262" s="76">
        <v>41753</v>
      </c>
      <c r="AA1262" s="36" t="str">
        <f t="shared" si="441"/>
        <v>Nacional</v>
      </c>
      <c r="AB1262" s="36">
        <f t="shared" si="441"/>
        <v>5.4012345679012403E-3</v>
      </c>
      <c r="AC1262" s="36">
        <f t="shared" si="441"/>
        <v>6.7901234567901243E-3</v>
      </c>
      <c r="AD1262" s="36">
        <f t="shared" si="441"/>
        <v>1.2191358024691365E-2</v>
      </c>
      <c r="AE1262" s="36">
        <f t="shared" si="441"/>
        <v>320</v>
      </c>
      <c r="AF1262" s="36">
        <f t="shared" si="441"/>
        <v>179</v>
      </c>
      <c r="AG1262" s="36" t="str">
        <f t="shared" si="441"/>
        <v>SID</v>
      </c>
      <c r="AI1262">
        <v>1248</v>
      </c>
      <c r="AJ1262" s="77" t="str">
        <f t="shared" si="432"/>
        <v xml:space="preserve">INTERAVIÓN </v>
      </c>
      <c r="AK1262" s="77">
        <f t="shared" si="432"/>
        <v>236</v>
      </c>
      <c r="AL1262" s="186">
        <v>0.89374999999999993</v>
      </c>
      <c r="AM1262" s="79">
        <v>0.90277777777777779</v>
      </c>
      <c r="AN1262" s="80">
        <v>9.0277777777778567E-3</v>
      </c>
      <c r="AO1262" s="79">
        <v>0.92152777777777783</v>
      </c>
      <c r="AP1262" s="80">
        <v>1.8750000000000044E-2</v>
      </c>
      <c r="AQ1262" s="81">
        <v>41806</v>
      </c>
      <c r="AR1262" s="77" t="str">
        <f t="shared" si="439"/>
        <v>Nacional</v>
      </c>
      <c r="AS1262" s="77">
        <f t="shared" si="439"/>
        <v>8.8541666666666456E-3</v>
      </c>
      <c r="AT1262" s="77">
        <f t="shared" si="439"/>
        <v>8.1249999999999985E-3</v>
      </c>
      <c r="AU1262" s="77">
        <f t="shared" si="439"/>
        <v>1.6979166666666642E-2</v>
      </c>
      <c r="AV1262" s="77">
        <f t="shared" si="439"/>
        <v>320</v>
      </c>
      <c r="AW1262" s="77">
        <f t="shared" si="439"/>
        <v>179</v>
      </c>
      <c r="AX1262" s="77" t="str">
        <f t="shared" si="439"/>
        <v>MTY</v>
      </c>
    </row>
    <row r="1263" spans="1:50" x14ac:dyDescent="0.25">
      <c r="A1263">
        <v>1249</v>
      </c>
      <c r="B1263" s="36" t="str">
        <f t="shared" si="424"/>
        <v>BARATA Y MORADA</v>
      </c>
      <c r="C1263" s="151">
        <v>420</v>
      </c>
      <c r="D1263" s="152">
        <v>0.23263888888888887</v>
      </c>
      <c r="E1263" s="152">
        <v>0.24861111111111112</v>
      </c>
      <c r="F1263" s="153">
        <v>1.5972222222222249E-2</v>
      </c>
      <c r="G1263" s="152">
        <v>0.26805555555555555</v>
      </c>
      <c r="H1263" s="153">
        <v>1.9444444444444431E-2</v>
      </c>
      <c r="I1263" s="67">
        <v>41719</v>
      </c>
      <c r="J1263" s="68" t="s">
        <v>19</v>
      </c>
      <c r="K1263" s="135">
        <v>1.1805555555555555E-2</v>
      </c>
      <c r="L1263" s="135">
        <v>1.6145833333333311E-2</v>
      </c>
      <c r="M1263" s="175">
        <v>2.7951388888888866E-2</v>
      </c>
      <c r="N1263" s="90">
        <v>320</v>
      </c>
      <c r="O1263" s="91">
        <v>179</v>
      </c>
      <c r="P1263" s="92" t="s">
        <v>34</v>
      </c>
      <c r="R1263">
        <v>1249</v>
      </c>
      <c r="S1263" s="36" t="str">
        <f t="shared" si="425"/>
        <v>INTERAVIÓN</v>
      </c>
      <c r="T1263" s="36">
        <f t="shared" si="425"/>
        <v>810</v>
      </c>
      <c r="U1263" s="73">
        <v>0.60972222222222217</v>
      </c>
      <c r="V1263" s="74">
        <v>0.61736111111111114</v>
      </c>
      <c r="W1263" s="75">
        <v>7.6388888888889728E-3</v>
      </c>
      <c r="X1263" s="74">
        <v>0.62638888888888888</v>
      </c>
      <c r="Y1263" s="75">
        <v>9.0277777777777457E-3</v>
      </c>
      <c r="Z1263" s="76">
        <v>41754</v>
      </c>
      <c r="AA1263" s="36" t="str">
        <f t="shared" si="441"/>
        <v>Nacional</v>
      </c>
      <c r="AB1263" s="36">
        <f t="shared" si="441"/>
        <v>5.4012345679012403E-3</v>
      </c>
      <c r="AC1263" s="36">
        <f t="shared" si="441"/>
        <v>6.7901234567901243E-3</v>
      </c>
      <c r="AD1263" s="36">
        <f t="shared" si="441"/>
        <v>1.2191358024691365E-2</v>
      </c>
      <c r="AE1263" s="36">
        <f t="shared" si="441"/>
        <v>320</v>
      </c>
      <c r="AF1263" s="36">
        <f t="shared" si="441"/>
        <v>179</v>
      </c>
      <c r="AG1263" s="36" t="str">
        <f t="shared" si="441"/>
        <v>SID</v>
      </c>
      <c r="AI1263">
        <v>1249</v>
      </c>
      <c r="AJ1263" s="77" t="str">
        <f t="shared" si="432"/>
        <v xml:space="preserve">INTERAVIÓN </v>
      </c>
      <c r="AK1263" s="77">
        <f t="shared" si="432"/>
        <v>236</v>
      </c>
      <c r="AL1263" s="186">
        <v>0.82986111111111116</v>
      </c>
      <c r="AM1263" s="79">
        <v>0.83888888888888891</v>
      </c>
      <c r="AN1263" s="80">
        <v>9.0277777777777457E-3</v>
      </c>
      <c r="AO1263" s="79">
        <v>0.85277777777777775</v>
      </c>
      <c r="AP1263" s="80">
        <v>1.388888888888884E-2</v>
      </c>
      <c r="AQ1263" s="81">
        <v>41807</v>
      </c>
      <c r="AR1263" s="77" t="str">
        <f t="shared" si="439"/>
        <v>Nacional</v>
      </c>
      <c r="AS1263" s="77">
        <f t="shared" si="439"/>
        <v>8.8541666666666456E-3</v>
      </c>
      <c r="AT1263" s="77">
        <f t="shared" si="439"/>
        <v>8.1249999999999985E-3</v>
      </c>
      <c r="AU1263" s="77">
        <f t="shared" si="439"/>
        <v>1.6979166666666642E-2</v>
      </c>
      <c r="AV1263" s="77">
        <f t="shared" si="439"/>
        <v>320</v>
      </c>
      <c r="AW1263" s="77">
        <f t="shared" si="439"/>
        <v>179</v>
      </c>
      <c r="AX1263" s="77" t="str">
        <f t="shared" si="439"/>
        <v>MTY</v>
      </c>
    </row>
    <row r="1264" spans="1:50" ht="15.75" thickBot="1" x14ac:dyDescent="0.3">
      <c r="A1264">
        <v>1250</v>
      </c>
      <c r="B1264" s="36" t="str">
        <f t="shared" si="424"/>
        <v>BARATA Y MORADA</v>
      </c>
      <c r="C1264" s="36">
        <f t="shared" si="424"/>
        <v>420</v>
      </c>
      <c r="D1264" s="118">
        <v>0.23958333333333334</v>
      </c>
      <c r="E1264" s="118">
        <v>0.25416666666666665</v>
      </c>
      <c r="F1264" s="119">
        <v>1.4583333333333309E-2</v>
      </c>
      <c r="G1264" s="118">
        <v>0.27361111111111108</v>
      </c>
      <c r="H1264" s="119">
        <v>1.9444444444444431E-2</v>
      </c>
      <c r="I1264" s="81">
        <v>41722</v>
      </c>
      <c r="J1264" s="36" t="str">
        <f t="shared" ref="J1264:P1266" si="442">J1263</f>
        <v>Nacional</v>
      </c>
      <c r="K1264" s="36">
        <f t="shared" si="442"/>
        <v>1.1805555555555555E-2</v>
      </c>
      <c r="L1264" s="36">
        <f t="shared" si="442"/>
        <v>1.6145833333333311E-2</v>
      </c>
      <c r="M1264" s="36">
        <f t="shared" si="442"/>
        <v>2.7951388888888866E-2</v>
      </c>
      <c r="N1264" s="36">
        <f t="shared" si="442"/>
        <v>320</v>
      </c>
      <c r="O1264" s="36">
        <f t="shared" si="442"/>
        <v>179</v>
      </c>
      <c r="P1264" s="36" t="str">
        <f t="shared" si="442"/>
        <v>TIJ</v>
      </c>
      <c r="R1264">
        <v>1250</v>
      </c>
      <c r="S1264" s="36" t="str">
        <f t="shared" si="425"/>
        <v>INTERAVIÓN</v>
      </c>
      <c r="T1264" s="36">
        <f t="shared" si="425"/>
        <v>810</v>
      </c>
      <c r="U1264" s="83">
        <v>0.61805555555555558</v>
      </c>
      <c r="V1264" s="84">
        <v>0.62361111111111112</v>
      </c>
      <c r="W1264" s="85">
        <v>5.5555555555555358E-3</v>
      </c>
      <c r="X1264" s="84">
        <v>0.62777777777777777</v>
      </c>
      <c r="Y1264" s="85">
        <v>4.1666666666666519E-3</v>
      </c>
      <c r="Z1264" s="86">
        <v>41757</v>
      </c>
      <c r="AA1264" s="36" t="str">
        <f t="shared" si="441"/>
        <v>Nacional</v>
      </c>
      <c r="AB1264" s="36">
        <f t="shared" si="441"/>
        <v>5.4012345679012403E-3</v>
      </c>
      <c r="AC1264" s="36">
        <f t="shared" si="441"/>
        <v>6.7901234567901243E-3</v>
      </c>
      <c r="AD1264" s="36">
        <f t="shared" si="441"/>
        <v>1.2191358024691365E-2</v>
      </c>
      <c r="AE1264" s="36">
        <f t="shared" si="441"/>
        <v>320</v>
      </c>
      <c r="AF1264" s="36">
        <f t="shared" si="441"/>
        <v>179</v>
      </c>
      <c r="AG1264" s="36" t="str">
        <f t="shared" si="441"/>
        <v>SID</v>
      </c>
      <c r="AI1264">
        <v>1250</v>
      </c>
      <c r="AJ1264" s="77" t="str">
        <f t="shared" si="432"/>
        <v xml:space="preserve">INTERAVIÓN </v>
      </c>
      <c r="AK1264" s="77">
        <f t="shared" si="432"/>
        <v>236</v>
      </c>
      <c r="AL1264" s="186">
        <v>0.87847222222222221</v>
      </c>
      <c r="AM1264" s="79">
        <v>0.89097222222222217</v>
      </c>
      <c r="AN1264" s="80">
        <v>1.2499999999999956E-2</v>
      </c>
      <c r="AO1264" s="79">
        <v>0.89513888888888893</v>
      </c>
      <c r="AP1264" s="80">
        <v>4.1666666666667629E-3</v>
      </c>
      <c r="AQ1264" s="81">
        <v>41808</v>
      </c>
      <c r="AR1264" s="77" t="str">
        <f t="shared" si="439"/>
        <v>Nacional</v>
      </c>
      <c r="AS1264" s="77">
        <f t="shared" si="439"/>
        <v>8.8541666666666456E-3</v>
      </c>
      <c r="AT1264" s="77">
        <f t="shared" si="439"/>
        <v>8.1249999999999985E-3</v>
      </c>
      <c r="AU1264" s="77">
        <f t="shared" si="439"/>
        <v>1.6979166666666642E-2</v>
      </c>
      <c r="AV1264" s="77">
        <f t="shared" si="439"/>
        <v>320</v>
      </c>
      <c r="AW1264" s="77">
        <f t="shared" si="439"/>
        <v>179</v>
      </c>
      <c r="AX1264" s="77" t="str">
        <f t="shared" si="439"/>
        <v>MTY</v>
      </c>
    </row>
    <row r="1265" spans="1:50" x14ac:dyDescent="0.25">
      <c r="A1265">
        <v>1251</v>
      </c>
      <c r="B1265" s="36" t="str">
        <f t="shared" si="424"/>
        <v>BARATA Y MORADA</v>
      </c>
      <c r="C1265" s="36">
        <f t="shared" si="424"/>
        <v>420</v>
      </c>
      <c r="D1265" s="118">
        <v>0.75694444444444453</v>
      </c>
      <c r="E1265" s="118">
        <v>0.76180555555555562</v>
      </c>
      <c r="F1265" s="119">
        <v>4.8611111111110938E-3</v>
      </c>
      <c r="G1265" s="118">
        <v>0.77222222222222225</v>
      </c>
      <c r="H1265" s="119">
        <v>1.041666666666663E-2</v>
      </c>
      <c r="I1265" s="81">
        <v>41722</v>
      </c>
      <c r="J1265" s="36" t="str">
        <f t="shared" si="442"/>
        <v>Nacional</v>
      </c>
      <c r="K1265" s="36">
        <f t="shared" si="442"/>
        <v>1.1805555555555555E-2</v>
      </c>
      <c r="L1265" s="36">
        <f t="shared" si="442"/>
        <v>1.6145833333333311E-2</v>
      </c>
      <c r="M1265" s="36">
        <f t="shared" si="442"/>
        <v>2.7951388888888866E-2</v>
      </c>
      <c r="N1265" s="36">
        <f t="shared" si="442"/>
        <v>320</v>
      </c>
      <c r="O1265" s="36">
        <f t="shared" si="442"/>
        <v>179</v>
      </c>
      <c r="P1265" s="36" t="str">
        <f t="shared" si="442"/>
        <v>TIJ</v>
      </c>
      <c r="R1265">
        <v>1251</v>
      </c>
      <c r="S1265" s="45" t="s">
        <v>65</v>
      </c>
      <c r="T1265" s="55">
        <v>808</v>
      </c>
      <c r="U1265" s="56">
        <v>0.69791666666666663</v>
      </c>
      <c r="V1265" s="57">
        <v>0.70416666666666661</v>
      </c>
      <c r="W1265" s="58">
        <v>6.2499999999999778E-3</v>
      </c>
      <c r="X1265" s="57">
        <v>0.70972222222222225</v>
      </c>
      <c r="Y1265" s="58">
        <v>5.5555555555556468E-3</v>
      </c>
      <c r="Z1265" s="59">
        <v>41730</v>
      </c>
      <c r="AA1265" s="60" t="s">
        <v>19</v>
      </c>
      <c r="AB1265" s="61">
        <v>7.5810185185185034E-3</v>
      </c>
      <c r="AC1265" s="61">
        <v>7.0717592592592741E-3</v>
      </c>
      <c r="AD1265" s="62">
        <v>1.4652777777777778E-2</v>
      </c>
      <c r="AE1265" s="191">
        <v>320</v>
      </c>
      <c r="AF1265" s="191">
        <v>179</v>
      </c>
      <c r="AG1265" s="192" t="s">
        <v>88</v>
      </c>
      <c r="AI1265">
        <v>1251</v>
      </c>
      <c r="AJ1265" s="77" t="str">
        <f t="shared" si="432"/>
        <v xml:space="preserve">INTERAVIÓN </v>
      </c>
      <c r="AK1265" s="77">
        <f t="shared" si="432"/>
        <v>236</v>
      </c>
      <c r="AL1265" s="186">
        <v>0.99791666666666667</v>
      </c>
      <c r="AM1265" s="79">
        <v>1.0083333333333333</v>
      </c>
      <c r="AN1265" s="80">
        <v>1.041666666666663E-2</v>
      </c>
      <c r="AO1265" s="79">
        <v>1.0125</v>
      </c>
      <c r="AP1265" s="80">
        <v>4.1666666666666519E-3</v>
      </c>
      <c r="AQ1265" s="81">
        <v>41809</v>
      </c>
      <c r="AR1265" s="77" t="str">
        <f t="shared" si="439"/>
        <v>Nacional</v>
      </c>
      <c r="AS1265" s="77">
        <f t="shared" si="439"/>
        <v>8.8541666666666456E-3</v>
      </c>
      <c r="AT1265" s="77">
        <f t="shared" si="439"/>
        <v>8.1249999999999985E-3</v>
      </c>
      <c r="AU1265" s="77">
        <f t="shared" si="439"/>
        <v>1.6979166666666642E-2</v>
      </c>
      <c r="AV1265" s="77">
        <f t="shared" si="439"/>
        <v>320</v>
      </c>
      <c r="AW1265" s="77">
        <f t="shared" si="439"/>
        <v>179</v>
      </c>
      <c r="AX1265" s="77" t="str">
        <f t="shared" si="439"/>
        <v>MTY</v>
      </c>
    </row>
    <row r="1266" spans="1:50" ht="15.75" thickBot="1" x14ac:dyDescent="0.3">
      <c r="A1266">
        <v>1252</v>
      </c>
      <c r="B1266" s="36" t="str">
        <f t="shared" si="424"/>
        <v>BARATA Y MORADA</v>
      </c>
      <c r="C1266" s="36">
        <f t="shared" si="424"/>
        <v>420</v>
      </c>
      <c r="D1266" s="176">
        <v>0.22569444444444445</v>
      </c>
      <c r="E1266" s="176">
        <v>0.23750000000000002</v>
      </c>
      <c r="F1266" s="177">
        <v>1.1805555555555569E-2</v>
      </c>
      <c r="G1266" s="176">
        <v>0.25277777777777777</v>
      </c>
      <c r="H1266" s="177">
        <v>1.5277777777777751E-2</v>
      </c>
      <c r="I1266" s="97">
        <v>41725</v>
      </c>
      <c r="J1266" s="36" t="str">
        <f t="shared" si="442"/>
        <v>Nacional</v>
      </c>
      <c r="K1266" s="36">
        <f t="shared" si="442"/>
        <v>1.1805555555555555E-2</v>
      </c>
      <c r="L1266" s="36">
        <f t="shared" si="442"/>
        <v>1.6145833333333311E-2</v>
      </c>
      <c r="M1266" s="36">
        <f t="shared" si="442"/>
        <v>2.7951388888888866E-2</v>
      </c>
      <c r="N1266" s="36">
        <f t="shared" si="442"/>
        <v>320</v>
      </c>
      <c r="O1266" s="36">
        <f t="shared" si="442"/>
        <v>179</v>
      </c>
      <c r="P1266" s="36" t="str">
        <f t="shared" si="442"/>
        <v>TIJ</v>
      </c>
      <c r="R1266">
        <v>1252</v>
      </c>
      <c r="S1266" s="36" t="str">
        <f t="shared" ref="S1266:T1327" si="443">S1265</f>
        <v>INTERAVIÓN</v>
      </c>
      <c r="T1266" s="36">
        <f t="shared" si="443"/>
        <v>808</v>
      </c>
      <c r="U1266" s="73">
        <v>0.70138888888888884</v>
      </c>
      <c r="V1266" s="74">
        <v>0.70972222222222225</v>
      </c>
      <c r="W1266" s="75">
        <v>8.3333333333334147E-3</v>
      </c>
      <c r="X1266" s="74">
        <v>0.71388888888888891</v>
      </c>
      <c r="Y1266" s="75">
        <v>4.1666666666666519E-3</v>
      </c>
      <c r="Z1266" s="76">
        <v>41731</v>
      </c>
      <c r="AA1266" s="36" t="str">
        <f t="shared" ref="AA1266:AG1288" si="444">AA1265</f>
        <v>Nacional</v>
      </c>
      <c r="AB1266" s="36">
        <f t="shared" si="444"/>
        <v>7.5810185185185034E-3</v>
      </c>
      <c r="AC1266" s="36">
        <f t="shared" si="444"/>
        <v>7.0717592592592741E-3</v>
      </c>
      <c r="AD1266" s="36">
        <f t="shared" si="444"/>
        <v>1.4652777777777778E-2</v>
      </c>
      <c r="AE1266" s="36">
        <f t="shared" si="444"/>
        <v>320</v>
      </c>
      <c r="AF1266" s="36">
        <f t="shared" si="444"/>
        <v>179</v>
      </c>
      <c r="AG1266" s="36" t="str">
        <f t="shared" si="444"/>
        <v>SID</v>
      </c>
      <c r="AI1266">
        <v>1252</v>
      </c>
      <c r="AJ1266" s="77" t="str">
        <f t="shared" si="432"/>
        <v xml:space="preserve">INTERAVIÓN </v>
      </c>
      <c r="AK1266" s="77">
        <f t="shared" si="432"/>
        <v>236</v>
      </c>
      <c r="AL1266" s="186">
        <v>0.88680555555555562</v>
      </c>
      <c r="AM1266" s="79">
        <v>0.89444444444444438</v>
      </c>
      <c r="AN1266" s="80">
        <v>7.6388888888887507E-3</v>
      </c>
      <c r="AO1266" s="79">
        <v>0.90208333333333324</v>
      </c>
      <c r="AP1266" s="80">
        <v>7.6388888888888618E-3</v>
      </c>
      <c r="AQ1266" s="81">
        <v>41810</v>
      </c>
      <c r="AR1266" s="77" t="str">
        <f t="shared" si="439"/>
        <v>Nacional</v>
      </c>
      <c r="AS1266" s="77">
        <f t="shared" si="439"/>
        <v>8.8541666666666456E-3</v>
      </c>
      <c r="AT1266" s="77">
        <f t="shared" si="439"/>
        <v>8.1249999999999985E-3</v>
      </c>
      <c r="AU1266" s="77">
        <f t="shared" si="439"/>
        <v>1.6979166666666642E-2</v>
      </c>
      <c r="AV1266" s="77">
        <f t="shared" si="439"/>
        <v>320</v>
      </c>
      <c r="AW1266" s="77">
        <f t="shared" si="439"/>
        <v>179</v>
      </c>
      <c r="AX1266" s="77" t="str">
        <f t="shared" si="439"/>
        <v>MTY</v>
      </c>
    </row>
    <row r="1267" spans="1:50" ht="15.75" thickBot="1" x14ac:dyDescent="0.3">
      <c r="A1267">
        <v>1253</v>
      </c>
      <c r="B1267" s="36" t="str">
        <f t="shared" si="424"/>
        <v>BARATA Y MORADA</v>
      </c>
      <c r="C1267" s="146">
        <v>419</v>
      </c>
      <c r="D1267" s="147">
        <v>0.21666666666666667</v>
      </c>
      <c r="E1267" s="147">
        <v>0.22361111111111109</v>
      </c>
      <c r="F1267" s="148">
        <v>6.9444444444444198E-3</v>
      </c>
      <c r="G1267" s="147">
        <v>0.22916666666666666</v>
      </c>
      <c r="H1267" s="148">
        <v>5.5555555555555636E-3</v>
      </c>
      <c r="I1267" s="103">
        <v>41722</v>
      </c>
      <c r="J1267" s="184" t="s">
        <v>19</v>
      </c>
      <c r="K1267" s="149">
        <v>6.9444444444444198E-3</v>
      </c>
      <c r="L1267" s="149">
        <v>5.5555555555555636E-3</v>
      </c>
      <c r="M1267" s="150">
        <v>1.2499999999999983E-2</v>
      </c>
      <c r="N1267" s="52">
        <v>320</v>
      </c>
      <c r="O1267" s="53">
        <v>179</v>
      </c>
      <c r="P1267" s="54" t="s">
        <v>34</v>
      </c>
      <c r="R1267">
        <v>1253</v>
      </c>
      <c r="S1267" s="36" t="str">
        <f t="shared" si="443"/>
        <v>INTERAVIÓN</v>
      </c>
      <c r="T1267" s="36">
        <f t="shared" si="443"/>
        <v>808</v>
      </c>
      <c r="U1267" s="73">
        <v>0.71388888888888891</v>
      </c>
      <c r="V1267" s="74">
        <v>0.72222222222222221</v>
      </c>
      <c r="W1267" s="75">
        <v>8.3333333333333037E-3</v>
      </c>
      <c r="X1267" s="74">
        <v>0.72916666666666663</v>
      </c>
      <c r="Y1267" s="75">
        <v>6.9444444444444198E-3</v>
      </c>
      <c r="Z1267" s="76">
        <v>41732</v>
      </c>
      <c r="AA1267" s="36" t="str">
        <f t="shared" si="444"/>
        <v>Nacional</v>
      </c>
      <c r="AB1267" s="36">
        <f t="shared" si="444"/>
        <v>7.5810185185185034E-3</v>
      </c>
      <c r="AC1267" s="36">
        <f t="shared" si="444"/>
        <v>7.0717592592592741E-3</v>
      </c>
      <c r="AD1267" s="36">
        <f t="shared" si="444"/>
        <v>1.4652777777777778E-2</v>
      </c>
      <c r="AE1267" s="36">
        <f t="shared" si="444"/>
        <v>320</v>
      </c>
      <c r="AF1267" s="36">
        <f t="shared" si="444"/>
        <v>179</v>
      </c>
      <c r="AG1267" s="36" t="str">
        <f t="shared" si="444"/>
        <v>SID</v>
      </c>
      <c r="AI1267">
        <v>1253</v>
      </c>
      <c r="AJ1267" s="77" t="str">
        <f t="shared" si="432"/>
        <v xml:space="preserve">INTERAVIÓN </v>
      </c>
      <c r="AK1267" s="77">
        <f t="shared" si="432"/>
        <v>236</v>
      </c>
      <c r="AL1267" s="186">
        <v>0.8833333333333333</v>
      </c>
      <c r="AM1267" s="79">
        <v>0.89097222222222217</v>
      </c>
      <c r="AN1267" s="80">
        <v>7.6388888888888618E-3</v>
      </c>
      <c r="AO1267" s="79">
        <v>0.8965277777777777</v>
      </c>
      <c r="AP1267" s="80">
        <v>5.5555555555555358E-3</v>
      </c>
      <c r="AQ1267" s="81">
        <v>41812</v>
      </c>
      <c r="AR1267" s="77" t="str">
        <f t="shared" si="439"/>
        <v>Nacional</v>
      </c>
      <c r="AS1267" s="77">
        <f t="shared" si="439"/>
        <v>8.8541666666666456E-3</v>
      </c>
      <c r="AT1267" s="77">
        <f t="shared" si="439"/>
        <v>8.1249999999999985E-3</v>
      </c>
      <c r="AU1267" s="77">
        <f t="shared" si="439"/>
        <v>1.6979166666666642E-2</v>
      </c>
      <c r="AV1267" s="77">
        <f t="shared" si="439"/>
        <v>320</v>
      </c>
      <c r="AW1267" s="77">
        <f t="shared" si="439"/>
        <v>179</v>
      </c>
      <c r="AX1267" s="77" t="str">
        <f t="shared" si="439"/>
        <v>MTY</v>
      </c>
    </row>
    <row r="1268" spans="1:50" ht="15.75" thickBot="1" x14ac:dyDescent="0.3">
      <c r="A1268">
        <v>1254</v>
      </c>
      <c r="B1268" s="36" t="str">
        <f t="shared" si="424"/>
        <v>BARATA Y MORADA</v>
      </c>
      <c r="C1268" s="146">
        <v>417</v>
      </c>
      <c r="D1268" s="147">
        <v>0.24166666666666667</v>
      </c>
      <c r="E1268" s="147">
        <v>0.24861111111111112</v>
      </c>
      <c r="F1268" s="148">
        <v>6.9444444444444475E-3</v>
      </c>
      <c r="G1268" s="147">
        <v>0.25</v>
      </c>
      <c r="H1268" s="148">
        <v>1.388888888888884E-3</v>
      </c>
      <c r="I1268" s="103">
        <v>41716</v>
      </c>
      <c r="J1268" s="184" t="s">
        <v>19</v>
      </c>
      <c r="K1268" s="149">
        <v>6.9444444444444475E-3</v>
      </c>
      <c r="L1268" s="149">
        <v>1.388888888888884E-3</v>
      </c>
      <c r="M1268" s="150">
        <v>8.3333333333333315E-3</v>
      </c>
      <c r="N1268" s="52">
        <v>320</v>
      </c>
      <c r="O1268" s="53">
        <v>179</v>
      </c>
      <c r="P1268" s="54" t="s">
        <v>34</v>
      </c>
      <c r="R1268">
        <v>1254</v>
      </c>
      <c r="S1268" s="36" t="str">
        <f t="shared" si="443"/>
        <v>INTERAVIÓN</v>
      </c>
      <c r="T1268" s="36">
        <f t="shared" si="443"/>
        <v>808</v>
      </c>
      <c r="U1268" s="73">
        <v>0.70486111111111116</v>
      </c>
      <c r="V1268" s="74">
        <v>0.71319444444444446</v>
      </c>
      <c r="W1268" s="75">
        <v>8.3333333333333037E-3</v>
      </c>
      <c r="X1268" s="74">
        <v>0.72013888888888899</v>
      </c>
      <c r="Y1268" s="75">
        <v>6.9444444444445308E-3</v>
      </c>
      <c r="Z1268" s="76">
        <v>41733</v>
      </c>
      <c r="AA1268" s="36" t="str">
        <f t="shared" si="444"/>
        <v>Nacional</v>
      </c>
      <c r="AB1268" s="36">
        <f t="shared" si="444"/>
        <v>7.5810185185185034E-3</v>
      </c>
      <c r="AC1268" s="36">
        <f t="shared" si="444"/>
        <v>7.0717592592592741E-3</v>
      </c>
      <c r="AD1268" s="36">
        <f t="shared" si="444"/>
        <v>1.4652777777777778E-2</v>
      </c>
      <c r="AE1268" s="36">
        <f t="shared" si="444"/>
        <v>320</v>
      </c>
      <c r="AF1268" s="36">
        <f t="shared" si="444"/>
        <v>179</v>
      </c>
      <c r="AG1268" s="36" t="str">
        <f t="shared" si="444"/>
        <v>SID</v>
      </c>
      <c r="AI1268">
        <v>1254</v>
      </c>
      <c r="AJ1268" s="77" t="str">
        <f t="shared" si="432"/>
        <v xml:space="preserve">INTERAVIÓN </v>
      </c>
      <c r="AK1268" s="77">
        <f t="shared" si="432"/>
        <v>236</v>
      </c>
      <c r="AL1268" s="187">
        <v>0.88888888888888884</v>
      </c>
      <c r="AM1268" s="95">
        <v>0.89513888888888893</v>
      </c>
      <c r="AN1268" s="96">
        <v>6.2500000000000888E-3</v>
      </c>
      <c r="AO1268" s="95">
        <v>0.90902777777777777</v>
      </c>
      <c r="AP1268" s="96">
        <v>1.388888888888884E-2</v>
      </c>
      <c r="AQ1268" s="97">
        <v>41813</v>
      </c>
      <c r="AR1268" s="77" t="str">
        <f t="shared" si="439"/>
        <v>Nacional</v>
      </c>
      <c r="AS1268" s="77">
        <f t="shared" si="439"/>
        <v>8.8541666666666456E-3</v>
      </c>
      <c r="AT1268" s="77">
        <f t="shared" si="439"/>
        <v>8.1249999999999985E-3</v>
      </c>
      <c r="AU1268" s="77">
        <f t="shared" si="439"/>
        <v>1.6979166666666642E-2</v>
      </c>
      <c r="AV1268" s="77">
        <f t="shared" si="439"/>
        <v>320</v>
      </c>
      <c r="AW1268" s="77">
        <f t="shared" si="439"/>
        <v>179</v>
      </c>
      <c r="AX1268" s="77" t="str">
        <f t="shared" si="439"/>
        <v>MTY</v>
      </c>
    </row>
    <row r="1269" spans="1:50" ht="21.75" thickBot="1" x14ac:dyDescent="0.4">
      <c r="A1269" s="198">
        <v>1255</v>
      </c>
      <c r="B1269" s="36" t="str">
        <f t="shared" si="424"/>
        <v>BARATA Y MORADA</v>
      </c>
      <c r="C1269" s="146">
        <v>221</v>
      </c>
      <c r="D1269" s="147">
        <v>0.49791666666666662</v>
      </c>
      <c r="E1269" s="147">
        <v>0.51111111111111118</v>
      </c>
      <c r="F1269" s="148">
        <v>1.3194444444444564E-2</v>
      </c>
      <c r="G1269" s="147">
        <v>0.52430555555555558</v>
      </c>
      <c r="H1269" s="148">
        <v>1.3194444444444398E-2</v>
      </c>
      <c r="I1269" s="103">
        <v>41718</v>
      </c>
      <c r="J1269" s="103" t="s">
        <v>22</v>
      </c>
      <c r="K1269" s="149">
        <v>1.3194444444444564E-2</v>
      </c>
      <c r="L1269" s="149">
        <v>1.3194444444444398E-2</v>
      </c>
      <c r="M1269" s="150">
        <v>2.6388888888888962E-2</v>
      </c>
      <c r="N1269" s="52">
        <v>320</v>
      </c>
      <c r="O1269" s="53">
        <v>179</v>
      </c>
      <c r="P1269" s="54" t="s">
        <v>40</v>
      </c>
      <c r="R1269">
        <v>1255</v>
      </c>
      <c r="S1269" s="36" t="str">
        <f t="shared" si="443"/>
        <v>INTERAVIÓN</v>
      </c>
      <c r="T1269" s="36">
        <f t="shared" si="443"/>
        <v>808</v>
      </c>
      <c r="U1269" s="73">
        <v>0.71527777777777779</v>
      </c>
      <c r="V1269" s="74">
        <v>0.71944444444444444</v>
      </c>
      <c r="W1269" s="75">
        <v>4.1666666666666519E-3</v>
      </c>
      <c r="X1269" s="74">
        <v>0.72986111111111107</v>
      </c>
      <c r="Y1269" s="75">
        <v>1.041666666666663E-2</v>
      </c>
      <c r="Z1269" s="76">
        <v>41735</v>
      </c>
      <c r="AA1269" s="36" t="str">
        <f t="shared" si="444"/>
        <v>Nacional</v>
      </c>
      <c r="AB1269" s="36">
        <f t="shared" si="444"/>
        <v>7.5810185185185034E-3</v>
      </c>
      <c r="AC1269" s="36">
        <f t="shared" si="444"/>
        <v>7.0717592592592741E-3</v>
      </c>
      <c r="AD1269" s="36">
        <f t="shared" si="444"/>
        <v>1.4652777777777778E-2</v>
      </c>
      <c r="AE1269" s="36">
        <f t="shared" si="444"/>
        <v>320</v>
      </c>
      <c r="AF1269" s="36">
        <f t="shared" si="444"/>
        <v>179</v>
      </c>
      <c r="AG1269" s="36" t="str">
        <f t="shared" si="444"/>
        <v>SID</v>
      </c>
      <c r="AI1269">
        <v>1255</v>
      </c>
      <c r="AJ1269" s="77" t="str">
        <f t="shared" si="432"/>
        <v xml:space="preserve">INTERAVIÓN </v>
      </c>
      <c r="AK1269" s="63">
        <v>230</v>
      </c>
      <c r="AL1269" s="185">
        <v>0.4201388888888889</v>
      </c>
      <c r="AM1269" s="65">
        <v>0.42430555555555555</v>
      </c>
      <c r="AN1269" s="66">
        <v>4.1666666666666519E-3</v>
      </c>
      <c r="AO1269" s="65">
        <v>0.42986111111111108</v>
      </c>
      <c r="AP1269" s="66">
        <v>5.5555555555555358E-3</v>
      </c>
      <c r="AQ1269" s="67">
        <v>41797</v>
      </c>
      <c r="AR1269" s="68" t="s">
        <v>19</v>
      </c>
      <c r="AS1269" s="69">
        <v>1.1111111111111099E-2</v>
      </c>
      <c r="AT1269" s="70">
        <v>9.3750000000000083E-3</v>
      </c>
      <c r="AU1269" s="70">
        <v>2.0486111111111108E-2</v>
      </c>
      <c r="AV1269" s="71" t="s">
        <v>20</v>
      </c>
      <c r="AW1269" s="71">
        <v>50</v>
      </c>
      <c r="AX1269" s="72" t="s">
        <v>33</v>
      </c>
    </row>
    <row r="1270" spans="1:50" ht="19.5" thickBot="1" x14ac:dyDescent="0.3">
      <c r="B1270" s="199" t="s">
        <v>89</v>
      </c>
      <c r="C1270" s="200"/>
      <c r="D1270" s="201"/>
      <c r="E1270" s="202"/>
      <c r="F1270" s="202"/>
      <c r="G1270" s="202"/>
      <c r="H1270" s="202"/>
      <c r="I1270" s="202"/>
      <c r="J1270" s="203"/>
      <c r="K1270" s="204">
        <v>9.0438416271749617E-3</v>
      </c>
      <c r="L1270" s="204">
        <v>9.5249963374963425E-3</v>
      </c>
      <c r="M1270" s="204">
        <v>1.8568837964671306E-2</v>
      </c>
      <c r="N1270" s="205"/>
      <c r="O1270" s="206"/>
      <c r="P1270" s="207"/>
      <c r="R1270">
        <v>1256</v>
      </c>
      <c r="S1270" s="36" t="str">
        <f t="shared" si="443"/>
        <v>INTERAVIÓN</v>
      </c>
      <c r="T1270" s="36">
        <f t="shared" si="443"/>
        <v>808</v>
      </c>
      <c r="U1270" s="73">
        <v>0.70486111111111116</v>
      </c>
      <c r="V1270" s="74">
        <v>0.71180555555555547</v>
      </c>
      <c r="W1270" s="75">
        <v>6.9444444444443088E-3</v>
      </c>
      <c r="X1270" s="74">
        <v>0.71597222222222223</v>
      </c>
      <c r="Y1270" s="75">
        <v>4.1666666666667629E-3</v>
      </c>
      <c r="Z1270" s="76">
        <v>41736</v>
      </c>
      <c r="AA1270" s="36" t="str">
        <f t="shared" si="444"/>
        <v>Nacional</v>
      </c>
      <c r="AB1270" s="36">
        <f t="shared" si="444"/>
        <v>7.5810185185185034E-3</v>
      </c>
      <c r="AC1270" s="36">
        <f t="shared" si="444"/>
        <v>7.0717592592592741E-3</v>
      </c>
      <c r="AD1270" s="36">
        <f t="shared" si="444"/>
        <v>1.4652777777777778E-2</v>
      </c>
      <c r="AE1270" s="36">
        <f t="shared" si="444"/>
        <v>320</v>
      </c>
      <c r="AF1270" s="36">
        <f t="shared" si="444"/>
        <v>179</v>
      </c>
      <c r="AG1270" s="36" t="str">
        <f t="shared" si="444"/>
        <v>SID</v>
      </c>
      <c r="AI1270">
        <v>1256</v>
      </c>
      <c r="AJ1270" s="77" t="str">
        <f t="shared" si="432"/>
        <v xml:space="preserve">INTERAVIÓN </v>
      </c>
      <c r="AK1270" s="77">
        <f t="shared" si="432"/>
        <v>230</v>
      </c>
      <c r="AL1270" s="186">
        <v>0.31944444444444448</v>
      </c>
      <c r="AM1270" s="79">
        <v>0.3298611111111111</v>
      </c>
      <c r="AN1270" s="80">
        <v>1.041666666666663E-2</v>
      </c>
      <c r="AO1270" s="79">
        <v>0.33749999999999997</v>
      </c>
      <c r="AP1270" s="80">
        <v>7.6388888888888618E-3</v>
      </c>
      <c r="AQ1270" s="81">
        <v>41804</v>
      </c>
      <c r="AR1270" s="77" t="str">
        <f t="shared" ref="AR1270:AX1272" si="445">AR1269</f>
        <v>Nacional</v>
      </c>
      <c r="AS1270" s="77">
        <f t="shared" si="445"/>
        <v>1.1111111111111099E-2</v>
      </c>
      <c r="AT1270" s="77">
        <f t="shared" si="445"/>
        <v>9.3750000000000083E-3</v>
      </c>
      <c r="AU1270" s="77">
        <f t="shared" si="445"/>
        <v>2.0486111111111108E-2</v>
      </c>
      <c r="AV1270" s="77" t="str">
        <f t="shared" si="445"/>
        <v>ER4</v>
      </c>
      <c r="AW1270" s="77">
        <f t="shared" si="445"/>
        <v>50</v>
      </c>
      <c r="AX1270" s="77" t="str">
        <f t="shared" si="445"/>
        <v>CUU</v>
      </c>
    </row>
    <row r="1271" spans="1:50" x14ac:dyDescent="0.25">
      <c r="R1271">
        <v>1257</v>
      </c>
      <c r="S1271" s="36" t="str">
        <f t="shared" si="443"/>
        <v>INTERAVIÓN</v>
      </c>
      <c r="T1271" s="36">
        <f t="shared" si="443"/>
        <v>808</v>
      </c>
      <c r="U1271" s="73">
        <v>0.71180555555555547</v>
      </c>
      <c r="V1271" s="74">
        <v>0.71527777777777779</v>
      </c>
      <c r="W1271" s="75">
        <v>3.4722222222223209E-3</v>
      </c>
      <c r="X1271" s="74">
        <v>0.71944444444444444</v>
      </c>
      <c r="Y1271" s="75">
        <v>4.1666666666666519E-3</v>
      </c>
      <c r="Z1271" s="76">
        <v>41739</v>
      </c>
      <c r="AA1271" s="36" t="str">
        <f t="shared" si="444"/>
        <v>Nacional</v>
      </c>
      <c r="AB1271" s="36">
        <f t="shared" si="444"/>
        <v>7.5810185185185034E-3</v>
      </c>
      <c r="AC1271" s="36">
        <f t="shared" si="444"/>
        <v>7.0717592592592741E-3</v>
      </c>
      <c r="AD1271" s="36">
        <f t="shared" si="444"/>
        <v>1.4652777777777778E-2</v>
      </c>
      <c r="AE1271" s="36">
        <f t="shared" si="444"/>
        <v>320</v>
      </c>
      <c r="AF1271" s="36">
        <f t="shared" si="444"/>
        <v>179</v>
      </c>
      <c r="AG1271" s="36" t="str">
        <f t="shared" si="444"/>
        <v>SID</v>
      </c>
      <c r="AI1271">
        <v>1257</v>
      </c>
      <c r="AJ1271" s="77" t="str">
        <f t="shared" si="432"/>
        <v xml:space="preserve">INTERAVIÓN </v>
      </c>
      <c r="AK1271" s="77">
        <f t="shared" si="432"/>
        <v>230</v>
      </c>
      <c r="AL1271" s="186">
        <v>0.32500000000000001</v>
      </c>
      <c r="AM1271" s="79">
        <v>0.33194444444444443</v>
      </c>
      <c r="AN1271" s="80">
        <v>6.9444444444444198E-3</v>
      </c>
      <c r="AO1271" s="79">
        <v>0.3354166666666667</v>
      </c>
      <c r="AP1271" s="80">
        <v>3.4722222222222654E-3</v>
      </c>
      <c r="AQ1271" s="81">
        <v>41810</v>
      </c>
      <c r="AR1271" s="77" t="str">
        <f t="shared" si="445"/>
        <v>Nacional</v>
      </c>
      <c r="AS1271" s="77">
        <f t="shared" si="445"/>
        <v>1.1111111111111099E-2</v>
      </c>
      <c r="AT1271" s="77">
        <f t="shared" si="445"/>
        <v>9.3750000000000083E-3</v>
      </c>
      <c r="AU1271" s="77">
        <f t="shared" si="445"/>
        <v>2.0486111111111108E-2</v>
      </c>
      <c r="AV1271" s="77" t="str">
        <f t="shared" si="445"/>
        <v>ER4</v>
      </c>
      <c r="AW1271" s="77">
        <f t="shared" si="445"/>
        <v>50</v>
      </c>
      <c r="AX1271" s="77" t="str">
        <f t="shared" si="445"/>
        <v>CUU</v>
      </c>
    </row>
    <row r="1272" spans="1:50" ht="15.75" thickBot="1" x14ac:dyDescent="0.3">
      <c r="R1272">
        <v>1258</v>
      </c>
      <c r="S1272" s="36" t="str">
        <f t="shared" si="443"/>
        <v>INTERAVIÓN</v>
      </c>
      <c r="T1272" s="36">
        <f t="shared" si="443"/>
        <v>808</v>
      </c>
      <c r="U1272" s="73">
        <v>0.70972222222222225</v>
      </c>
      <c r="V1272" s="74">
        <v>0.71180555555555547</v>
      </c>
      <c r="W1272" s="75">
        <v>2.0833333333332149E-3</v>
      </c>
      <c r="X1272" s="74">
        <v>0.71527777777777779</v>
      </c>
      <c r="Y1272" s="75">
        <v>3.4722222222223209E-3</v>
      </c>
      <c r="Z1272" s="76">
        <v>41741</v>
      </c>
      <c r="AA1272" s="36" t="str">
        <f t="shared" si="444"/>
        <v>Nacional</v>
      </c>
      <c r="AB1272" s="36">
        <f t="shared" si="444"/>
        <v>7.5810185185185034E-3</v>
      </c>
      <c r="AC1272" s="36">
        <f t="shared" si="444"/>
        <v>7.0717592592592741E-3</v>
      </c>
      <c r="AD1272" s="36">
        <f t="shared" si="444"/>
        <v>1.4652777777777778E-2</v>
      </c>
      <c r="AE1272" s="36">
        <f t="shared" si="444"/>
        <v>320</v>
      </c>
      <c r="AF1272" s="36">
        <f t="shared" si="444"/>
        <v>179</v>
      </c>
      <c r="AG1272" s="36" t="str">
        <f t="shared" si="444"/>
        <v>SID</v>
      </c>
      <c r="AI1272">
        <v>1258</v>
      </c>
      <c r="AJ1272" s="77" t="str">
        <f t="shared" si="432"/>
        <v xml:space="preserve">INTERAVIÓN </v>
      </c>
      <c r="AK1272" s="77">
        <f t="shared" si="432"/>
        <v>230</v>
      </c>
      <c r="AL1272" s="187">
        <v>0.40138888888888885</v>
      </c>
      <c r="AM1272" s="95">
        <v>0.42430555555555555</v>
      </c>
      <c r="AN1272" s="96">
        <v>2.2916666666666696E-2</v>
      </c>
      <c r="AO1272" s="95">
        <v>0.44513888888888892</v>
      </c>
      <c r="AP1272" s="96">
        <v>2.083333333333337E-2</v>
      </c>
      <c r="AQ1272" s="97">
        <v>41811</v>
      </c>
      <c r="AR1272" s="77" t="str">
        <f t="shared" si="445"/>
        <v>Nacional</v>
      </c>
      <c r="AS1272" s="77">
        <f t="shared" si="445"/>
        <v>1.1111111111111099E-2</v>
      </c>
      <c r="AT1272" s="77">
        <f t="shared" si="445"/>
        <v>9.3750000000000083E-3</v>
      </c>
      <c r="AU1272" s="77">
        <f t="shared" si="445"/>
        <v>2.0486111111111108E-2</v>
      </c>
      <c r="AV1272" s="77" t="str">
        <f t="shared" si="445"/>
        <v>ER4</v>
      </c>
      <c r="AW1272" s="77">
        <f t="shared" si="445"/>
        <v>50</v>
      </c>
      <c r="AX1272" s="77" t="str">
        <f t="shared" si="445"/>
        <v>CUU</v>
      </c>
    </row>
    <row r="1273" spans="1:50" x14ac:dyDescent="0.25">
      <c r="R1273">
        <v>1259</v>
      </c>
      <c r="S1273" s="36" t="str">
        <f t="shared" si="443"/>
        <v>INTERAVIÓN</v>
      </c>
      <c r="T1273" s="36">
        <f t="shared" si="443"/>
        <v>808</v>
      </c>
      <c r="U1273" s="73">
        <v>0.69791666666666663</v>
      </c>
      <c r="V1273" s="74">
        <v>0.70416666666666661</v>
      </c>
      <c r="W1273" s="75">
        <v>6.2499999999999778E-3</v>
      </c>
      <c r="X1273" s="74">
        <v>0.70972222222222225</v>
      </c>
      <c r="Y1273" s="75">
        <v>5.5555555555556468E-3</v>
      </c>
      <c r="Z1273" s="76">
        <v>41742</v>
      </c>
      <c r="AA1273" s="36" t="str">
        <f t="shared" si="444"/>
        <v>Nacional</v>
      </c>
      <c r="AB1273" s="36">
        <f t="shared" si="444"/>
        <v>7.5810185185185034E-3</v>
      </c>
      <c r="AC1273" s="36">
        <f t="shared" si="444"/>
        <v>7.0717592592592741E-3</v>
      </c>
      <c r="AD1273" s="36">
        <f t="shared" si="444"/>
        <v>1.4652777777777778E-2</v>
      </c>
      <c r="AE1273" s="36">
        <f t="shared" si="444"/>
        <v>320</v>
      </c>
      <c r="AF1273" s="36">
        <f t="shared" si="444"/>
        <v>179</v>
      </c>
      <c r="AG1273" s="36" t="str">
        <f t="shared" si="444"/>
        <v>SID</v>
      </c>
    </row>
    <row r="1274" spans="1:50" x14ac:dyDescent="0.25">
      <c r="R1274">
        <v>1260</v>
      </c>
      <c r="S1274" s="36" t="str">
        <f t="shared" si="443"/>
        <v>INTERAVIÓN</v>
      </c>
      <c r="T1274" s="36">
        <f t="shared" si="443"/>
        <v>808</v>
      </c>
      <c r="U1274" s="73">
        <v>0.71805555555555556</v>
      </c>
      <c r="V1274" s="74">
        <v>0.72638888888888886</v>
      </c>
      <c r="W1274" s="75">
        <v>8.3333333333333037E-3</v>
      </c>
      <c r="X1274" s="74">
        <v>0.73055555555555562</v>
      </c>
      <c r="Y1274" s="75">
        <v>4.1666666666667629E-3</v>
      </c>
      <c r="Z1274" s="76">
        <v>41743</v>
      </c>
      <c r="AA1274" s="36" t="str">
        <f t="shared" si="444"/>
        <v>Nacional</v>
      </c>
      <c r="AB1274" s="36">
        <f t="shared" si="444"/>
        <v>7.5810185185185034E-3</v>
      </c>
      <c r="AC1274" s="36">
        <f t="shared" si="444"/>
        <v>7.0717592592592741E-3</v>
      </c>
      <c r="AD1274" s="36">
        <f t="shared" si="444"/>
        <v>1.4652777777777778E-2</v>
      </c>
      <c r="AE1274" s="36">
        <f t="shared" si="444"/>
        <v>320</v>
      </c>
      <c r="AF1274" s="36">
        <f t="shared" si="444"/>
        <v>179</v>
      </c>
      <c r="AG1274" s="36" t="str">
        <f t="shared" si="444"/>
        <v>SID</v>
      </c>
    </row>
    <row r="1275" spans="1:50" x14ac:dyDescent="0.25">
      <c r="R1275">
        <v>1261</v>
      </c>
      <c r="S1275" s="36" t="str">
        <f t="shared" si="443"/>
        <v>INTERAVIÓN</v>
      </c>
      <c r="T1275" s="36">
        <f t="shared" si="443"/>
        <v>808</v>
      </c>
      <c r="U1275" s="73">
        <v>0.70486111111111116</v>
      </c>
      <c r="V1275" s="74">
        <v>0.71111111111111114</v>
      </c>
      <c r="W1275" s="75">
        <v>6.2499999999999778E-3</v>
      </c>
      <c r="X1275" s="74">
        <v>0.71805555555555556</v>
      </c>
      <c r="Y1275" s="75">
        <v>6.9444444444444198E-3</v>
      </c>
      <c r="Z1275" s="76">
        <v>41744</v>
      </c>
      <c r="AA1275" s="36" t="str">
        <f t="shared" si="444"/>
        <v>Nacional</v>
      </c>
      <c r="AB1275" s="36">
        <f t="shared" si="444"/>
        <v>7.5810185185185034E-3</v>
      </c>
      <c r="AC1275" s="36">
        <f t="shared" si="444"/>
        <v>7.0717592592592741E-3</v>
      </c>
      <c r="AD1275" s="36">
        <f t="shared" si="444"/>
        <v>1.4652777777777778E-2</v>
      </c>
      <c r="AE1275" s="36">
        <f t="shared" si="444"/>
        <v>320</v>
      </c>
      <c r="AF1275" s="36">
        <f t="shared" si="444"/>
        <v>179</v>
      </c>
      <c r="AG1275" s="36" t="str">
        <f t="shared" si="444"/>
        <v>SID</v>
      </c>
    </row>
    <row r="1276" spans="1:50" x14ac:dyDescent="0.25">
      <c r="R1276">
        <v>1262</v>
      </c>
      <c r="S1276" s="36" t="str">
        <f t="shared" si="443"/>
        <v>INTERAVIÓN</v>
      </c>
      <c r="T1276" s="36">
        <f t="shared" si="443"/>
        <v>808</v>
      </c>
      <c r="U1276" s="73">
        <v>0.70208333333333339</v>
      </c>
      <c r="V1276" s="74">
        <v>0.70416666666666661</v>
      </c>
      <c r="W1276" s="75">
        <v>2.0833333333332149E-3</v>
      </c>
      <c r="X1276" s="74">
        <v>0.70763888888888893</v>
      </c>
      <c r="Y1276" s="75">
        <v>3.4722222222223209E-3</v>
      </c>
      <c r="Z1276" s="76">
        <v>41745</v>
      </c>
      <c r="AA1276" s="36" t="str">
        <f t="shared" si="444"/>
        <v>Nacional</v>
      </c>
      <c r="AB1276" s="36">
        <f t="shared" si="444"/>
        <v>7.5810185185185034E-3</v>
      </c>
      <c r="AC1276" s="36">
        <f t="shared" si="444"/>
        <v>7.0717592592592741E-3</v>
      </c>
      <c r="AD1276" s="36">
        <f t="shared" si="444"/>
        <v>1.4652777777777778E-2</v>
      </c>
      <c r="AE1276" s="36">
        <f t="shared" si="444"/>
        <v>320</v>
      </c>
      <c r="AF1276" s="36">
        <f t="shared" si="444"/>
        <v>179</v>
      </c>
      <c r="AG1276" s="36" t="str">
        <f t="shared" si="444"/>
        <v>SID</v>
      </c>
    </row>
    <row r="1277" spans="1:50" x14ac:dyDescent="0.25">
      <c r="R1277">
        <v>1263</v>
      </c>
      <c r="S1277" s="36" t="str">
        <f t="shared" si="443"/>
        <v>INTERAVIÓN</v>
      </c>
      <c r="T1277" s="36">
        <f t="shared" si="443"/>
        <v>808</v>
      </c>
      <c r="U1277" s="73">
        <v>0.6791666666666667</v>
      </c>
      <c r="V1277" s="74">
        <v>0.70138888888888884</v>
      </c>
      <c r="W1277" s="75">
        <v>2.2222222222222143E-2</v>
      </c>
      <c r="X1277" s="74">
        <v>0.71833333333333327</v>
      </c>
      <c r="Y1277" s="75">
        <v>1.6944444444444429E-2</v>
      </c>
      <c r="Z1277" s="76">
        <v>41745</v>
      </c>
      <c r="AA1277" s="36" t="str">
        <f t="shared" si="444"/>
        <v>Nacional</v>
      </c>
      <c r="AB1277" s="36">
        <f t="shared" si="444"/>
        <v>7.5810185185185034E-3</v>
      </c>
      <c r="AC1277" s="36">
        <f t="shared" si="444"/>
        <v>7.0717592592592741E-3</v>
      </c>
      <c r="AD1277" s="36">
        <f t="shared" si="444"/>
        <v>1.4652777777777778E-2</v>
      </c>
      <c r="AE1277" s="36">
        <f t="shared" si="444"/>
        <v>320</v>
      </c>
      <c r="AF1277" s="36">
        <f t="shared" si="444"/>
        <v>179</v>
      </c>
      <c r="AG1277" s="36" t="str">
        <f t="shared" si="444"/>
        <v>SID</v>
      </c>
    </row>
    <row r="1278" spans="1:50" x14ac:dyDescent="0.25">
      <c r="R1278">
        <v>1264</v>
      </c>
      <c r="S1278" s="36" t="str">
        <f t="shared" si="443"/>
        <v>INTERAVIÓN</v>
      </c>
      <c r="T1278" s="36">
        <f t="shared" si="443"/>
        <v>808</v>
      </c>
      <c r="U1278" s="73">
        <v>0.71527777777777779</v>
      </c>
      <c r="V1278" s="74">
        <v>0.72083333333333333</v>
      </c>
      <c r="W1278" s="75">
        <v>5.5555555555555358E-3</v>
      </c>
      <c r="X1278" s="74">
        <v>0.72916666666666663</v>
      </c>
      <c r="Y1278" s="75">
        <v>8.3333333333333037E-3</v>
      </c>
      <c r="Z1278" s="76">
        <v>41746</v>
      </c>
      <c r="AA1278" s="36" t="str">
        <f t="shared" si="444"/>
        <v>Nacional</v>
      </c>
      <c r="AB1278" s="36">
        <f t="shared" si="444"/>
        <v>7.5810185185185034E-3</v>
      </c>
      <c r="AC1278" s="36">
        <f t="shared" si="444"/>
        <v>7.0717592592592741E-3</v>
      </c>
      <c r="AD1278" s="36">
        <f t="shared" si="444"/>
        <v>1.4652777777777778E-2</v>
      </c>
      <c r="AE1278" s="36">
        <f t="shared" si="444"/>
        <v>320</v>
      </c>
      <c r="AF1278" s="36">
        <f t="shared" si="444"/>
        <v>179</v>
      </c>
      <c r="AG1278" s="36" t="str">
        <f t="shared" si="444"/>
        <v>SID</v>
      </c>
    </row>
    <row r="1279" spans="1:50" x14ac:dyDescent="0.25">
      <c r="R1279">
        <v>1265</v>
      </c>
      <c r="S1279" s="36" t="str">
        <f t="shared" si="443"/>
        <v>INTERAVIÓN</v>
      </c>
      <c r="T1279" s="36">
        <f t="shared" si="443"/>
        <v>808</v>
      </c>
      <c r="U1279" s="73">
        <v>0.19999999999999998</v>
      </c>
      <c r="V1279" s="74">
        <v>0.21111111111111111</v>
      </c>
      <c r="W1279" s="75">
        <v>1.1111111111111127E-2</v>
      </c>
      <c r="X1279" s="74">
        <v>0.21875</v>
      </c>
      <c r="Y1279" s="75">
        <v>7.6388888888888895E-3</v>
      </c>
      <c r="Z1279" s="76">
        <v>41747</v>
      </c>
      <c r="AA1279" s="36" t="str">
        <f t="shared" si="444"/>
        <v>Nacional</v>
      </c>
      <c r="AB1279" s="36">
        <f t="shared" si="444"/>
        <v>7.5810185185185034E-3</v>
      </c>
      <c r="AC1279" s="36">
        <f t="shared" si="444"/>
        <v>7.0717592592592741E-3</v>
      </c>
      <c r="AD1279" s="36">
        <f t="shared" si="444"/>
        <v>1.4652777777777778E-2</v>
      </c>
      <c r="AE1279" s="36">
        <f t="shared" si="444"/>
        <v>320</v>
      </c>
      <c r="AF1279" s="36">
        <f t="shared" si="444"/>
        <v>179</v>
      </c>
      <c r="AG1279" s="36" t="str">
        <f t="shared" si="444"/>
        <v>SID</v>
      </c>
    </row>
    <row r="1280" spans="1:50" x14ac:dyDescent="0.25">
      <c r="R1280">
        <v>1266</v>
      </c>
      <c r="S1280" s="36" t="str">
        <f t="shared" si="443"/>
        <v>INTERAVIÓN</v>
      </c>
      <c r="T1280" s="36">
        <f t="shared" si="443"/>
        <v>808</v>
      </c>
      <c r="U1280" s="73">
        <v>0.69305555555555554</v>
      </c>
      <c r="V1280" s="74">
        <v>0.7104166666666667</v>
      </c>
      <c r="W1280" s="75">
        <v>1.736111111111116E-2</v>
      </c>
      <c r="X1280" s="74">
        <v>0.72152777777777777</v>
      </c>
      <c r="Y1280" s="75">
        <v>1.1111111111111072E-2</v>
      </c>
      <c r="Z1280" s="76">
        <v>41748</v>
      </c>
      <c r="AA1280" s="36" t="str">
        <f t="shared" si="444"/>
        <v>Nacional</v>
      </c>
      <c r="AB1280" s="36">
        <f t="shared" si="444"/>
        <v>7.5810185185185034E-3</v>
      </c>
      <c r="AC1280" s="36">
        <f t="shared" si="444"/>
        <v>7.0717592592592741E-3</v>
      </c>
      <c r="AD1280" s="36">
        <f t="shared" si="444"/>
        <v>1.4652777777777778E-2</v>
      </c>
      <c r="AE1280" s="36">
        <f t="shared" si="444"/>
        <v>320</v>
      </c>
      <c r="AF1280" s="36">
        <f t="shared" si="444"/>
        <v>179</v>
      </c>
      <c r="AG1280" s="36" t="str">
        <f t="shared" si="444"/>
        <v>SID</v>
      </c>
    </row>
    <row r="1281" spans="18:33" x14ac:dyDescent="0.25">
      <c r="R1281">
        <v>1267</v>
      </c>
      <c r="S1281" s="36" t="str">
        <f t="shared" si="443"/>
        <v>INTERAVIÓN</v>
      </c>
      <c r="T1281" s="36">
        <f t="shared" si="443"/>
        <v>808</v>
      </c>
      <c r="U1281" s="73">
        <v>0.70833333333333337</v>
      </c>
      <c r="V1281" s="74">
        <v>0.71527777777777779</v>
      </c>
      <c r="W1281" s="75">
        <v>6.9444444444444198E-3</v>
      </c>
      <c r="X1281" s="74">
        <v>0.72222222222222221</v>
      </c>
      <c r="Y1281" s="75">
        <v>6.9444444444444198E-3</v>
      </c>
      <c r="Z1281" s="76">
        <v>41750</v>
      </c>
      <c r="AA1281" s="36" t="str">
        <f t="shared" si="444"/>
        <v>Nacional</v>
      </c>
      <c r="AB1281" s="36">
        <f t="shared" si="444"/>
        <v>7.5810185185185034E-3</v>
      </c>
      <c r="AC1281" s="36">
        <f t="shared" si="444"/>
        <v>7.0717592592592741E-3</v>
      </c>
      <c r="AD1281" s="36">
        <f t="shared" si="444"/>
        <v>1.4652777777777778E-2</v>
      </c>
      <c r="AE1281" s="36">
        <f t="shared" si="444"/>
        <v>320</v>
      </c>
      <c r="AF1281" s="36">
        <f t="shared" si="444"/>
        <v>179</v>
      </c>
      <c r="AG1281" s="36" t="str">
        <f t="shared" si="444"/>
        <v>SID</v>
      </c>
    </row>
    <row r="1282" spans="18:33" x14ac:dyDescent="0.25">
      <c r="R1282">
        <v>1268</v>
      </c>
      <c r="S1282" s="36" t="str">
        <f t="shared" si="443"/>
        <v>INTERAVIÓN</v>
      </c>
      <c r="T1282" s="36">
        <f t="shared" si="443"/>
        <v>808</v>
      </c>
      <c r="U1282" s="73">
        <v>0.70486111111111116</v>
      </c>
      <c r="V1282" s="74">
        <v>0.71319444444444446</v>
      </c>
      <c r="W1282" s="75">
        <v>8.3333333333333037E-3</v>
      </c>
      <c r="X1282" s="74">
        <v>0.72152777777777777</v>
      </c>
      <c r="Y1282" s="75">
        <v>8.3333333333333037E-3</v>
      </c>
      <c r="Z1282" s="76">
        <v>41751</v>
      </c>
      <c r="AA1282" s="36" t="str">
        <f t="shared" si="444"/>
        <v>Nacional</v>
      </c>
      <c r="AB1282" s="36">
        <f t="shared" si="444"/>
        <v>7.5810185185185034E-3</v>
      </c>
      <c r="AC1282" s="36">
        <f t="shared" si="444"/>
        <v>7.0717592592592741E-3</v>
      </c>
      <c r="AD1282" s="36">
        <f t="shared" si="444"/>
        <v>1.4652777777777778E-2</v>
      </c>
      <c r="AE1282" s="36">
        <f t="shared" si="444"/>
        <v>320</v>
      </c>
      <c r="AF1282" s="36">
        <f t="shared" si="444"/>
        <v>179</v>
      </c>
      <c r="AG1282" s="36" t="str">
        <f t="shared" si="444"/>
        <v>SID</v>
      </c>
    </row>
    <row r="1283" spans="18:33" x14ac:dyDescent="0.25">
      <c r="R1283">
        <v>1269</v>
      </c>
      <c r="S1283" s="36" t="str">
        <f t="shared" si="443"/>
        <v>INTERAVIÓN</v>
      </c>
      <c r="T1283" s="36">
        <f t="shared" si="443"/>
        <v>808</v>
      </c>
      <c r="U1283" s="73">
        <v>0.70347222222222217</v>
      </c>
      <c r="V1283" s="74">
        <v>0.70624999999999993</v>
      </c>
      <c r="W1283" s="75">
        <v>2.7777777777777679E-3</v>
      </c>
      <c r="X1283" s="74">
        <v>0.71180555555555547</v>
      </c>
      <c r="Y1283" s="75">
        <v>5.5555555555555358E-3</v>
      </c>
      <c r="Z1283" s="76">
        <v>41753</v>
      </c>
      <c r="AA1283" s="36" t="str">
        <f t="shared" si="444"/>
        <v>Nacional</v>
      </c>
      <c r="AB1283" s="36">
        <f t="shared" si="444"/>
        <v>7.5810185185185034E-3</v>
      </c>
      <c r="AC1283" s="36">
        <f t="shared" si="444"/>
        <v>7.0717592592592741E-3</v>
      </c>
      <c r="AD1283" s="36">
        <f t="shared" si="444"/>
        <v>1.4652777777777778E-2</v>
      </c>
      <c r="AE1283" s="36">
        <f t="shared" si="444"/>
        <v>320</v>
      </c>
      <c r="AF1283" s="36">
        <f t="shared" si="444"/>
        <v>179</v>
      </c>
      <c r="AG1283" s="36" t="str">
        <f t="shared" si="444"/>
        <v>SID</v>
      </c>
    </row>
    <row r="1284" spans="18:33" x14ac:dyDescent="0.25">
      <c r="R1284">
        <v>1270</v>
      </c>
      <c r="S1284" s="36" t="str">
        <f t="shared" si="443"/>
        <v>INTERAVIÓN</v>
      </c>
      <c r="T1284" s="36">
        <f t="shared" si="443"/>
        <v>808</v>
      </c>
      <c r="U1284" s="73">
        <v>0.70624999999999993</v>
      </c>
      <c r="V1284" s="74">
        <v>0.71250000000000002</v>
      </c>
      <c r="W1284" s="75">
        <v>6.2500000000000888E-3</v>
      </c>
      <c r="X1284" s="74">
        <v>0.71875</v>
      </c>
      <c r="Y1284" s="75">
        <v>6.2499999999999778E-3</v>
      </c>
      <c r="Z1284" s="76">
        <v>41754</v>
      </c>
      <c r="AA1284" s="36" t="str">
        <f t="shared" si="444"/>
        <v>Nacional</v>
      </c>
      <c r="AB1284" s="36">
        <f t="shared" si="444"/>
        <v>7.5810185185185034E-3</v>
      </c>
      <c r="AC1284" s="36">
        <f t="shared" si="444"/>
        <v>7.0717592592592741E-3</v>
      </c>
      <c r="AD1284" s="36">
        <f t="shared" si="444"/>
        <v>1.4652777777777778E-2</v>
      </c>
      <c r="AE1284" s="36">
        <f t="shared" si="444"/>
        <v>320</v>
      </c>
      <c r="AF1284" s="36">
        <f t="shared" si="444"/>
        <v>179</v>
      </c>
      <c r="AG1284" s="36" t="str">
        <f t="shared" si="444"/>
        <v>SID</v>
      </c>
    </row>
    <row r="1285" spans="18:33" x14ac:dyDescent="0.25">
      <c r="R1285">
        <v>1271</v>
      </c>
      <c r="S1285" s="36" t="str">
        <f t="shared" si="443"/>
        <v>INTERAVIÓN</v>
      </c>
      <c r="T1285" s="36">
        <f t="shared" si="443"/>
        <v>808</v>
      </c>
      <c r="U1285" s="73">
        <v>0.72222222222222221</v>
      </c>
      <c r="V1285" s="74">
        <v>0.72638888888888886</v>
      </c>
      <c r="W1285" s="75">
        <v>4.1666666666666519E-3</v>
      </c>
      <c r="X1285" s="74">
        <v>0.73472222222222217</v>
      </c>
      <c r="Y1285" s="75">
        <v>8.3333333333333037E-3</v>
      </c>
      <c r="Z1285" s="76">
        <v>41756</v>
      </c>
      <c r="AA1285" s="36" t="str">
        <f t="shared" si="444"/>
        <v>Nacional</v>
      </c>
      <c r="AB1285" s="36">
        <f t="shared" si="444"/>
        <v>7.5810185185185034E-3</v>
      </c>
      <c r="AC1285" s="36">
        <f t="shared" si="444"/>
        <v>7.0717592592592741E-3</v>
      </c>
      <c r="AD1285" s="36">
        <f t="shared" si="444"/>
        <v>1.4652777777777778E-2</v>
      </c>
      <c r="AE1285" s="36">
        <f t="shared" si="444"/>
        <v>320</v>
      </c>
      <c r="AF1285" s="36">
        <f t="shared" si="444"/>
        <v>179</v>
      </c>
      <c r="AG1285" s="36" t="str">
        <f t="shared" si="444"/>
        <v>SID</v>
      </c>
    </row>
    <row r="1286" spans="18:33" x14ac:dyDescent="0.25">
      <c r="R1286">
        <v>1272</v>
      </c>
      <c r="S1286" s="36" t="str">
        <f t="shared" si="443"/>
        <v>INTERAVIÓN</v>
      </c>
      <c r="T1286" s="36">
        <f t="shared" si="443"/>
        <v>808</v>
      </c>
      <c r="U1286" s="73">
        <v>0.70972222222222225</v>
      </c>
      <c r="V1286" s="74">
        <v>0.71666666666666667</v>
      </c>
      <c r="W1286" s="75">
        <v>6.9444444444444198E-3</v>
      </c>
      <c r="X1286" s="74">
        <v>0.72569444444444453</v>
      </c>
      <c r="Y1286" s="75">
        <v>9.0277777777778567E-3</v>
      </c>
      <c r="Z1286" s="76">
        <v>41757</v>
      </c>
      <c r="AA1286" s="36" t="str">
        <f t="shared" si="444"/>
        <v>Nacional</v>
      </c>
      <c r="AB1286" s="36">
        <f t="shared" si="444"/>
        <v>7.5810185185185034E-3</v>
      </c>
      <c r="AC1286" s="36">
        <f t="shared" si="444"/>
        <v>7.0717592592592741E-3</v>
      </c>
      <c r="AD1286" s="36">
        <f t="shared" si="444"/>
        <v>1.4652777777777778E-2</v>
      </c>
      <c r="AE1286" s="36">
        <f t="shared" si="444"/>
        <v>320</v>
      </c>
      <c r="AF1286" s="36">
        <f t="shared" si="444"/>
        <v>179</v>
      </c>
      <c r="AG1286" s="36" t="str">
        <f t="shared" si="444"/>
        <v>SID</v>
      </c>
    </row>
    <row r="1287" spans="18:33" x14ac:dyDescent="0.25">
      <c r="R1287">
        <v>1273</v>
      </c>
      <c r="S1287" s="36" t="str">
        <f t="shared" si="443"/>
        <v>INTERAVIÓN</v>
      </c>
      <c r="T1287" s="36">
        <f t="shared" si="443"/>
        <v>808</v>
      </c>
      <c r="U1287" s="73">
        <v>0.70624999999999993</v>
      </c>
      <c r="V1287" s="74">
        <v>0.71388888888888891</v>
      </c>
      <c r="W1287" s="75">
        <v>7.6388888888889728E-3</v>
      </c>
      <c r="X1287" s="74">
        <v>0.72222222222222221</v>
      </c>
      <c r="Y1287" s="75">
        <v>8.3333333333333037E-3</v>
      </c>
      <c r="Z1287" s="76">
        <v>41758</v>
      </c>
      <c r="AA1287" s="36" t="str">
        <f t="shared" si="444"/>
        <v>Nacional</v>
      </c>
      <c r="AB1287" s="36">
        <f t="shared" si="444"/>
        <v>7.5810185185185034E-3</v>
      </c>
      <c r="AC1287" s="36">
        <f t="shared" si="444"/>
        <v>7.0717592592592741E-3</v>
      </c>
      <c r="AD1287" s="36">
        <f t="shared" si="444"/>
        <v>1.4652777777777778E-2</v>
      </c>
      <c r="AE1287" s="36">
        <f t="shared" si="444"/>
        <v>320</v>
      </c>
      <c r="AF1287" s="36">
        <f t="shared" si="444"/>
        <v>179</v>
      </c>
      <c r="AG1287" s="36" t="str">
        <f t="shared" si="444"/>
        <v>SID</v>
      </c>
    </row>
    <row r="1288" spans="18:33" ht="15.75" thickBot="1" x14ac:dyDescent="0.3">
      <c r="R1288">
        <v>1274</v>
      </c>
      <c r="S1288" s="36" t="str">
        <f t="shared" si="443"/>
        <v>INTERAVIÓN</v>
      </c>
      <c r="T1288" s="36">
        <f t="shared" si="443"/>
        <v>808</v>
      </c>
      <c r="U1288" s="83">
        <v>0.70486111111111116</v>
      </c>
      <c r="V1288" s="84">
        <v>0.71666666666666667</v>
      </c>
      <c r="W1288" s="85">
        <v>1.1805555555555514E-2</v>
      </c>
      <c r="X1288" s="84">
        <v>0.72361111111111109</v>
      </c>
      <c r="Y1288" s="85">
        <v>6.9444444444444198E-3</v>
      </c>
      <c r="Z1288" s="86">
        <v>41759</v>
      </c>
      <c r="AA1288" s="36" t="str">
        <f t="shared" si="444"/>
        <v>Nacional</v>
      </c>
      <c r="AB1288" s="36">
        <f t="shared" si="444"/>
        <v>7.5810185185185034E-3</v>
      </c>
      <c r="AC1288" s="36">
        <f t="shared" si="444"/>
        <v>7.0717592592592741E-3</v>
      </c>
      <c r="AD1288" s="36">
        <f t="shared" si="444"/>
        <v>1.4652777777777778E-2</v>
      </c>
      <c r="AE1288" s="36">
        <f t="shared" si="444"/>
        <v>320</v>
      </c>
      <c r="AF1288" s="36">
        <f t="shared" si="444"/>
        <v>179</v>
      </c>
      <c r="AG1288" s="36" t="str">
        <f t="shared" si="444"/>
        <v>SID</v>
      </c>
    </row>
    <row r="1289" spans="18:33" x14ac:dyDescent="0.25">
      <c r="R1289">
        <v>1275</v>
      </c>
      <c r="S1289" s="36" t="str">
        <f t="shared" si="443"/>
        <v>INTERAVIÓN</v>
      </c>
      <c r="T1289" s="55">
        <v>413</v>
      </c>
      <c r="U1289" s="56">
        <v>0.96180555555555547</v>
      </c>
      <c r="V1289" s="57">
        <v>0.96875</v>
      </c>
      <c r="W1289" s="58">
        <v>6.9444444444445308E-3</v>
      </c>
      <c r="X1289" s="57">
        <v>0.97222222222222221</v>
      </c>
      <c r="Y1289" s="58">
        <v>3.4722222222222099E-3</v>
      </c>
      <c r="Z1289" s="59">
        <v>41734</v>
      </c>
      <c r="AA1289" s="60" t="s">
        <v>19</v>
      </c>
      <c r="AB1289" s="61">
        <v>8.0902777777777813E-3</v>
      </c>
      <c r="AC1289" s="61">
        <v>8.5763888888888869E-3</v>
      </c>
      <c r="AD1289" s="62">
        <v>1.666666666666667E-2</v>
      </c>
      <c r="AE1289" s="191">
        <v>320</v>
      </c>
      <c r="AF1289" s="191">
        <v>179</v>
      </c>
      <c r="AG1289" s="192" t="s">
        <v>34</v>
      </c>
    </row>
    <row r="1290" spans="18:33" x14ac:dyDescent="0.25">
      <c r="R1290">
        <v>1276</v>
      </c>
      <c r="S1290" s="36" t="str">
        <f t="shared" si="443"/>
        <v>INTERAVIÓN</v>
      </c>
      <c r="T1290" s="36">
        <f t="shared" si="443"/>
        <v>413</v>
      </c>
      <c r="U1290" s="73">
        <v>0.22847222222222222</v>
      </c>
      <c r="V1290" s="74">
        <v>0.23958333333333334</v>
      </c>
      <c r="W1290" s="75">
        <v>1.1111111111111127E-2</v>
      </c>
      <c r="X1290" s="74">
        <v>0.24652777777777779</v>
      </c>
      <c r="Y1290" s="75">
        <v>6.9444444444444475E-3</v>
      </c>
      <c r="Z1290" s="76">
        <v>41739</v>
      </c>
      <c r="AA1290" s="36" t="str">
        <f t="shared" ref="AA1290:AG1308" si="446">AA1289</f>
        <v>Nacional</v>
      </c>
      <c r="AB1290" s="36">
        <f t="shared" si="446"/>
        <v>8.0902777777777813E-3</v>
      </c>
      <c r="AC1290" s="36">
        <f t="shared" si="446"/>
        <v>8.5763888888888869E-3</v>
      </c>
      <c r="AD1290" s="36">
        <f t="shared" si="446"/>
        <v>1.666666666666667E-2</v>
      </c>
      <c r="AE1290" s="36">
        <f t="shared" si="446"/>
        <v>320</v>
      </c>
      <c r="AF1290" s="36">
        <f t="shared" si="446"/>
        <v>179</v>
      </c>
      <c r="AG1290" s="36" t="str">
        <f t="shared" si="446"/>
        <v>TIJ</v>
      </c>
    </row>
    <row r="1291" spans="18:33" x14ac:dyDescent="0.25">
      <c r="R1291">
        <v>1277</v>
      </c>
      <c r="S1291" s="36" t="str">
        <f t="shared" si="443"/>
        <v>INTERAVIÓN</v>
      </c>
      <c r="T1291" s="36">
        <f t="shared" si="443"/>
        <v>413</v>
      </c>
      <c r="U1291" s="73">
        <v>0.17708333333333334</v>
      </c>
      <c r="V1291" s="74">
        <v>0.18402777777777779</v>
      </c>
      <c r="W1291" s="75">
        <v>6.9444444444444475E-3</v>
      </c>
      <c r="X1291" s="74">
        <v>0.1875</v>
      </c>
      <c r="Y1291" s="75">
        <v>3.4722222222222099E-3</v>
      </c>
      <c r="Z1291" s="76">
        <v>41747</v>
      </c>
      <c r="AA1291" s="36" t="str">
        <f t="shared" si="446"/>
        <v>Nacional</v>
      </c>
      <c r="AB1291" s="36">
        <f t="shared" si="446"/>
        <v>8.0902777777777813E-3</v>
      </c>
      <c r="AC1291" s="36">
        <f t="shared" si="446"/>
        <v>8.5763888888888869E-3</v>
      </c>
      <c r="AD1291" s="36">
        <f t="shared" si="446"/>
        <v>1.666666666666667E-2</v>
      </c>
      <c r="AE1291" s="36">
        <f t="shared" si="446"/>
        <v>320</v>
      </c>
      <c r="AF1291" s="36">
        <f t="shared" si="446"/>
        <v>179</v>
      </c>
      <c r="AG1291" s="36" t="str">
        <f t="shared" si="446"/>
        <v>TIJ</v>
      </c>
    </row>
    <row r="1292" spans="18:33" x14ac:dyDescent="0.25">
      <c r="R1292">
        <v>1278</v>
      </c>
      <c r="S1292" s="36" t="str">
        <f t="shared" si="443"/>
        <v>INTERAVIÓN</v>
      </c>
      <c r="T1292" s="36">
        <f t="shared" si="443"/>
        <v>413</v>
      </c>
      <c r="U1292" s="73">
        <v>0.52361111111111114</v>
      </c>
      <c r="V1292" s="74">
        <v>0.53055555555555556</v>
      </c>
      <c r="W1292" s="75">
        <v>6.9444444444444198E-3</v>
      </c>
      <c r="X1292" s="74">
        <v>0.53680555555555554</v>
      </c>
      <c r="Y1292" s="75">
        <v>6.2499999999999778E-3</v>
      </c>
      <c r="Z1292" s="76">
        <v>41730</v>
      </c>
      <c r="AA1292" s="36" t="str">
        <f t="shared" si="446"/>
        <v>Nacional</v>
      </c>
      <c r="AB1292" s="36">
        <f t="shared" si="446"/>
        <v>8.0902777777777813E-3</v>
      </c>
      <c r="AC1292" s="36">
        <f t="shared" si="446"/>
        <v>8.5763888888888869E-3</v>
      </c>
      <c r="AD1292" s="36">
        <f t="shared" si="446"/>
        <v>1.666666666666667E-2</v>
      </c>
      <c r="AE1292" s="36">
        <f t="shared" si="446"/>
        <v>320</v>
      </c>
      <c r="AF1292" s="36">
        <f t="shared" si="446"/>
        <v>179</v>
      </c>
      <c r="AG1292" s="36" t="str">
        <f t="shared" si="446"/>
        <v>TIJ</v>
      </c>
    </row>
    <row r="1293" spans="18:33" x14ac:dyDescent="0.25">
      <c r="R1293">
        <v>1279</v>
      </c>
      <c r="S1293" s="36" t="str">
        <f t="shared" si="443"/>
        <v>INTERAVIÓN</v>
      </c>
      <c r="T1293" s="36">
        <f t="shared" si="443"/>
        <v>413</v>
      </c>
      <c r="U1293" s="73">
        <v>0.52083333333333337</v>
      </c>
      <c r="V1293" s="74">
        <v>0.52916666666666667</v>
      </c>
      <c r="W1293" s="75">
        <v>8.3333333333333037E-3</v>
      </c>
      <c r="X1293" s="74">
        <v>0.53680555555555554</v>
      </c>
      <c r="Y1293" s="75">
        <v>7.6388888888888618E-3</v>
      </c>
      <c r="Z1293" s="76">
        <v>41731</v>
      </c>
      <c r="AA1293" s="36" t="str">
        <f t="shared" si="446"/>
        <v>Nacional</v>
      </c>
      <c r="AB1293" s="36">
        <f t="shared" si="446"/>
        <v>8.0902777777777813E-3</v>
      </c>
      <c r="AC1293" s="36">
        <f t="shared" si="446"/>
        <v>8.5763888888888869E-3</v>
      </c>
      <c r="AD1293" s="36">
        <f t="shared" si="446"/>
        <v>1.666666666666667E-2</v>
      </c>
      <c r="AE1293" s="36">
        <f t="shared" si="446"/>
        <v>320</v>
      </c>
      <c r="AF1293" s="36">
        <f t="shared" si="446"/>
        <v>179</v>
      </c>
      <c r="AG1293" s="36" t="str">
        <f t="shared" si="446"/>
        <v>TIJ</v>
      </c>
    </row>
    <row r="1294" spans="18:33" x14ac:dyDescent="0.25">
      <c r="R1294">
        <v>1280</v>
      </c>
      <c r="S1294" s="36" t="str">
        <f t="shared" si="443"/>
        <v>INTERAVIÓN</v>
      </c>
      <c r="T1294" s="36">
        <f t="shared" si="443"/>
        <v>413</v>
      </c>
      <c r="U1294" s="73">
        <v>0.52083333333333337</v>
      </c>
      <c r="V1294" s="74">
        <v>0.52777777777777779</v>
      </c>
      <c r="W1294" s="75">
        <v>6.9444444444444198E-3</v>
      </c>
      <c r="X1294" s="74">
        <v>0.53472222222222221</v>
      </c>
      <c r="Y1294" s="75">
        <v>6.9444444444444198E-3</v>
      </c>
      <c r="Z1294" s="76">
        <v>41732</v>
      </c>
      <c r="AA1294" s="36" t="str">
        <f t="shared" si="446"/>
        <v>Nacional</v>
      </c>
      <c r="AB1294" s="36">
        <f t="shared" si="446"/>
        <v>8.0902777777777813E-3</v>
      </c>
      <c r="AC1294" s="36">
        <f t="shared" si="446"/>
        <v>8.5763888888888869E-3</v>
      </c>
      <c r="AD1294" s="36">
        <f t="shared" si="446"/>
        <v>1.666666666666667E-2</v>
      </c>
      <c r="AE1294" s="36">
        <f t="shared" si="446"/>
        <v>320</v>
      </c>
      <c r="AF1294" s="36">
        <f t="shared" si="446"/>
        <v>179</v>
      </c>
      <c r="AG1294" s="36" t="str">
        <f t="shared" si="446"/>
        <v>TIJ</v>
      </c>
    </row>
    <row r="1295" spans="18:33" x14ac:dyDescent="0.25">
      <c r="R1295">
        <v>1281</v>
      </c>
      <c r="S1295" s="36" t="str">
        <f t="shared" si="443"/>
        <v>INTERAVIÓN</v>
      </c>
      <c r="T1295" s="36">
        <f t="shared" si="443"/>
        <v>413</v>
      </c>
      <c r="U1295" s="73">
        <v>0.52013888888888882</v>
      </c>
      <c r="V1295" s="74">
        <v>0.52569444444444446</v>
      </c>
      <c r="W1295" s="75">
        <v>5.5555555555556468E-3</v>
      </c>
      <c r="X1295" s="74">
        <v>0.53333333333333333</v>
      </c>
      <c r="Y1295" s="75">
        <v>7.6388888888888618E-3</v>
      </c>
      <c r="Z1295" s="76">
        <v>41733</v>
      </c>
      <c r="AA1295" s="36" t="str">
        <f t="shared" si="446"/>
        <v>Nacional</v>
      </c>
      <c r="AB1295" s="36">
        <f t="shared" si="446"/>
        <v>8.0902777777777813E-3</v>
      </c>
      <c r="AC1295" s="36">
        <f t="shared" si="446"/>
        <v>8.5763888888888869E-3</v>
      </c>
      <c r="AD1295" s="36">
        <f t="shared" si="446"/>
        <v>1.666666666666667E-2</v>
      </c>
      <c r="AE1295" s="36">
        <f t="shared" si="446"/>
        <v>320</v>
      </c>
      <c r="AF1295" s="36">
        <f t="shared" si="446"/>
        <v>179</v>
      </c>
      <c r="AG1295" s="36" t="str">
        <f t="shared" si="446"/>
        <v>TIJ</v>
      </c>
    </row>
    <row r="1296" spans="18:33" x14ac:dyDescent="0.25">
      <c r="R1296">
        <v>1282</v>
      </c>
      <c r="S1296" s="36" t="str">
        <f t="shared" si="443"/>
        <v>INTERAVIÓN</v>
      </c>
      <c r="T1296" s="36">
        <f t="shared" si="443"/>
        <v>413</v>
      </c>
      <c r="U1296" s="73">
        <v>0.52430555555555558</v>
      </c>
      <c r="V1296" s="74">
        <v>0.53263888888888888</v>
      </c>
      <c r="W1296" s="75">
        <v>8.3333333333333037E-3</v>
      </c>
      <c r="X1296" s="74">
        <v>0.54166666666666663</v>
      </c>
      <c r="Y1296" s="75">
        <v>9.0277777777777457E-3</v>
      </c>
      <c r="Z1296" s="76">
        <v>41735</v>
      </c>
      <c r="AA1296" s="36" t="str">
        <f t="shared" si="446"/>
        <v>Nacional</v>
      </c>
      <c r="AB1296" s="36">
        <f t="shared" si="446"/>
        <v>8.0902777777777813E-3</v>
      </c>
      <c r="AC1296" s="36">
        <f t="shared" si="446"/>
        <v>8.5763888888888869E-3</v>
      </c>
      <c r="AD1296" s="36">
        <f t="shared" si="446"/>
        <v>1.666666666666667E-2</v>
      </c>
      <c r="AE1296" s="36">
        <f t="shared" si="446"/>
        <v>320</v>
      </c>
      <c r="AF1296" s="36">
        <f t="shared" si="446"/>
        <v>179</v>
      </c>
      <c r="AG1296" s="36" t="str">
        <f t="shared" si="446"/>
        <v>TIJ</v>
      </c>
    </row>
    <row r="1297" spans="18:33" x14ac:dyDescent="0.25">
      <c r="R1297">
        <v>1283</v>
      </c>
      <c r="S1297" s="36" t="str">
        <f t="shared" si="443"/>
        <v>INTERAVIÓN</v>
      </c>
      <c r="T1297" s="36">
        <f t="shared" si="443"/>
        <v>413</v>
      </c>
      <c r="U1297" s="73">
        <v>0.53541666666666665</v>
      </c>
      <c r="V1297" s="74">
        <v>0.5395833333333333</v>
      </c>
      <c r="W1297" s="75">
        <v>4.1666666666666519E-3</v>
      </c>
      <c r="X1297" s="74">
        <v>0.54722222222222217</v>
      </c>
      <c r="Y1297" s="75">
        <v>7.6388888888888618E-3</v>
      </c>
      <c r="Z1297" s="76">
        <v>41736</v>
      </c>
      <c r="AA1297" s="36" t="str">
        <f t="shared" si="446"/>
        <v>Nacional</v>
      </c>
      <c r="AB1297" s="36">
        <f t="shared" si="446"/>
        <v>8.0902777777777813E-3</v>
      </c>
      <c r="AC1297" s="36">
        <f t="shared" si="446"/>
        <v>8.5763888888888869E-3</v>
      </c>
      <c r="AD1297" s="36">
        <f t="shared" si="446"/>
        <v>1.666666666666667E-2</v>
      </c>
      <c r="AE1297" s="36">
        <f t="shared" si="446"/>
        <v>320</v>
      </c>
      <c r="AF1297" s="36">
        <f t="shared" si="446"/>
        <v>179</v>
      </c>
      <c r="AG1297" s="36" t="str">
        <f t="shared" si="446"/>
        <v>TIJ</v>
      </c>
    </row>
    <row r="1298" spans="18:33" x14ac:dyDescent="0.25">
      <c r="R1298">
        <v>1284</v>
      </c>
      <c r="S1298" s="36" t="str">
        <f t="shared" si="443"/>
        <v>INTERAVIÓN</v>
      </c>
      <c r="T1298" s="36">
        <f t="shared" si="443"/>
        <v>413</v>
      </c>
      <c r="U1298" s="73">
        <v>0.51736111111111105</v>
      </c>
      <c r="V1298" s="74">
        <v>0.52847222222222223</v>
      </c>
      <c r="W1298" s="75">
        <v>1.1111111111111183E-2</v>
      </c>
      <c r="X1298" s="74">
        <v>0.53472222222222221</v>
      </c>
      <c r="Y1298" s="75">
        <v>6.2499999999999778E-3</v>
      </c>
      <c r="Z1298" s="76">
        <v>41737</v>
      </c>
      <c r="AA1298" s="36" t="str">
        <f t="shared" si="446"/>
        <v>Nacional</v>
      </c>
      <c r="AB1298" s="36">
        <f t="shared" si="446"/>
        <v>8.0902777777777813E-3</v>
      </c>
      <c r="AC1298" s="36">
        <f t="shared" si="446"/>
        <v>8.5763888888888869E-3</v>
      </c>
      <c r="AD1298" s="36">
        <f t="shared" si="446"/>
        <v>1.666666666666667E-2</v>
      </c>
      <c r="AE1298" s="36">
        <f t="shared" si="446"/>
        <v>320</v>
      </c>
      <c r="AF1298" s="36">
        <f t="shared" si="446"/>
        <v>179</v>
      </c>
      <c r="AG1298" s="36" t="str">
        <f t="shared" si="446"/>
        <v>TIJ</v>
      </c>
    </row>
    <row r="1299" spans="18:33" x14ac:dyDescent="0.25">
      <c r="R1299">
        <v>1285</v>
      </c>
      <c r="S1299" s="36" t="str">
        <f t="shared" si="443"/>
        <v>INTERAVIÓN</v>
      </c>
      <c r="T1299" s="36">
        <f t="shared" si="443"/>
        <v>413</v>
      </c>
      <c r="U1299" s="73">
        <v>0.52361111111111114</v>
      </c>
      <c r="V1299" s="74">
        <v>0.53055555555555556</v>
      </c>
      <c r="W1299" s="75">
        <v>6.9444444444444198E-3</v>
      </c>
      <c r="X1299" s="74">
        <v>0.53680555555555554</v>
      </c>
      <c r="Y1299" s="75">
        <v>6.2499999999999778E-3</v>
      </c>
      <c r="Z1299" s="76">
        <v>41742</v>
      </c>
      <c r="AA1299" s="36" t="str">
        <f t="shared" si="446"/>
        <v>Nacional</v>
      </c>
      <c r="AB1299" s="36">
        <f t="shared" si="446"/>
        <v>8.0902777777777813E-3</v>
      </c>
      <c r="AC1299" s="36">
        <f t="shared" si="446"/>
        <v>8.5763888888888869E-3</v>
      </c>
      <c r="AD1299" s="36">
        <f t="shared" si="446"/>
        <v>1.666666666666667E-2</v>
      </c>
      <c r="AE1299" s="36">
        <f t="shared" si="446"/>
        <v>320</v>
      </c>
      <c r="AF1299" s="36">
        <f t="shared" si="446"/>
        <v>179</v>
      </c>
      <c r="AG1299" s="36" t="str">
        <f t="shared" si="446"/>
        <v>TIJ</v>
      </c>
    </row>
    <row r="1300" spans="18:33" x14ac:dyDescent="0.25">
      <c r="R1300">
        <v>1286</v>
      </c>
      <c r="S1300" s="36" t="str">
        <f t="shared" si="443"/>
        <v>INTERAVIÓN</v>
      </c>
      <c r="T1300" s="36">
        <f t="shared" si="443"/>
        <v>413</v>
      </c>
      <c r="U1300" s="73">
        <v>0.53472222222222221</v>
      </c>
      <c r="V1300" s="74">
        <v>0.54027777777777775</v>
      </c>
      <c r="W1300" s="75">
        <v>5.5555555555555358E-3</v>
      </c>
      <c r="X1300" s="74">
        <v>0.55208333333333337</v>
      </c>
      <c r="Y1300" s="75">
        <v>1.1805555555555625E-2</v>
      </c>
      <c r="Z1300" s="76">
        <v>41743</v>
      </c>
      <c r="AA1300" s="36" t="str">
        <f t="shared" si="446"/>
        <v>Nacional</v>
      </c>
      <c r="AB1300" s="36">
        <f t="shared" si="446"/>
        <v>8.0902777777777813E-3</v>
      </c>
      <c r="AC1300" s="36">
        <f t="shared" si="446"/>
        <v>8.5763888888888869E-3</v>
      </c>
      <c r="AD1300" s="36">
        <f t="shared" si="446"/>
        <v>1.666666666666667E-2</v>
      </c>
      <c r="AE1300" s="36">
        <f t="shared" si="446"/>
        <v>320</v>
      </c>
      <c r="AF1300" s="36">
        <f t="shared" si="446"/>
        <v>179</v>
      </c>
      <c r="AG1300" s="36" t="str">
        <f t="shared" si="446"/>
        <v>TIJ</v>
      </c>
    </row>
    <row r="1301" spans="18:33" x14ac:dyDescent="0.25">
      <c r="R1301">
        <v>1287</v>
      </c>
      <c r="S1301" s="36" t="str">
        <f t="shared" si="443"/>
        <v>INTERAVIÓN</v>
      </c>
      <c r="T1301" s="36">
        <f t="shared" si="443"/>
        <v>413</v>
      </c>
      <c r="U1301" s="73">
        <v>0.54861111111111105</v>
      </c>
      <c r="V1301" s="74">
        <v>0.55972222222222223</v>
      </c>
      <c r="W1301" s="75">
        <v>1.1111111111111183E-2</v>
      </c>
      <c r="X1301" s="74">
        <v>0.56666666666666665</v>
      </c>
      <c r="Y1301" s="75">
        <v>6.9444444444444198E-3</v>
      </c>
      <c r="Z1301" s="76">
        <v>41744</v>
      </c>
      <c r="AA1301" s="36" t="str">
        <f t="shared" si="446"/>
        <v>Nacional</v>
      </c>
      <c r="AB1301" s="36">
        <f t="shared" si="446"/>
        <v>8.0902777777777813E-3</v>
      </c>
      <c r="AC1301" s="36">
        <f t="shared" si="446"/>
        <v>8.5763888888888869E-3</v>
      </c>
      <c r="AD1301" s="36">
        <f t="shared" si="446"/>
        <v>1.666666666666667E-2</v>
      </c>
      <c r="AE1301" s="36">
        <f t="shared" si="446"/>
        <v>320</v>
      </c>
      <c r="AF1301" s="36">
        <f t="shared" si="446"/>
        <v>179</v>
      </c>
      <c r="AG1301" s="36" t="str">
        <f t="shared" si="446"/>
        <v>TIJ</v>
      </c>
    </row>
    <row r="1302" spans="18:33" x14ac:dyDescent="0.25">
      <c r="R1302">
        <v>1288</v>
      </c>
      <c r="S1302" s="36" t="str">
        <f t="shared" si="443"/>
        <v>INTERAVIÓN</v>
      </c>
      <c r="T1302" s="36">
        <f t="shared" si="443"/>
        <v>413</v>
      </c>
      <c r="U1302" s="73">
        <v>0.53194444444444444</v>
      </c>
      <c r="V1302" s="74">
        <v>0.54166666666666663</v>
      </c>
      <c r="W1302" s="75">
        <v>9.7222222222221877E-3</v>
      </c>
      <c r="X1302" s="74">
        <v>0.55277777777777781</v>
      </c>
      <c r="Y1302" s="75">
        <v>1.1111111111111183E-2</v>
      </c>
      <c r="Z1302" s="76">
        <v>41748</v>
      </c>
      <c r="AA1302" s="36" t="str">
        <f t="shared" si="446"/>
        <v>Nacional</v>
      </c>
      <c r="AB1302" s="36">
        <f t="shared" si="446"/>
        <v>8.0902777777777813E-3</v>
      </c>
      <c r="AC1302" s="36">
        <f t="shared" si="446"/>
        <v>8.5763888888888869E-3</v>
      </c>
      <c r="AD1302" s="36">
        <f t="shared" si="446"/>
        <v>1.666666666666667E-2</v>
      </c>
      <c r="AE1302" s="36">
        <f t="shared" si="446"/>
        <v>320</v>
      </c>
      <c r="AF1302" s="36">
        <f t="shared" si="446"/>
        <v>179</v>
      </c>
      <c r="AG1302" s="36" t="str">
        <f t="shared" si="446"/>
        <v>TIJ</v>
      </c>
    </row>
    <row r="1303" spans="18:33" x14ac:dyDescent="0.25">
      <c r="R1303">
        <v>1289</v>
      </c>
      <c r="S1303" s="36" t="str">
        <f t="shared" si="443"/>
        <v>INTERAVIÓN</v>
      </c>
      <c r="T1303" s="36">
        <f t="shared" si="443"/>
        <v>413</v>
      </c>
      <c r="U1303" s="73">
        <v>0.53541666666666665</v>
      </c>
      <c r="V1303" s="74">
        <v>0.53680555555555554</v>
      </c>
      <c r="W1303" s="75">
        <v>1.388888888888884E-3</v>
      </c>
      <c r="X1303" s="74">
        <v>0.54583333333333328</v>
      </c>
      <c r="Y1303" s="75">
        <v>9.0277777777777457E-3</v>
      </c>
      <c r="Z1303" s="76">
        <v>41749</v>
      </c>
      <c r="AA1303" s="36" t="str">
        <f t="shared" si="446"/>
        <v>Nacional</v>
      </c>
      <c r="AB1303" s="36">
        <f t="shared" si="446"/>
        <v>8.0902777777777813E-3</v>
      </c>
      <c r="AC1303" s="36">
        <f t="shared" si="446"/>
        <v>8.5763888888888869E-3</v>
      </c>
      <c r="AD1303" s="36">
        <f t="shared" si="446"/>
        <v>1.666666666666667E-2</v>
      </c>
      <c r="AE1303" s="36">
        <f t="shared" si="446"/>
        <v>320</v>
      </c>
      <c r="AF1303" s="36">
        <f t="shared" si="446"/>
        <v>179</v>
      </c>
      <c r="AG1303" s="36" t="str">
        <f t="shared" si="446"/>
        <v>TIJ</v>
      </c>
    </row>
    <row r="1304" spans="18:33" x14ac:dyDescent="0.25">
      <c r="R1304">
        <v>1290</v>
      </c>
      <c r="S1304" s="36" t="str">
        <f t="shared" si="443"/>
        <v>INTERAVIÓN</v>
      </c>
      <c r="T1304" s="36">
        <f t="shared" si="443"/>
        <v>413</v>
      </c>
      <c r="U1304" s="73">
        <v>0.53472222222222221</v>
      </c>
      <c r="V1304" s="74">
        <v>0.54513888888888895</v>
      </c>
      <c r="W1304" s="75">
        <v>1.0416666666666741E-2</v>
      </c>
      <c r="X1304" s="74">
        <v>0.55208333333333337</v>
      </c>
      <c r="Y1304" s="75">
        <v>6.9444444444444198E-3</v>
      </c>
      <c r="Z1304" s="76">
        <v>41750</v>
      </c>
      <c r="AA1304" s="36" t="str">
        <f t="shared" si="446"/>
        <v>Nacional</v>
      </c>
      <c r="AB1304" s="36">
        <f t="shared" si="446"/>
        <v>8.0902777777777813E-3</v>
      </c>
      <c r="AC1304" s="36">
        <f t="shared" si="446"/>
        <v>8.5763888888888869E-3</v>
      </c>
      <c r="AD1304" s="36">
        <f t="shared" si="446"/>
        <v>1.666666666666667E-2</v>
      </c>
      <c r="AE1304" s="36">
        <f t="shared" si="446"/>
        <v>320</v>
      </c>
      <c r="AF1304" s="36">
        <f t="shared" si="446"/>
        <v>179</v>
      </c>
      <c r="AG1304" s="36" t="str">
        <f t="shared" si="446"/>
        <v>TIJ</v>
      </c>
    </row>
    <row r="1305" spans="18:33" x14ac:dyDescent="0.25">
      <c r="R1305">
        <v>1291</v>
      </c>
      <c r="S1305" s="36" t="str">
        <f t="shared" si="443"/>
        <v>INTERAVIÓN</v>
      </c>
      <c r="T1305" s="36">
        <f t="shared" si="443"/>
        <v>413</v>
      </c>
      <c r="U1305" s="73">
        <v>0.53472222222222221</v>
      </c>
      <c r="V1305" s="74">
        <v>0.54722222222222217</v>
      </c>
      <c r="W1305" s="75">
        <v>1.2499999999999956E-2</v>
      </c>
      <c r="X1305" s="74">
        <v>0.55833333333333335</v>
      </c>
      <c r="Y1305" s="75">
        <v>1.1111111111111183E-2</v>
      </c>
      <c r="Z1305" s="76">
        <v>41754</v>
      </c>
      <c r="AA1305" s="36" t="str">
        <f t="shared" si="446"/>
        <v>Nacional</v>
      </c>
      <c r="AB1305" s="36">
        <f t="shared" si="446"/>
        <v>8.0902777777777813E-3</v>
      </c>
      <c r="AC1305" s="36">
        <f t="shared" si="446"/>
        <v>8.5763888888888869E-3</v>
      </c>
      <c r="AD1305" s="36">
        <f t="shared" si="446"/>
        <v>1.666666666666667E-2</v>
      </c>
      <c r="AE1305" s="36">
        <f t="shared" si="446"/>
        <v>320</v>
      </c>
      <c r="AF1305" s="36">
        <f t="shared" si="446"/>
        <v>179</v>
      </c>
      <c r="AG1305" s="36" t="str">
        <f t="shared" si="446"/>
        <v>TIJ</v>
      </c>
    </row>
    <row r="1306" spans="18:33" x14ac:dyDescent="0.25">
      <c r="R1306">
        <v>1292</v>
      </c>
      <c r="S1306" s="36" t="str">
        <f t="shared" si="443"/>
        <v>INTERAVIÓN</v>
      </c>
      <c r="T1306" s="36">
        <f t="shared" si="443"/>
        <v>413</v>
      </c>
      <c r="U1306" s="73">
        <v>0.53055555555555556</v>
      </c>
      <c r="V1306" s="74">
        <v>0.54097222222222219</v>
      </c>
      <c r="W1306" s="75">
        <v>1.041666666666663E-2</v>
      </c>
      <c r="X1306" s="74">
        <v>0.55972222222222223</v>
      </c>
      <c r="Y1306" s="75">
        <v>1.8750000000000044E-2</v>
      </c>
      <c r="Z1306" s="76">
        <v>41756</v>
      </c>
      <c r="AA1306" s="36" t="str">
        <f t="shared" si="446"/>
        <v>Nacional</v>
      </c>
      <c r="AB1306" s="36">
        <f t="shared" si="446"/>
        <v>8.0902777777777813E-3</v>
      </c>
      <c r="AC1306" s="36">
        <f t="shared" si="446"/>
        <v>8.5763888888888869E-3</v>
      </c>
      <c r="AD1306" s="36">
        <f t="shared" si="446"/>
        <v>1.666666666666667E-2</v>
      </c>
      <c r="AE1306" s="36">
        <f t="shared" si="446"/>
        <v>320</v>
      </c>
      <c r="AF1306" s="36">
        <f t="shared" si="446"/>
        <v>179</v>
      </c>
      <c r="AG1306" s="36" t="str">
        <f t="shared" si="446"/>
        <v>TIJ</v>
      </c>
    </row>
    <row r="1307" spans="18:33" x14ac:dyDescent="0.25">
      <c r="R1307">
        <v>1293</v>
      </c>
      <c r="S1307" s="36" t="str">
        <f t="shared" si="443"/>
        <v>INTERAVIÓN</v>
      </c>
      <c r="T1307" s="36">
        <f t="shared" si="443"/>
        <v>413</v>
      </c>
      <c r="U1307" s="73">
        <v>0.52500000000000002</v>
      </c>
      <c r="V1307" s="74">
        <v>0.53402777777777777</v>
      </c>
      <c r="W1307" s="75">
        <v>9.0277777777777457E-3</v>
      </c>
      <c r="X1307" s="74">
        <v>0.54583333333333328</v>
      </c>
      <c r="Y1307" s="75">
        <v>1.1805555555555514E-2</v>
      </c>
      <c r="Z1307" s="76">
        <v>41757</v>
      </c>
      <c r="AA1307" s="36" t="str">
        <f t="shared" si="446"/>
        <v>Nacional</v>
      </c>
      <c r="AB1307" s="36">
        <f t="shared" si="446"/>
        <v>8.0902777777777813E-3</v>
      </c>
      <c r="AC1307" s="36">
        <f t="shared" si="446"/>
        <v>8.5763888888888869E-3</v>
      </c>
      <c r="AD1307" s="36">
        <f t="shared" si="446"/>
        <v>1.666666666666667E-2</v>
      </c>
      <c r="AE1307" s="36">
        <f t="shared" si="446"/>
        <v>320</v>
      </c>
      <c r="AF1307" s="36">
        <f t="shared" si="446"/>
        <v>179</v>
      </c>
      <c r="AG1307" s="36" t="str">
        <f t="shared" si="446"/>
        <v>TIJ</v>
      </c>
    </row>
    <row r="1308" spans="18:33" ht="15.75" thickBot="1" x14ac:dyDescent="0.3">
      <c r="R1308">
        <v>1294</v>
      </c>
      <c r="S1308" s="36" t="str">
        <f t="shared" si="443"/>
        <v>INTERAVIÓN</v>
      </c>
      <c r="T1308" s="36">
        <f t="shared" si="443"/>
        <v>413</v>
      </c>
      <c r="U1308" s="83">
        <v>0.52986111111111112</v>
      </c>
      <c r="V1308" s="84">
        <v>0.53819444444444442</v>
      </c>
      <c r="W1308" s="85">
        <v>8.3333333333333037E-3</v>
      </c>
      <c r="X1308" s="84">
        <v>0.55069444444444449</v>
      </c>
      <c r="Y1308" s="85">
        <v>1.2500000000000067E-2</v>
      </c>
      <c r="Z1308" s="86">
        <v>41759</v>
      </c>
      <c r="AA1308" s="36" t="str">
        <f t="shared" si="446"/>
        <v>Nacional</v>
      </c>
      <c r="AB1308" s="36">
        <f t="shared" si="446"/>
        <v>8.0902777777777813E-3</v>
      </c>
      <c r="AC1308" s="36">
        <f t="shared" si="446"/>
        <v>8.5763888888888869E-3</v>
      </c>
      <c r="AD1308" s="36">
        <f t="shared" si="446"/>
        <v>1.666666666666667E-2</v>
      </c>
      <c r="AE1308" s="36">
        <f t="shared" si="446"/>
        <v>320</v>
      </c>
      <c r="AF1308" s="36">
        <f t="shared" si="446"/>
        <v>179</v>
      </c>
      <c r="AG1308" s="36" t="str">
        <f t="shared" si="446"/>
        <v>TIJ</v>
      </c>
    </row>
    <row r="1309" spans="18:33" x14ac:dyDescent="0.25">
      <c r="R1309">
        <v>1295</v>
      </c>
      <c r="S1309" s="36" t="str">
        <f t="shared" si="443"/>
        <v>INTERAVIÓN</v>
      </c>
      <c r="T1309" s="55">
        <v>411</v>
      </c>
      <c r="U1309" s="56">
        <v>0.83611111111111114</v>
      </c>
      <c r="V1309" s="57">
        <v>0.84513888888888899</v>
      </c>
      <c r="W1309" s="58">
        <v>9.0277777777778567E-3</v>
      </c>
      <c r="X1309" s="57">
        <v>0.8520833333333333</v>
      </c>
      <c r="Y1309" s="58">
        <v>6.9444444444443088E-3</v>
      </c>
      <c r="Z1309" s="59">
        <v>41732</v>
      </c>
      <c r="AA1309" s="60" t="s">
        <v>19</v>
      </c>
      <c r="AB1309" s="61">
        <v>8.625730994152014E-3</v>
      </c>
      <c r="AC1309" s="61">
        <v>1.019736842105266E-2</v>
      </c>
      <c r="AD1309" s="61">
        <v>1.8823099415204672E-2</v>
      </c>
      <c r="AE1309" s="191">
        <v>320</v>
      </c>
      <c r="AF1309" s="191">
        <v>179</v>
      </c>
      <c r="AG1309" s="208" t="s">
        <v>34</v>
      </c>
    </row>
    <row r="1310" spans="18:33" x14ac:dyDescent="0.25">
      <c r="R1310">
        <v>1296</v>
      </c>
      <c r="S1310" s="36" t="str">
        <f t="shared" si="443"/>
        <v>INTERAVIÓN</v>
      </c>
      <c r="T1310" s="36">
        <f t="shared" si="443"/>
        <v>411</v>
      </c>
      <c r="U1310" s="73">
        <v>0.8354166666666667</v>
      </c>
      <c r="V1310" s="74">
        <v>0.84375</v>
      </c>
      <c r="W1310" s="75">
        <v>8.3333333333333037E-3</v>
      </c>
      <c r="X1310" s="74">
        <v>0.8534722222222223</v>
      </c>
      <c r="Y1310" s="75">
        <v>9.7222222222222987E-3</v>
      </c>
      <c r="Z1310" s="76">
        <v>41734</v>
      </c>
      <c r="AA1310" s="36" t="str">
        <f t="shared" ref="AA1310:AG1327" si="447">AA1309</f>
        <v>Nacional</v>
      </c>
      <c r="AB1310" s="36">
        <f t="shared" si="447"/>
        <v>8.625730994152014E-3</v>
      </c>
      <c r="AC1310" s="36">
        <f t="shared" si="447"/>
        <v>1.019736842105266E-2</v>
      </c>
      <c r="AD1310" s="36">
        <f t="shared" si="447"/>
        <v>1.8823099415204672E-2</v>
      </c>
      <c r="AE1310" s="36">
        <f t="shared" si="447"/>
        <v>320</v>
      </c>
      <c r="AF1310" s="36">
        <f t="shared" si="447"/>
        <v>179</v>
      </c>
      <c r="AG1310" s="36" t="str">
        <f t="shared" si="447"/>
        <v>TIJ</v>
      </c>
    </row>
    <row r="1311" spans="18:33" x14ac:dyDescent="0.25">
      <c r="R1311">
        <v>1297</v>
      </c>
      <c r="S1311" s="36" t="str">
        <f t="shared" si="443"/>
        <v>INTERAVIÓN</v>
      </c>
      <c r="T1311" s="36">
        <f t="shared" si="443"/>
        <v>411</v>
      </c>
      <c r="U1311" s="73">
        <v>0.83333333333333337</v>
      </c>
      <c r="V1311" s="74">
        <v>0.85277777777777775</v>
      </c>
      <c r="W1311" s="75">
        <v>1.9444444444444375E-2</v>
      </c>
      <c r="X1311" s="74">
        <v>0.8534722222222223</v>
      </c>
      <c r="Y1311" s="75">
        <v>6.94444444444553E-4</v>
      </c>
      <c r="Z1311" s="76">
        <v>41734</v>
      </c>
      <c r="AA1311" s="36" t="str">
        <f t="shared" si="447"/>
        <v>Nacional</v>
      </c>
      <c r="AB1311" s="36">
        <f t="shared" si="447"/>
        <v>8.625730994152014E-3</v>
      </c>
      <c r="AC1311" s="36">
        <f t="shared" si="447"/>
        <v>1.019736842105266E-2</v>
      </c>
      <c r="AD1311" s="36">
        <f t="shared" si="447"/>
        <v>1.8823099415204672E-2</v>
      </c>
      <c r="AE1311" s="36">
        <f t="shared" si="447"/>
        <v>320</v>
      </c>
      <c r="AF1311" s="36">
        <f t="shared" si="447"/>
        <v>179</v>
      </c>
      <c r="AG1311" s="36" t="str">
        <f t="shared" si="447"/>
        <v>TIJ</v>
      </c>
    </row>
    <row r="1312" spans="18:33" x14ac:dyDescent="0.25">
      <c r="R1312">
        <v>1298</v>
      </c>
      <c r="S1312" s="36" t="str">
        <f t="shared" si="443"/>
        <v>INTERAVIÓN</v>
      </c>
      <c r="T1312" s="36">
        <f t="shared" si="443"/>
        <v>411</v>
      </c>
      <c r="U1312" s="73">
        <v>0.34722222222222227</v>
      </c>
      <c r="V1312" s="74">
        <v>0.35069444444444442</v>
      </c>
      <c r="W1312" s="75">
        <v>3.4722222222221544E-3</v>
      </c>
      <c r="X1312" s="74">
        <v>0.375</v>
      </c>
      <c r="Y1312" s="75">
        <v>2.430555555555558E-2</v>
      </c>
      <c r="Z1312" s="76">
        <v>41735</v>
      </c>
      <c r="AA1312" s="36" t="str">
        <f t="shared" si="447"/>
        <v>Nacional</v>
      </c>
      <c r="AB1312" s="36">
        <f t="shared" si="447"/>
        <v>8.625730994152014E-3</v>
      </c>
      <c r="AC1312" s="36">
        <f t="shared" si="447"/>
        <v>1.019736842105266E-2</v>
      </c>
      <c r="AD1312" s="36">
        <f t="shared" si="447"/>
        <v>1.8823099415204672E-2</v>
      </c>
      <c r="AE1312" s="36">
        <f t="shared" si="447"/>
        <v>320</v>
      </c>
      <c r="AF1312" s="36">
        <f t="shared" si="447"/>
        <v>179</v>
      </c>
      <c r="AG1312" s="36" t="str">
        <f t="shared" si="447"/>
        <v>TIJ</v>
      </c>
    </row>
    <row r="1313" spans="18:33" x14ac:dyDescent="0.25">
      <c r="R1313">
        <v>1299</v>
      </c>
      <c r="S1313" s="36" t="str">
        <f t="shared" si="443"/>
        <v>INTERAVIÓN</v>
      </c>
      <c r="T1313" s="36">
        <f t="shared" si="443"/>
        <v>411</v>
      </c>
      <c r="U1313" s="73">
        <v>0.8340277777777777</v>
      </c>
      <c r="V1313" s="74">
        <v>0.84027777777777779</v>
      </c>
      <c r="W1313" s="75">
        <v>6.2500000000000888E-3</v>
      </c>
      <c r="X1313" s="74">
        <v>0.84861111111111109</v>
      </c>
      <c r="Y1313" s="75">
        <v>8.3333333333333037E-3</v>
      </c>
      <c r="Z1313" s="76">
        <v>41736</v>
      </c>
      <c r="AA1313" s="36" t="str">
        <f t="shared" si="447"/>
        <v>Nacional</v>
      </c>
      <c r="AB1313" s="36">
        <f t="shared" si="447"/>
        <v>8.625730994152014E-3</v>
      </c>
      <c r="AC1313" s="36">
        <f t="shared" si="447"/>
        <v>1.019736842105266E-2</v>
      </c>
      <c r="AD1313" s="36">
        <f t="shared" si="447"/>
        <v>1.8823099415204672E-2</v>
      </c>
      <c r="AE1313" s="36">
        <f t="shared" si="447"/>
        <v>320</v>
      </c>
      <c r="AF1313" s="36">
        <f t="shared" si="447"/>
        <v>179</v>
      </c>
      <c r="AG1313" s="36" t="str">
        <f t="shared" si="447"/>
        <v>TIJ</v>
      </c>
    </row>
    <row r="1314" spans="18:33" x14ac:dyDescent="0.25">
      <c r="R1314">
        <v>1300</v>
      </c>
      <c r="S1314" s="36" t="str">
        <f t="shared" si="443"/>
        <v>INTERAVIÓN</v>
      </c>
      <c r="T1314" s="36">
        <f t="shared" si="443"/>
        <v>411</v>
      </c>
      <c r="U1314" s="73">
        <v>0.84166666666666667</v>
      </c>
      <c r="V1314" s="74">
        <v>0.84861111111111109</v>
      </c>
      <c r="W1314" s="75">
        <v>6.9444444444444198E-3</v>
      </c>
      <c r="X1314" s="74">
        <v>0.86597222222222225</v>
      </c>
      <c r="Y1314" s="75">
        <v>1.736111111111116E-2</v>
      </c>
      <c r="Z1314" s="76">
        <v>41738</v>
      </c>
      <c r="AA1314" s="36" t="str">
        <f t="shared" si="447"/>
        <v>Nacional</v>
      </c>
      <c r="AB1314" s="36">
        <f t="shared" si="447"/>
        <v>8.625730994152014E-3</v>
      </c>
      <c r="AC1314" s="36">
        <f t="shared" si="447"/>
        <v>1.019736842105266E-2</v>
      </c>
      <c r="AD1314" s="36">
        <f t="shared" si="447"/>
        <v>1.8823099415204672E-2</v>
      </c>
      <c r="AE1314" s="36">
        <f t="shared" si="447"/>
        <v>320</v>
      </c>
      <c r="AF1314" s="36">
        <f t="shared" si="447"/>
        <v>179</v>
      </c>
      <c r="AG1314" s="36" t="str">
        <f t="shared" si="447"/>
        <v>TIJ</v>
      </c>
    </row>
    <row r="1315" spans="18:33" x14ac:dyDescent="0.25">
      <c r="R1315">
        <v>1301</v>
      </c>
      <c r="S1315" s="36" t="str">
        <f t="shared" si="443"/>
        <v>INTERAVIÓN</v>
      </c>
      <c r="T1315" s="36">
        <f t="shared" si="443"/>
        <v>411</v>
      </c>
      <c r="U1315" s="73">
        <v>0.84513888888888899</v>
      </c>
      <c r="V1315" s="74">
        <v>0.85277777777777775</v>
      </c>
      <c r="W1315" s="75">
        <v>7.6388888888887507E-3</v>
      </c>
      <c r="X1315" s="74">
        <v>0.8618055555555556</v>
      </c>
      <c r="Y1315" s="75">
        <v>9.0277777777778567E-3</v>
      </c>
      <c r="Z1315" s="76">
        <v>41740</v>
      </c>
      <c r="AA1315" s="36" t="str">
        <f t="shared" si="447"/>
        <v>Nacional</v>
      </c>
      <c r="AB1315" s="36">
        <f t="shared" si="447"/>
        <v>8.625730994152014E-3</v>
      </c>
      <c r="AC1315" s="36">
        <f t="shared" si="447"/>
        <v>1.019736842105266E-2</v>
      </c>
      <c r="AD1315" s="36">
        <f t="shared" si="447"/>
        <v>1.8823099415204672E-2</v>
      </c>
      <c r="AE1315" s="36">
        <f t="shared" si="447"/>
        <v>320</v>
      </c>
      <c r="AF1315" s="36">
        <f t="shared" si="447"/>
        <v>179</v>
      </c>
      <c r="AG1315" s="36" t="str">
        <f t="shared" si="447"/>
        <v>TIJ</v>
      </c>
    </row>
    <row r="1316" spans="18:33" x14ac:dyDescent="0.25">
      <c r="R1316">
        <v>1302</v>
      </c>
      <c r="S1316" s="36" t="str">
        <f t="shared" si="443"/>
        <v>INTERAVIÓN</v>
      </c>
      <c r="T1316" s="36">
        <f t="shared" si="443"/>
        <v>411</v>
      </c>
      <c r="U1316" s="73">
        <v>0.84861111111111109</v>
      </c>
      <c r="V1316" s="74">
        <v>0.85416666666666663</v>
      </c>
      <c r="W1316" s="75">
        <v>5.5555555555555358E-3</v>
      </c>
      <c r="X1316" s="74">
        <v>0.8652777777777777</v>
      </c>
      <c r="Y1316" s="75">
        <v>1.1111111111111072E-2</v>
      </c>
      <c r="Z1316" s="76">
        <v>41741</v>
      </c>
      <c r="AA1316" s="36" t="str">
        <f t="shared" si="447"/>
        <v>Nacional</v>
      </c>
      <c r="AB1316" s="36">
        <f t="shared" si="447"/>
        <v>8.625730994152014E-3</v>
      </c>
      <c r="AC1316" s="36">
        <f t="shared" si="447"/>
        <v>1.019736842105266E-2</v>
      </c>
      <c r="AD1316" s="36">
        <f t="shared" si="447"/>
        <v>1.8823099415204672E-2</v>
      </c>
      <c r="AE1316" s="36">
        <f t="shared" si="447"/>
        <v>320</v>
      </c>
      <c r="AF1316" s="36">
        <f t="shared" si="447"/>
        <v>179</v>
      </c>
      <c r="AG1316" s="36" t="str">
        <f t="shared" si="447"/>
        <v>TIJ</v>
      </c>
    </row>
    <row r="1317" spans="18:33" x14ac:dyDescent="0.25">
      <c r="R1317">
        <v>1303</v>
      </c>
      <c r="S1317" s="36" t="str">
        <f t="shared" si="443"/>
        <v>INTERAVIÓN</v>
      </c>
      <c r="T1317" s="36">
        <f t="shared" si="443"/>
        <v>411</v>
      </c>
      <c r="U1317" s="73">
        <v>0.8354166666666667</v>
      </c>
      <c r="V1317" s="74">
        <v>0.86111111111111116</v>
      </c>
      <c r="W1317" s="75">
        <v>2.5694444444444464E-2</v>
      </c>
      <c r="X1317" s="74">
        <v>0.8652777777777777</v>
      </c>
      <c r="Y1317" s="75">
        <v>4.1666666666665408E-3</v>
      </c>
      <c r="Z1317" s="76">
        <v>41743</v>
      </c>
      <c r="AA1317" s="36" t="str">
        <f t="shared" si="447"/>
        <v>Nacional</v>
      </c>
      <c r="AB1317" s="36">
        <f t="shared" si="447"/>
        <v>8.625730994152014E-3</v>
      </c>
      <c r="AC1317" s="36">
        <f t="shared" si="447"/>
        <v>1.019736842105266E-2</v>
      </c>
      <c r="AD1317" s="36">
        <f t="shared" si="447"/>
        <v>1.8823099415204672E-2</v>
      </c>
      <c r="AE1317" s="36">
        <f t="shared" si="447"/>
        <v>320</v>
      </c>
      <c r="AF1317" s="36">
        <f t="shared" si="447"/>
        <v>179</v>
      </c>
      <c r="AG1317" s="36" t="str">
        <f t="shared" si="447"/>
        <v>TIJ</v>
      </c>
    </row>
    <row r="1318" spans="18:33" x14ac:dyDescent="0.25">
      <c r="R1318">
        <v>1304</v>
      </c>
      <c r="S1318" s="36" t="str">
        <f t="shared" si="443"/>
        <v>INTERAVIÓN</v>
      </c>
      <c r="T1318" s="36">
        <f t="shared" si="443"/>
        <v>411</v>
      </c>
      <c r="U1318" s="73">
        <v>0.8354166666666667</v>
      </c>
      <c r="V1318" s="74">
        <v>0.84236111111111101</v>
      </c>
      <c r="W1318" s="75">
        <v>6.9444444444443088E-3</v>
      </c>
      <c r="X1318" s="74">
        <v>0.85069444444444453</v>
      </c>
      <c r="Y1318" s="75">
        <v>8.3333333333335258E-3</v>
      </c>
      <c r="Z1318" s="76">
        <v>41745</v>
      </c>
      <c r="AA1318" s="36" t="str">
        <f t="shared" si="447"/>
        <v>Nacional</v>
      </c>
      <c r="AB1318" s="36">
        <f t="shared" si="447"/>
        <v>8.625730994152014E-3</v>
      </c>
      <c r="AC1318" s="36">
        <f t="shared" si="447"/>
        <v>1.019736842105266E-2</v>
      </c>
      <c r="AD1318" s="36">
        <f t="shared" si="447"/>
        <v>1.8823099415204672E-2</v>
      </c>
      <c r="AE1318" s="36">
        <f t="shared" si="447"/>
        <v>320</v>
      </c>
      <c r="AF1318" s="36">
        <f t="shared" si="447"/>
        <v>179</v>
      </c>
      <c r="AG1318" s="36" t="str">
        <f t="shared" si="447"/>
        <v>TIJ</v>
      </c>
    </row>
    <row r="1319" spans="18:33" x14ac:dyDescent="0.25">
      <c r="R1319">
        <v>1305</v>
      </c>
      <c r="S1319" s="36" t="str">
        <f t="shared" si="443"/>
        <v>INTERAVIÓN</v>
      </c>
      <c r="T1319" s="36">
        <f t="shared" si="443"/>
        <v>411</v>
      </c>
      <c r="U1319" s="73">
        <v>0.85555555555555562</v>
      </c>
      <c r="V1319" s="74">
        <v>0.86111111111111116</v>
      </c>
      <c r="W1319" s="75">
        <v>5.5555555555555358E-3</v>
      </c>
      <c r="X1319" s="74">
        <v>0.87152777777777779</v>
      </c>
      <c r="Y1319" s="75">
        <v>1.041666666666663E-2</v>
      </c>
      <c r="Z1319" s="76">
        <v>41744</v>
      </c>
      <c r="AA1319" s="36" t="str">
        <f t="shared" si="447"/>
        <v>Nacional</v>
      </c>
      <c r="AB1319" s="36">
        <f t="shared" si="447"/>
        <v>8.625730994152014E-3</v>
      </c>
      <c r="AC1319" s="36">
        <f t="shared" si="447"/>
        <v>1.019736842105266E-2</v>
      </c>
      <c r="AD1319" s="36">
        <f t="shared" si="447"/>
        <v>1.8823099415204672E-2</v>
      </c>
      <c r="AE1319" s="36">
        <f t="shared" si="447"/>
        <v>320</v>
      </c>
      <c r="AF1319" s="36">
        <f t="shared" si="447"/>
        <v>179</v>
      </c>
      <c r="AG1319" s="36" t="str">
        <f t="shared" si="447"/>
        <v>TIJ</v>
      </c>
    </row>
    <row r="1320" spans="18:33" x14ac:dyDescent="0.25">
      <c r="R1320">
        <v>1306</v>
      </c>
      <c r="S1320" s="36" t="str">
        <f t="shared" si="443"/>
        <v>INTERAVIÓN</v>
      </c>
      <c r="T1320" s="36">
        <f t="shared" si="443"/>
        <v>411</v>
      </c>
      <c r="U1320" s="73">
        <v>0.84791666666666676</v>
      </c>
      <c r="V1320" s="74">
        <v>0.85416666666666663</v>
      </c>
      <c r="W1320" s="75">
        <v>6.2499999999998668E-3</v>
      </c>
      <c r="X1320" s="74">
        <v>0.86736111111111114</v>
      </c>
      <c r="Y1320" s="75">
        <v>1.3194444444444509E-2</v>
      </c>
      <c r="Z1320" s="76">
        <v>41749</v>
      </c>
      <c r="AA1320" s="36" t="str">
        <f t="shared" si="447"/>
        <v>Nacional</v>
      </c>
      <c r="AB1320" s="36">
        <f t="shared" si="447"/>
        <v>8.625730994152014E-3</v>
      </c>
      <c r="AC1320" s="36">
        <f t="shared" si="447"/>
        <v>1.019736842105266E-2</v>
      </c>
      <c r="AD1320" s="36">
        <f t="shared" si="447"/>
        <v>1.8823099415204672E-2</v>
      </c>
      <c r="AE1320" s="36">
        <f t="shared" si="447"/>
        <v>320</v>
      </c>
      <c r="AF1320" s="36">
        <f t="shared" si="447"/>
        <v>179</v>
      </c>
      <c r="AG1320" s="36" t="str">
        <f t="shared" si="447"/>
        <v>TIJ</v>
      </c>
    </row>
    <row r="1321" spans="18:33" x14ac:dyDescent="0.25">
      <c r="R1321">
        <v>1307</v>
      </c>
      <c r="S1321" s="36" t="str">
        <f t="shared" si="443"/>
        <v>INTERAVIÓN</v>
      </c>
      <c r="T1321" s="36">
        <f t="shared" si="443"/>
        <v>411</v>
      </c>
      <c r="U1321" s="73">
        <v>0.84791666666666676</v>
      </c>
      <c r="V1321" s="74">
        <v>0.8520833333333333</v>
      </c>
      <c r="W1321" s="75">
        <v>4.1666666666665408E-3</v>
      </c>
      <c r="X1321" s="74">
        <v>0.86388888888888893</v>
      </c>
      <c r="Y1321" s="75">
        <v>1.1805555555555625E-2</v>
      </c>
      <c r="Z1321" s="76">
        <v>41749</v>
      </c>
      <c r="AA1321" s="36" t="str">
        <f t="shared" si="447"/>
        <v>Nacional</v>
      </c>
      <c r="AB1321" s="36">
        <f t="shared" si="447"/>
        <v>8.625730994152014E-3</v>
      </c>
      <c r="AC1321" s="36">
        <f t="shared" si="447"/>
        <v>1.019736842105266E-2</v>
      </c>
      <c r="AD1321" s="36">
        <f t="shared" si="447"/>
        <v>1.8823099415204672E-2</v>
      </c>
      <c r="AE1321" s="36">
        <f t="shared" si="447"/>
        <v>320</v>
      </c>
      <c r="AF1321" s="36">
        <f t="shared" si="447"/>
        <v>179</v>
      </c>
      <c r="AG1321" s="36" t="str">
        <f t="shared" si="447"/>
        <v>TIJ</v>
      </c>
    </row>
    <row r="1322" spans="18:33" x14ac:dyDescent="0.25">
      <c r="R1322">
        <v>1308</v>
      </c>
      <c r="S1322" s="36" t="str">
        <f t="shared" si="443"/>
        <v>INTERAVIÓN</v>
      </c>
      <c r="T1322" s="36">
        <f t="shared" si="443"/>
        <v>411</v>
      </c>
      <c r="U1322" s="73">
        <v>0.85069444444444453</v>
      </c>
      <c r="V1322" s="74">
        <v>0.85972222222222217</v>
      </c>
      <c r="W1322" s="75">
        <v>9.0277777777776347E-3</v>
      </c>
      <c r="X1322" s="74">
        <v>0.86458333333333337</v>
      </c>
      <c r="Y1322" s="75">
        <v>4.8611111111112049E-3</v>
      </c>
      <c r="Z1322" s="76">
        <v>41751</v>
      </c>
      <c r="AA1322" s="36" t="str">
        <f t="shared" si="447"/>
        <v>Nacional</v>
      </c>
      <c r="AB1322" s="36">
        <f t="shared" si="447"/>
        <v>8.625730994152014E-3</v>
      </c>
      <c r="AC1322" s="36">
        <f t="shared" si="447"/>
        <v>1.019736842105266E-2</v>
      </c>
      <c r="AD1322" s="36">
        <f t="shared" si="447"/>
        <v>1.8823099415204672E-2</v>
      </c>
      <c r="AE1322" s="36">
        <f t="shared" si="447"/>
        <v>320</v>
      </c>
      <c r="AF1322" s="36">
        <f t="shared" si="447"/>
        <v>179</v>
      </c>
      <c r="AG1322" s="36" t="str">
        <f t="shared" si="447"/>
        <v>TIJ</v>
      </c>
    </row>
    <row r="1323" spans="18:33" x14ac:dyDescent="0.25">
      <c r="R1323">
        <v>1309</v>
      </c>
      <c r="S1323" s="36" t="str">
        <f t="shared" si="443"/>
        <v>INTERAVIÓN</v>
      </c>
      <c r="T1323" s="36">
        <f t="shared" si="443"/>
        <v>411</v>
      </c>
      <c r="U1323" s="73">
        <v>0.84444444444444444</v>
      </c>
      <c r="V1323" s="74">
        <v>0.85069444444444453</v>
      </c>
      <c r="W1323" s="75">
        <v>6.2500000000000888E-3</v>
      </c>
      <c r="X1323" s="74">
        <v>0.86111111111111116</v>
      </c>
      <c r="Y1323" s="75">
        <v>1.041666666666663E-2</v>
      </c>
      <c r="Z1323" s="76">
        <v>41753</v>
      </c>
      <c r="AA1323" s="36" t="str">
        <f t="shared" si="447"/>
        <v>Nacional</v>
      </c>
      <c r="AB1323" s="36">
        <f t="shared" si="447"/>
        <v>8.625730994152014E-3</v>
      </c>
      <c r="AC1323" s="36">
        <f t="shared" si="447"/>
        <v>1.019736842105266E-2</v>
      </c>
      <c r="AD1323" s="36">
        <f t="shared" si="447"/>
        <v>1.8823099415204672E-2</v>
      </c>
      <c r="AE1323" s="36">
        <f t="shared" si="447"/>
        <v>320</v>
      </c>
      <c r="AF1323" s="36">
        <f t="shared" si="447"/>
        <v>179</v>
      </c>
      <c r="AG1323" s="36" t="str">
        <f t="shared" si="447"/>
        <v>TIJ</v>
      </c>
    </row>
    <row r="1324" spans="18:33" x14ac:dyDescent="0.25">
      <c r="R1324">
        <v>1310</v>
      </c>
      <c r="S1324" s="36" t="str">
        <f t="shared" si="443"/>
        <v>INTERAVIÓN</v>
      </c>
      <c r="T1324" s="36">
        <f t="shared" si="443"/>
        <v>411</v>
      </c>
      <c r="U1324" s="73">
        <v>0.83680555555555547</v>
      </c>
      <c r="V1324" s="74">
        <v>0.84305555555555556</v>
      </c>
      <c r="W1324" s="75">
        <v>6.2500000000000888E-3</v>
      </c>
      <c r="X1324" s="74">
        <v>0.85625000000000007</v>
      </c>
      <c r="Y1324" s="75">
        <v>1.3194444444444509E-2</v>
      </c>
      <c r="Z1324" s="76">
        <v>41755</v>
      </c>
      <c r="AA1324" s="36" t="str">
        <f t="shared" si="447"/>
        <v>Nacional</v>
      </c>
      <c r="AB1324" s="36">
        <f t="shared" si="447"/>
        <v>8.625730994152014E-3</v>
      </c>
      <c r="AC1324" s="36">
        <f t="shared" si="447"/>
        <v>1.019736842105266E-2</v>
      </c>
      <c r="AD1324" s="36">
        <f t="shared" si="447"/>
        <v>1.8823099415204672E-2</v>
      </c>
      <c r="AE1324" s="36">
        <f t="shared" si="447"/>
        <v>320</v>
      </c>
      <c r="AF1324" s="36">
        <f t="shared" si="447"/>
        <v>179</v>
      </c>
      <c r="AG1324" s="36" t="str">
        <f t="shared" si="447"/>
        <v>TIJ</v>
      </c>
    </row>
    <row r="1325" spans="18:33" x14ac:dyDescent="0.25">
      <c r="R1325">
        <v>1311</v>
      </c>
      <c r="S1325" s="36" t="str">
        <f t="shared" si="443"/>
        <v>INTERAVIÓN</v>
      </c>
      <c r="T1325" s="36">
        <f t="shared" si="443"/>
        <v>411</v>
      </c>
      <c r="U1325" s="73">
        <v>0.8305555555555556</v>
      </c>
      <c r="V1325" s="74">
        <v>0.83750000000000002</v>
      </c>
      <c r="W1325" s="75">
        <v>6.9444444444444198E-3</v>
      </c>
      <c r="X1325" s="74">
        <v>0.85</v>
      </c>
      <c r="Y1325" s="75">
        <v>1.2499999999999956E-2</v>
      </c>
      <c r="Z1325" s="76">
        <v>41757</v>
      </c>
      <c r="AA1325" s="36" t="str">
        <f t="shared" si="447"/>
        <v>Nacional</v>
      </c>
      <c r="AB1325" s="36">
        <f t="shared" si="447"/>
        <v>8.625730994152014E-3</v>
      </c>
      <c r="AC1325" s="36">
        <f t="shared" si="447"/>
        <v>1.019736842105266E-2</v>
      </c>
      <c r="AD1325" s="36">
        <f t="shared" si="447"/>
        <v>1.8823099415204672E-2</v>
      </c>
      <c r="AE1325" s="36">
        <f t="shared" si="447"/>
        <v>320</v>
      </c>
      <c r="AF1325" s="36">
        <f t="shared" si="447"/>
        <v>179</v>
      </c>
      <c r="AG1325" s="36" t="str">
        <f t="shared" si="447"/>
        <v>TIJ</v>
      </c>
    </row>
    <row r="1326" spans="18:33" x14ac:dyDescent="0.25">
      <c r="R1326">
        <v>1312</v>
      </c>
      <c r="S1326" s="36" t="str">
        <f t="shared" si="443"/>
        <v>INTERAVIÓN</v>
      </c>
      <c r="T1326" s="36">
        <f t="shared" si="443"/>
        <v>411</v>
      </c>
      <c r="U1326" s="73">
        <v>0.84444444444444444</v>
      </c>
      <c r="V1326" s="74">
        <v>0.8520833333333333</v>
      </c>
      <c r="W1326" s="75">
        <v>7.6388888888888618E-3</v>
      </c>
      <c r="X1326" s="74">
        <v>0.86111111111111116</v>
      </c>
      <c r="Y1326" s="75">
        <v>9.0277777777778567E-3</v>
      </c>
      <c r="Z1326" s="76">
        <v>41759</v>
      </c>
      <c r="AA1326" s="36" t="str">
        <f t="shared" si="447"/>
        <v>Nacional</v>
      </c>
      <c r="AB1326" s="36">
        <f t="shared" si="447"/>
        <v>8.625730994152014E-3</v>
      </c>
      <c r="AC1326" s="36">
        <f t="shared" si="447"/>
        <v>1.019736842105266E-2</v>
      </c>
      <c r="AD1326" s="36">
        <f t="shared" si="447"/>
        <v>1.8823099415204672E-2</v>
      </c>
      <c r="AE1326" s="36">
        <f t="shared" si="447"/>
        <v>320</v>
      </c>
      <c r="AF1326" s="36">
        <f t="shared" si="447"/>
        <v>179</v>
      </c>
      <c r="AG1326" s="36" t="str">
        <f t="shared" si="447"/>
        <v>TIJ</v>
      </c>
    </row>
    <row r="1327" spans="18:33" ht="15.75" thickBot="1" x14ac:dyDescent="0.3">
      <c r="R1327">
        <v>1313</v>
      </c>
      <c r="S1327" s="36" t="str">
        <f t="shared" si="443"/>
        <v>INTERAVIÓN</v>
      </c>
      <c r="T1327" s="36">
        <f t="shared" si="443"/>
        <v>411</v>
      </c>
      <c r="U1327" s="83">
        <v>0.84027777777777779</v>
      </c>
      <c r="V1327" s="84">
        <v>0.85277777777777775</v>
      </c>
      <c r="W1327" s="85">
        <v>1.2499999999999956E-2</v>
      </c>
      <c r="X1327" s="84">
        <v>0.86111111111111116</v>
      </c>
      <c r="Y1327" s="85">
        <v>8.3333333333334147E-3</v>
      </c>
      <c r="Z1327" s="86">
        <v>41759</v>
      </c>
      <c r="AA1327" s="36" t="str">
        <f t="shared" si="447"/>
        <v>Nacional</v>
      </c>
      <c r="AB1327" s="36">
        <f t="shared" si="447"/>
        <v>8.625730994152014E-3</v>
      </c>
      <c r="AC1327" s="36">
        <f t="shared" si="447"/>
        <v>1.019736842105266E-2</v>
      </c>
      <c r="AD1327" s="36">
        <f t="shared" si="447"/>
        <v>1.8823099415204672E-2</v>
      </c>
      <c r="AE1327" s="36">
        <f t="shared" si="447"/>
        <v>320</v>
      </c>
      <c r="AF1327" s="36">
        <f t="shared" si="447"/>
        <v>179</v>
      </c>
      <c r="AG1327" s="36" t="str">
        <f t="shared" si="447"/>
        <v>TIJ</v>
      </c>
    </row>
    <row r="1328" spans="18:33" x14ac:dyDescent="0.25">
      <c r="R1328">
        <v>1314</v>
      </c>
      <c r="S1328" s="45" t="s">
        <v>65</v>
      </c>
      <c r="T1328" s="55">
        <v>236</v>
      </c>
      <c r="U1328" s="56">
        <v>0.58680555555555558</v>
      </c>
      <c r="V1328" s="57">
        <v>0.59375</v>
      </c>
      <c r="W1328" s="58">
        <v>6.9444444444444198E-3</v>
      </c>
      <c r="X1328" s="57">
        <v>0.6020833333333333</v>
      </c>
      <c r="Y1328" s="58">
        <v>8.3333333333333037E-3</v>
      </c>
      <c r="Z1328" s="59">
        <v>41733</v>
      </c>
      <c r="AA1328" s="60" t="s">
        <v>19</v>
      </c>
      <c r="AB1328" s="61">
        <v>8.2947530864197552E-3</v>
      </c>
      <c r="AC1328" s="61">
        <v>4.5524691358024656E-3</v>
      </c>
      <c r="AD1328" s="131">
        <v>1.2847222222222222E-2</v>
      </c>
      <c r="AE1328" s="191">
        <v>320</v>
      </c>
      <c r="AF1328" s="191">
        <v>179</v>
      </c>
      <c r="AG1328" s="192" t="s">
        <v>37</v>
      </c>
    </row>
    <row r="1329" spans="18:33" x14ac:dyDescent="0.25">
      <c r="R1329">
        <v>1315</v>
      </c>
      <c r="S1329" s="36" t="str">
        <f t="shared" ref="S1329:T1354" si="448">S1328</f>
        <v>INTERAVIÓN</v>
      </c>
      <c r="T1329" s="36">
        <f t="shared" si="448"/>
        <v>236</v>
      </c>
      <c r="U1329" s="73">
        <v>0.89236111111111116</v>
      </c>
      <c r="V1329" s="74">
        <v>0.89722222222222225</v>
      </c>
      <c r="W1329" s="75">
        <v>4.8611111111110938E-3</v>
      </c>
      <c r="X1329" s="74">
        <v>0.90069444444444446</v>
      </c>
      <c r="Y1329" s="75">
        <v>3.4722222222222099E-3</v>
      </c>
      <c r="Z1329" s="76">
        <v>41731</v>
      </c>
      <c r="AA1329" s="36" t="str">
        <f t="shared" ref="AA1329:AG1345" si="449">AA1328</f>
        <v>Nacional</v>
      </c>
      <c r="AB1329" s="36">
        <f t="shared" si="449"/>
        <v>8.2947530864197552E-3</v>
      </c>
      <c r="AC1329" s="36">
        <f t="shared" si="449"/>
        <v>4.5524691358024656E-3</v>
      </c>
      <c r="AD1329" s="36">
        <f t="shared" si="449"/>
        <v>1.2847222222222222E-2</v>
      </c>
      <c r="AE1329" s="36">
        <f t="shared" si="449"/>
        <v>320</v>
      </c>
      <c r="AF1329" s="36">
        <f t="shared" si="449"/>
        <v>179</v>
      </c>
      <c r="AG1329" s="36" t="str">
        <f t="shared" si="449"/>
        <v>MTV</v>
      </c>
    </row>
    <row r="1330" spans="18:33" x14ac:dyDescent="0.25">
      <c r="R1330">
        <v>1316</v>
      </c>
      <c r="S1330" s="36" t="str">
        <f t="shared" si="448"/>
        <v>INTERAVIÓN</v>
      </c>
      <c r="T1330" s="36">
        <f t="shared" si="448"/>
        <v>236</v>
      </c>
      <c r="U1330" s="73">
        <v>0.88888888888888884</v>
      </c>
      <c r="V1330" s="74">
        <v>0.8965277777777777</v>
      </c>
      <c r="W1330" s="75">
        <v>7.6388888888888618E-3</v>
      </c>
      <c r="X1330" s="74">
        <v>0.89930555555555547</v>
      </c>
      <c r="Y1330" s="75">
        <v>2.7777777777777679E-3</v>
      </c>
      <c r="Z1330" s="76">
        <v>41732</v>
      </c>
      <c r="AA1330" s="36" t="str">
        <f t="shared" si="449"/>
        <v>Nacional</v>
      </c>
      <c r="AB1330" s="36">
        <f t="shared" si="449"/>
        <v>8.2947530864197552E-3</v>
      </c>
      <c r="AC1330" s="36">
        <f t="shared" si="449"/>
        <v>4.5524691358024656E-3</v>
      </c>
      <c r="AD1330" s="36">
        <f t="shared" si="449"/>
        <v>1.2847222222222222E-2</v>
      </c>
      <c r="AE1330" s="36">
        <f t="shared" si="449"/>
        <v>320</v>
      </c>
      <c r="AF1330" s="36">
        <f t="shared" si="449"/>
        <v>179</v>
      </c>
      <c r="AG1330" s="36" t="str">
        <f t="shared" si="449"/>
        <v>MTV</v>
      </c>
    </row>
    <row r="1331" spans="18:33" x14ac:dyDescent="0.25">
      <c r="R1331">
        <v>1317</v>
      </c>
      <c r="S1331" s="36" t="str">
        <f t="shared" si="448"/>
        <v>INTERAVIÓN</v>
      </c>
      <c r="T1331" s="36">
        <f t="shared" si="448"/>
        <v>236</v>
      </c>
      <c r="U1331" s="73">
        <v>0.39583333333333331</v>
      </c>
      <c r="V1331" s="74">
        <v>0.3972222222222222</v>
      </c>
      <c r="W1331" s="75">
        <v>1.388888888888884E-3</v>
      </c>
      <c r="X1331" s="74">
        <v>0.39861111111111108</v>
      </c>
      <c r="Y1331" s="75">
        <v>1.388888888888884E-3</v>
      </c>
      <c r="Z1331" s="76">
        <v>41735</v>
      </c>
      <c r="AA1331" s="36" t="str">
        <f t="shared" si="449"/>
        <v>Nacional</v>
      </c>
      <c r="AB1331" s="36">
        <f t="shared" si="449"/>
        <v>8.2947530864197552E-3</v>
      </c>
      <c r="AC1331" s="36">
        <f t="shared" si="449"/>
        <v>4.5524691358024656E-3</v>
      </c>
      <c r="AD1331" s="36">
        <f t="shared" si="449"/>
        <v>1.2847222222222222E-2</v>
      </c>
      <c r="AE1331" s="36">
        <f t="shared" si="449"/>
        <v>320</v>
      </c>
      <c r="AF1331" s="36">
        <f t="shared" si="449"/>
        <v>179</v>
      </c>
      <c r="AG1331" s="36" t="str">
        <f t="shared" si="449"/>
        <v>MTV</v>
      </c>
    </row>
    <row r="1332" spans="18:33" x14ac:dyDescent="0.25">
      <c r="R1332">
        <v>1318</v>
      </c>
      <c r="S1332" s="36" t="str">
        <f t="shared" si="448"/>
        <v>INTERAVIÓN</v>
      </c>
      <c r="T1332" s="36">
        <f t="shared" si="448"/>
        <v>236</v>
      </c>
      <c r="U1332" s="73">
        <v>0.90069444444444446</v>
      </c>
      <c r="V1332" s="74">
        <v>0.90972222222222221</v>
      </c>
      <c r="W1332" s="75">
        <v>9.0277777777777457E-3</v>
      </c>
      <c r="X1332" s="74">
        <v>0.91736111111111107</v>
      </c>
      <c r="Y1332" s="75">
        <v>7.6388888888888618E-3</v>
      </c>
      <c r="Z1332" s="76">
        <v>41736</v>
      </c>
      <c r="AA1332" s="36" t="str">
        <f t="shared" si="449"/>
        <v>Nacional</v>
      </c>
      <c r="AB1332" s="36">
        <f t="shared" si="449"/>
        <v>8.2947530864197552E-3</v>
      </c>
      <c r="AC1332" s="36">
        <f t="shared" si="449"/>
        <v>4.5524691358024656E-3</v>
      </c>
      <c r="AD1332" s="36">
        <f t="shared" si="449"/>
        <v>1.2847222222222222E-2</v>
      </c>
      <c r="AE1332" s="36">
        <f t="shared" si="449"/>
        <v>320</v>
      </c>
      <c r="AF1332" s="36">
        <f t="shared" si="449"/>
        <v>179</v>
      </c>
      <c r="AG1332" s="36" t="str">
        <f t="shared" si="449"/>
        <v>MTV</v>
      </c>
    </row>
    <row r="1333" spans="18:33" x14ac:dyDescent="0.25">
      <c r="R1333">
        <v>1319</v>
      </c>
      <c r="S1333" s="36" t="str">
        <f t="shared" si="448"/>
        <v>INTERAVIÓN</v>
      </c>
      <c r="T1333" s="36">
        <f t="shared" si="448"/>
        <v>236</v>
      </c>
      <c r="U1333" s="73">
        <v>0.89027777777777783</v>
      </c>
      <c r="V1333" s="74">
        <v>0.89513888888888893</v>
      </c>
      <c r="W1333" s="75">
        <v>4.8611111111110938E-3</v>
      </c>
      <c r="X1333" s="74">
        <v>0.89722222222222225</v>
      </c>
      <c r="Y1333" s="75">
        <v>2.0833333333333259E-3</v>
      </c>
      <c r="Z1333" s="76">
        <v>41736</v>
      </c>
      <c r="AA1333" s="36" t="str">
        <f t="shared" si="449"/>
        <v>Nacional</v>
      </c>
      <c r="AB1333" s="36">
        <f t="shared" si="449"/>
        <v>8.2947530864197552E-3</v>
      </c>
      <c r="AC1333" s="36">
        <f t="shared" si="449"/>
        <v>4.5524691358024656E-3</v>
      </c>
      <c r="AD1333" s="36">
        <f t="shared" si="449"/>
        <v>1.2847222222222222E-2</v>
      </c>
      <c r="AE1333" s="36">
        <f t="shared" si="449"/>
        <v>320</v>
      </c>
      <c r="AF1333" s="36">
        <f t="shared" si="449"/>
        <v>179</v>
      </c>
      <c r="AG1333" s="36" t="str">
        <f t="shared" si="449"/>
        <v>MTV</v>
      </c>
    </row>
    <row r="1334" spans="18:33" x14ac:dyDescent="0.25">
      <c r="R1334">
        <v>1320</v>
      </c>
      <c r="S1334" s="36" t="str">
        <f t="shared" si="448"/>
        <v>INTERAVIÓN</v>
      </c>
      <c r="T1334" s="36">
        <f t="shared" si="448"/>
        <v>236</v>
      </c>
      <c r="U1334" s="73">
        <v>0.88888888888888884</v>
      </c>
      <c r="V1334" s="74">
        <v>0.8979166666666667</v>
      </c>
      <c r="W1334" s="75">
        <v>9.0277777777778567E-3</v>
      </c>
      <c r="X1334" s="74">
        <v>0.9</v>
      </c>
      <c r="Y1334" s="75">
        <v>2.0833333333333259E-3</v>
      </c>
      <c r="Z1334" s="76">
        <v>41738</v>
      </c>
      <c r="AA1334" s="36" t="str">
        <f t="shared" si="449"/>
        <v>Nacional</v>
      </c>
      <c r="AB1334" s="36">
        <f t="shared" si="449"/>
        <v>8.2947530864197552E-3</v>
      </c>
      <c r="AC1334" s="36">
        <f t="shared" si="449"/>
        <v>4.5524691358024656E-3</v>
      </c>
      <c r="AD1334" s="36">
        <f t="shared" si="449"/>
        <v>1.2847222222222222E-2</v>
      </c>
      <c r="AE1334" s="36">
        <f t="shared" si="449"/>
        <v>320</v>
      </c>
      <c r="AF1334" s="36">
        <f t="shared" si="449"/>
        <v>179</v>
      </c>
      <c r="AG1334" s="36" t="str">
        <f t="shared" si="449"/>
        <v>MTV</v>
      </c>
    </row>
    <row r="1335" spans="18:33" x14ac:dyDescent="0.25">
      <c r="R1335">
        <v>1321</v>
      </c>
      <c r="S1335" s="36" t="str">
        <f t="shared" si="448"/>
        <v>INTERAVIÓN</v>
      </c>
      <c r="T1335" s="36">
        <f t="shared" si="448"/>
        <v>236</v>
      </c>
      <c r="U1335" s="73">
        <v>0.8965277777777777</v>
      </c>
      <c r="V1335" s="74">
        <v>0.90416666666666667</v>
      </c>
      <c r="W1335" s="75">
        <v>7.6388888888889728E-3</v>
      </c>
      <c r="X1335" s="74">
        <v>0.90833333333333333</v>
      </c>
      <c r="Y1335" s="75">
        <v>4.1666666666666519E-3</v>
      </c>
      <c r="Z1335" s="76">
        <v>41739</v>
      </c>
      <c r="AA1335" s="36" t="str">
        <f t="shared" si="449"/>
        <v>Nacional</v>
      </c>
      <c r="AB1335" s="36">
        <f t="shared" si="449"/>
        <v>8.2947530864197552E-3</v>
      </c>
      <c r="AC1335" s="36">
        <f t="shared" si="449"/>
        <v>4.5524691358024656E-3</v>
      </c>
      <c r="AD1335" s="36">
        <f t="shared" si="449"/>
        <v>1.2847222222222222E-2</v>
      </c>
      <c r="AE1335" s="36">
        <f t="shared" si="449"/>
        <v>320</v>
      </c>
      <c r="AF1335" s="36">
        <f t="shared" si="449"/>
        <v>179</v>
      </c>
      <c r="AG1335" s="36" t="str">
        <f t="shared" si="449"/>
        <v>MTV</v>
      </c>
    </row>
    <row r="1336" spans="18:33" x14ac:dyDescent="0.25">
      <c r="R1336">
        <v>1322</v>
      </c>
      <c r="S1336" s="36" t="str">
        <f t="shared" si="448"/>
        <v>INTERAVIÓN</v>
      </c>
      <c r="T1336" s="36">
        <f t="shared" si="448"/>
        <v>236</v>
      </c>
      <c r="U1336" s="73">
        <v>0.88958333333333339</v>
      </c>
      <c r="V1336" s="74">
        <v>0.90069444444444446</v>
      </c>
      <c r="W1336" s="75">
        <v>1.1111111111111072E-2</v>
      </c>
      <c r="X1336" s="74">
        <v>0.90694444444444444</v>
      </c>
      <c r="Y1336" s="75">
        <v>6.2499999999999778E-3</v>
      </c>
      <c r="Z1336" s="76">
        <v>41740</v>
      </c>
      <c r="AA1336" s="36" t="str">
        <f t="shared" si="449"/>
        <v>Nacional</v>
      </c>
      <c r="AB1336" s="36">
        <f t="shared" si="449"/>
        <v>8.2947530864197552E-3</v>
      </c>
      <c r="AC1336" s="36">
        <f t="shared" si="449"/>
        <v>4.5524691358024656E-3</v>
      </c>
      <c r="AD1336" s="36">
        <f t="shared" si="449"/>
        <v>1.2847222222222222E-2</v>
      </c>
      <c r="AE1336" s="36">
        <f t="shared" si="449"/>
        <v>320</v>
      </c>
      <c r="AF1336" s="36">
        <f t="shared" si="449"/>
        <v>179</v>
      </c>
      <c r="AG1336" s="36" t="str">
        <f t="shared" si="449"/>
        <v>MTV</v>
      </c>
    </row>
    <row r="1337" spans="18:33" x14ac:dyDescent="0.25">
      <c r="R1337">
        <v>1323</v>
      </c>
      <c r="S1337" s="36" t="str">
        <f t="shared" si="448"/>
        <v>INTERAVIÓN</v>
      </c>
      <c r="T1337" s="36">
        <f t="shared" si="448"/>
        <v>236</v>
      </c>
      <c r="U1337" s="73">
        <v>0.87708333333333333</v>
      </c>
      <c r="V1337" s="74">
        <v>0.88680555555555562</v>
      </c>
      <c r="W1337" s="75">
        <v>9.7222222222222987E-3</v>
      </c>
      <c r="X1337" s="74">
        <v>0.89097222222222217</v>
      </c>
      <c r="Y1337" s="75">
        <v>4.1666666666665408E-3</v>
      </c>
      <c r="Z1337" s="76">
        <v>41743</v>
      </c>
      <c r="AA1337" s="36" t="str">
        <f t="shared" si="449"/>
        <v>Nacional</v>
      </c>
      <c r="AB1337" s="36">
        <f t="shared" si="449"/>
        <v>8.2947530864197552E-3</v>
      </c>
      <c r="AC1337" s="36">
        <f t="shared" si="449"/>
        <v>4.5524691358024656E-3</v>
      </c>
      <c r="AD1337" s="36">
        <f t="shared" si="449"/>
        <v>1.2847222222222222E-2</v>
      </c>
      <c r="AE1337" s="36">
        <f t="shared" si="449"/>
        <v>320</v>
      </c>
      <c r="AF1337" s="36">
        <f t="shared" si="449"/>
        <v>179</v>
      </c>
      <c r="AG1337" s="36" t="str">
        <f t="shared" si="449"/>
        <v>MTV</v>
      </c>
    </row>
    <row r="1338" spans="18:33" x14ac:dyDescent="0.25">
      <c r="R1338">
        <v>1324</v>
      </c>
      <c r="S1338" s="36" t="str">
        <f t="shared" si="448"/>
        <v>INTERAVIÓN</v>
      </c>
      <c r="T1338" s="36">
        <f t="shared" si="448"/>
        <v>236</v>
      </c>
      <c r="U1338" s="73">
        <v>0.8930555555555556</v>
      </c>
      <c r="V1338" s="74">
        <v>0.90138888888888891</v>
      </c>
      <c r="W1338" s="75">
        <v>8.3333333333333037E-3</v>
      </c>
      <c r="X1338" s="74">
        <v>0.90555555555555556</v>
      </c>
      <c r="Y1338" s="75">
        <v>4.1666666666666519E-3</v>
      </c>
      <c r="Z1338" s="76">
        <v>41745</v>
      </c>
      <c r="AA1338" s="36" t="str">
        <f t="shared" si="449"/>
        <v>Nacional</v>
      </c>
      <c r="AB1338" s="36">
        <f t="shared" si="449"/>
        <v>8.2947530864197552E-3</v>
      </c>
      <c r="AC1338" s="36">
        <f t="shared" si="449"/>
        <v>4.5524691358024656E-3</v>
      </c>
      <c r="AD1338" s="36">
        <f t="shared" si="449"/>
        <v>1.2847222222222222E-2</v>
      </c>
      <c r="AE1338" s="36">
        <f t="shared" si="449"/>
        <v>320</v>
      </c>
      <c r="AF1338" s="36">
        <f t="shared" si="449"/>
        <v>179</v>
      </c>
      <c r="AG1338" s="36" t="str">
        <f t="shared" si="449"/>
        <v>MTV</v>
      </c>
    </row>
    <row r="1339" spans="18:33" x14ac:dyDescent="0.25">
      <c r="R1339">
        <v>1325</v>
      </c>
      <c r="S1339" s="36" t="str">
        <f t="shared" si="448"/>
        <v>INTERAVIÓN</v>
      </c>
      <c r="T1339" s="36">
        <f t="shared" si="448"/>
        <v>236</v>
      </c>
      <c r="U1339" s="73">
        <v>0.88541666666666663</v>
      </c>
      <c r="V1339" s="74">
        <v>0.89097222222222217</v>
      </c>
      <c r="W1339" s="75">
        <v>5.5555555555555358E-3</v>
      </c>
      <c r="X1339" s="74">
        <v>0.89236111111111116</v>
      </c>
      <c r="Y1339" s="75">
        <v>1.388888888888995E-3</v>
      </c>
      <c r="Z1339" s="76">
        <v>41746</v>
      </c>
      <c r="AA1339" s="36" t="str">
        <f t="shared" si="449"/>
        <v>Nacional</v>
      </c>
      <c r="AB1339" s="36">
        <f t="shared" si="449"/>
        <v>8.2947530864197552E-3</v>
      </c>
      <c r="AC1339" s="36">
        <f t="shared" si="449"/>
        <v>4.5524691358024656E-3</v>
      </c>
      <c r="AD1339" s="36">
        <f t="shared" si="449"/>
        <v>1.2847222222222222E-2</v>
      </c>
      <c r="AE1339" s="36">
        <f t="shared" si="449"/>
        <v>320</v>
      </c>
      <c r="AF1339" s="36">
        <f t="shared" si="449"/>
        <v>179</v>
      </c>
      <c r="AG1339" s="36" t="str">
        <f t="shared" si="449"/>
        <v>MTV</v>
      </c>
    </row>
    <row r="1340" spans="18:33" x14ac:dyDescent="0.25">
      <c r="R1340">
        <v>1326</v>
      </c>
      <c r="S1340" s="36" t="str">
        <f t="shared" si="448"/>
        <v>INTERAVIÓN</v>
      </c>
      <c r="T1340" s="36">
        <f t="shared" si="448"/>
        <v>236</v>
      </c>
      <c r="U1340" s="73">
        <v>0.90486111111111101</v>
      </c>
      <c r="V1340" s="74">
        <v>0.91388888888888886</v>
      </c>
      <c r="W1340" s="75">
        <v>9.0277777777778567E-3</v>
      </c>
      <c r="X1340" s="74">
        <v>0.92152777777777783</v>
      </c>
      <c r="Y1340" s="75">
        <v>7.6388888888889728E-3</v>
      </c>
      <c r="Z1340" s="76">
        <v>41749</v>
      </c>
      <c r="AA1340" s="36" t="str">
        <f t="shared" si="449"/>
        <v>Nacional</v>
      </c>
      <c r="AB1340" s="36">
        <f t="shared" si="449"/>
        <v>8.2947530864197552E-3</v>
      </c>
      <c r="AC1340" s="36">
        <f t="shared" si="449"/>
        <v>4.5524691358024656E-3</v>
      </c>
      <c r="AD1340" s="36">
        <f t="shared" si="449"/>
        <v>1.2847222222222222E-2</v>
      </c>
      <c r="AE1340" s="36">
        <f t="shared" si="449"/>
        <v>320</v>
      </c>
      <c r="AF1340" s="36">
        <f t="shared" si="449"/>
        <v>179</v>
      </c>
      <c r="AG1340" s="36" t="str">
        <f t="shared" si="449"/>
        <v>MTV</v>
      </c>
    </row>
    <row r="1341" spans="18:33" x14ac:dyDescent="0.25">
      <c r="R1341">
        <v>1327</v>
      </c>
      <c r="S1341" s="36" t="str">
        <f t="shared" si="448"/>
        <v>INTERAVIÓN</v>
      </c>
      <c r="T1341" s="36">
        <f t="shared" si="448"/>
        <v>236</v>
      </c>
      <c r="U1341" s="73">
        <v>0.88402777777777775</v>
      </c>
      <c r="V1341" s="74">
        <v>0.90138888888888891</v>
      </c>
      <c r="W1341" s="75">
        <v>1.736111111111116E-2</v>
      </c>
      <c r="X1341" s="74">
        <v>0.90625</v>
      </c>
      <c r="Y1341" s="75">
        <v>4.8611111111110938E-3</v>
      </c>
      <c r="Z1341" s="76">
        <v>41751</v>
      </c>
      <c r="AA1341" s="36" t="str">
        <f t="shared" si="449"/>
        <v>Nacional</v>
      </c>
      <c r="AB1341" s="36">
        <f t="shared" si="449"/>
        <v>8.2947530864197552E-3</v>
      </c>
      <c r="AC1341" s="36">
        <f t="shared" si="449"/>
        <v>4.5524691358024656E-3</v>
      </c>
      <c r="AD1341" s="36">
        <f t="shared" si="449"/>
        <v>1.2847222222222222E-2</v>
      </c>
      <c r="AE1341" s="36">
        <f t="shared" si="449"/>
        <v>320</v>
      </c>
      <c r="AF1341" s="36">
        <f t="shared" si="449"/>
        <v>179</v>
      </c>
      <c r="AG1341" s="36" t="str">
        <f t="shared" si="449"/>
        <v>MTV</v>
      </c>
    </row>
    <row r="1342" spans="18:33" x14ac:dyDescent="0.25">
      <c r="R1342">
        <v>1328</v>
      </c>
      <c r="S1342" s="36" t="str">
        <f t="shared" si="448"/>
        <v>INTERAVIÓN</v>
      </c>
      <c r="T1342" s="36">
        <f t="shared" si="448"/>
        <v>236</v>
      </c>
      <c r="U1342" s="73">
        <v>0.88541666666666663</v>
      </c>
      <c r="V1342" s="74">
        <v>0.89513888888888893</v>
      </c>
      <c r="W1342" s="75">
        <v>9.7222222222222987E-3</v>
      </c>
      <c r="X1342" s="74">
        <v>0.90138888888888891</v>
      </c>
      <c r="Y1342" s="75">
        <v>6.2499999999999778E-3</v>
      </c>
      <c r="Z1342" s="76">
        <v>41753</v>
      </c>
      <c r="AA1342" s="36" t="str">
        <f t="shared" si="449"/>
        <v>Nacional</v>
      </c>
      <c r="AB1342" s="36">
        <f t="shared" si="449"/>
        <v>8.2947530864197552E-3</v>
      </c>
      <c r="AC1342" s="36">
        <f t="shared" si="449"/>
        <v>4.5524691358024656E-3</v>
      </c>
      <c r="AD1342" s="36">
        <f t="shared" si="449"/>
        <v>1.2847222222222222E-2</v>
      </c>
      <c r="AE1342" s="36">
        <f t="shared" si="449"/>
        <v>320</v>
      </c>
      <c r="AF1342" s="36">
        <f t="shared" si="449"/>
        <v>179</v>
      </c>
      <c r="AG1342" s="36" t="str">
        <f t="shared" si="449"/>
        <v>MTV</v>
      </c>
    </row>
    <row r="1343" spans="18:33" x14ac:dyDescent="0.25">
      <c r="R1343">
        <v>1329</v>
      </c>
      <c r="S1343" s="36" t="str">
        <f t="shared" si="448"/>
        <v>INTERAVIÓN</v>
      </c>
      <c r="T1343" s="36">
        <f t="shared" si="448"/>
        <v>236</v>
      </c>
      <c r="U1343" s="73">
        <v>0.8847222222222223</v>
      </c>
      <c r="V1343" s="74">
        <v>0.89166666666666661</v>
      </c>
      <c r="W1343" s="75">
        <v>6.9444444444443088E-3</v>
      </c>
      <c r="X1343" s="74">
        <v>0.8965277777777777</v>
      </c>
      <c r="Y1343" s="75">
        <v>4.8611111111110938E-3</v>
      </c>
      <c r="Z1343" s="76">
        <v>41757</v>
      </c>
      <c r="AA1343" s="36" t="str">
        <f t="shared" si="449"/>
        <v>Nacional</v>
      </c>
      <c r="AB1343" s="36">
        <f t="shared" si="449"/>
        <v>8.2947530864197552E-3</v>
      </c>
      <c r="AC1343" s="36">
        <f t="shared" si="449"/>
        <v>4.5524691358024656E-3</v>
      </c>
      <c r="AD1343" s="36">
        <f t="shared" si="449"/>
        <v>1.2847222222222222E-2</v>
      </c>
      <c r="AE1343" s="36">
        <f t="shared" si="449"/>
        <v>320</v>
      </c>
      <c r="AF1343" s="36">
        <f t="shared" si="449"/>
        <v>179</v>
      </c>
      <c r="AG1343" s="36" t="str">
        <f t="shared" si="449"/>
        <v>MTV</v>
      </c>
    </row>
    <row r="1344" spans="18:33" x14ac:dyDescent="0.25">
      <c r="R1344">
        <v>1330</v>
      </c>
      <c r="S1344" s="36" t="str">
        <f t="shared" si="448"/>
        <v>INTERAVIÓN</v>
      </c>
      <c r="T1344" s="36">
        <f t="shared" si="448"/>
        <v>236</v>
      </c>
      <c r="U1344" s="73">
        <v>0.8847222222222223</v>
      </c>
      <c r="V1344" s="74">
        <v>0.89374999999999993</v>
      </c>
      <c r="W1344" s="75">
        <v>9.0277777777776347E-3</v>
      </c>
      <c r="X1344" s="74">
        <v>0.8979166666666667</v>
      </c>
      <c r="Y1344" s="75">
        <v>4.1666666666667629E-3</v>
      </c>
      <c r="Z1344" s="76">
        <v>41759</v>
      </c>
      <c r="AA1344" s="36" t="str">
        <f t="shared" si="449"/>
        <v>Nacional</v>
      </c>
      <c r="AB1344" s="36">
        <f t="shared" si="449"/>
        <v>8.2947530864197552E-3</v>
      </c>
      <c r="AC1344" s="36">
        <f t="shared" si="449"/>
        <v>4.5524691358024656E-3</v>
      </c>
      <c r="AD1344" s="36">
        <f t="shared" si="449"/>
        <v>1.2847222222222222E-2</v>
      </c>
      <c r="AE1344" s="36">
        <f t="shared" si="449"/>
        <v>320</v>
      </c>
      <c r="AF1344" s="36">
        <f t="shared" si="449"/>
        <v>179</v>
      </c>
      <c r="AG1344" s="36" t="str">
        <f t="shared" si="449"/>
        <v>MTV</v>
      </c>
    </row>
    <row r="1345" spans="18:33" ht="15.75" thickBot="1" x14ac:dyDescent="0.3">
      <c r="R1345">
        <v>1331</v>
      </c>
      <c r="S1345" s="36" t="str">
        <f t="shared" si="448"/>
        <v>INTERAVIÓN</v>
      </c>
      <c r="T1345" s="36">
        <f t="shared" si="448"/>
        <v>236</v>
      </c>
      <c r="U1345" s="83">
        <v>0.89166666666666661</v>
      </c>
      <c r="V1345" s="84">
        <v>0.90277777777777779</v>
      </c>
      <c r="W1345" s="85">
        <v>1.1111111111111183E-2</v>
      </c>
      <c r="X1345" s="84">
        <v>0.90902777777777777</v>
      </c>
      <c r="Y1345" s="85">
        <v>6.2499999999999778E-3</v>
      </c>
      <c r="Z1345" s="86">
        <v>41759</v>
      </c>
      <c r="AA1345" s="36" t="str">
        <f t="shared" si="449"/>
        <v>Nacional</v>
      </c>
      <c r="AB1345" s="36">
        <f t="shared" si="449"/>
        <v>8.2947530864197552E-3</v>
      </c>
      <c r="AC1345" s="36">
        <f t="shared" si="449"/>
        <v>4.5524691358024656E-3</v>
      </c>
      <c r="AD1345" s="36">
        <f t="shared" si="449"/>
        <v>1.2847222222222222E-2</v>
      </c>
      <c r="AE1345" s="36">
        <f t="shared" si="449"/>
        <v>320</v>
      </c>
      <c r="AF1345" s="36">
        <f t="shared" si="449"/>
        <v>179</v>
      </c>
      <c r="AG1345" s="36" t="str">
        <f t="shared" si="449"/>
        <v>MTV</v>
      </c>
    </row>
    <row r="1346" spans="18:33" x14ac:dyDescent="0.25">
      <c r="R1346">
        <v>1332</v>
      </c>
      <c r="S1346" s="36" t="str">
        <f t="shared" si="448"/>
        <v>INTERAVIÓN</v>
      </c>
      <c r="T1346" s="55">
        <v>230</v>
      </c>
      <c r="U1346" s="56">
        <v>0.3263888888888889</v>
      </c>
      <c r="V1346" s="57">
        <v>0.33124999999999999</v>
      </c>
      <c r="W1346" s="58">
        <v>4.8611111111110938E-3</v>
      </c>
      <c r="X1346" s="57">
        <v>0.33819444444444446</v>
      </c>
      <c r="Y1346" s="58">
        <v>6.9444444444444753E-3</v>
      </c>
      <c r="Z1346" s="59">
        <v>41737</v>
      </c>
      <c r="AA1346" s="60" t="s">
        <v>19</v>
      </c>
      <c r="AB1346" s="61">
        <v>5.1388888888888821E-3</v>
      </c>
      <c r="AC1346" s="61">
        <v>3.6111111111111092E-3</v>
      </c>
      <c r="AD1346" s="62">
        <v>8.7499999999999904E-3</v>
      </c>
      <c r="AE1346" s="191" t="s">
        <v>90</v>
      </c>
      <c r="AF1346" s="191">
        <v>50</v>
      </c>
      <c r="AG1346" s="192" t="s">
        <v>33</v>
      </c>
    </row>
    <row r="1347" spans="18:33" x14ac:dyDescent="0.25">
      <c r="R1347">
        <v>1333</v>
      </c>
      <c r="S1347" s="36" t="str">
        <f t="shared" si="448"/>
        <v>INTERAVIÓN</v>
      </c>
      <c r="T1347" s="36">
        <f t="shared" si="448"/>
        <v>230</v>
      </c>
      <c r="U1347" s="73">
        <v>0.42499999999999999</v>
      </c>
      <c r="V1347" s="74">
        <v>0.42708333333333331</v>
      </c>
      <c r="W1347" s="75">
        <v>2.0833333333333259E-3</v>
      </c>
      <c r="X1347" s="74">
        <v>0.43055555555555558</v>
      </c>
      <c r="Y1347" s="75">
        <v>3.4722222222222654E-3</v>
      </c>
      <c r="Z1347" s="76">
        <v>41741</v>
      </c>
      <c r="AA1347" s="36" t="str">
        <f t="shared" ref="AA1347:AG1350" si="450">AA1346</f>
        <v>Nacional</v>
      </c>
      <c r="AB1347" s="36">
        <f t="shared" si="450"/>
        <v>5.1388888888888821E-3</v>
      </c>
      <c r="AC1347" s="36">
        <f t="shared" si="450"/>
        <v>3.6111111111111092E-3</v>
      </c>
      <c r="AD1347" s="36">
        <f t="shared" si="450"/>
        <v>8.7499999999999904E-3</v>
      </c>
      <c r="AE1347" s="36" t="str">
        <f t="shared" si="450"/>
        <v xml:space="preserve">ER4 </v>
      </c>
      <c r="AF1347" s="36">
        <f t="shared" si="450"/>
        <v>50</v>
      </c>
      <c r="AG1347" s="36" t="str">
        <f t="shared" si="450"/>
        <v>CUU</v>
      </c>
    </row>
    <row r="1348" spans="18:33" x14ac:dyDescent="0.25">
      <c r="R1348">
        <v>1334</v>
      </c>
      <c r="S1348" s="36" t="str">
        <f t="shared" si="448"/>
        <v>INTERAVIÓN</v>
      </c>
      <c r="T1348" s="36">
        <f t="shared" si="448"/>
        <v>230</v>
      </c>
      <c r="U1348" s="73">
        <v>0.34722222222222227</v>
      </c>
      <c r="V1348" s="74">
        <v>0.35138888888888892</v>
      </c>
      <c r="W1348" s="75">
        <v>4.1666666666666519E-3</v>
      </c>
      <c r="X1348" s="74">
        <v>0.3520833333333333</v>
      </c>
      <c r="Y1348" s="75">
        <v>6.9444444444438647E-4</v>
      </c>
      <c r="Z1348" s="76">
        <v>41745</v>
      </c>
      <c r="AA1348" s="36" t="str">
        <f t="shared" si="450"/>
        <v>Nacional</v>
      </c>
      <c r="AB1348" s="36">
        <f t="shared" si="450"/>
        <v>5.1388888888888821E-3</v>
      </c>
      <c r="AC1348" s="36">
        <f t="shared" si="450"/>
        <v>3.6111111111111092E-3</v>
      </c>
      <c r="AD1348" s="36">
        <f t="shared" si="450"/>
        <v>8.7499999999999904E-3</v>
      </c>
      <c r="AE1348" s="36" t="str">
        <f t="shared" si="450"/>
        <v xml:space="preserve">ER4 </v>
      </c>
      <c r="AF1348" s="36">
        <f t="shared" si="450"/>
        <v>50</v>
      </c>
      <c r="AG1348" s="36" t="str">
        <f t="shared" si="450"/>
        <v>CUU</v>
      </c>
    </row>
    <row r="1349" spans="18:33" x14ac:dyDescent="0.25">
      <c r="R1349">
        <v>1335</v>
      </c>
      <c r="S1349" s="36" t="str">
        <f t="shared" si="448"/>
        <v>INTERAVIÓN</v>
      </c>
      <c r="T1349" s="36">
        <f t="shared" si="448"/>
        <v>230</v>
      </c>
      <c r="U1349" s="73">
        <v>0.42152777777777778</v>
      </c>
      <c r="V1349" s="74">
        <v>0.42708333333333331</v>
      </c>
      <c r="W1349" s="75">
        <v>5.5555555555555358E-3</v>
      </c>
      <c r="X1349" s="74">
        <v>0.43263888888888885</v>
      </c>
      <c r="Y1349" s="75">
        <v>5.5555555555555358E-3</v>
      </c>
      <c r="Z1349" s="76">
        <v>41748</v>
      </c>
      <c r="AA1349" s="36" t="str">
        <f t="shared" si="450"/>
        <v>Nacional</v>
      </c>
      <c r="AB1349" s="36">
        <f t="shared" si="450"/>
        <v>5.1388888888888821E-3</v>
      </c>
      <c r="AC1349" s="36">
        <f t="shared" si="450"/>
        <v>3.6111111111111092E-3</v>
      </c>
      <c r="AD1349" s="36">
        <f t="shared" si="450"/>
        <v>8.7499999999999904E-3</v>
      </c>
      <c r="AE1349" s="36" t="str">
        <f t="shared" si="450"/>
        <v xml:space="preserve">ER4 </v>
      </c>
      <c r="AF1349" s="36">
        <f t="shared" si="450"/>
        <v>50</v>
      </c>
      <c r="AG1349" s="36" t="str">
        <f t="shared" si="450"/>
        <v>CUU</v>
      </c>
    </row>
    <row r="1350" spans="18:33" ht="15.75" thickBot="1" x14ac:dyDescent="0.3">
      <c r="R1350">
        <v>1336</v>
      </c>
      <c r="S1350" s="36" t="str">
        <f t="shared" si="448"/>
        <v>INTERAVIÓN</v>
      </c>
      <c r="T1350" s="36">
        <f t="shared" si="448"/>
        <v>230</v>
      </c>
      <c r="U1350" s="83">
        <v>0.3263888888888889</v>
      </c>
      <c r="V1350" s="84">
        <v>0.3354166666666667</v>
      </c>
      <c r="W1350" s="85">
        <v>9.0277777777778012E-3</v>
      </c>
      <c r="X1350" s="84">
        <v>0.33680555555555558</v>
      </c>
      <c r="Y1350" s="85">
        <v>1.388888888888884E-3</v>
      </c>
      <c r="Z1350" s="86">
        <v>41754</v>
      </c>
      <c r="AA1350" s="36" t="str">
        <f t="shared" si="450"/>
        <v>Nacional</v>
      </c>
      <c r="AB1350" s="36">
        <f t="shared" si="450"/>
        <v>5.1388888888888821E-3</v>
      </c>
      <c r="AC1350" s="36">
        <f t="shared" si="450"/>
        <v>3.6111111111111092E-3</v>
      </c>
      <c r="AD1350" s="36">
        <f t="shared" si="450"/>
        <v>8.7499999999999904E-3</v>
      </c>
      <c r="AE1350" s="36" t="str">
        <f t="shared" si="450"/>
        <v xml:space="preserve">ER4 </v>
      </c>
      <c r="AF1350" s="36">
        <f t="shared" si="450"/>
        <v>50</v>
      </c>
      <c r="AG1350" s="36" t="str">
        <f t="shared" si="450"/>
        <v>CUU</v>
      </c>
    </row>
    <row r="1351" spans="18:33" x14ac:dyDescent="0.25">
      <c r="R1351">
        <v>1337</v>
      </c>
      <c r="S1351" s="36" t="str">
        <f t="shared" si="448"/>
        <v>INTERAVIÓN</v>
      </c>
      <c r="T1351" s="55">
        <v>221</v>
      </c>
      <c r="U1351" s="56">
        <v>0.84375</v>
      </c>
      <c r="V1351" s="57">
        <v>0.85138888888888886</v>
      </c>
      <c r="W1351" s="58">
        <v>7.6388888888888618E-3</v>
      </c>
      <c r="X1351" s="57">
        <v>0.85416666666666663</v>
      </c>
      <c r="Y1351" s="58">
        <v>2.7777777777777679E-3</v>
      </c>
      <c r="Z1351" s="59">
        <v>41757</v>
      </c>
      <c r="AA1351" s="60" t="s">
        <v>19</v>
      </c>
      <c r="AB1351" s="61">
        <v>6.5972222222221572E-3</v>
      </c>
      <c r="AC1351" s="61">
        <v>3.298611111111141E-3</v>
      </c>
      <c r="AD1351" s="62">
        <v>9.8958333333332982E-3</v>
      </c>
      <c r="AE1351" s="191" t="s">
        <v>90</v>
      </c>
      <c r="AF1351" s="191">
        <v>50</v>
      </c>
      <c r="AG1351" s="192" t="s">
        <v>33</v>
      </c>
    </row>
    <row r="1352" spans="18:33" x14ac:dyDescent="0.25">
      <c r="R1352">
        <v>1338</v>
      </c>
      <c r="S1352" s="36" t="str">
        <f t="shared" si="448"/>
        <v>INTERAVIÓN</v>
      </c>
      <c r="T1352" s="36">
        <f t="shared" si="448"/>
        <v>221</v>
      </c>
      <c r="U1352" s="73">
        <v>0.43611111111111112</v>
      </c>
      <c r="V1352" s="74">
        <v>0.44236111111111115</v>
      </c>
      <c r="W1352" s="75">
        <v>6.2500000000000333E-3</v>
      </c>
      <c r="X1352" s="74">
        <v>0.44444444444444442</v>
      </c>
      <c r="Y1352" s="75">
        <v>2.0833333333332704E-3</v>
      </c>
      <c r="Z1352" s="76">
        <v>41759</v>
      </c>
      <c r="AA1352" s="36" t="str">
        <f t="shared" ref="AA1352:AG1354" si="451">AA1351</f>
        <v>Nacional</v>
      </c>
      <c r="AB1352" s="36">
        <f t="shared" si="451"/>
        <v>6.5972222222221572E-3</v>
      </c>
      <c r="AC1352" s="36">
        <f t="shared" si="451"/>
        <v>3.298611111111141E-3</v>
      </c>
      <c r="AD1352" s="36">
        <f t="shared" si="451"/>
        <v>9.8958333333332982E-3</v>
      </c>
      <c r="AE1352" s="36" t="str">
        <f t="shared" si="451"/>
        <v xml:space="preserve">ER4 </v>
      </c>
      <c r="AF1352" s="36">
        <f t="shared" si="451"/>
        <v>50</v>
      </c>
      <c r="AG1352" s="36" t="str">
        <f t="shared" si="451"/>
        <v>CUU</v>
      </c>
    </row>
    <row r="1353" spans="18:33" x14ac:dyDescent="0.25">
      <c r="R1353">
        <v>1339</v>
      </c>
      <c r="S1353" s="36" t="str">
        <f t="shared" si="448"/>
        <v>INTERAVIÓN</v>
      </c>
      <c r="T1353" s="36">
        <f t="shared" si="448"/>
        <v>221</v>
      </c>
      <c r="U1353" s="73">
        <v>0.54236111111111118</v>
      </c>
      <c r="V1353" s="74">
        <v>0.54861111111111105</v>
      </c>
      <c r="W1353" s="75">
        <v>6.2499999999998668E-3</v>
      </c>
      <c r="X1353" s="74">
        <v>0.55277777777777781</v>
      </c>
      <c r="Y1353" s="75">
        <v>4.1666666666667629E-3</v>
      </c>
      <c r="Z1353" s="76">
        <v>41730</v>
      </c>
      <c r="AA1353" s="36" t="str">
        <f t="shared" si="451"/>
        <v>Nacional</v>
      </c>
      <c r="AB1353" s="36">
        <f t="shared" si="451"/>
        <v>6.5972222222221572E-3</v>
      </c>
      <c r="AC1353" s="36">
        <f t="shared" si="451"/>
        <v>3.298611111111141E-3</v>
      </c>
      <c r="AD1353" s="36">
        <f t="shared" si="451"/>
        <v>9.8958333333332982E-3</v>
      </c>
      <c r="AE1353" s="36" t="str">
        <f t="shared" si="451"/>
        <v xml:space="preserve">ER4 </v>
      </c>
      <c r="AF1353" s="36">
        <f t="shared" si="451"/>
        <v>50</v>
      </c>
      <c r="AG1353" s="36" t="str">
        <f t="shared" si="451"/>
        <v>CUU</v>
      </c>
    </row>
    <row r="1354" spans="18:33" ht="15.75" thickBot="1" x14ac:dyDescent="0.3">
      <c r="R1354">
        <v>1340</v>
      </c>
      <c r="S1354" s="36" t="str">
        <f t="shared" si="448"/>
        <v>INTERAVIÓN</v>
      </c>
      <c r="T1354" s="36">
        <f t="shared" si="448"/>
        <v>221</v>
      </c>
      <c r="U1354" s="83">
        <v>0.54236111111111118</v>
      </c>
      <c r="V1354" s="84">
        <v>0.54861111111111105</v>
      </c>
      <c r="W1354" s="85">
        <v>6.2499999999998668E-3</v>
      </c>
      <c r="X1354" s="84">
        <v>0.55277777777777781</v>
      </c>
      <c r="Y1354" s="85">
        <v>4.1666666666667629E-3</v>
      </c>
      <c r="Z1354" s="86">
        <v>41742</v>
      </c>
      <c r="AA1354" s="36" t="str">
        <f t="shared" si="451"/>
        <v>Nacional</v>
      </c>
      <c r="AB1354" s="36">
        <f t="shared" si="451"/>
        <v>6.5972222222221572E-3</v>
      </c>
      <c r="AC1354" s="36">
        <f t="shared" si="451"/>
        <v>3.298611111111141E-3</v>
      </c>
      <c r="AD1354" s="36">
        <f t="shared" si="451"/>
        <v>9.8958333333332982E-3</v>
      </c>
      <c r="AE1354" s="36" t="str">
        <f t="shared" si="451"/>
        <v xml:space="preserve">ER4 </v>
      </c>
      <c r="AF1354" s="36">
        <f t="shared" si="451"/>
        <v>50</v>
      </c>
      <c r="AG1354" s="36" t="str">
        <f t="shared" si="451"/>
        <v>CUU</v>
      </c>
    </row>
    <row r="1355" spans="18:33" x14ac:dyDescent="0.25">
      <c r="R1355">
        <v>1341</v>
      </c>
      <c r="S1355" s="137" t="s">
        <v>91</v>
      </c>
      <c r="T1355" s="55">
        <v>598</v>
      </c>
      <c r="U1355" s="56">
        <v>0.60277777777777775</v>
      </c>
      <c r="V1355" s="57">
        <v>0.61736111111111114</v>
      </c>
      <c r="W1355" s="58">
        <v>1.4583333333333393E-2</v>
      </c>
      <c r="X1355" s="57">
        <v>0.62152777777777779</v>
      </c>
      <c r="Y1355" s="58">
        <v>4.1666666666666519E-3</v>
      </c>
      <c r="Z1355" s="59">
        <v>41743</v>
      </c>
      <c r="AA1355" s="60" t="s">
        <v>19</v>
      </c>
      <c r="AB1355" s="61">
        <v>9.7222222222222241E-3</v>
      </c>
      <c r="AC1355" s="61">
        <v>7.1759259259259007E-3</v>
      </c>
      <c r="AD1355" s="62">
        <v>1.6898148148148124E-2</v>
      </c>
      <c r="AE1355" s="167">
        <v>733</v>
      </c>
      <c r="AF1355" s="167">
        <v>169</v>
      </c>
      <c r="AG1355" s="168" t="s">
        <v>92</v>
      </c>
    </row>
    <row r="1356" spans="18:33" x14ac:dyDescent="0.25">
      <c r="R1356">
        <v>1342</v>
      </c>
      <c r="S1356" s="36" t="str">
        <f t="shared" ref="S1356:T1386" si="452">S1355</f>
        <v>GRANRENTA</v>
      </c>
      <c r="T1356" s="36">
        <f t="shared" si="452"/>
        <v>598</v>
      </c>
      <c r="U1356" s="73">
        <v>0.66180555555555554</v>
      </c>
      <c r="V1356" s="74">
        <v>0.67222222222222217</v>
      </c>
      <c r="W1356" s="75">
        <v>1.041666666666663E-2</v>
      </c>
      <c r="X1356" s="74">
        <v>0.68055555555555547</v>
      </c>
      <c r="Y1356" s="75">
        <v>8.3333333333333037E-3</v>
      </c>
      <c r="Z1356" s="76">
        <v>41759</v>
      </c>
      <c r="AA1356" s="36" t="str">
        <f t="shared" ref="AA1356:AG1357" si="453">AA1355</f>
        <v>Nacional</v>
      </c>
      <c r="AB1356" s="36">
        <f t="shared" si="453"/>
        <v>9.7222222222222241E-3</v>
      </c>
      <c r="AC1356" s="36">
        <f t="shared" si="453"/>
        <v>7.1759259259259007E-3</v>
      </c>
      <c r="AD1356" s="36">
        <f t="shared" si="453"/>
        <v>1.6898148148148124E-2</v>
      </c>
      <c r="AE1356" s="36">
        <f t="shared" si="453"/>
        <v>733</v>
      </c>
      <c r="AF1356" s="36">
        <f t="shared" si="453"/>
        <v>169</v>
      </c>
      <c r="AG1356" s="36" t="str">
        <f t="shared" si="453"/>
        <v>AGU</v>
      </c>
    </row>
    <row r="1357" spans="18:33" ht="15.75" thickBot="1" x14ac:dyDescent="0.3">
      <c r="R1357">
        <v>1343</v>
      </c>
      <c r="S1357" s="36" t="str">
        <f t="shared" si="452"/>
        <v>GRANRENTA</v>
      </c>
      <c r="T1357" s="36">
        <f t="shared" si="452"/>
        <v>598</v>
      </c>
      <c r="U1357" s="83">
        <v>0.66180555555555554</v>
      </c>
      <c r="V1357" s="84">
        <v>0.66597222222222219</v>
      </c>
      <c r="W1357" s="85">
        <v>4.1666666666666519E-3</v>
      </c>
      <c r="X1357" s="84">
        <v>0.67499999999999993</v>
      </c>
      <c r="Y1357" s="85">
        <v>9.0277777777777457E-3</v>
      </c>
      <c r="Z1357" s="86">
        <v>41759</v>
      </c>
      <c r="AA1357" s="36" t="str">
        <f t="shared" si="453"/>
        <v>Nacional</v>
      </c>
      <c r="AB1357" s="36">
        <f t="shared" si="453"/>
        <v>9.7222222222222241E-3</v>
      </c>
      <c r="AC1357" s="36">
        <f t="shared" si="453"/>
        <v>7.1759259259259007E-3</v>
      </c>
      <c r="AD1357" s="36">
        <f t="shared" si="453"/>
        <v>1.6898148148148124E-2</v>
      </c>
      <c r="AE1357" s="36">
        <f t="shared" si="453"/>
        <v>733</v>
      </c>
      <c r="AF1357" s="36">
        <f t="shared" si="453"/>
        <v>169</v>
      </c>
      <c r="AG1357" s="36" t="str">
        <f t="shared" si="453"/>
        <v>AGU</v>
      </c>
    </row>
    <row r="1358" spans="18:33" x14ac:dyDescent="0.25">
      <c r="R1358">
        <v>1344</v>
      </c>
      <c r="S1358" s="36" t="str">
        <f t="shared" si="452"/>
        <v>GRANRENTA</v>
      </c>
      <c r="T1358" s="55">
        <v>587</v>
      </c>
      <c r="U1358" s="56">
        <v>0.61458333333333337</v>
      </c>
      <c r="V1358" s="57">
        <v>0.62152777777777779</v>
      </c>
      <c r="W1358" s="58">
        <v>6.9444444444444198E-3</v>
      </c>
      <c r="X1358" s="57">
        <v>0.63888888888888895</v>
      </c>
      <c r="Y1358" s="58">
        <v>1.736111111111116E-2</v>
      </c>
      <c r="Z1358" s="59">
        <v>41741</v>
      </c>
      <c r="AA1358" s="60" t="s">
        <v>19</v>
      </c>
      <c r="AB1358" s="61">
        <v>2.0337301587301577E-2</v>
      </c>
      <c r="AC1358" s="61">
        <v>7.8373015873015907E-3</v>
      </c>
      <c r="AD1358" s="62">
        <v>2.8174603174603168E-2</v>
      </c>
      <c r="AE1358" s="167" t="s">
        <v>39</v>
      </c>
      <c r="AF1358" s="167">
        <v>169</v>
      </c>
      <c r="AG1358" s="168" t="s">
        <v>46</v>
      </c>
    </row>
    <row r="1359" spans="18:33" x14ac:dyDescent="0.25">
      <c r="R1359">
        <v>1345</v>
      </c>
      <c r="S1359" s="36" t="str">
        <f t="shared" si="452"/>
        <v>GRANRENTA</v>
      </c>
      <c r="T1359" s="36">
        <f t="shared" si="452"/>
        <v>587</v>
      </c>
      <c r="U1359" s="73">
        <v>0.60972222222222217</v>
      </c>
      <c r="V1359" s="74">
        <v>0.61597222222222225</v>
      </c>
      <c r="W1359" s="75">
        <v>6.2500000000000888E-3</v>
      </c>
      <c r="X1359" s="74">
        <v>0.62083333333333335</v>
      </c>
      <c r="Y1359" s="75">
        <v>4.8611111111110938E-3</v>
      </c>
      <c r="Z1359" s="76">
        <v>41745</v>
      </c>
      <c r="AA1359" s="36" t="str">
        <f t="shared" ref="AA1359:AG1364" si="454">AA1358</f>
        <v>Nacional</v>
      </c>
      <c r="AB1359" s="36">
        <f t="shared" si="454"/>
        <v>2.0337301587301577E-2</v>
      </c>
      <c r="AC1359" s="36">
        <f t="shared" si="454"/>
        <v>7.8373015873015907E-3</v>
      </c>
      <c r="AD1359" s="36">
        <f t="shared" si="454"/>
        <v>2.8174603174603168E-2</v>
      </c>
      <c r="AE1359" s="36" t="str">
        <f t="shared" si="454"/>
        <v>B737-800</v>
      </c>
      <c r="AF1359" s="36">
        <f t="shared" si="454"/>
        <v>169</v>
      </c>
      <c r="AG1359" s="36" t="str">
        <f t="shared" si="454"/>
        <v>CUN</v>
      </c>
    </row>
    <row r="1360" spans="18:33" x14ac:dyDescent="0.25">
      <c r="R1360">
        <v>1346</v>
      </c>
      <c r="S1360" s="36" t="str">
        <f t="shared" si="452"/>
        <v>GRANRENTA</v>
      </c>
      <c r="T1360" s="36">
        <f t="shared" si="452"/>
        <v>587</v>
      </c>
      <c r="U1360" s="73">
        <v>0.61319444444444449</v>
      </c>
      <c r="V1360" s="74">
        <v>0.62291666666666667</v>
      </c>
      <c r="W1360" s="75">
        <v>9.7222222222221877E-3</v>
      </c>
      <c r="X1360" s="74">
        <v>0.62847222222222221</v>
      </c>
      <c r="Y1360" s="75">
        <v>5.5555555555555358E-3</v>
      </c>
      <c r="Z1360" s="76">
        <v>41747</v>
      </c>
      <c r="AA1360" s="36" t="str">
        <f t="shared" si="454"/>
        <v>Nacional</v>
      </c>
      <c r="AB1360" s="36">
        <f t="shared" si="454"/>
        <v>2.0337301587301577E-2</v>
      </c>
      <c r="AC1360" s="36">
        <f t="shared" si="454"/>
        <v>7.8373015873015907E-3</v>
      </c>
      <c r="AD1360" s="36">
        <f t="shared" si="454"/>
        <v>2.8174603174603168E-2</v>
      </c>
      <c r="AE1360" s="36" t="str">
        <f t="shared" si="454"/>
        <v>B737-800</v>
      </c>
      <c r="AF1360" s="36">
        <f t="shared" si="454"/>
        <v>169</v>
      </c>
      <c r="AG1360" s="36" t="str">
        <f t="shared" si="454"/>
        <v>CUN</v>
      </c>
    </row>
    <row r="1361" spans="18:33" x14ac:dyDescent="0.25">
      <c r="R1361">
        <v>1347</v>
      </c>
      <c r="S1361" s="36" t="str">
        <f t="shared" si="452"/>
        <v>GRANRENTA</v>
      </c>
      <c r="T1361" s="36">
        <f t="shared" si="452"/>
        <v>587</v>
      </c>
      <c r="U1361" s="73">
        <v>0.60069444444444442</v>
      </c>
      <c r="V1361" s="74">
        <v>0.61111111111111105</v>
      </c>
      <c r="W1361" s="75">
        <v>1.041666666666663E-2</v>
      </c>
      <c r="X1361" s="74">
        <v>0.61805555555555558</v>
      </c>
      <c r="Y1361" s="75">
        <v>6.9444444444445308E-3</v>
      </c>
      <c r="Z1361" s="76">
        <v>41748</v>
      </c>
      <c r="AA1361" s="36" t="str">
        <f t="shared" si="454"/>
        <v>Nacional</v>
      </c>
      <c r="AB1361" s="36">
        <f t="shared" si="454"/>
        <v>2.0337301587301577E-2</v>
      </c>
      <c r="AC1361" s="36">
        <f t="shared" si="454"/>
        <v>7.8373015873015907E-3</v>
      </c>
      <c r="AD1361" s="36">
        <f t="shared" si="454"/>
        <v>2.8174603174603168E-2</v>
      </c>
      <c r="AE1361" s="36" t="str">
        <f t="shared" si="454"/>
        <v>B737-800</v>
      </c>
      <c r="AF1361" s="36">
        <f t="shared" si="454"/>
        <v>169</v>
      </c>
      <c r="AG1361" s="36" t="str">
        <f t="shared" si="454"/>
        <v>CUN</v>
      </c>
    </row>
    <row r="1362" spans="18:33" x14ac:dyDescent="0.25">
      <c r="R1362">
        <v>1348</v>
      </c>
      <c r="S1362" s="36" t="str">
        <f t="shared" si="452"/>
        <v>GRANRENTA</v>
      </c>
      <c r="T1362" s="36">
        <f t="shared" si="452"/>
        <v>587</v>
      </c>
      <c r="U1362" s="73">
        <v>0.61805555555555558</v>
      </c>
      <c r="V1362" s="74">
        <v>0.625</v>
      </c>
      <c r="W1362" s="75">
        <v>6.9444444444444198E-3</v>
      </c>
      <c r="X1362" s="74">
        <v>0.63194444444444442</v>
      </c>
      <c r="Y1362" s="75">
        <v>6.9444444444444198E-3</v>
      </c>
      <c r="Z1362" s="76">
        <v>41750</v>
      </c>
      <c r="AA1362" s="36" t="str">
        <f t="shared" si="454"/>
        <v>Nacional</v>
      </c>
      <c r="AB1362" s="36">
        <f t="shared" si="454"/>
        <v>2.0337301587301577E-2</v>
      </c>
      <c r="AC1362" s="36">
        <f t="shared" si="454"/>
        <v>7.8373015873015907E-3</v>
      </c>
      <c r="AD1362" s="36">
        <f t="shared" si="454"/>
        <v>2.8174603174603168E-2</v>
      </c>
      <c r="AE1362" s="36" t="str">
        <f t="shared" si="454"/>
        <v>B737-800</v>
      </c>
      <c r="AF1362" s="36">
        <f t="shared" si="454"/>
        <v>169</v>
      </c>
      <c r="AG1362" s="36" t="str">
        <f t="shared" si="454"/>
        <v>CUN</v>
      </c>
    </row>
    <row r="1363" spans="18:33" x14ac:dyDescent="0.25">
      <c r="R1363">
        <v>1349</v>
      </c>
      <c r="S1363" s="36" t="str">
        <f t="shared" si="452"/>
        <v>GRANRENTA</v>
      </c>
      <c r="T1363" s="36">
        <f t="shared" si="452"/>
        <v>587</v>
      </c>
      <c r="U1363" s="73">
        <v>0.53263888888888888</v>
      </c>
      <c r="V1363" s="74">
        <v>0.62777777777777777</v>
      </c>
      <c r="W1363" s="75">
        <v>9.5138888888888884E-2</v>
      </c>
      <c r="X1363" s="74">
        <v>0.63263888888888886</v>
      </c>
      <c r="Y1363" s="75">
        <v>4.8611111111110938E-3</v>
      </c>
      <c r="Z1363" s="76">
        <v>41754</v>
      </c>
      <c r="AA1363" s="36" t="str">
        <f t="shared" si="454"/>
        <v>Nacional</v>
      </c>
      <c r="AB1363" s="36">
        <f t="shared" si="454"/>
        <v>2.0337301587301577E-2</v>
      </c>
      <c r="AC1363" s="36">
        <f t="shared" si="454"/>
        <v>7.8373015873015907E-3</v>
      </c>
      <c r="AD1363" s="36">
        <f t="shared" si="454"/>
        <v>2.8174603174603168E-2</v>
      </c>
      <c r="AE1363" s="36" t="str">
        <f t="shared" si="454"/>
        <v>B737-800</v>
      </c>
      <c r="AF1363" s="36">
        <f t="shared" si="454"/>
        <v>169</v>
      </c>
      <c r="AG1363" s="36" t="str">
        <f t="shared" si="454"/>
        <v>CUN</v>
      </c>
    </row>
    <row r="1364" spans="18:33" ht="15.75" thickBot="1" x14ac:dyDescent="0.3">
      <c r="R1364">
        <v>1350</v>
      </c>
      <c r="S1364" s="36" t="str">
        <f t="shared" si="452"/>
        <v>GRANRENTA</v>
      </c>
      <c r="T1364" s="36">
        <f t="shared" si="452"/>
        <v>587</v>
      </c>
      <c r="U1364" s="83">
        <v>0.61458333333333337</v>
      </c>
      <c r="V1364" s="84">
        <v>0.62152777777777779</v>
      </c>
      <c r="W1364" s="85">
        <v>6.9444444444444198E-3</v>
      </c>
      <c r="X1364" s="84">
        <v>0.62986111111111109</v>
      </c>
      <c r="Y1364" s="85">
        <v>8.3333333333333037E-3</v>
      </c>
      <c r="Z1364" s="86">
        <v>41757</v>
      </c>
      <c r="AA1364" s="36" t="str">
        <f t="shared" si="454"/>
        <v>Nacional</v>
      </c>
      <c r="AB1364" s="36">
        <f t="shared" si="454"/>
        <v>2.0337301587301577E-2</v>
      </c>
      <c r="AC1364" s="36">
        <f t="shared" si="454"/>
        <v>7.8373015873015907E-3</v>
      </c>
      <c r="AD1364" s="36">
        <f t="shared" si="454"/>
        <v>2.8174603174603168E-2</v>
      </c>
      <c r="AE1364" s="36" t="str">
        <f t="shared" si="454"/>
        <v>B737-800</v>
      </c>
      <c r="AF1364" s="36">
        <f t="shared" si="454"/>
        <v>169</v>
      </c>
      <c r="AG1364" s="36" t="str">
        <f t="shared" si="454"/>
        <v>CUN</v>
      </c>
    </row>
    <row r="1365" spans="18:33" x14ac:dyDescent="0.25">
      <c r="R1365">
        <v>1351</v>
      </c>
      <c r="S1365" s="36" t="str">
        <f t="shared" si="452"/>
        <v>GRANRENTA</v>
      </c>
      <c r="T1365" s="55">
        <v>585</v>
      </c>
      <c r="U1365" s="56">
        <v>0.90069444444444446</v>
      </c>
      <c r="V1365" s="57">
        <v>0.91041666666666676</v>
      </c>
      <c r="W1365" s="58">
        <v>9.7222222222222987E-3</v>
      </c>
      <c r="X1365" s="57">
        <v>0.91666666666666663</v>
      </c>
      <c r="Y1365" s="58">
        <v>6.2499999999998668E-3</v>
      </c>
      <c r="Z1365" s="59">
        <v>41738</v>
      </c>
      <c r="AA1365" s="60" t="s">
        <v>19</v>
      </c>
      <c r="AB1365" s="61">
        <v>8.4280303030302983E-3</v>
      </c>
      <c r="AC1365" s="61">
        <v>5.9343434343434231E-3</v>
      </c>
      <c r="AD1365" s="62">
        <v>1.4362373737373722E-2</v>
      </c>
      <c r="AE1365" s="167" t="s">
        <v>39</v>
      </c>
      <c r="AF1365" s="167">
        <v>189</v>
      </c>
      <c r="AG1365" s="168" t="s">
        <v>46</v>
      </c>
    </row>
    <row r="1366" spans="18:33" x14ac:dyDescent="0.25">
      <c r="R1366">
        <v>1352</v>
      </c>
      <c r="S1366" s="36" t="str">
        <f t="shared" si="452"/>
        <v>GRANRENTA</v>
      </c>
      <c r="T1366" s="36">
        <f t="shared" si="452"/>
        <v>585</v>
      </c>
      <c r="U1366" s="73">
        <v>0.89583333333333337</v>
      </c>
      <c r="V1366" s="74">
        <v>0.89930555555555547</v>
      </c>
      <c r="W1366" s="75">
        <v>3.4722222222220989E-3</v>
      </c>
      <c r="X1366" s="74">
        <v>0.90486111111111101</v>
      </c>
      <c r="Y1366" s="75">
        <v>5.5555555555555358E-3</v>
      </c>
      <c r="Z1366" s="76">
        <v>41739</v>
      </c>
      <c r="AA1366" s="36" t="str">
        <f t="shared" ref="AA1366:AG1386" si="455">AA1365</f>
        <v>Nacional</v>
      </c>
      <c r="AB1366" s="36">
        <f t="shared" si="455"/>
        <v>8.4280303030302983E-3</v>
      </c>
      <c r="AC1366" s="36">
        <f t="shared" si="455"/>
        <v>5.9343434343434231E-3</v>
      </c>
      <c r="AD1366" s="36">
        <f t="shared" si="455"/>
        <v>1.4362373737373722E-2</v>
      </c>
      <c r="AE1366" s="36" t="str">
        <f t="shared" si="455"/>
        <v>B737-800</v>
      </c>
      <c r="AF1366" s="36">
        <f t="shared" si="455"/>
        <v>189</v>
      </c>
      <c r="AG1366" s="36" t="str">
        <f t="shared" si="455"/>
        <v>CUN</v>
      </c>
    </row>
    <row r="1367" spans="18:33" x14ac:dyDescent="0.25">
      <c r="R1367">
        <v>1353</v>
      </c>
      <c r="S1367" s="36" t="str">
        <f t="shared" si="452"/>
        <v>GRANRENTA</v>
      </c>
      <c r="T1367" s="36">
        <f t="shared" si="452"/>
        <v>585</v>
      </c>
      <c r="U1367" s="73">
        <v>0.8833333333333333</v>
      </c>
      <c r="V1367" s="74">
        <v>0.89097222222222217</v>
      </c>
      <c r="W1367" s="75">
        <v>7.6388888888888618E-3</v>
      </c>
      <c r="X1367" s="74">
        <v>0.8965277777777777</v>
      </c>
      <c r="Y1367" s="75">
        <v>5.5555555555555358E-3</v>
      </c>
      <c r="Z1367" s="76">
        <v>41740</v>
      </c>
      <c r="AA1367" s="36" t="str">
        <f t="shared" si="455"/>
        <v>Nacional</v>
      </c>
      <c r="AB1367" s="36">
        <f t="shared" si="455"/>
        <v>8.4280303030302983E-3</v>
      </c>
      <c r="AC1367" s="36">
        <f t="shared" si="455"/>
        <v>5.9343434343434231E-3</v>
      </c>
      <c r="AD1367" s="36">
        <f t="shared" si="455"/>
        <v>1.4362373737373722E-2</v>
      </c>
      <c r="AE1367" s="36" t="str">
        <f t="shared" si="455"/>
        <v>B737-800</v>
      </c>
      <c r="AF1367" s="36">
        <f t="shared" si="455"/>
        <v>189</v>
      </c>
      <c r="AG1367" s="36" t="str">
        <f t="shared" si="455"/>
        <v>CUN</v>
      </c>
    </row>
    <row r="1368" spans="18:33" x14ac:dyDescent="0.25">
      <c r="R1368">
        <v>1354</v>
      </c>
      <c r="S1368" s="36" t="str">
        <f t="shared" si="452"/>
        <v>GRANRENTA</v>
      </c>
      <c r="T1368" s="36">
        <f t="shared" si="452"/>
        <v>585</v>
      </c>
      <c r="U1368" s="73">
        <v>0.88680555555555562</v>
      </c>
      <c r="V1368" s="74">
        <v>0.89583333333333337</v>
      </c>
      <c r="W1368" s="75">
        <v>9.0277777777777457E-3</v>
      </c>
      <c r="X1368" s="74">
        <v>0.89930555555555547</v>
      </c>
      <c r="Y1368" s="75">
        <v>3.4722222222220989E-3</v>
      </c>
      <c r="Z1368" s="76">
        <v>41741</v>
      </c>
      <c r="AA1368" s="36" t="str">
        <f t="shared" si="455"/>
        <v>Nacional</v>
      </c>
      <c r="AB1368" s="36">
        <f t="shared" si="455"/>
        <v>8.4280303030302983E-3</v>
      </c>
      <c r="AC1368" s="36">
        <f t="shared" si="455"/>
        <v>5.9343434343434231E-3</v>
      </c>
      <c r="AD1368" s="36">
        <f t="shared" si="455"/>
        <v>1.4362373737373722E-2</v>
      </c>
      <c r="AE1368" s="36" t="str">
        <f t="shared" si="455"/>
        <v>B737-800</v>
      </c>
      <c r="AF1368" s="36">
        <f t="shared" si="455"/>
        <v>189</v>
      </c>
      <c r="AG1368" s="36" t="str">
        <f t="shared" si="455"/>
        <v>CUN</v>
      </c>
    </row>
    <row r="1369" spans="18:33" x14ac:dyDescent="0.25">
      <c r="R1369">
        <v>1355</v>
      </c>
      <c r="S1369" s="36" t="str">
        <f t="shared" si="452"/>
        <v>GRANRENTA</v>
      </c>
      <c r="T1369" s="36">
        <f t="shared" si="452"/>
        <v>585</v>
      </c>
      <c r="U1369" s="73">
        <v>0.7006944444444444</v>
      </c>
      <c r="V1369" s="74">
        <v>0.70694444444444438</v>
      </c>
      <c r="W1369" s="75">
        <v>6.2499999999999778E-3</v>
      </c>
      <c r="X1369" s="74">
        <v>0.7104166666666667</v>
      </c>
      <c r="Y1369" s="75">
        <v>3.4722222222223209E-3</v>
      </c>
      <c r="Z1369" s="76">
        <v>41730</v>
      </c>
      <c r="AA1369" s="36" t="str">
        <f t="shared" si="455"/>
        <v>Nacional</v>
      </c>
      <c r="AB1369" s="36">
        <f t="shared" si="455"/>
        <v>8.4280303030302983E-3</v>
      </c>
      <c r="AC1369" s="36">
        <f t="shared" si="455"/>
        <v>5.9343434343434231E-3</v>
      </c>
      <c r="AD1369" s="36">
        <f t="shared" si="455"/>
        <v>1.4362373737373722E-2</v>
      </c>
      <c r="AE1369" s="36" t="str">
        <f t="shared" si="455"/>
        <v>B737-800</v>
      </c>
      <c r="AF1369" s="36">
        <f t="shared" si="455"/>
        <v>189</v>
      </c>
      <c r="AG1369" s="36" t="str">
        <f t="shared" si="455"/>
        <v>CUN</v>
      </c>
    </row>
    <row r="1370" spans="18:33" x14ac:dyDescent="0.25">
      <c r="R1370">
        <v>1356</v>
      </c>
      <c r="S1370" s="36" t="str">
        <f t="shared" si="452"/>
        <v>GRANRENTA</v>
      </c>
      <c r="T1370" s="36">
        <f t="shared" si="452"/>
        <v>585</v>
      </c>
      <c r="U1370" s="73">
        <v>0.89930555555555547</v>
      </c>
      <c r="V1370" s="74">
        <v>0.90625</v>
      </c>
      <c r="W1370" s="75">
        <v>6.9444444444445308E-3</v>
      </c>
      <c r="X1370" s="74">
        <v>0.92222222222222217</v>
      </c>
      <c r="Y1370" s="75">
        <v>1.5972222222222165E-2</v>
      </c>
      <c r="Z1370" s="76">
        <v>41730</v>
      </c>
      <c r="AA1370" s="36" t="str">
        <f t="shared" si="455"/>
        <v>Nacional</v>
      </c>
      <c r="AB1370" s="36">
        <f t="shared" si="455"/>
        <v>8.4280303030302983E-3</v>
      </c>
      <c r="AC1370" s="36">
        <f t="shared" si="455"/>
        <v>5.9343434343434231E-3</v>
      </c>
      <c r="AD1370" s="36">
        <f t="shared" si="455"/>
        <v>1.4362373737373722E-2</v>
      </c>
      <c r="AE1370" s="36" t="str">
        <f t="shared" si="455"/>
        <v>B737-800</v>
      </c>
      <c r="AF1370" s="36">
        <f t="shared" si="455"/>
        <v>189</v>
      </c>
      <c r="AG1370" s="36" t="str">
        <f t="shared" si="455"/>
        <v>CUN</v>
      </c>
    </row>
    <row r="1371" spans="18:33" x14ac:dyDescent="0.25">
      <c r="R1371">
        <v>1357</v>
      </c>
      <c r="S1371" s="36" t="str">
        <f t="shared" si="452"/>
        <v>GRANRENTA</v>
      </c>
      <c r="T1371" s="36">
        <f t="shared" si="452"/>
        <v>585</v>
      </c>
      <c r="U1371" s="73">
        <v>0.88263888888888886</v>
      </c>
      <c r="V1371" s="74">
        <v>0.89236111111111116</v>
      </c>
      <c r="W1371" s="75">
        <v>9.7222222222222987E-3</v>
      </c>
      <c r="X1371" s="74">
        <v>0.89861111111111114</v>
      </c>
      <c r="Y1371" s="75">
        <v>6.2499999999999778E-3</v>
      </c>
      <c r="Z1371" s="76">
        <v>41732</v>
      </c>
      <c r="AA1371" s="36" t="str">
        <f t="shared" si="455"/>
        <v>Nacional</v>
      </c>
      <c r="AB1371" s="36">
        <f t="shared" si="455"/>
        <v>8.4280303030302983E-3</v>
      </c>
      <c r="AC1371" s="36">
        <f t="shared" si="455"/>
        <v>5.9343434343434231E-3</v>
      </c>
      <c r="AD1371" s="36">
        <f t="shared" si="455"/>
        <v>1.4362373737373722E-2</v>
      </c>
      <c r="AE1371" s="36" t="str">
        <f t="shared" si="455"/>
        <v>B737-800</v>
      </c>
      <c r="AF1371" s="36">
        <f t="shared" si="455"/>
        <v>189</v>
      </c>
      <c r="AG1371" s="36" t="str">
        <f t="shared" si="455"/>
        <v>CUN</v>
      </c>
    </row>
    <row r="1372" spans="18:33" x14ac:dyDescent="0.25">
      <c r="R1372">
        <v>1358</v>
      </c>
      <c r="S1372" s="36" t="str">
        <f t="shared" si="452"/>
        <v>GRANRENTA</v>
      </c>
      <c r="T1372" s="36">
        <f t="shared" si="452"/>
        <v>585</v>
      </c>
      <c r="U1372" s="73">
        <v>0.71111111111111114</v>
      </c>
      <c r="V1372" s="74">
        <v>0.71944444444444444</v>
      </c>
      <c r="W1372" s="75">
        <v>8.3333333333333037E-3</v>
      </c>
      <c r="X1372" s="74">
        <v>0.72361111111111109</v>
      </c>
      <c r="Y1372" s="75">
        <v>4.1666666666666519E-3</v>
      </c>
      <c r="Z1372" s="76">
        <v>41733</v>
      </c>
      <c r="AA1372" s="36" t="str">
        <f t="shared" si="455"/>
        <v>Nacional</v>
      </c>
      <c r="AB1372" s="36">
        <f t="shared" si="455"/>
        <v>8.4280303030302983E-3</v>
      </c>
      <c r="AC1372" s="36">
        <f t="shared" si="455"/>
        <v>5.9343434343434231E-3</v>
      </c>
      <c r="AD1372" s="36">
        <f t="shared" si="455"/>
        <v>1.4362373737373722E-2</v>
      </c>
      <c r="AE1372" s="36" t="str">
        <f t="shared" si="455"/>
        <v>B737-800</v>
      </c>
      <c r="AF1372" s="36">
        <f t="shared" si="455"/>
        <v>189</v>
      </c>
      <c r="AG1372" s="36" t="str">
        <f t="shared" si="455"/>
        <v>CUN</v>
      </c>
    </row>
    <row r="1373" spans="18:33" x14ac:dyDescent="0.25">
      <c r="R1373">
        <v>1359</v>
      </c>
      <c r="S1373" s="36" t="str">
        <f t="shared" si="452"/>
        <v>GRANRENTA</v>
      </c>
      <c r="T1373" s="36">
        <f t="shared" si="452"/>
        <v>585</v>
      </c>
      <c r="U1373" s="73">
        <v>0.3888888888888889</v>
      </c>
      <c r="V1373" s="74">
        <v>0.39097222222222222</v>
      </c>
      <c r="W1373" s="75">
        <v>2.0833333333333259E-3</v>
      </c>
      <c r="X1373" s="74">
        <v>0.39444444444444443</v>
      </c>
      <c r="Y1373" s="75">
        <v>3.4722222222222099E-3</v>
      </c>
      <c r="Z1373" s="76">
        <v>41735</v>
      </c>
      <c r="AA1373" s="36" t="str">
        <f t="shared" si="455"/>
        <v>Nacional</v>
      </c>
      <c r="AB1373" s="36">
        <f t="shared" si="455"/>
        <v>8.4280303030302983E-3</v>
      </c>
      <c r="AC1373" s="36">
        <f t="shared" si="455"/>
        <v>5.9343434343434231E-3</v>
      </c>
      <c r="AD1373" s="36">
        <f t="shared" si="455"/>
        <v>1.4362373737373722E-2</v>
      </c>
      <c r="AE1373" s="36" t="str">
        <f t="shared" si="455"/>
        <v>B737-800</v>
      </c>
      <c r="AF1373" s="36">
        <f t="shared" si="455"/>
        <v>189</v>
      </c>
      <c r="AG1373" s="36" t="str">
        <f t="shared" si="455"/>
        <v>CUN</v>
      </c>
    </row>
    <row r="1374" spans="18:33" x14ac:dyDescent="0.25">
      <c r="R1374">
        <v>1360</v>
      </c>
      <c r="S1374" s="36" t="str">
        <f t="shared" si="452"/>
        <v>GRANRENTA</v>
      </c>
      <c r="T1374" s="36">
        <f t="shared" si="452"/>
        <v>585</v>
      </c>
      <c r="U1374" s="73">
        <v>0.7006944444444444</v>
      </c>
      <c r="V1374" s="74">
        <v>0.70694444444444438</v>
      </c>
      <c r="W1374" s="75">
        <v>6.2499999999999778E-3</v>
      </c>
      <c r="X1374" s="74">
        <v>0.7104166666666667</v>
      </c>
      <c r="Y1374" s="75">
        <v>3.4722222222223209E-3</v>
      </c>
      <c r="Z1374" s="76">
        <v>41742</v>
      </c>
      <c r="AA1374" s="36" t="str">
        <f t="shared" si="455"/>
        <v>Nacional</v>
      </c>
      <c r="AB1374" s="36">
        <f t="shared" si="455"/>
        <v>8.4280303030302983E-3</v>
      </c>
      <c r="AC1374" s="36">
        <f t="shared" si="455"/>
        <v>5.9343434343434231E-3</v>
      </c>
      <c r="AD1374" s="36">
        <f t="shared" si="455"/>
        <v>1.4362373737373722E-2</v>
      </c>
      <c r="AE1374" s="36" t="str">
        <f t="shared" si="455"/>
        <v>B737-800</v>
      </c>
      <c r="AF1374" s="36">
        <f t="shared" si="455"/>
        <v>189</v>
      </c>
      <c r="AG1374" s="36" t="str">
        <f t="shared" si="455"/>
        <v>CUN</v>
      </c>
    </row>
    <row r="1375" spans="18:33" x14ac:dyDescent="0.25">
      <c r="R1375">
        <v>1361</v>
      </c>
      <c r="S1375" s="36" t="str">
        <f t="shared" si="452"/>
        <v>GRANRENTA</v>
      </c>
      <c r="T1375" s="36">
        <f t="shared" si="452"/>
        <v>585</v>
      </c>
      <c r="U1375" s="73">
        <v>0.89722222222222225</v>
      </c>
      <c r="V1375" s="74">
        <v>0.90416666666666667</v>
      </c>
      <c r="W1375" s="75">
        <v>6.9444444444444198E-3</v>
      </c>
      <c r="X1375" s="74">
        <v>0.91249999999999998</v>
      </c>
      <c r="Y1375" s="75">
        <v>8.3333333333333037E-3</v>
      </c>
      <c r="Z1375" s="76">
        <v>41743</v>
      </c>
      <c r="AA1375" s="36" t="str">
        <f t="shared" si="455"/>
        <v>Nacional</v>
      </c>
      <c r="AB1375" s="36">
        <f t="shared" si="455"/>
        <v>8.4280303030302983E-3</v>
      </c>
      <c r="AC1375" s="36">
        <f t="shared" si="455"/>
        <v>5.9343434343434231E-3</v>
      </c>
      <c r="AD1375" s="36">
        <f t="shared" si="455"/>
        <v>1.4362373737373722E-2</v>
      </c>
      <c r="AE1375" s="36" t="str">
        <f t="shared" si="455"/>
        <v>B737-800</v>
      </c>
      <c r="AF1375" s="36">
        <f t="shared" si="455"/>
        <v>189</v>
      </c>
      <c r="AG1375" s="36" t="str">
        <f t="shared" si="455"/>
        <v>CUN</v>
      </c>
    </row>
    <row r="1376" spans="18:33" x14ac:dyDescent="0.25">
      <c r="R1376">
        <v>1362</v>
      </c>
      <c r="S1376" s="36" t="str">
        <f t="shared" si="452"/>
        <v>GRANRENTA</v>
      </c>
      <c r="T1376" s="36">
        <f t="shared" si="452"/>
        <v>585</v>
      </c>
      <c r="U1376" s="73">
        <v>0.89166666666666661</v>
      </c>
      <c r="V1376" s="74">
        <v>0.90138888888888891</v>
      </c>
      <c r="W1376" s="75">
        <v>9.7222222222222987E-3</v>
      </c>
      <c r="X1376" s="74">
        <v>0.90416666666666667</v>
      </c>
      <c r="Y1376" s="75">
        <v>2.7777777777777679E-3</v>
      </c>
      <c r="Z1376" s="76">
        <v>41745</v>
      </c>
      <c r="AA1376" s="36" t="str">
        <f t="shared" si="455"/>
        <v>Nacional</v>
      </c>
      <c r="AB1376" s="36">
        <f t="shared" si="455"/>
        <v>8.4280303030302983E-3</v>
      </c>
      <c r="AC1376" s="36">
        <f t="shared" si="455"/>
        <v>5.9343434343434231E-3</v>
      </c>
      <c r="AD1376" s="36">
        <f t="shared" si="455"/>
        <v>1.4362373737373722E-2</v>
      </c>
      <c r="AE1376" s="36" t="str">
        <f t="shared" si="455"/>
        <v>B737-800</v>
      </c>
      <c r="AF1376" s="36">
        <f t="shared" si="455"/>
        <v>189</v>
      </c>
      <c r="AG1376" s="36" t="str">
        <f t="shared" si="455"/>
        <v>CUN</v>
      </c>
    </row>
    <row r="1377" spans="18:33" x14ac:dyDescent="0.25">
      <c r="R1377">
        <v>1363</v>
      </c>
      <c r="S1377" s="36" t="str">
        <f t="shared" si="452"/>
        <v>GRANRENTA</v>
      </c>
      <c r="T1377" s="36">
        <f t="shared" si="452"/>
        <v>585</v>
      </c>
      <c r="U1377" s="73">
        <v>0.89166666666666661</v>
      </c>
      <c r="V1377" s="74">
        <v>0.90416666666666667</v>
      </c>
      <c r="W1377" s="75">
        <v>1.2500000000000067E-2</v>
      </c>
      <c r="X1377" s="74">
        <v>0.90833333333333333</v>
      </c>
      <c r="Y1377" s="75">
        <v>4.1666666666666519E-3</v>
      </c>
      <c r="Z1377" s="76">
        <v>41744</v>
      </c>
      <c r="AA1377" s="36" t="str">
        <f t="shared" si="455"/>
        <v>Nacional</v>
      </c>
      <c r="AB1377" s="36">
        <f t="shared" si="455"/>
        <v>8.4280303030302983E-3</v>
      </c>
      <c r="AC1377" s="36">
        <f t="shared" si="455"/>
        <v>5.9343434343434231E-3</v>
      </c>
      <c r="AD1377" s="36">
        <f t="shared" si="455"/>
        <v>1.4362373737373722E-2</v>
      </c>
      <c r="AE1377" s="36" t="str">
        <f t="shared" si="455"/>
        <v>B737-800</v>
      </c>
      <c r="AF1377" s="36">
        <f t="shared" si="455"/>
        <v>189</v>
      </c>
      <c r="AG1377" s="36" t="str">
        <f t="shared" si="455"/>
        <v>CUN</v>
      </c>
    </row>
    <row r="1378" spans="18:33" x14ac:dyDescent="0.25">
      <c r="R1378">
        <v>1364</v>
      </c>
      <c r="S1378" s="36" t="str">
        <f t="shared" si="452"/>
        <v>GRANRENTA</v>
      </c>
      <c r="T1378" s="36">
        <f t="shared" si="452"/>
        <v>585</v>
      </c>
      <c r="U1378" s="73">
        <v>0.87638888888888899</v>
      </c>
      <c r="V1378" s="74">
        <v>0.88194444444444453</v>
      </c>
      <c r="W1378" s="75">
        <v>5.5555555555555358E-3</v>
      </c>
      <c r="X1378" s="74">
        <v>0.88958333333333339</v>
      </c>
      <c r="Y1378" s="75">
        <v>7.6388888888888618E-3</v>
      </c>
      <c r="Z1378" s="76">
        <v>41746</v>
      </c>
      <c r="AA1378" s="36" t="str">
        <f t="shared" si="455"/>
        <v>Nacional</v>
      </c>
      <c r="AB1378" s="36">
        <f t="shared" si="455"/>
        <v>8.4280303030302983E-3</v>
      </c>
      <c r="AC1378" s="36">
        <f t="shared" si="455"/>
        <v>5.9343434343434231E-3</v>
      </c>
      <c r="AD1378" s="36">
        <f t="shared" si="455"/>
        <v>1.4362373737373722E-2</v>
      </c>
      <c r="AE1378" s="36" t="str">
        <f t="shared" si="455"/>
        <v>B737-800</v>
      </c>
      <c r="AF1378" s="36">
        <f t="shared" si="455"/>
        <v>189</v>
      </c>
      <c r="AG1378" s="36" t="str">
        <f t="shared" si="455"/>
        <v>CUN</v>
      </c>
    </row>
    <row r="1379" spans="18:33" x14ac:dyDescent="0.25">
      <c r="R1379">
        <v>1365</v>
      </c>
      <c r="S1379" s="36" t="str">
        <f t="shared" si="452"/>
        <v>GRANRENTA</v>
      </c>
      <c r="T1379" s="36">
        <f t="shared" si="452"/>
        <v>585</v>
      </c>
      <c r="U1379" s="73">
        <v>0.87638888888888899</v>
      </c>
      <c r="V1379" s="74">
        <v>0.88750000000000007</v>
      </c>
      <c r="W1379" s="75">
        <v>1.1111111111111072E-2</v>
      </c>
      <c r="X1379" s="74">
        <v>0.89236111111111116</v>
      </c>
      <c r="Y1379" s="75">
        <v>4.8611111111110938E-3</v>
      </c>
      <c r="Z1379" s="76">
        <v>41749</v>
      </c>
      <c r="AA1379" s="36" t="str">
        <f t="shared" si="455"/>
        <v>Nacional</v>
      </c>
      <c r="AB1379" s="36">
        <f t="shared" si="455"/>
        <v>8.4280303030302983E-3</v>
      </c>
      <c r="AC1379" s="36">
        <f t="shared" si="455"/>
        <v>5.9343434343434231E-3</v>
      </c>
      <c r="AD1379" s="36">
        <f t="shared" si="455"/>
        <v>1.4362373737373722E-2</v>
      </c>
      <c r="AE1379" s="36" t="str">
        <f t="shared" si="455"/>
        <v>B737-800</v>
      </c>
      <c r="AF1379" s="36">
        <f t="shared" si="455"/>
        <v>189</v>
      </c>
      <c r="AG1379" s="36" t="str">
        <f t="shared" si="455"/>
        <v>CUN</v>
      </c>
    </row>
    <row r="1380" spans="18:33" x14ac:dyDescent="0.25">
      <c r="R1380">
        <v>1366</v>
      </c>
      <c r="S1380" s="36" t="str">
        <f t="shared" si="452"/>
        <v>GRANRENTA</v>
      </c>
      <c r="T1380" s="36">
        <f t="shared" si="452"/>
        <v>585</v>
      </c>
      <c r="U1380" s="73">
        <v>0.90555555555555556</v>
      </c>
      <c r="V1380" s="74">
        <v>0.9145833333333333</v>
      </c>
      <c r="W1380" s="75">
        <v>9.0277777777777457E-3</v>
      </c>
      <c r="X1380" s="74">
        <v>0.92222222222222217</v>
      </c>
      <c r="Y1380" s="75">
        <v>7.6388888888888618E-3</v>
      </c>
      <c r="Z1380" s="76">
        <v>41749</v>
      </c>
      <c r="AA1380" s="36" t="str">
        <f t="shared" si="455"/>
        <v>Nacional</v>
      </c>
      <c r="AB1380" s="36">
        <f t="shared" si="455"/>
        <v>8.4280303030302983E-3</v>
      </c>
      <c r="AC1380" s="36">
        <f t="shared" si="455"/>
        <v>5.9343434343434231E-3</v>
      </c>
      <c r="AD1380" s="36">
        <f t="shared" si="455"/>
        <v>1.4362373737373722E-2</v>
      </c>
      <c r="AE1380" s="36" t="str">
        <f t="shared" si="455"/>
        <v>B737-800</v>
      </c>
      <c r="AF1380" s="36">
        <f t="shared" si="455"/>
        <v>189</v>
      </c>
      <c r="AG1380" s="36" t="str">
        <f t="shared" si="455"/>
        <v>CUN</v>
      </c>
    </row>
    <row r="1381" spans="18:33" x14ac:dyDescent="0.25">
      <c r="R1381">
        <v>1367</v>
      </c>
      <c r="S1381" s="36" t="str">
        <f t="shared" si="452"/>
        <v>GRANRENTA</v>
      </c>
      <c r="T1381" s="36">
        <f t="shared" si="452"/>
        <v>585</v>
      </c>
      <c r="U1381" s="73">
        <v>0.8881944444444444</v>
      </c>
      <c r="V1381" s="74">
        <v>0.89722222222222225</v>
      </c>
      <c r="W1381" s="75">
        <v>9.0277777777778567E-3</v>
      </c>
      <c r="X1381" s="74">
        <v>0.90347222222222223</v>
      </c>
      <c r="Y1381" s="75">
        <v>6.2499999999999778E-3</v>
      </c>
      <c r="Z1381" s="76">
        <v>41753</v>
      </c>
      <c r="AA1381" s="36" t="str">
        <f t="shared" si="455"/>
        <v>Nacional</v>
      </c>
      <c r="AB1381" s="36">
        <f t="shared" si="455"/>
        <v>8.4280303030302983E-3</v>
      </c>
      <c r="AC1381" s="36">
        <f t="shared" si="455"/>
        <v>5.9343434343434231E-3</v>
      </c>
      <c r="AD1381" s="36">
        <f t="shared" si="455"/>
        <v>1.4362373737373722E-2</v>
      </c>
      <c r="AE1381" s="36" t="str">
        <f t="shared" si="455"/>
        <v>B737-800</v>
      </c>
      <c r="AF1381" s="36">
        <f t="shared" si="455"/>
        <v>189</v>
      </c>
      <c r="AG1381" s="36" t="str">
        <f t="shared" si="455"/>
        <v>CUN</v>
      </c>
    </row>
    <row r="1382" spans="18:33" x14ac:dyDescent="0.25">
      <c r="R1382">
        <v>1368</v>
      </c>
      <c r="S1382" s="36" t="str">
        <f t="shared" si="452"/>
        <v>GRANRENTA</v>
      </c>
      <c r="T1382" s="36">
        <f t="shared" si="452"/>
        <v>585</v>
      </c>
      <c r="U1382" s="73">
        <v>0.90625</v>
      </c>
      <c r="V1382" s="74">
        <v>0.91805555555555562</v>
      </c>
      <c r="W1382" s="75">
        <v>1.1805555555555625E-2</v>
      </c>
      <c r="X1382" s="74">
        <v>0.9243055555555556</v>
      </c>
      <c r="Y1382" s="75">
        <v>6.2499999999999778E-3</v>
      </c>
      <c r="Z1382" s="76">
        <v>41755</v>
      </c>
      <c r="AA1382" s="36" t="str">
        <f t="shared" si="455"/>
        <v>Nacional</v>
      </c>
      <c r="AB1382" s="36">
        <f t="shared" si="455"/>
        <v>8.4280303030302983E-3</v>
      </c>
      <c r="AC1382" s="36">
        <f t="shared" si="455"/>
        <v>5.9343434343434231E-3</v>
      </c>
      <c r="AD1382" s="36">
        <f t="shared" si="455"/>
        <v>1.4362373737373722E-2</v>
      </c>
      <c r="AE1382" s="36" t="str">
        <f t="shared" si="455"/>
        <v>B737-800</v>
      </c>
      <c r="AF1382" s="36">
        <f t="shared" si="455"/>
        <v>189</v>
      </c>
      <c r="AG1382" s="36" t="str">
        <f t="shared" si="455"/>
        <v>CUN</v>
      </c>
    </row>
    <row r="1383" spans="18:33" x14ac:dyDescent="0.25">
      <c r="R1383">
        <v>1369</v>
      </c>
      <c r="S1383" s="36" t="str">
        <f t="shared" si="452"/>
        <v>GRANRENTA</v>
      </c>
      <c r="T1383" s="36">
        <f t="shared" si="452"/>
        <v>585</v>
      </c>
      <c r="U1383" s="73">
        <v>0.90138888888888891</v>
      </c>
      <c r="V1383" s="74">
        <v>0.91388888888888886</v>
      </c>
      <c r="W1383" s="75">
        <v>1.2499999999999956E-2</v>
      </c>
      <c r="X1383" s="74">
        <v>0.9194444444444444</v>
      </c>
      <c r="Y1383" s="75">
        <v>5.5555555555555358E-3</v>
      </c>
      <c r="Z1383" s="76">
        <v>41757</v>
      </c>
      <c r="AA1383" s="36" t="str">
        <f t="shared" si="455"/>
        <v>Nacional</v>
      </c>
      <c r="AB1383" s="36">
        <f t="shared" si="455"/>
        <v>8.4280303030302983E-3</v>
      </c>
      <c r="AC1383" s="36">
        <f t="shared" si="455"/>
        <v>5.9343434343434231E-3</v>
      </c>
      <c r="AD1383" s="36">
        <f t="shared" si="455"/>
        <v>1.4362373737373722E-2</v>
      </c>
      <c r="AE1383" s="36" t="str">
        <f t="shared" si="455"/>
        <v>B737-800</v>
      </c>
      <c r="AF1383" s="36">
        <f t="shared" si="455"/>
        <v>189</v>
      </c>
      <c r="AG1383" s="36" t="str">
        <f t="shared" si="455"/>
        <v>CUN</v>
      </c>
    </row>
    <row r="1384" spans="18:33" x14ac:dyDescent="0.25">
      <c r="R1384">
        <v>1370</v>
      </c>
      <c r="S1384" s="36" t="str">
        <f t="shared" si="452"/>
        <v>GRANRENTA</v>
      </c>
      <c r="T1384" s="36">
        <f t="shared" si="452"/>
        <v>585</v>
      </c>
      <c r="U1384" s="73">
        <v>0.71111111111111114</v>
      </c>
      <c r="V1384" s="74">
        <v>0.72361111111111109</v>
      </c>
      <c r="W1384" s="75">
        <v>1.2499999999999956E-2</v>
      </c>
      <c r="X1384" s="74">
        <v>0.72916666666666663</v>
      </c>
      <c r="Y1384" s="75">
        <v>5.5555555555555358E-3</v>
      </c>
      <c r="Z1384" s="76">
        <v>41758</v>
      </c>
      <c r="AA1384" s="36" t="str">
        <f t="shared" si="455"/>
        <v>Nacional</v>
      </c>
      <c r="AB1384" s="36">
        <f t="shared" si="455"/>
        <v>8.4280303030302983E-3</v>
      </c>
      <c r="AC1384" s="36">
        <f t="shared" si="455"/>
        <v>5.9343434343434231E-3</v>
      </c>
      <c r="AD1384" s="36">
        <f t="shared" si="455"/>
        <v>1.4362373737373722E-2</v>
      </c>
      <c r="AE1384" s="36" t="str">
        <f t="shared" si="455"/>
        <v>B737-800</v>
      </c>
      <c r="AF1384" s="36">
        <f t="shared" si="455"/>
        <v>189</v>
      </c>
      <c r="AG1384" s="36" t="str">
        <f t="shared" si="455"/>
        <v>CUN</v>
      </c>
    </row>
    <row r="1385" spans="18:33" x14ac:dyDescent="0.25">
      <c r="R1385">
        <v>1371</v>
      </c>
      <c r="S1385" s="36" t="str">
        <f t="shared" si="452"/>
        <v>GRANRENTA</v>
      </c>
      <c r="T1385" s="36">
        <f t="shared" si="452"/>
        <v>585</v>
      </c>
      <c r="U1385" s="73">
        <v>0.92361111111111116</v>
      </c>
      <c r="V1385" s="74">
        <v>0.93055555555555547</v>
      </c>
      <c r="W1385" s="75">
        <v>6.9444444444443088E-3</v>
      </c>
      <c r="X1385" s="74">
        <v>0.9375</v>
      </c>
      <c r="Y1385" s="75">
        <v>6.9444444444445308E-3</v>
      </c>
      <c r="Z1385" s="76">
        <v>41759</v>
      </c>
      <c r="AA1385" s="36" t="str">
        <f t="shared" si="455"/>
        <v>Nacional</v>
      </c>
      <c r="AB1385" s="36">
        <f t="shared" si="455"/>
        <v>8.4280303030302983E-3</v>
      </c>
      <c r="AC1385" s="36">
        <f t="shared" si="455"/>
        <v>5.9343434343434231E-3</v>
      </c>
      <c r="AD1385" s="36">
        <f t="shared" si="455"/>
        <v>1.4362373737373722E-2</v>
      </c>
      <c r="AE1385" s="36" t="str">
        <f t="shared" si="455"/>
        <v>B737-800</v>
      </c>
      <c r="AF1385" s="36">
        <f t="shared" si="455"/>
        <v>189</v>
      </c>
      <c r="AG1385" s="36" t="str">
        <f t="shared" si="455"/>
        <v>CUN</v>
      </c>
    </row>
    <row r="1386" spans="18:33" ht="15.75" thickBot="1" x14ac:dyDescent="0.3">
      <c r="R1386">
        <v>1372</v>
      </c>
      <c r="S1386" s="36" t="str">
        <f t="shared" si="452"/>
        <v>GRANRENTA</v>
      </c>
      <c r="T1386" s="36">
        <f t="shared" si="452"/>
        <v>585</v>
      </c>
      <c r="U1386" s="83">
        <v>0.8965277777777777</v>
      </c>
      <c r="V1386" s="84">
        <v>0.90486111111111101</v>
      </c>
      <c r="W1386" s="85">
        <v>8.3333333333333037E-3</v>
      </c>
      <c r="X1386" s="84">
        <v>0.91180555555555554</v>
      </c>
      <c r="Y1386" s="85">
        <v>6.9444444444445308E-3</v>
      </c>
      <c r="Z1386" s="86">
        <v>41736</v>
      </c>
      <c r="AA1386" s="36" t="str">
        <f t="shared" si="455"/>
        <v>Nacional</v>
      </c>
      <c r="AB1386" s="36">
        <f t="shared" si="455"/>
        <v>8.4280303030302983E-3</v>
      </c>
      <c r="AC1386" s="36">
        <f t="shared" si="455"/>
        <v>5.9343434343434231E-3</v>
      </c>
      <c r="AD1386" s="36">
        <f t="shared" si="455"/>
        <v>1.4362373737373722E-2</v>
      </c>
      <c r="AE1386" s="36" t="str">
        <f t="shared" si="455"/>
        <v>B737-800</v>
      </c>
      <c r="AF1386" s="36">
        <f t="shared" si="455"/>
        <v>189</v>
      </c>
      <c r="AG1386" s="36" t="str">
        <f t="shared" si="455"/>
        <v>CUN</v>
      </c>
    </row>
    <row r="1387" spans="18:33" x14ac:dyDescent="0.25">
      <c r="R1387">
        <v>1373</v>
      </c>
      <c r="S1387" s="45" t="s">
        <v>93</v>
      </c>
      <c r="T1387" s="55">
        <v>21</v>
      </c>
      <c r="U1387" s="56">
        <v>0.35416666666666669</v>
      </c>
      <c r="V1387" s="57">
        <v>0.3576388888888889</v>
      </c>
      <c r="W1387" s="58">
        <v>3.4722222222222099E-3</v>
      </c>
      <c r="X1387" s="57">
        <v>0.35902777777777778</v>
      </c>
      <c r="Y1387" s="58">
        <v>1.388888888888884E-3</v>
      </c>
      <c r="Z1387" s="59">
        <v>41737</v>
      </c>
      <c r="AA1387" s="60" t="s">
        <v>19</v>
      </c>
      <c r="AB1387" s="61">
        <v>5.5555555555555636E-3</v>
      </c>
      <c r="AC1387" s="61">
        <v>1.041666666666663E-3</v>
      </c>
      <c r="AD1387" s="61">
        <v>6.5972222222222265E-3</v>
      </c>
      <c r="AE1387" s="167" t="s">
        <v>90</v>
      </c>
      <c r="AF1387" s="167">
        <v>50</v>
      </c>
      <c r="AG1387" s="182" t="s">
        <v>24</v>
      </c>
    </row>
    <row r="1388" spans="18:33" ht="15.75" thickBot="1" x14ac:dyDescent="0.3">
      <c r="R1388">
        <v>1374</v>
      </c>
      <c r="S1388" s="36" t="str">
        <f t="shared" ref="S1388:T1427" si="456">S1387</f>
        <v>AEROLÍNEA TOR</v>
      </c>
      <c r="T1388" s="36">
        <f>T1387</f>
        <v>21</v>
      </c>
      <c r="U1388" s="83">
        <v>0.3520833333333333</v>
      </c>
      <c r="V1388" s="84">
        <v>0.35972222222222222</v>
      </c>
      <c r="W1388" s="85">
        <v>7.6388888888889173E-3</v>
      </c>
      <c r="X1388" s="84">
        <v>0.36041666666666666</v>
      </c>
      <c r="Y1388" s="85">
        <v>6.9444444444444198E-4</v>
      </c>
      <c r="Z1388" s="86">
        <v>41742</v>
      </c>
      <c r="AA1388" s="36" t="str">
        <f t="shared" ref="AA1388:AG1388" si="457">AA1387</f>
        <v>Nacional</v>
      </c>
      <c r="AB1388" s="36">
        <f t="shared" si="457"/>
        <v>5.5555555555555636E-3</v>
      </c>
      <c r="AC1388" s="36">
        <f t="shared" si="457"/>
        <v>1.041666666666663E-3</v>
      </c>
      <c r="AD1388" s="36">
        <f t="shared" si="457"/>
        <v>6.5972222222222265E-3</v>
      </c>
      <c r="AE1388" s="36" t="str">
        <f t="shared" si="457"/>
        <v xml:space="preserve">ER4 </v>
      </c>
      <c r="AF1388" s="36">
        <f t="shared" si="457"/>
        <v>50</v>
      </c>
      <c r="AG1388" s="36" t="str">
        <f t="shared" si="457"/>
        <v>QRO</v>
      </c>
    </row>
    <row r="1389" spans="18:33" x14ac:dyDescent="0.25">
      <c r="R1389">
        <v>1375</v>
      </c>
      <c r="S1389" s="36" t="str">
        <f t="shared" si="456"/>
        <v>AEROLÍNEA TOR</v>
      </c>
      <c r="T1389" s="55">
        <v>25</v>
      </c>
      <c r="U1389" s="56">
        <v>0.5541666666666667</v>
      </c>
      <c r="V1389" s="57">
        <v>0.55555555555555558</v>
      </c>
      <c r="W1389" s="58">
        <v>1.388888888888884E-3</v>
      </c>
      <c r="X1389" s="57">
        <v>0.55833333333333335</v>
      </c>
      <c r="Y1389" s="58">
        <v>2.7777777777777679E-3</v>
      </c>
      <c r="Z1389" s="59">
        <v>41738</v>
      </c>
      <c r="AA1389" s="60" t="s">
        <v>19</v>
      </c>
      <c r="AB1389" s="61">
        <v>2.3842592592592592E-2</v>
      </c>
      <c r="AC1389" s="61">
        <v>3.4722222222222099E-3</v>
      </c>
      <c r="AD1389" s="62">
        <v>2.7314814814814802E-2</v>
      </c>
      <c r="AE1389" s="167" t="s">
        <v>90</v>
      </c>
      <c r="AF1389" s="167">
        <v>50</v>
      </c>
      <c r="AG1389" s="168" t="s">
        <v>24</v>
      </c>
    </row>
    <row r="1390" spans="18:33" x14ac:dyDescent="0.25">
      <c r="R1390">
        <v>1376</v>
      </c>
      <c r="S1390" s="36" t="str">
        <f t="shared" si="456"/>
        <v>AEROLÍNEA TOR</v>
      </c>
      <c r="T1390" s="36">
        <f t="shared" si="456"/>
        <v>25</v>
      </c>
      <c r="U1390" s="73">
        <v>0.57638888888888895</v>
      </c>
      <c r="V1390" s="74">
        <v>0.58680555555555558</v>
      </c>
      <c r="W1390" s="75">
        <v>1.041666666666663E-2</v>
      </c>
      <c r="X1390" s="74">
        <v>0.58750000000000002</v>
      </c>
      <c r="Y1390" s="75">
        <v>6.9444444444444198E-4</v>
      </c>
      <c r="Z1390" s="76">
        <v>41741</v>
      </c>
      <c r="AA1390" s="36" t="str">
        <f t="shared" ref="AA1390:AG1397" si="458">AA1389</f>
        <v>Nacional</v>
      </c>
      <c r="AB1390" s="36">
        <f t="shared" si="458"/>
        <v>2.3842592592592592E-2</v>
      </c>
      <c r="AC1390" s="36">
        <f t="shared" si="458"/>
        <v>3.4722222222222099E-3</v>
      </c>
      <c r="AD1390" s="36">
        <f t="shared" si="458"/>
        <v>2.7314814814814802E-2</v>
      </c>
      <c r="AE1390" s="36" t="str">
        <f t="shared" si="458"/>
        <v xml:space="preserve">ER4 </v>
      </c>
      <c r="AF1390" s="36">
        <f t="shared" si="458"/>
        <v>50</v>
      </c>
      <c r="AG1390" s="36" t="str">
        <f t="shared" si="458"/>
        <v>QRO</v>
      </c>
    </row>
    <row r="1391" spans="18:33" x14ac:dyDescent="0.25">
      <c r="R1391">
        <v>1377</v>
      </c>
      <c r="S1391" s="36" t="str">
        <f t="shared" si="456"/>
        <v>AEROLÍNEA TOR</v>
      </c>
      <c r="T1391" s="36">
        <f t="shared" si="456"/>
        <v>25</v>
      </c>
      <c r="U1391" s="73">
        <v>0.40972222222222227</v>
      </c>
      <c r="V1391" s="74">
        <v>0.41319444444444442</v>
      </c>
      <c r="W1391" s="75">
        <v>3.4722222222221544E-3</v>
      </c>
      <c r="X1391" s="74">
        <v>0.4152777777777778</v>
      </c>
      <c r="Y1391" s="75">
        <v>2.0833333333333814E-3</v>
      </c>
      <c r="Z1391" s="76">
        <v>41746</v>
      </c>
      <c r="AA1391" s="36" t="str">
        <f t="shared" si="458"/>
        <v>Nacional</v>
      </c>
      <c r="AB1391" s="36">
        <f t="shared" si="458"/>
        <v>2.3842592592592592E-2</v>
      </c>
      <c r="AC1391" s="36">
        <f t="shared" si="458"/>
        <v>3.4722222222222099E-3</v>
      </c>
      <c r="AD1391" s="36">
        <f t="shared" si="458"/>
        <v>2.7314814814814802E-2</v>
      </c>
      <c r="AE1391" s="36" t="str">
        <f t="shared" si="458"/>
        <v xml:space="preserve">ER4 </v>
      </c>
      <c r="AF1391" s="36">
        <f t="shared" si="458"/>
        <v>50</v>
      </c>
      <c r="AG1391" s="36" t="str">
        <f t="shared" si="458"/>
        <v>QRO</v>
      </c>
    </row>
    <row r="1392" spans="18:33" x14ac:dyDescent="0.25">
      <c r="R1392">
        <v>1378</v>
      </c>
      <c r="S1392" s="36" t="str">
        <f t="shared" si="456"/>
        <v>AEROLÍNEA TOR</v>
      </c>
      <c r="T1392" s="36">
        <f t="shared" si="456"/>
        <v>25</v>
      </c>
      <c r="U1392" s="73">
        <v>0.40972222222222227</v>
      </c>
      <c r="V1392" s="74">
        <v>0.41250000000000003</v>
      </c>
      <c r="W1392" s="75">
        <v>2.7777777777777679E-3</v>
      </c>
      <c r="X1392" s="74">
        <v>0.41944444444444445</v>
      </c>
      <c r="Y1392" s="75">
        <v>6.9444444444444198E-3</v>
      </c>
      <c r="Z1392" s="76">
        <v>41747</v>
      </c>
      <c r="AA1392" s="36" t="str">
        <f t="shared" si="458"/>
        <v>Nacional</v>
      </c>
      <c r="AB1392" s="36">
        <f t="shared" si="458"/>
        <v>2.3842592592592592E-2</v>
      </c>
      <c r="AC1392" s="36">
        <f t="shared" si="458"/>
        <v>3.4722222222222099E-3</v>
      </c>
      <c r="AD1392" s="36">
        <f t="shared" si="458"/>
        <v>2.7314814814814802E-2</v>
      </c>
      <c r="AE1392" s="36" t="str">
        <f t="shared" si="458"/>
        <v xml:space="preserve">ER4 </v>
      </c>
      <c r="AF1392" s="36">
        <f t="shared" si="458"/>
        <v>50</v>
      </c>
      <c r="AG1392" s="36" t="str">
        <f t="shared" si="458"/>
        <v>QRO</v>
      </c>
    </row>
    <row r="1393" spans="18:33" x14ac:dyDescent="0.25">
      <c r="R1393">
        <v>1379</v>
      </c>
      <c r="S1393" s="36" t="str">
        <f t="shared" si="456"/>
        <v>AEROLÍNEA TOR</v>
      </c>
      <c r="T1393" s="36">
        <f t="shared" si="456"/>
        <v>25</v>
      </c>
      <c r="U1393" s="73">
        <v>0.4055555555555555</v>
      </c>
      <c r="V1393" s="74">
        <v>0.40972222222222227</v>
      </c>
      <c r="W1393" s="75">
        <v>4.1666666666667629E-3</v>
      </c>
      <c r="X1393" s="74">
        <v>0.41180555555555554</v>
      </c>
      <c r="Y1393" s="75">
        <v>2.0833333333332704E-3</v>
      </c>
      <c r="Z1393" s="76">
        <v>41748</v>
      </c>
      <c r="AA1393" s="36" t="str">
        <f t="shared" si="458"/>
        <v>Nacional</v>
      </c>
      <c r="AB1393" s="36">
        <f t="shared" si="458"/>
        <v>2.3842592592592592E-2</v>
      </c>
      <c r="AC1393" s="36">
        <f t="shared" si="458"/>
        <v>3.4722222222222099E-3</v>
      </c>
      <c r="AD1393" s="36">
        <f t="shared" si="458"/>
        <v>2.7314814814814802E-2</v>
      </c>
      <c r="AE1393" s="36" t="str">
        <f t="shared" si="458"/>
        <v xml:space="preserve">ER4 </v>
      </c>
      <c r="AF1393" s="36">
        <f t="shared" si="458"/>
        <v>50</v>
      </c>
      <c r="AG1393" s="36" t="str">
        <f t="shared" si="458"/>
        <v>QRO</v>
      </c>
    </row>
    <row r="1394" spans="18:33" x14ac:dyDescent="0.25">
      <c r="R1394">
        <v>1380</v>
      </c>
      <c r="S1394" s="36" t="str">
        <f t="shared" si="456"/>
        <v>AEROLÍNEA TOR</v>
      </c>
      <c r="T1394" s="36">
        <f t="shared" si="456"/>
        <v>25</v>
      </c>
      <c r="U1394" s="73">
        <v>0.41250000000000003</v>
      </c>
      <c r="V1394" s="74">
        <v>0.4201388888888889</v>
      </c>
      <c r="W1394" s="75">
        <v>7.6388888888888618E-3</v>
      </c>
      <c r="X1394" s="74">
        <v>0.4236111111111111</v>
      </c>
      <c r="Y1394" s="75">
        <v>3.4722222222222099E-3</v>
      </c>
      <c r="Z1394" s="76">
        <v>41750</v>
      </c>
      <c r="AA1394" s="36" t="str">
        <f t="shared" si="458"/>
        <v>Nacional</v>
      </c>
      <c r="AB1394" s="36">
        <f t="shared" si="458"/>
        <v>2.3842592592592592E-2</v>
      </c>
      <c r="AC1394" s="36">
        <f t="shared" si="458"/>
        <v>3.4722222222222099E-3</v>
      </c>
      <c r="AD1394" s="36">
        <f t="shared" si="458"/>
        <v>2.7314814814814802E-2</v>
      </c>
      <c r="AE1394" s="36" t="str">
        <f t="shared" si="458"/>
        <v xml:space="preserve">ER4 </v>
      </c>
      <c r="AF1394" s="36">
        <f t="shared" si="458"/>
        <v>50</v>
      </c>
      <c r="AG1394" s="36" t="str">
        <f t="shared" si="458"/>
        <v>QRO</v>
      </c>
    </row>
    <row r="1395" spans="18:33" x14ac:dyDescent="0.25">
      <c r="R1395">
        <v>1381</v>
      </c>
      <c r="S1395" s="36" t="str">
        <f t="shared" si="456"/>
        <v>AEROLÍNEA TOR</v>
      </c>
      <c r="T1395" s="36">
        <f t="shared" si="456"/>
        <v>25</v>
      </c>
      <c r="U1395" s="73">
        <v>0.24374999999999999</v>
      </c>
      <c r="V1395" s="74">
        <v>0.41666666666666669</v>
      </c>
      <c r="W1395" s="75">
        <v>0.17291666666666669</v>
      </c>
      <c r="X1395" s="74">
        <v>0.42569444444444443</v>
      </c>
      <c r="Y1395" s="75">
        <v>9.0277777777777457E-3</v>
      </c>
      <c r="Z1395" s="76">
        <v>41753</v>
      </c>
      <c r="AA1395" s="36" t="str">
        <f t="shared" si="458"/>
        <v>Nacional</v>
      </c>
      <c r="AB1395" s="36">
        <f t="shared" si="458"/>
        <v>2.3842592592592592E-2</v>
      </c>
      <c r="AC1395" s="36">
        <f t="shared" si="458"/>
        <v>3.4722222222222099E-3</v>
      </c>
      <c r="AD1395" s="36">
        <f t="shared" si="458"/>
        <v>2.7314814814814802E-2</v>
      </c>
      <c r="AE1395" s="36" t="str">
        <f t="shared" si="458"/>
        <v xml:space="preserve">ER4 </v>
      </c>
      <c r="AF1395" s="36">
        <f t="shared" si="458"/>
        <v>50</v>
      </c>
      <c r="AG1395" s="36" t="str">
        <f t="shared" si="458"/>
        <v>QRO</v>
      </c>
    </row>
    <row r="1396" spans="18:33" x14ac:dyDescent="0.25">
      <c r="R1396">
        <v>1382</v>
      </c>
      <c r="S1396" s="36" t="str">
        <f t="shared" si="456"/>
        <v>AEROLÍNEA TOR</v>
      </c>
      <c r="T1396" s="36">
        <f t="shared" si="456"/>
        <v>25</v>
      </c>
      <c r="U1396" s="73">
        <v>0.40069444444444446</v>
      </c>
      <c r="V1396" s="74">
        <v>0.40625</v>
      </c>
      <c r="W1396" s="75">
        <v>5.5555555555555358E-3</v>
      </c>
      <c r="X1396" s="74">
        <v>0.40833333333333338</v>
      </c>
      <c r="Y1396" s="75">
        <v>2.0833333333333814E-3</v>
      </c>
      <c r="Z1396" s="76">
        <v>41754</v>
      </c>
      <c r="AA1396" s="36" t="str">
        <f t="shared" si="458"/>
        <v>Nacional</v>
      </c>
      <c r="AB1396" s="36">
        <f t="shared" si="458"/>
        <v>2.3842592592592592E-2</v>
      </c>
      <c r="AC1396" s="36">
        <f t="shared" si="458"/>
        <v>3.4722222222222099E-3</v>
      </c>
      <c r="AD1396" s="36">
        <f t="shared" si="458"/>
        <v>2.7314814814814802E-2</v>
      </c>
      <c r="AE1396" s="36" t="str">
        <f t="shared" si="458"/>
        <v xml:space="preserve">ER4 </v>
      </c>
      <c r="AF1396" s="36">
        <f t="shared" si="458"/>
        <v>50</v>
      </c>
      <c r="AG1396" s="36" t="str">
        <f t="shared" si="458"/>
        <v>QRO</v>
      </c>
    </row>
    <row r="1397" spans="18:33" ht="15.75" thickBot="1" x14ac:dyDescent="0.3">
      <c r="R1397">
        <v>1383</v>
      </c>
      <c r="S1397" s="36" t="str">
        <f t="shared" si="456"/>
        <v>AEROLÍNEA TOR</v>
      </c>
      <c r="T1397" s="36">
        <f t="shared" si="456"/>
        <v>25</v>
      </c>
      <c r="U1397" s="83">
        <v>0.40486111111111112</v>
      </c>
      <c r="V1397" s="84">
        <v>0.41111111111111115</v>
      </c>
      <c r="W1397" s="85">
        <v>6.2500000000000333E-3</v>
      </c>
      <c r="X1397" s="84">
        <v>0.41319444444444442</v>
      </c>
      <c r="Y1397" s="85">
        <v>2.0833333333332704E-3</v>
      </c>
      <c r="Z1397" s="86">
        <v>41757</v>
      </c>
      <c r="AA1397" s="36" t="str">
        <f t="shared" si="458"/>
        <v>Nacional</v>
      </c>
      <c r="AB1397" s="36">
        <f t="shared" si="458"/>
        <v>2.3842592592592592E-2</v>
      </c>
      <c r="AC1397" s="36">
        <f t="shared" si="458"/>
        <v>3.4722222222222099E-3</v>
      </c>
      <c r="AD1397" s="36">
        <f t="shared" si="458"/>
        <v>2.7314814814814802E-2</v>
      </c>
      <c r="AE1397" s="36" t="str">
        <f t="shared" si="458"/>
        <v xml:space="preserve">ER4 </v>
      </c>
      <c r="AF1397" s="36">
        <f t="shared" si="458"/>
        <v>50</v>
      </c>
      <c r="AG1397" s="36" t="str">
        <f t="shared" si="458"/>
        <v>QRO</v>
      </c>
    </row>
    <row r="1398" spans="18:33" x14ac:dyDescent="0.25">
      <c r="R1398">
        <v>1384</v>
      </c>
      <c r="S1398" s="36" t="str">
        <f t="shared" si="456"/>
        <v>AEROLÍNEA TOR</v>
      </c>
      <c r="T1398" s="55">
        <v>26</v>
      </c>
      <c r="U1398" s="56">
        <v>0.72222222222222221</v>
      </c>
      <c r="V1398" s="57">
        <v>0.72916666666666663</v>
      </c>
      <c r="W1398" s="58">
        <v>6.9444444444444198E-3</v>
      </c>
      <c r="X1398" s="57">
        <v>0.73472222222222217</v>
      </c>
      <c r="Y1398" s="58">
        <v>5.5555555555555358E-3</v>
      </c>
      <c r="Z1398" s="59">
        <v>41735</v>
      </c>
      <c r="AA1398" s="60" t="s">
        <v>19</v>
      </c>
      <c r="AB1398" s="61">
        <v>6.8376068376068307E-3</v>
      </c>
      <c r="AC1398" s="61">
        <v>3.8995726495726782E-3</v>
      </c>
      <c r="AD1398" s="62">
        <v>1.0737179487179508E-2</v>
      </c>
      <c r="AE1398" s="167" t="s">
        <v>90</v>
      </c>
      <c r="AF1398" s="167">
        <v>50</v>
      </c>
      <c r="AG1398" s="168" t="s">
        <v>29</v>
      </c>
    </row>
    <row r="1399" spans="18:33" x14ac:dyDescent="0.25">
      <c r="R1399">
        <v>1385</v>
      </c>
      <c r="S1399" s="36" t="str">
        <f t="shared" si="456"/>
        <v>AEROLÍNEA TOR</v>
      </c>
      <c r="T1399" s="36">
        <f t="shared" si="456"/>
        <v>26</v>
      </c>
      <c r="U1399" s="73">
        <v>0.72430555555555554</v>
      </c>
      <c r="V1399" s="74">
        <v>0.73263888888888884</v>
      </c>
      <c r="W1399" s="75">
        <v>8.3333333333333037E-3</v>
      </c>
      <c r="X1399" s="74">
        <v>0.73472222222222217</v>
      </c>
      <c r="Y1399" s="75">
        <v>2.0833333333333259E-3</v>
      </c>
      <c r="Z1399" s="76">
        <v>41736</v>
      </c>
      <c r="AA1399" s="36" t="str">
        <f t="shared" ref="AA1399:AG1410" si="459">AA1398</f>
        <v>Nacional</v>
      </c>
      <c r="AB1399" s="36">
        <f t="shared" si="459"/>
        <v>6.8376068376068307E-3</v>
      </c>
      <c r="AC1399" s="36">
        <f t="shared" si="459"/>
        <v>3.8995726495726782E-3</v>
      </c>
      <c r="AD1399" s="36">
        <f t="shared" si="459"/>
        <v>1.0737179487179508E-2</v>
      </c>
      <c r="AE1399" s="36" t="str">
        <f t="shared" si="459"/>
        <v xml:space="preserve">ER4 </v>
      </c>
      <c r="AF1399" s="36">
        <f t="shared" si="459"/>
        <v>50</v>
      </c>
      <c r="AG1399" s="36" t="str">
        <f t="shared" si="459"/>
        <v>PVR</v>
      </c>
    </row>
    <row r="1400" spans="18:33" x14ac:dyDescent="0.25">
      <c r="R1400">
        <v>1386</v>
      </c>
      <c r="S1400" s="36" t="str">
        <f t="shared" si="456"/>
        <v>AEROLÍNEA TOR</v>
      </c>
      <c r="T1400" s="36">
        <f t="shared" si="456"/>
        <v>26</v>
      </c>
      <c r="U1400" s="73">
        <v>0.72222222222222221</v>
      </c>
      <c r="V1400" s="74">
        <v>0.72361111111111109</v>
      </c>
      <c r="W1400" s="75">
        <v>1.388888888888884E-3</v>
      </c>
      <c r="X1400" s="74">
        <v>0.72569444444444453</v>
      </c>
      <c r="Y1400" s="75">
        <v>2.083333333333437E-3</v>
      </c>
      <c r="Z1400" s="76">
        <v>41738</v>
      </c>
      <c r="AA1400" s="36" t="str">
        <f t="shared" si="459"/>
        <v>Nacional</v>
      </c>
      <c r="AB1400" s="36">
        <f t="shared" si="459"/>
        <v>6.8376068376068307E-3</v>
      </c>
      <c r="AC1400" s="36">
        <f t="shared" si="459"/>
        <v>3.8995726495726782E-3</v>
      </c>
      <c r="AD1400" s="36">
        <f t="shared" si="459"/>
        <v>1.0737179487179508E-2</v>
      </c>
      <c r="AE1400" s="36" t="str">
        <f t="shared" si="459"/>
        <v xml:space="preserve">ER4 </v>
      </c>
      <c r="AF1400" s="36">
        <f t="shared" si="459"/>
        <v>50</v>
      </c>
      <c r="AG1400" s="36" t="str">
        <f t="shared" si="459"/>
        <v>PVR</v>
      </c>
    </row>
    <row r="1401" spans="18:33" x14ac:dyDescent="0.25">
      <c r="R1401">
        <v>1387</v>
      </c>
      <c r="S1401" s="36" t="str">
        <f t="shared" si="456"/>
        <v>AEROLÍNEA TOR</v>
      </c>
      <c r="T1401" s="36">
        <f t="shared" si="456"/>
        <v>26</v>
      </c>
      <c r="U1401" s="73">
        <v>0.72916666666666663</v>
      </c>
      <c r="V1401" s="74">
        <v>0.73263888888888884</v>
      </c>
      <c r="W1401" s="75">
        <v>3.4722222222222099E-3</v>
      </c>
      <c r="X1401" s="74">
        <v>0.73611111111111116</v>
      </c>
      <c r="Y1401" s="75">
        <v>3.4722222222223209E-3</v>
      </c>
      <c r="Z1401" s="76">
        <v>41741</v>
      </c>
      <c r="AA1401" s="36" t="str">
        <f t="shared" si="459"/>
        <v>Nacional</v>
      </c>
      <c r="AB1401" s="36">
        <f t="shared" si="459"/>
        <v>6.8376068376068307E-3</v>
      </c>
      <c r="AC1401" s="36">
        <f t="shared" si="459"/>
        <v>3.8995726495726782E-3</v>
      </c>
      <c r="AD1401" s="36">
        <f t="shared" si="459"/>
        <v>1.0737179487179508E-2</v>
      </c>
      <c r="AE1401" s="36" t="str">
        <f t="shared" si="459"/>
        <v xml:space="preserve">ER4 </v>
      </c>
      <c r="AF1401" s="36">
        <f t="shared" si="459"/>
        <v>50</v>
      </c>
      <c r="AG1401" s="36" t="str">
        <f t="shared" si="459"/>
        <v>PVR</v>
      </c>
    </row>
    <row r="1402" spans="18:33" x14ac:dyDescent="0.25">
      <c r="R1402">
        <v>1388</v>
      </c>
      <c r="S1402" s="36" t="str">
        <f t="shared" si="456"/>
        <v>AEROLÍNEA TOR</v>
      </c>
      <c r="T1402" s="36">
        <f t="shared" si="456"/>
        <v>26</v>
      </c>
      <c r="U1402" s="73">
        <v>0.5805555555555556</v>
      </c>
      <c r="V1402" s="74">
        <v>0.58750000000000002</v>
      </c>
      <c r="W1402" s="75">
        <v>6.9444444444444198E-3</v>
      </c>
      <c r="X1402" s="74">
        <v>0.59027777777777779</v>
      </c>
      <c r="Y1402" s="75">
        <v>2.7777777777777679E-3</v>
      </c>
      <c r="Z1402" s="76">
        <v>41743</v>
      </c>
      <c r="AA1402" s="36" t="str">
        <f t="shared" si="459"/>
        <v>Nacional</v>
      </c>
      <c r="AB1402" s="36">
        <f t="shared" si="459"/>
        <v>6.8376068376068307E-3</v>
      </c>
      <c r="AC1402" s="36">
        <f t="shared" si="459"/>
        <v>3.8995726495726782E-3</v>
      </c>
      <c r="AD1402" s="36">
        <f t="shared" si="459"/>
        <v>1.0737179487179508E-2</v>
      </c>
      <c r="AE1402" s="36" t="str">
        <f t="shared" si="459"/>
        <v xml:space="preserve">ER4 </v>
      </c>
      <c r="AF1402" s="36">
        <f t="shared" si="459"/>
        <v>50</v>
      </c>
      <c r="AG1402" s="36" t="str">
        <f t="shared" si="459"/>
        <v>PVR</v>
      </c>
    </row>
    <row r="1403" spans="18:33" x14ac:dyDescent="0.25">
      <c r="R1403">
        <v>1389</v>
      </c>
      <c r="S1403" s="36" t="str">
        <f t="shared" si="456"/>
        <v>AEROLÍNEA TOR</v>
      </c>
      <c r="T1403" s="36">
        <f t="shared" si="456"/>
        <v>26</v>
      </c>
      <c r="U1403" s="73">
        <v>0.56944444444444442</v>
      </c>
      <c r="V1403" s="74">
        <v>0.57638888888888895</v>
      </c>
      <c r="W1403" s="75">
        <v>6.9444444444445308E-3</v>
      </c>
      <c r="X1403" s="74">
        <v>0.57986111111111105</v>
      </c>
      <c r="Y1403" s="75">
        <v>3.4722222222220989E-3</v>
      </c>
      <c r="Z1403" s="76">
        <v>41746</v>
      </c>
      <c r="AA1403" s="36" t="str">
        <f t="shared" si="459"/>
        <v>Nacional</v>
      </c>
      <c r="AB1403" s="36">
        <f t="shared" si="459"/>
        <v>6.8376068376068307E-3</v>
      </c>
      <c r="AC1403" s="36">
        <f t="shared" si="459"/>
        <v>3.8995726495726782E-3</v>
      </c>
      <c r="AD1403" s="36">
        <f t="shared" si="459"/>
        <v>1.0737179487179508E-2</v>
      </c>
      <c r="AE1403" s="36" t="str">
        <f t="shared" si="459"/>
        <v xml:space="preserve">ER4 </v>
      </c>
      <c r="AF1403" s="36">
        <f t="shared" si="459"/>
        <v>50</v>
      </c>
      <c r="AG1403" s="36" t="str">
        <f t="shared" si="459"/>
        <v>PVR</v>
      </c>
    </row>
    <row r="1404" spans="18:33" x14ac:dyDescent="0.25">
      <c r="R1404">
        <v>1390</v>
      </c>
      <c r="S1404" s="36" t="str">
        <f t="shared" si="456"/>
        <v>AEROLÍNEA TOR</v>
      </c>
      <c r="T1404" s="36">
        <f t="shared" si="456"/>
        <v>26</v>
      </c>
      <c r="U1404" s="73">
        <v>0.57430555555555551</v>
      </c>
      <c r="V1404" s="74">
        <v>0.57986111111111105</v>
      </c>
      <c r="W1404" s="75">
        <v>5.5555555555555358E-3</v>
      </c>
      <c r="X1404" s="74">
        <v>0.58263888888888882</v>
      </c>
      <c r="Y1404" s="75">
        <v>2.7777777777777679E-3</v>
      </c>
      <c r="Z1404" s="76">
        <v>41747</v>
      </c>
      <c r="AA1404" s="36" t="str">
        <f t="shared" si="459"/>
        <v>Nacional</v>
      </c>
      <c r="AB1404" s="36">
        <f t="shared" si="459"/>
        <v>6.8376068376068307E-3</v>
      </c>
      <c r="AC1404" s="36">
        <f t="shared" si="459"/>
        <v>3.8995726495726782E-3</v>
      </c>
      <c r="AD1404" s="36">
        <f t="shared" si="459"/>
        <v>1.0737179487179508E-2</v>
      </c>
      <c r="AE1404" s="36" t="str">
        <f t="shared" si="459"/>
        <v xml:space="preserve">ER4 </v>
      </c>
      <c r="AF1404" s="36">
        <f t="shared" si="459"/>
        <v>50</v>
      </c>
      <c r="AG1404" s="36" t="str">
        <f t="shared" si="459"/>
        <v>PVR</v>
      </c>
    </row>
    <row r="1405" spans="18:33" x14ac:dyDescent="0.25">
      <c r="R1405">
        <v>1391</v>
      </c>
      <c r="S1405" s="36" t="str">
        <f t="shared" si="456"/>
        <v>AEROLÍNEA TOR</v>
      </c>
      <c r="T1405" s="36">
        <f t="shared" si="456"/>
        <v>26</v>
      </c>
      <c r="U1405" s="73">
        <v>0.5708333333333333</v>
      </c>
      <c r="V1405" s="74">
        <v>0.57986111111111105</v>
      </c>
      <c r="W1405" s="75">
        <v>9.0277777777777457E-3</v>
      </c>
      <c r="X1405" s="74">
        <v>0.58402777777777781</v>
      </c>
      <c r="Y1405" s="75">
        <v>4.1666666666667629E-3</v>
      </c>
      <c r="Z1405" s="76">
        <v>41748</v>
      </c>
      <c r="AA1405" s="36" t="str">
        <f t="shared" si="459"/>
        <v>Nacional</v>
      </c>
      <c r="AB1405" s="36">
        <f t="shared" si="459"/>
        <v>6.8376068376068307E-3</v>
      </c>
      <c r="AC1405" s="36">
        <f t="shared" si="459"/>
        <v>3.8995726495726782E-3</v>
      </c>
      <c r="AD1405" s="36">
        <f t="shared" si="459"/>
        <v>1.0737179487179508E-2</v>
      </c>
      <c r="AE1405" s="36" t="str">
        <f t="shared" si="459"/>
        <v xml:space="preserve">ER4 </v>
      </c>
      <c r="AF1405" s="36">
        <f t="shared" si="459"/>
        <v>50</v>
      </c>
      <c r="AG1405" s="36" t="str">
        <f t="shared" si="459"/>
        <v>PVR</v>
      </c>
    </row>
    <row r="1406" spans="18:33" x14ac:dyDescent="0.25">
      <c r="R1406">
        <v>1392</v>
      </c>
      <c r="S1406" s="36" t="str">
        <f t="shared" si="456"/>
        <v>AEROLÍNEA TOR</v>
      </c>
      <c r="T1406" s="36">
        <f t="shared" si="456"/>
        <v>26</v>
      </c>
      <c r="U1406" s="73">
        <v>0.5625</v>
      </c>
      <c r="V1406" s="74">
        <v>0.56944444444444442</v>
      </c>
      <c r="W1406" s="75">
        <v>6.9444444444444198E-3</v>
      </c>
      <c r="X1406" s="74">
        <v>0.57638888888888895</v>
      </c>
      <c r="Y1406" s="75">
        <v>6.9444444444445308E-3</v>
      </c>
      <c r="Z1406" s="76">
        <v>41750</v>
      </c>
      <c r="AA1406" s="36" t="str">
        <f t="shared" si="459"/>
        <v>Nacional</v>
      </c>
      <c r="AB1406" s="36">
        <f t="shared" si="459"/>
        <v>6.8376068376068307E-3</v>
      </c>
      <c r="AC1406" s="36">
        <f t="shared" si="459"/>
        <v>3.8995726495726782E-3</v>
      </c>
      <c r="AD1406" s="36">
        <f t="shared" si="459"/>
        <v>1.0737179487179508E-2</v>
      </c>
      <c r="AE1406" s="36" t="str">
        <f t="shared" si="459"/>
        <v xml:space="preserve">ER4 </v>
      </c>
      <c r="AF1406" s="36">
        <f t="shared" si="459"/>
        <v>50</v>
      </c>
      <c r="AG1406" s="36" t="str">
        <f t="shared" si="459"/>
        <v>PVR</v>
      </c>
    </row>
    <row r="1407" spans="18:33" x14ac:dyDescent="0.25">
      <c r="R1407">
        <v>1393</v>
      </c>
      <c r="S1407" s="36" t="str">
        <f t="shared" si="456"/>
        <v>AEROLÍNEA TOR</v>
      </c>
      <c r="T1407" s="36">
        <f t="shared" si="456"/>
        <v>26</v>
      </c>
      <c r="U1407" s="73">
        <v>0.57361111111111118</v>
      </c>
      <c r="V1407" s="74">
        <v>0.58333333333333337</v>
      </c>
      <c r="W1407" s="75">
        <v>9.7222222222221877E-3</v>
      </c>
      <c r="X1407" s="74">
        <v>0.59097222222222223</v>
      </c>
      <c r="Y1407" s="75">
        <v>7.6388888888888618E-3</v>
      </c>
      <c r="Z1407" s="76">
        <v>41753</v>
      </c>
      <c r="AA1407" s="36" t="str">
        <f t="shared" si="459"/>
        <v>Nacional</v>
      </c>
      <c r="AB1407" s="36">
        <f t="shared" si="459"/>
        <v>6.8376068376068307E-3</v>
      </c>
      <c r="AC1407" s="36">
        <f t="shared" si="459"/>
        <v>3.8995726495726782E-3</v>
      </c>
      <c r="AD1407" s="36">
        <f t="shared" si="459"/>
        <v>1.0737179487179508E-2</v>
      </c>
      <c r="AE1407" s="36" t="str">
        <f t="shared" si="459"/>
        <v xml:space="preserve">ER4 </v>
      </c>
      <c r="AF1407" s="36">
        <f t="shared" si="459"/>
        <v>50</v>
      </c>
      <c r="AG1407" s="36" t="str">
        <f t="shared" si="459"/>
        <v>PVR</v>
      </c>
    </row>
    <row r="1408" spans="18:33" x14ac:dyDescent="0.25">
      <c r="R1408">
        <v>1394</v>
      </c>
      <c r="S1408" s="36" t="str">
        <f t="shared" si="456"/>
        <v>AEROLÍNEA TOR</v>
      </c>
      <c r="T1408" s="36">
        <f t="shared" si="456"/>
        <v>26</v>
      </c>
      <c r="U1408" s="73">
        <v>0.56944444444444442</v>
      </c>
      <c r="V1408" s="74">
        <v>0.5756944444444444</v>
      </c>
      <c r="W1408" s="75">
        <v>6.2499999999999778E-3</v>
      </c>
      <c r="X1408" s="74">
        <v>0.57777777777777783</v>
      </c>
      <c r="Y1408" s="75">
        <v>2.083333333333437E-3</v>
      </c>
      <c r="Z1408" s="76">
        <v>41754</v>
      </c>
      <c r="AA1408" s="36" t="str">
        <f t="shared" si="459"/>
        <v>Nacional</v>
      </c>
      <c r="AB1408" s="36">
        <f t="shared" si="459"/>
        <v>6.8376068376068307E-3</v>
      </c>
      <c r="AC1408" s="36">
        <f t="shared" si="459"/>
        <v>3.8995726495726782E-3</v>
      </c>
      <c r="AD1408" s="36">
        <f t="shared" si="459"/>
        <v>1.0737179487179508E-2</v>
      </c>
      <c r="AE1408" s="36" t="str">
        <f t="shared" si="459"/>
        <v xml:space="preserve">ER4 </v>
      </c>
      <c r="AF1408" s="36">
        <f t="shared" si="459"/>
        <v>50</v>
      </c>
      <c r="AG1408" s="36" t="str">
        <f t="shared" si="459"/>
        <v>PVR</v>
      </c>
    </row>
    <row r="1409" spans="18:33" x14ac:dyDescent="0.25">
      <c r="R1409">
        <v>1395</v>
      </c>
      <c r="S1409" s="36" t="str">
        <f t="shared" si="456"/>
        <v>AEROLÍNEA TOR</v>
      </c>
      <c r="T1409" s="36">
        <f t="shared" si="456"/>
        <v>26</v>
      </c>
      <c r="U1409" s="73">
        <v>0.5756944444444444</v>
      </c>
      <c r="V1409" s="74">
        <v>0.58472222222222225</v>
      </c>
      <c r="W1409" s="75">
        <v>9.0277777777778567E-3</v>
      </c>
      <c r="X1409" s="74">
        <v>0.59027777777777779</v>
      </c>
      <c r="Y1409" s="75">
        <v>5.5555555555555358E-3</v>
      </c>
      <c r="Z1409" s="76">
        <v>41756</v>
      </c>
      <c r="AA1409" s="36" t="str">
        <f t="shared" si="459"/>
        <v>Nacional</v>
      </c>
      <c r="AB1409" s="36">
        <f t="shared" si="459"/>
        <v>6.8376068376068307E-3</v>
      </c>
      <c r="AC1409" s="36">
        <f t="shared" si="459"/>
        <v>3.8995726495726782E-3</v>
      </c>
      <c r="AD1409" s="36">
        <f t="shared" si="459"/>
        <v>1.0737179487179508E-2</v>
      </c>
      <c r="AE1409" s="36" t="str">
        <f t="shared" si="459"/>
        <v xml:space="preserve">ER4 </v>
      </c>
      <c r="AF1409" s="36">
        <f t="shared" si="459"/>
        <v>50</v>
      </c>
      <c r="AG1409" s="36" t="str">
        <f t="shared" si="459"/>
        <v>PVR</v>
      </c>
    </row>
    <row r="1410" spans="18:33" ht="15.75" thickBot="1" x14ac:dyDescent="0.3">
      <c r="R1410">
        <v>1396</v>
      </c>
      <c r="S1410" s="36" t="str">
        <f t="shared" si="456"/>
        <v>AEROLÍNEA TOR</v>
      </c>
      <c r="T1410" s="36">
        <f t="shared" si="456"/>
        <v>26</v>
      </c>
      <c r="U1410" s="209">
        <v>0.56736111111111109</v>
      </c>
      <c r="V1410" s="120">
        <v>0.5756944444444444</v>
      </c>
      <c r="W1410" s="121">
        <v>8.3333333333333037E-3</v>
      </c>
      <c r="X1410" s="120">
        <v>0.57777777777777783</v>
      </c>
      <c r="Y1410" s="121">
        <v>2.083333333333437E-3</v>
      </c>
      <c r="Z1410" s="122">
        <v>41757</v>
      </c>
      <c r="AA1410" s="36" t="str">
        <f t="shared" si="459"/>
        <v>Nacional</v>
      </c>
      <c r="AB1410" s="36">
        <f t="shared" si="459"/>
        <v>6.8376068376068307E-3</v>
      </c>
      <c r="AC1410" s="36">
        <f t="shared" si="459"/>
        <v>3.8995726495726782E-3</v>
      </c>
      <c r="AD1410" s="36">
        <f t="shared" si="459"/>
        <v>1.0737179487179508E-2</v>
      </c>
      <c r="AE1410" s="36" t="str">
        <f t="shared" si="459"/>
        <v xml:space="preserve">ER4 </v>
      </c>
      <c r="AF1410" s="36">
        <f t="shared" si="459"/>
        <v>50</v>
      </c>
      <c r="AG1410" s="36" t="str">
        <f t="shared" si="459"/>
        <v>PVR</v>
      </c>
    </row>
    <row r="1411" spans="18:33" x14ac:dyDescent="0.25">
      <c r="R1411">
        <v>1397</v>
      </c>
      <c r="S1411" s="36" t="str">
        <f t="shared" si="456"/>
        <v>AEROLÍNEA TOR</v>
      </c>
      <c r="T1411" s="124">
        <v>28</v>
      </c>
      <c r="U1411" s="56">
        <v>0.54513888888888895</v>
      </c>
      <c r="V1411" s="57">
        <v>0.54583333333333328</v>
      </c>
      <c r="W1411" s="58">
        <v>6.9444444444433095E-4</v>
      </c>
      <c r="X1411" s="57">
        <v>0.54722222222222217</v>
      </c>
      <c r="Y1411" s="58">
        <v>1.388888888888884E-3</v>
      </c>
      <c r="Z1411" s="59">
        <v>41732</v>
      </c>
      <c r="AA1411" s="210" t="s">
        <v>19</v>
      </c>
      <c r="AB1411" s="57">
        <v>4.305555555555585E-3</v>
      </c>
      <c r="AC1411" s="57">
        <v>3.1944444444444108E-3</v>
      </c>
      <c r="AD1411" s="211">
        <v>7.4999999999999963E-3</v>
      </c>
      <c r="AE1411" s="212" t="s">
        <v>90</v>
      </c>
      <c r="AF1411" s="212">
        <v>50</v>
      </c>
      <c r="AG1411" s="213" t="s">
        <v>29</v>
      </c>
    </row>
    <row r="1412" spans="18:33" x14ac:dyDescent="0.25">
      <c r="R1412">
        <v>1398</v>
      </c>
      <c r="S1412" s="36" t="str">
        <f t="shared" si="456"/>
        <v>AEROLÍNEA TOR</v>
      </c>
      <c r="T1412" s="36">
        <f t="shared" si="456"/>
        <v>28</v>
      </c>
      <c r="U1412" s="73">
        <v>0.54097222222222219</v>
      </c>
      <c r="V1412" s="74">
        <v>0.54791666666666672</v>
      </c>
      <c r="W1412" s="75">
        <v>6.9444444444445308E-3</v>
      </c>
      <c r="X1412" s="74">
        <v>0.54999999999999993</v>
      </c>
      <c r="Y1412" s="75">
        <v>2.0833333333332149E-3</v>
      </c>
      <c r="Z1412" s="76">
        <v>41733</v>
      </c>
      <c r="AA1412" s="36" t="str">
        <f t="shared" ref="AA1412:AG1415" si="460">AA1411</f>
        <v>Nacional</v>
      </c>
      <c r="AB1412" s="36">
        <f t="shared" si="460"/>
        <v>4.305555555555585E-3</v>
      </c>
      <c r="AC1412" s="36">
        <f t="shared" si="460"/>
        <v>3.1944444444444108E-3</v>
      </c>
      <c r="AD1412" s="36">
        <f t="shared" si="460"/>
        <v>7.4999999999999963E-3</v>
      </c>
      <c r="AE1412" s="36" t="str">
        <f t="shared" si="460"/>
        <v xml:space="preserve">ER4 </v>
      </c>
      <c r="AF1412" s="36">
        <f t="shared" si="460"/>
        <v>50</v>
      </c>
      <c r="AG1412" s="36" t="str">
        <f t="shared" si="460"/>
        <v>PVR</v>
      </c>
    </row>
    <row r="1413" spans="18:33" x14ac:dyDescent="0.25">
      <c r="R1413">
        <v>1399</v>
      </c>
      <c r="S1413" s="36" t="str">
        <f t="shared" si="456"/>
        <v>AEROLÍNEA TOR</v>
      </c>
      <c r="T1413" s="36">
        <f t="shared" si="456"/>
        <v>28</v>
      </c>
      <c r="U1413" s="73">
        <v>0.55138888888888882</v>
      </c>
      <c r="V1413" s="74">
        <v>0.55555555555555558</v>
      </c>
      <c r="W1413" s="75">
        <v>4.1666666666667629E-3</v>
      </c>
      <c r="X1413" s="74">
        <v>0.55694444444444446</v>
      </c>
      <c r="Y1413" s="75">
        <v>1.388888888888884E-3</v>
      </c>
      <c r="Z1413" s="76">
        <v>41739</v>
      </c>
      <c r="AA1413" s="36" t="str">
        <f t="shared" si="460"/>
        <v>Nacional</v>
      </c>
      <c r="AB1413" s="36">
        <f t="shared" si="460"/>
        <v>4.305555555555585E-3</v>
      </c>
      <c r="AC1413" s="36">
        <f t="shared" si="460"/>
        <v>3.1944444444444108E-3</v>
      </c>
      <c r="AD1413" s="36">
        <f t="shared" si="460"/>
        <v>7.4999999999999963E-3</v>
      </c>
      <c r="AE1413" s="36" t="str">
        <f t="shared" si="460"/>
        <v xml:space="preserve">ER4 </v>
      </c>
      <c r="AF1413" s="36">
        <f t="shared" si="460"/>
        <v>50</v>
      </c>
      <c r="AG1413" s="36" t="str">
        <f t="shared" si="460"/>
        <v>PVR</v>
      </c>
    </row>
    <row r="1414" spans="18:33" x14ac:dyDescent="0.25">
      <c r="R1414">
        <v>1400</v>
      </c>
      <c r="S1414" s="36" t="str">
        <f t="shared" si="456"/>
        <v>AEROLÍNEA TOR</v>
      </c>
      <c r="T1414" s="36">
        <f t="shared" si="456"/>
        <v>28</v>
      </c>
      <c r="U1414" s="73">
        <v>0.64027777777777783</v>
      </c>
      <c r="V1414" s="74">
        <v>0.64583333333333337</v>
      </c>
      <c r="W1414" s="75">
        <v>5.5555555555555358E-3</v>
      </c>
      <c r="X1414" s="74">
        <v>0.65</v>
      </c>
      <c r="Y1414" s="75">
        <v>4.1666666666666519E-3</v>
      </c>
      <c r="Z1414" s="76">
        <v>41741</v>
      </c>
      <c r="AA1414" s="36" t="str">
        <f t="shared" si="460"/>
        <v>Nacional</v>
      </c>
      <c r="AB1414" s="36">
        <f t="shared" si="460"/>
        <v>4.305555555555585E-3</v>
      </c>
      <c r="AC1414" s="36">
        <f t="shared" si="460"/>
        <v>3.1944444444444108E-3</v>
      </c>
      <c r="AD1414" s="36">
        <f t="shared" si="460"/>
        <v>7.4999999999999963E-3</v>
      </c>
      <c r="AE1414" s="36" t="str">
        <f t="shared" si="460"/>
        <v xml:space="preserve">ER4 </v>
      </c>
      <c r="AF1414" s="36">
        <f t="shared" si="460"/>
        <v>50</v>
      </c>
      <c r="AG1414" s="36" t="str">
        <f t="shared" si="460"/>
        <v>PVR</v>
      </c>
    </row>
    <row r="1415" spans="18:33" ht="15.75" thickBot="1" x14ac:dyDescent="0.3">
      <c r="R1415">
        <v>1401</v>
      </c>
      <c r="S1415" s="36" t="str">
        <f t="shared" si="456"/>
        <v>AEROLÍNEA TOR</v>
      </c>
      <c r="T1415" s="36">
        <f t="shared" si="456"/>
        <v>28</v>
      </c>
      <c r="U1415" s="83">
        <v>0.63472222222222219</v>
      </c>
      <c r="V1415" s="84">
        <v>0.63888888888888895</v>
      </c>
      <c r="W1415" s="85">
        <v>4.1666666666667629E-3</v>
      </c>
      <c r="X1415" s="84">
        <v>0.64583333333333337</v>
      </c>
      <c r="Y1415" s="85">
        <v>6.9444444444444198E-3</v>
      </c>
      <c r="Z1415" s="86">
        <v>41747</v>
      </c>
      <c r="AA1415" s="36" t="str">
        <f t="shared" si="460"/>
        <v>Nacional</v>
      </c>
      <c r="AB1415" s="36">
        <f t="shared" si="460"/>
        <v>4.305555555555585E-3</v>
      </c>
      <c r="AC1415" s="36">
        <f t="shared" si="460"/>
        <v>3.1944444444444108E-3</v>
      </c>
      <c r="AD1415" s="36">
        <f t="shared" si="460"/>
        <v>7.4999999999999963E-3</v>
      </c>
      <c r="AE1415" s="36" t="str">
        <f t="shared" si="460"/>
        <v xml:space="preserve">ER4 </v>
      </c>
      <c r="AF1415" s="36">
        <f t="shared" si="460"/>
        <v>50</v>
      </c>
      <c r="AG1415" s="36" t="str">
        <f t="shared" si="460"/>
        <v>PVR</v>
      </c>
    </row>
    <row r="1416" spans="18:33" x14ac:dyDescent="0.25">
      <c r="R1416">
        <v>1402</v>
      </c>
      <c r="S1416" s="36" t="str">
        <f t="shared" si="456"/>
        <v>AEROLÍNEA TOR</v>
      </c>
      <c r="T1416" s="214">
        <v>29</v>
      </c>
      <c r="U1416" s="215">
        <v>0.40416666666666662</v>
      </c>
      <c r="V1416" s="112">
        <v>0.41875000000000001</v>
      </c>
      <c r="W1416" s="113">
        <v>1.4583333333333393E-2</v>
      </c>
      <c r="X1416" s="112">
        <v>0.4201388888888889</v>
      </c>
      <c r="Y1416" s="113">
        <v>1.388888888888884E-3</v>
      </c>
      <c r="Z1416" s="114">
        <v>41732</v>
      </c>
      <c r="AA1416" s="216" t="s">
        <v>19</v>
      </c>
      <c r="AB1416" s="116">
        <v>8.3333333333333592E-3</v>
      </c>
      <c r="AC1416" s="116">
        <v>1.8518518518518823E-3</v>
      </c>
      <c r="AD1416" s="217">
        <v>1.0185185185185242E-2</v>
      </c>
      <c r="AE1416" s="218" t="s">
        <v>90</v>
      </c>
      <c r="AF1416" s="218">
        <v>50</v>
      </c>
      <c r="AG1416" s="219" t="s">
        <v>24</v>
      </c>
    </row>
    <row r="1417" spans="18:33" x14ac:dyDescent="0.25">
      <c r="R1417">
        <v>1403</v>
      </c>
      <c r="S1417" s="36" t="str">
        <f t="shared" si="456"/>
        <v>AEROLÍNEA TOR</v>
      </c>
      <c r="T1417" s="36">
        <f t="shared" si="456"/>
        <v>29</v>
      </c>
      <c r="U1417" s="73">
        <v>0.40277777777777773</v>
      </c>
      <c r="V1417" s="74">
        <v>0.40763888888888888</v>
      </c>
      <c r="W1417" s="75">
        <v>4.8611111111111494E-3</v>
      </c>
      <c r="X1417" s="74">
        <v>0.40972222222222227</v>
      </c>
      <c r="Y1417" s="75">
        <v>2.0833333333333814E-3</v>
      </c>
      <c r="Z1417" s="76">
        <v>41733</v>
      </c>
      <c r="AA1417" s="36" t="str">
        <f t="shared" ref="AA1417:AG1418" si="461">AA1416</f>
        <v>Nacional</v>
      </c>
      <c r="AB1417" s="36">
        <f t="shared" si="461"/>
        <v>8.3333333333333592E-3</v>
      </c>
      <c r="AC1417" s="36">
        <f t="shared" si="461"/>
        <v>1.8518518518518823E-3</v>
      </c>
      <c r="AD1417" s="36">
        <f t="shared" si="461"/>
        <v>1.0185185185185242E-2</v>
      </c>
      <c r="AE1417" s="36" t="str">
        <f t="shared" si="461"/>
        <v xml:space="preserve">ER4 </v>
      </c>
      <c r="AF1417" s="36">
        <f t="shared" si="461"/>
        <v>50</v>
      </c>
      <c r="AG1417" s="36" t="str">
        <f t="shared" si="461"/>
        <v>QRO</v>
      </c>
    </row>
    <row r="1418" spans="18:33" ht="15.75" thickBot="1" x14ac:dyDescent="0.3">
      <c r="R1418">
        <v>1404</v>
      </c>
      <c r="S1418" s="36" t="str">
        <f t="shared" si="456"/>
        <v>AEROLÍNEA TOR</v>
      </c>
      <c r="T1418" s="36">
        <f t="shared" si="456"/>
        <v>29</v>
      </c>
      <c r="U1418" s="83">
        <v>0.4597222222222222</v>
      </c>
      <c r="V1418" s="84">
        <v>0.46527777777777773</v>
      </c>
      <c r="W1418" s="85">
        <v>5.5555555555555358E-3</v>
      </c>
      <c r="X1418" s="84">
        <v>0.46736111111111112</v>
      </c>
      <c r="Y1418" s="85">
        <v>2.0833333333333814E-3</v>
      </c>
      <c r="Z1418" s="86">
        <v>41739</v>
      </c>
      <c r="AA1418" s="36" t="str">
        <f t="shared" si="461"/>
        <v>Nacional</v>
      </c>
      <c r="AB1418" s="36">
        <f t="shared" si="461"/>
        <v>8.3333333333333592E-3</v>
      </c>
      <c r="AC1418" s="36">
        <f t="shared" si="461"/>
        <v>1.8518518518518823E-3</v>
      </c>
      <c r="AD1418" s="36">
        <f t="shared" si="461"/>
        <v>1.0185185185185242E-2</v>
      </c>
      <c r="AE1418" s="36" t="str">
        <f t="shared" si="461"/>
        <v xml:space="preserve">ER4 </v>
      </c>
      <c r="AF1418" s="36">
        <f t="shared" si="461"/>
        <v>50</v>
      </c>
      <c r="AG1418" s="36" t="str">
        <f t="shared" si="461"/>
        <v>QRO</v>
      </c>
    </row>
    <row r="1419" spans="18:33" x14ac:dyDescent="0.25">
      <c r="R1419">
        <v>1405</v>
      </c>
      <c r="S1419" s="36" t="str">
        <f t="shared" si="456"/>
        <v>AEROLÍNEA TOR</v>
      </c>
      <c r="T1419" s="55">
        <v>201</v>
      </c>
      <c r="U1419" s="56">
        <v>0.84166666666666667</v>
      </c>
      <c r="V1419" s="57">
        <v>0.84861111111111109</v>
      </c>
      <c r="W1419" s="58">
        <v>6.9444444444444198E-3</v>
      </c>
      <c r="X1419" s="57">
        <v>0.85</v>
      </c>
      <c r="Y1419" s="58">
        <v>1.388888888888884E-3</v>
      </c>
      <c r="Z1419" s="59">
        <v>41732</v>
      </c>
      <c r="AA1419" s="60" t="s">
        <v>19</v>
      </c>
      <c r="AB1419" s="61">
        <v>8.8541666666666768E-3</v>
      </c>
      <c r="AC1419" s="61">
        <v>1.9097222222221877E-3</v>
      </c>
      <c r="AD1419" s="62">
        <v>4.4791666666666632E-2</v>
      </c>
      <c r="AE1419" s="167" t="s">
        <v>20</v>
      </c>
      <c r="AF1419" s="167">
        <v>50</v>
      </c>
      <c r="AG1419" s="168" t="s">
        <v>94</v>
      </c>
    </row>
    <row r="1420" spans="18:33" x14ac:dyDescent="0.25">
      <c r="R1420">
        <v>1406</v>
      </c>
      <c r="S1420" s="36" t="str">
        <f t="shared" si="456"/>
        <v>AEROLÍNEA TOR</v>
      </c>
      <c r="T1420" s="36">
        <f t="shared" si="456"/>
        <v>201</v>
      </c>
      <c r="U1420" s="73">
        <v>0.84236111111111101</v>
      </c>
      <c r="V1420" s="74">
        <v>0.84583333333333333</v>
      </c>
      <c r="W1420" s="75">
        <v>3.4722222222223209E-3</v>
      </c>
      <c r="X1420" s="74">
        <v>0.84861111111111109</v>
      </c>
      <c r="Y1420" s="75">
        <v>2.7777777777777679E-3</v>
      </c>
      <c r="Z1420" s="76">
        <v>41736</v>
      </c>
      <c r="AA1420" s="36" t="str">
        <f t="shared" ref="AA1420:AG1425" si="462">AA1419</f>
        <v>Nacional</v>
      </c>
      <c r="AB1420" s="36">
        <f t="shared" si="462"/>
        <v>8.8541666666666768E-3</v>
      </c>
      <c r="AC1420" s="36">
        <f t="shared" si="462"/>
        <v>1.9097222222221877E-3</v>
      </c>
      <c r="AD1420" s="36">
        <f t="shared" si="462"/>
        <v>4.4791666666666632E-2</v>
      </c>
      <c r="AE1420" s="36" t="str">
        <f t="shared" si="462"/>
        <v>ER4</v>
      </c>
      <c r="AF1420" s="36">
        <f t="shared" si="462"/>
        <v>50</v>
      </c>
      <c r="AG1420" s="36" t="str">
        <f t="shared" si="462"/>
        <v>DGO</v>
      </c>
    </row>
    <row r="1421" spans="18:33" x14ac:dyDescent="0.25">
      <c r="R1421">
        <v>1407</v>
      </c>
      <c r="S1421" s="36" t="str">
        <f t="shared" si="456"/>
        <v>AEROLÍNEA TOR</v>
      </c>
      <c r="T1421" s="36">
        <f t="shared" si="456"/>
        <v>201</v>
      </c>
      <c r="U1421" s="73">
        <v>0.69166666666666676</v>
      </c>
      <c r="V1421" s="74">
        <v>0.69444444444444453</v>
      </c>
      <c r="W1421" s="75">
        <v>2.7777777777777679E-3</v>
      </c>
      <c r="X1421" s="74">
        <v>0.6972222222222223</v>
      </c>
      <c r="Y1421" s="75">
        <v>2.7777777777777679E-3</v>
      </c>
      <c r="Z1421" s="76">
        <v>41747</v>
      </c>
      <c r="AA1421" s="36" t="str">
        <f t="shared" si="462"/>
        <v>Nacional</v>
      </c>
      <c r="AB1421" s="36">
        <f t="shared" si="462"/>
        <v>8.8541666666666768E-3</v>
      </c>
      <c r="AC1421" s="36">
        <f t="shared" si="462"/>
        <v>1.9097222222221877E-3</v>
      </c>
      <c r="AD1421" s="36">
        <f t="shared" si="462"/>
        <v>4.4791666666666632E-2</v>
      </c>
      <c r="AE1421" s="36" t="str">
        <f t="shared" si="462"/>
        <v>ER4</v>
      </c>
      <c r="AF1421" s="36">
        <f t="shared" si="462"/>
        <v>50</v>
      </c>
      <c r="AG1421" s="36" t="str">
        <f t="shared" si="462"/>
        <v>DGO</v>
      </c>
    </row>
    <row r="1422" spans="18:33" x14ac:dyDescent="0.25">
      <c r="R1422">
        <v>1408</v>
      </c>
      <c r="S1422" s="36" t="str">
        <f t="shared" si="456"/>
        <v>AEROLÍNEA TOR</v>
      </c>
      <c r="T1422" s="36">
        <f t="shared" si="456"/>
        <v>201</v>
      </c>
      <c r="U1422" s="73">
        <v>0.76250000000000007</v>
      </c>
      <c r="V1422" s="74">
        <v>0.77013888888888893</v>
      </c>
      <c r="W1422" s="75">
        <v>7.6388888888888618E-3</v>
      </c>
      <c r="X1422" s="74">
        <v>0.7715277777777777</v>
      </c>
      <c r="Y1422" s="75">
        <v>1.3888888888887729E-3</v>
      </c>
      <c r="Z1422" s="76">
        <v>41749</v>
      </c>
      <c r="AA1422" s="36" t="str">
        <f t="shared" si="462"/>
        <v>Nacional</v>
      </c>
      <c r="AB1422" s="36">
        <f t="shared" si="462"/>
        <v>8.8541666666666768E-3</v>
      </c>
      <c r="AC1422" s="36">
        <f t="shared" si="462"/>
        <v>1.9097222222221877E-3</v>
      </c>
      <c r="AD1422" s="36">
        <f t="shared" si="462"/>
        <v>4.4791666666666632E-2</v>
      </c>
      <c r="AE1422" s="36" t="str">
        <f t="shared" si="462"/>
        <v>ER4</v>
      </c>
      <c r="AF1422" s="36">
        <f t="shared" si="462"/>
        <v>50</v>
      </c>
      <c r="AG1422" s="36" t="str">
        <f t="shared" si="462"/>
        <v>DGO</v>
      </c>
    </row>
    <row r="1423" spans="18:33" x14ac:dyDescent="0.25">
      <c r="R1423">
        <v>1409</v>
      </c>
      <c r="S1423" s="36" t="str">
        <f t="shared" si="456"/>
        <v>AEROLÍNEA TOR</v>
      </c>
      <c r="T1423" s="36">
        <f t="shared" si="456"/>
        <v>201</v>
      </c>
      <c r="U1423" s="73">
        <v>0.70486111111111116</v>
      </c>
      <c r="V1423" s="74">
        <v>0.71250000000000002</v>
      </c>
      <c r="W1423" s="75">
        <v>7.6388888888888618E-3</v>
      </c>
      <c r="X1423" s="74">
        <v>0.71458333333333324</v>
      </c>
      <c r="Y1423" s="75">
        <v>2.0833333333332149E-3</v>
      </c>
      <c r="Z1423" s="76">
        <v>41754</v>
      </c>
      <c r="AA1423" s="36" t="str">
        <f t="shared" si="462"/>
        <v>Nacional</v>
      </c>
      <c r="AB1423" s="36">
        <f t="shared" si="462"/>
        <v>8.8541666666666768E-3</v>
      </c>
      <c r="AC1423" s="36">
        <f t="shared" si="462"/>
        <v>1.9097222222221877E-3</v>
      </c>
      <c r="AD1423" s="36">
        <f t="shared" si="462"/>
        <v>4.4791666666666632E-2</v>
      </c>
      <c r="AE1423" s="36" t="str">
        <f t="shared" si="462"/>
        <v>ER4</v>
      </c>
      <c r="AF1423" s="36">
        <f t="shared" si="462"/>
        <v>50</v>
      </c>
      <c r="AG1423" s="36" t="str">
        <f t="shared" si="462"/>
        <v>DGO</v>
      </c>
    </row>
    <row r="1424" spans="18:33" x14ac:dyDescent="0.25">
      <c r="R1424">
        <v>1410</v>
      </c>
      <c r="S1424" s="36" t="str">
        <f t="shared" si="456"/>
        <v>AEROLÍNEA TOR</v>
      </c>
      <c r="T1424" s="36">
        <f t="shared" si="456"/>
        <v>201</v>
      </c>
      <c r="U1424" s="73">
        <v>0.69652777777777775</v>
      </c>
      <c r="V1424" s="74">
        <v>0.70000000000000007</v>
      </c>
      <c r="W1424" s="75">
        <v>3.4722222222223209E-3</v>
      </c>
      <c r="X1424" s="74">
        <v>0.70208333333333339</v>
      </c>
      <c r="Y1424" s="75">
        <v>2.0833333333333259E-3</v>
      </c>
      <c r="Z1424" s="76">
        <v>41756</v>
      </c>
      <c r="AA1424" s="36" t="str">
        <f t="shared" si="462"/>
        <v>Nacional</v>
      </c>
      <c r="AB1424" s="36">
        <f t="shared" si="462"/>
        <v>8.8541666666666768E-3</v>
      </c>
      <c r="AC1424" s="36">
        <f t="shared" si="462"/>
        <v>1.9097222222221877E-3</v>
      </c>
      <c r="AD1424" s="36">
        <f t="shared" si="462"/>
        <v>4.4791666666666632E-2</v>
      </c>
      <c r="AE1424" s="36" t="str">
        <f t="shared" si="462"/>
        <v>ER4</v>
      </c>
      <c r="AF1424" s="36">
        <f t="shared" si="462"/>
        <v>50</v>
      </c>
      <c r="AG1424" s="36" t="str">
        <f t="shared" si="462"/>
        <v>DGO</v>
      </c>
    </row>
    <row r="1425" spans="18:33" ht="15.75" thickBot="1" x14ac:dyDescent="0.3">
      <c r="R1425">
        <v>1411</v>
      </c>
      <c r="S1425" s="36" t="str">
        <f t="shared" si="456"/>
        <v>AEROLÍNEA TOR</v>
      </c>
      <c r="T1425" s="36">
        <f t="shared" si="456"/>
        <v>201</v>
      </c>
      <c r="U1425" s="209">
        <v>0.69305555555555554</v>
      </c>
      <c r="V1425" s="120">
        <v>0.69861111111111107</v>
      </c>
      <c r="W1425" s="121">
        <v>5.5555555555555358E-3</v>
      </c>
      <c r="X1425" s="120">
        <v>0.7006944444444444</v>
      </c>
      <c r="Y1425" s="121">
        <v>2.0833333333333259E-3</v>
      </c>
      <c r="Z1425" s="122">
        <v>41757</v>
      </c>
      <c r="AA1425" s="36" t="str">
        <f t="shared" si="462"/>
        <v>Nacional</v>
      </c>
      <c r="AB1425" s="36">
        <f t="shared" si="462"/>
        <v>8.8541666666666768E-3</v>
      </c>
      <c r="AC1425" s="36">
        <f t="shared" si="462"/>
        <v>1.9097222222221877E-3</v>
      </c>
      <c r="AD1425" s="36">
        <f t="shared" si="462"/>
        <v>4.4791666666666632E-2</v>
      </c>
      <c r="AE1425" s="36" t="str">
        <f t="shared" si="462"/>
        <v>ER4</v>
      </c>
      <c r="AF1425" s="36">
        <f t="shared" si="462"/>
        <v>50</v>
      </c>
      <c r="AG1425" s="36" t="str">
        <f t="shared" si="462"/>
        <v>DGO</v>
      </c>
    </row>
    <row r="1426" spans="18:33" ht="15.75" thickBot="1" x14ac:dyDescent="0.3">
      <c r="R1426">
        <v>1412</v>
      </c>
      <c r="S1426" s="36" t="str">
        <f t="shared" si="456"/>
        <v>AEROLÍNEA TOR</v>
      </c>
      <c r="T1426" s="138">
        <v>2121</v>
      </c>
      <c r="U1426" s="139">
        <v>0.84097222222222223</v>
      </c>
      <c r="V1426" s="47">
        <v>0.87430555555555556</v>
      </c>
      <c r="W1426" s="48">
        <v>3.3333333333333326E-2</v>
      </c>
      <c r="X1426" s="47">
        <v>0.875</v>
      </c>
      <c r="Y1426" s="48">
        <v>6.9444444444444198E-4</v>
      </c>
      <c r="Z1426" s="49">
        <v>41734</v>
      </c>
      <c r="AA1426" s="50" t="s">
        <v>19</v>
      </c>
      <c r="AB1426" s="47">
        <v>3.3333333333333326E-2</v>
      </c>
      <c r="AC1426" s="47">
        <v>6.9444444444444198E-4</v>
      </c>
      <c r="AD1426" s="220">
        <v>3.4027777777777768E-2</v>
      </c>
      <c r="AE1426" s="165" t="s">
        <v>20</v>
      </c>
      <c r="AF1426" s="165">
        <v>50</v>
      </c>
      <c r="AG1426" s="221" t="s">
        <v>35</v>
      </c>
    </row>
    <row r="1427" spans="18:33" ht="15.75" thickBot="1" x14ac:dyDescent="0.3">
      <c r="R1427">
        <v>1413</v>
      </c>
      <c r="S1427" s="36" t="str">
        <f t="shared" si="456"/>
        <v>AEROLÍNEA TOR</v>
      </c>
      <c r="T1427" s="222">
        <v>8026</v>
      </c>
      <c r="U1427" s="223">
        <v>0.4916666666666667</v>
      </c>
      <c r="V1427" s="224">
        <v>0.49305555555555558</v>
      </c>
      <c r="W1427" s="225">
        <v>1.388888888888884E-3</v>
      </c>
      <c r="X1427" s="224">
        <v>0.49444444444444446</v>
      </c>
      <c r="Y1427" s="225">
        <v>1.388888888888884E-3</v>
      </c>
      <c r="Z1427" s="226">
        <v>41749</v>
      </c>
      <c r="AA1427" s="227" t="s">
        <v>19</v>
      </c>
      <c r="AB1427" s="224">
        <v>1.388888888888884E-3</v>
      </c>
      <c r="AC1427" s="224">
        <v>1.388888888888884E-3</v>
      </c>
      <c r="AD1427" s="228">
        <v>2.7777777777777679E-3</v>
      </c>
      <c r="AE1427" s="218" t="s">
        <v>20</v>
      </c>
      <c r="AF1427" s="229">
        <v>50</v>
      </c>
      <c r="AG1427" s="230" t="s">
        <v>29</v>
      </c>
    </row>
    <row r="1428" spans="18:33" x14ac:dyDescent="0.25">
      <c r="R1428">
        <v>1414</v>
      </c>
      <c r="S1428" s="137" t="s">
        <v>95</v>
      </c>
      <c r="T1428" s="55">
        <v>221</v>
      </c>
      <c r="U1428" s="56">
        <v>0.51111111111111118</v>
      </c>
      <c r="V1428" s="57">
        <v>0.5229166666666667</v>
      </c>
      <c r="W1428" s="58">
        <v>1.1805555555555514E-2</v>
      </c>
      <c r="X1428" s="57">
        <v>0.53402777777777777</v>
      </c>
      <c r="Y1428" s="58">
        <v>1.1111111111111072E-2</v>
      </c>
      <c r="Z1428" s="59">
        <v>41730</v>
      </c>
      <c r="AA1428" s="60" t="s">
        <v>22</v>
      </c>
      <c r="AB1428" s="61">
        <v>1.2599206349206341E-2</v>
      </c>
      <c r="AC1428" s="61">
        <v>1.0342261904761918E-2</v>
      </c>
      <c r="AD1428" s="231">
        <v>2.2941468253968259E-2</v>
      </c>
      <c r="AE1428" s="132">
        <v>320</v>
      </c>
      <c r="AF1428" s="132">
        <v>179</v>
      </c>
      <c r="AG1428" s="132" t="s">
        <v>40</v>
      </c>
    </row>
    <row r="1429" spans="18:33" x14ac:dyDescent="0.25">
      <c r="R1429">
        <v>1415</v>
      </c>
      <c r="S1429" s="36" t="str">
        <f t="shared" ref="S1429:T1486" si="463">S1428</f>
        <v>UNIDOS VOLAMOS AIRLINES</v>
      </c>
      <c r="T1429" s="36">
        <f t="shared" si="463"/>
        <v>221</v>
      </c>
      <c r="U1429" s="73">
        <v>0.5083333333333333</v>
      </c>
      <c r="V1429" s="74">
        <v>0.52222222222222225</v>
      </c>
      <c r="W1429" s="75">
        <v>1.3888888888888951E-2</v>
      </c>
      <c r="X1429" s="74">
        <v>0.52708333333333335</v>
      </c>
      <c r="Y1429" s="75">
        <v>4.8611111111110938E-3</v>
      </c>
      <c r="Z1429" s="76">
        <v>41731</v>
      </c>
      <c r="AA1429" s="36" t="str">
        <f t="shared" ref="AA1429:AG1455" si="464">AA1428</f>
        <v>Internacional</v>
      </c>
      <c r="AB1429" s="36">
        <f t="shared" si="464"/>
        <v>1.2599206349206341E-2</v>
      </c>
      <c r="AC1429" s="36">
        <f t="shared" si="464"/>
        <v>1.0342261904761918E-2</v>
      </c>
      <c r="AD1429" s="36">
        <f t="shared" si="464"/>
        <v>2.2941468253968259E-2</v>
      </c>
      <c r="AE1429" s="36">
        <f t="shared" si="464"/>
        <v>320</v>
      </c>
      <c r="AF1429" s="36">
        <f t="shared" si="464"/>
        <v>179</v>
      </c>
      <c r="AG1429" s="36" t="str">
        <f t="shared" si="464"/>
        <v>LAX</v>
      </c>
    </row>
    <row r="1430" spans="18:33" x14ac:dyDescent="0.25">
      <c r="R1430">
        <v>1416</v>
      </c>
      <c r="S1430" s="36" t="str">
        <f t="shared" si="463"/>
        <v>UNIDOS VOLAMOS AIRLINES</v>
      </c>
      <c r="T1430" s="36">
        <f t="shared" si="463"/>
        <v>221</v>
      </c>
      <c r="U1430" s="73">
        <v>0.5083333333333333</v>
      </c>
      <c r="V1430" s="74">
        <v>0.52222222222222225</v>
      </c>
      <c r="W1430" s="75">
        <v>1.3888888888888951E-2</v>
      </c>
      <c r="X1430" s="74">
        <v>0.52708333333333335</v>
      </c>
      <c r="Y1430" s="75">
        <v>4.8611111111110938E-3</v>
      </c>
      <c r="Z1430" s="76">
        <v>41731</v>
      </c>
      <c r="AA1430" s="36" t="str">
        <f t="shared" si="464"/>
        <v>Internacional</v>
      </c>
      <c r="AB1430" s="36">
        <f t="shared" si="464"/>
        <v>1.2599206349206341E-2</v>
      </c>
      <c r="AC1430" s="36">
        <f t="shared" si="464"/>
        <v>1.0342261904761918E-2</v>
      </c>
      <c r="AD1430" s="36">
        <f t="shared" si="464"/>
        <v>2.2941468253968259E-2</v>
      </c>
      <c r="AE1430" s="36">
        <f t="shared" si="464"/>
        <v>320</v>
      </c>
      <c r="AF1430" s="36">
        <f t="shared" si="464"/>
        <v>179</v>
      </c>
      <c r="AG1430" s="36" t="str">
        <f t="shared" si="464"/>
        <v>LAX</v>
      </c>
    </row>
    <row r="1431" spans="18:33" x14ac:dyDescent="0.25">
      <c r="R1431">
        <v>1417</v>
      </c>
      <c r="S1431" s="36" t="str">
        <f t="shared" si="463"/>
        <v>UNIDOS VOLAMOS AIRLINES</v>
      </c>
      <c r="T1431" s="36">
        <f t="shared" si="463"/>
        <v>221</v>
      </c>
      <c r="U1431" s="73">
        <v>0.52569444444444446</v>
      </c>
      <c r="V1431" s="74">
        <v>0.53402777777777777</v>
      </c>
      <c r="W1431" s="75">
        <v>8.3333333333333037E-3</v>
      </c>
      <c r="X1431" s="74">
        <v>0.54236111111111118</v>
      </c>
      <c r="Y1431" s="75">
        <v>8.3333333333334147E-3</v>
      </c>
      <c r="Z1431" s="76">
        <v>41732</v>
      </c>
      <c r="AA1431" s="36" t="str">
        <f t="shared" si="464"/>
        <v>Internacional</v>
      </c>
      <c r="AB1431" s="36">
        <f t="shared" si="464"/>
        <v>1.2599206349206341E-2</v>
      </c>
      <c r="AC1431" s="36">
        <f t="shared" si="464"/>
        <v>1.0342261904761918E-2</v>
      </c>
      <c r="AD1431" s="36">
        <f t="shared" si="464"/>
        <v>2.2941468253968259E-2</v>
      </c>
      <c r="AE1431" s="36">
        <f t="shared" si="464"/>
        <v>320</v>
      </c>
      <c r="AF1431" s="36">
        <f t="shared" si="464"/>
        <v>179</v>
      </c>
      <c r="AG1431" s="36" t="str">
        <f t="shared" si="464"/>
        <v>LAX</v>
      </c>
    </row>
    <row r="1432" spans="18:33" x14ac:dyDescent="0.25">
      <c r="R1432">
        <v>1418</v>
      </c>
      <c r="S1432" s="36" t="str">
        <f t="shared" si="463"/>
        <v>UNIDOS VOLAMOS AIRLINES</v>
      </c>
      <c r="T1432" s="36">
        <f t="shared" si="463"/>
        <v>221</v>
      </c>
      <c r="U1432" s="73">
        <v>0.5180555555555556</v>
      </c>
      <c r="V1432" s="74">
        <v>0.53402777777777777</v>
      </c>
      <c r="W1432" s="75">
        <v>1.5972222222222165E-2</v>
      </c>
      <c r="X1432" s="74">
        <v>0.54236111111111118</v>
      </c>
      <c r="Y1432" s="75">
        <v>8.3333333333334147E-3</v>
      </c>
      <c r="Z1432" s="76">
        <v>41733</v>
      </c>
      <c r="AA1432" s="36" t="str">
        <f t="shared" si="464"/>
        <v>Internacional</v>
      </c>
      <c r="AB1432" s="36">
        <f t="shared" si="464"/>
        <v>1.2599206349206341E-2</v>
      </c>
      <c r="AC1432" s="36">
        <f t="shared" si="464"/>
        <v>1.0342261904761918E-2</v>
      </c>
      <c r="AD1432" s="36">
        <f t="shared" si="464"/>
        <v>2.2941468253968259E-2</v>
      </c>
      <c r="AE1432" s="36">
        <f t="shared" si="464"/>
        <v>320</v>
      </c>
      <c r="AF1432" s="36">
        <f t="shared" si="464"/>
        <v>179</v>
      </c>
      <c r="AG1432" s="36" t="str">
        <f t="shared" si="464"/>
        <v>LAX</v>
      </c>
    </row>
    <row r="1433" spans="18:33" x14ac:dyDescent="0.25">
      <c r="R1433">
        <v>1419</v>
      </c>
      <c r="S1433" s="36" t="str">
        <f t="shared" si="463"/>
        <v>UNIDOS VOLAMOS AIRLINES</v>
      </c>
      <c r="T1433" s="36">
        <f t="shared" si="463"/>
        <v>221</v>
      </c>
      <c r="U1433" s="73">
        <v>0.51597222222222217</v>
      </c>
      <c r="V1433" s="74">
        <v>0.52777777777777779</v>
      </c>
      <c r="W1433" s="75">
        <v>1.1805555555555625E-2</v>
      </c>
      <c r="X1433" s="74">
        <v>0.53541666666666665</v>
      </c>
      <c r="Y1433" s="75">
        <v>7.6388888888888618E-3</v>
      </c>
      <c r="Z1433" s="76">
        <v>41734</v>
      </c>
      <c r="AA1433" s="36" t="str">
        <f t="shared" si="464"/>
        <v>Internacional</v>
      </c>
      <c r="AB1433" s="36">
        <f t="shared" si="464"/>
        <v>1.2599206349206341E-2</v>
      </c>
      <c r="AC1433" s="36">
        <f t="shared" si="464"/>
        <v>1.0342261904761918E-2</v>
      </c>
      <c r="AD1433" s="36">
        <f t="shared" si="464"/>
        <v>2.2941468253968259E-2</v>
      </c>
      <c r="AE1433" s="36">
        <f t="shared" si="464"/>
        <v>320</v>
      </c>
      <c r="AF1433" s="36">
        <f t="shared" si="464"/>
        <v>179</v>
      </c>
      <c r="AG1433" s="36" t="str">
        <f t="shared" si="464"/>
        <v>LAX</v>
      </c>
    </row>
    <row r="1434" spans="18:33" x14ac:dyDescent="0.25">
      <c r="R1434">
        <v>1420</v>
      </c>
      <c r="S1434" s="36" t="str">
        <f t="shared" si="463"/>
        <v>UNIDOS VOLAMOS AIRLINES</v>
      </c>
      <c r="T1434" s="36">
        <f t="shared" si="463"/>
        <v>221</v>
      </c>
      <c r="U1434" s="73">
        <v>0.55972222222222223</v>
      </c>
      <c r="V1434" s="74">
        <v>0.57222222222222219</v>
      </c>
      <c r="W1434" s="75">
        <v>1.2499999999999956E-2</v>
      </c>
      <c r="X1434" s="74">
        <v>0.57777777777777783</v>
      </c>
      <c r="Y1434" s="75">
        <v>5.5555555555556468E-3</v>
      </c>
      <c r="Z1434" s="76">
        <v>41735</v>
      </c>
      <c r="AA1434" s="36" t="str">
        <f t="shared" si="464"/>
        <v>Internacional</v>
      </c>
      <c r="AB1434" s="36">
        <f t="shared" si="464"/>
        <v>1.2599206349206341E-2</v>
      </c>
      <c r="AC1434" s="36">
        <f t="shared" si="464"/>
        <v>1.0342261904761918E-2</v>
      </c>
      <c r="AD1434" s="36">
        <f t="shared" si="464"/>
        <v>2.2941468253968259E-2</v>
      </c>
      <c r="AE1434" s="36">
        <f t="shared" si="464"/>
        <v>320</v>
      </c>
      <c r="AF1434" s="36">
        <f t="shared" si="464"/>
        <v>179</v>
      </c>
      <c r="AG1434" s="36" t="str">
        <f t="shared" si="464"/>
        <v>LAX</v>
      </c>
    </row>
    <row r="1435" spans="18:33" x14ac:dyDescent="0.25">
      <c r="R1435">
        <v>1421</v>
      </c>
      <c r="S1435" s="36" t="str">
        <f t="shared" si="463"/>
        <v>UNIDOS VOLAMOS AIRLINES</v>
      </c>
      <c r="T1435" s="36">
        <f t="shared" si="463"/>
        <v>221</v>
      </c>
      <c r="U1435" s="73">
        <v>0.55277777777777781</v>
      </c>
      <c r="V1435" s="74">
        <v>0.56319444444444444</v>
      </c>
      <c r="W1435" s="75">
        <v>1.041666666666663E-2</v>
      </c>
      <c r="X1435" s="74">
        <v>0.56805555555555554</v>
      </c>
      <c r="Y1435" s="75">
        <v>4.8611111111110938E-3</v>
      </c>
      <c r="Z1435" s="76">
        <v>41736</v>
      </c>
      <c r="AA1435" s="36" t="str">
        <f t="shared" si="464"/>
        <v>Internacional</v>
      </c>
      <c r="AB1435" s="36">
        <f t="shared" si="464"/>
        <v>1.2599206349206341E-2</v>
      </c>
      <c r="AC1435" s="36">
        <f t="shared" si="464"/>
        <v>1.0342261904761918E-2</v>
      </c>
      <c r="AD1435" s="36">
        <f t="shared" si="464"/>
        <v>2.2941468253968259E-2</v>
      </c>
      <c r="AE1435" s="36">
        <f t="shared" si="464"/>
        <v>320</v>
      </c>
      <c r="AF1435" s="36">
        <f t="shared" si="464"/>
        <v>179</v>
      </c>
      <c r="AG1435" s="36" t="str">
        <f t="shared" si="464"/>
        <v>LAX</v>
      </c>
    </row>
    <row r="1436" spans="18:33" x14ac:dyDescent="0.25">
      <c r="R1436">
        <v>1422</v>
      </c>
      <c r="S1436" s="36" t="str">
        <f t="shared" si="463"/>
        <v>UNIDOS VOLAMOS AIRLINES</v>
      </c>
      <c r="T1436" s="36">
        <f t="shared" si="463"/>
        <v>221</v>
      </c>
      <c r="U1436" s="73">
        <v>0.5541666666666667</v>
      </c>
      <c r="V1436" s="74">
        <v>0.55763888888888891</v>
      </c>
      <c r="W1436" s="75">
        <v>3.4722222222222099E-3</v>
      </c>
      <c r="X1436" s="74">
        <v>0.56319444444444444</v>
      </c>
      <c r="Y1436" s="75">
        <v>5.5555555555555358E-3</v>
      </c>
      <c r="Z1436" s="76">
        <v>41739</v>
      </c>
      <c r="AA1436" s="36" t="str">
        <f t="shared" si="464"/>
        <v>Internacional</v>
      </c>
      <c r="AB1436" s="36">
        <f t="shared" si="464"/>
        <v>1.2599206349206341E-2</v>
      </c>
      <c r="AC1436" s="36">
        <f t="shared" si="464"/>
        <v>1.0342261904761918E-2</v>
      </c>
      <c r="AD1436" s="36">
        <f t="shared" si="464"/>
        <v>2.2941468253968259E-2</v>
      </c>
      <c r="AE1436" s="36">
        <f t="shared" si="464"/>
        <v>320</v>
      </c>
      <c r="AF1436" s="36">
        <f t="shared" si="464"/>
        <v>179</v>
      </c>
      <c r="AG1436" s="36" t="str">
        <f t="shared" si="464"/>
        <v>LAX</v>
      </c>
    </row>
    <row r="1437" spans="18:33" x14ac:dyDescent="0.25">
      <c r="R1437">
        <v>1423</v>
      </c>
      <c r="S1437" s="36" t="str">
        <f t="shared" si="463"/>
        <v>UNIDOS VOLAMOS AIRLINES</v>
      </c>
      <c r="T1437" s="36">
        <f t="shared" si="463"/>
        <v>221</v>
      </c>
      <c r="U1437" s="73">
        <v>0.54166666666666663</v>
      </c>
      <c r="V1437" s="74">
        <v>0.55555555555555558</v>
      </c>
      <c r="W1437" s="75">
        <v>1.3888888888888951E-2</v>
      </c>
      <c r="X1437" s="74">
        <v>0.56458333333333333</v>
      </c>
      <c r="Y1437" s="75">
        <v>9.0277777777777457E-3</v>
      </c>
      <c r="Z1437" s="76">
        <v>41741</v>
      </c>
      <c r="AA1437" s="36" t="str">
        <f t="shared" si="464"/>
        <v>Internacional</v>
      </c>
      <c r="AB1437" s="36">
        <f t="shared" si="464"/>
        <v>1.2599206349206341E-2</v>
      </c>
      <c r="AC1437" s="36">
        <f t="shared" si="464"/>
        <v>1.0342261904761918E-2</v>
      </c>
      <c r="AD1437" s="36">
        <f t="shared" si="464"/>
        <v>2.2941468253968259E-2</v>
      </c>
      <c r="AE1437" s="36">
        <f t="shared" si="464"/>
        <v>320</v>
      </c>
      <c r="AF1437" s="36">
        <f t="shared" si="464"/>
        <v>179</v>
      </c>
      <c r="AG1437" s="36" t="str">
        <f t="shared" si="464"/>
        <v>LAX</v>
      </c>
    </row>
    <row r="1438" spans="18:33" x14ac:dyDescent="0.25">
      <c r="R1438">
        <v>1424</v>
      </c>
      <c r="S1438" s="36" t="str">
        <f t="shared" si="463"/>
        <v>UNIDOS VOLAMOS AIRLINES</v>
      </c>
      <c r="T1438" s="36">
        <f t="shared" si="463"/>
        <v>221</v>
      </c>
      <c r="U1438" s="73">
        <v>0.54652777777777783</v>
      </c>
      <c r="V1438" s="74">
        <v>0.55833333333333335</v>
      </c>
      <c r="W1438" s="75">
        <v>1.1805555555555514E-2</v>
      </c>
      <c r="X1438" s="74">
        <v>0.56597222222222221</v>
      </c>
      <c r="Y1438" s="75">
        <v>7.6388888888888618E-3</v>
      </c>
      <c r="Z1438" s="76">
        <v>41743</v>
      </c>
      <c r="AA1438" s="36" t="str">
        <f t="shared" si="464"/>
        <v>Internacional</v>
      </c>
      <c r="AB1438" s="36">
        <f t="shared" si="464"/>
        <v>1.2599206349206341E-2</v>
      </c>
      <c r="AC1438" s="36">
        <f t="shared" si="464"/>
        <v>1.0342261904761918E-2</v>
      </c>
      <c r="AD1438" s="36">
        <f t="shared" si="464"/>
        <v>2.2941468253968259E-2</v>
      </c>
      <c r="AE1438" s="36">
        <f t="shared" si="464"/>
        <v>320</v>
      </c>
      <c r="AF1438" s="36">
        <f t="shared" si="464"/>
        <v>179</v>
      </c>
      <c r="AG1438" s="36" t="str">
        <f t="shared" si="464"/>
        <v>LAX</v>
      </c>
    </row>
    <row r="1439" spans="18:33" x14ac:dyDescent="0.25">
      <c r="R1439">
        <v>1425</v>
      </c>
      <c r="S1439" s="36" t="str">
        <f t="shared" si="463"/>
        <v>UNIDOS VOLAMOS AIRLINES</v>
      </c>
      <c r="T1439" s="36">
        <f t="shared" si="463"/>
        <v>221</v>
      </c>
      <c r="U1439" s="73">
        <v>0.53402777777777777</v>
      </c>
      <c r="V1439" s="74">
        <v>0.5444444444444444</v>
      </c>
      <c r="W1439" s="75">
        <v>1.041666666666663E-2</v>
      </c>
      <c r="X1439" s="74">
        <v>0.5541666666666667</v>
      </c>
      <c r="Y1439" s="75">
        <v>9.7222222222222987E-3</v>
      </c>
      <c r="Z1439" s="76">
        <v>41744</v>
      </c>
      <c r="AA1439" s="36" t="str">
        <f t="shared" si="464"/>
        <v>Internacional</v>
      </c>
      <c r="AB1439" s="36">
        <f t="shared" si="464"/>
        <v>1.2599206349206341E-2</v>
      </c>
      <c r="AC1439" s="36">
        <f t="shared" si="464"/>
        <v>1.0342261904761918E-2</v>
      </c>
      <c r="AD1439" s="36">
        <f t="shared" si="464"/>
        <v>2.2941468253968259E-2</v>
      </c>
      <c r="AE1439" s="36">
        <f t="shared" si="464"/>
        <v>320</v>
      </c>
      <c r="AF1439" s="36">
        <f t="shared" si="464"/>
        <v>179</v>
      </c>
      <c r="AG1439" s="36" t="str">
        <f t="shared" si="464"/>
        <v>LAX</v>
      </c>
    </row>
    <row r="1440" spans="18:33" x14ac:dyDescent="0.25">
      <c r="R1440">
        <v>1426</v>
      </c>
      <c r="S1440" s="36" t="str">
        <f t="shared" si="463"/>
        <v>UNIDOS VOLAMOS AIRLINES</v>
      </c>
      <c r="T1440" s="36">
        <f t="shared" si="463"/>
        <v>221</v>
      </c>
      <c r="U1440" s="73">
        <v>0.54722222222222217</v>
      </c>
      <c r="V1440" s="74">
        <v>0.55763888888888891</v>
      </c>
      <c r="W1440" s="75">
        <v>1.0416666666666741E-2</v>
      </c>
      <c r="X1440" s="74">
        <v>0.56666666666666665</v>
      </c>
      <c r="Y1440" s="75">
        <v>9.0277777777777457E-3</v>
      </c>
      <c r="Z1440" s="76">
        <v>41745</v>
      </c>
      <c r="AA1440" s="36" t="str">
        <f t="shared" si="464"/>
        <v>Internacional</v>
      </c>
      <c r="AB1440" s="36">
        <f t="shared" si="464"/>
        <v>1.2599206349206341E-2</v>
      </c>
      <c r="AC1440" s="36">
        <f t="shared" si="464"/>
        <v>1.0342261904761918E-2</v>
      </c>
      <c r="AD1440" s="36">
        <f t="shared" si="464"/>
        <v>2.2941468253968259E-2</v>
      </c>
      <c r="AE1440" s="36">
        <f t="shared" si="464"/>
        <v>320</v>
      </c>
      <c r="AF1440" s="36">
        <f t="shared" si="464"/>
        <v>179</v>
      </c>
      <c r="AG1440" s="36" t="str">
        <f t="shared" si="464"/>
        <v>LAX</v>
      </c>
    </row>
    <row r="1441" spans="18:33" x14ac:dyDescent="0.25">
      <c r="R1441">
        <v>1427</v>
      </c>
      <c r="S1441" s="36" t="str">
        <f t="shared" si="463"/>
        <v>UNIDOS VOLAMOS AIRLINES</v>
      </c>
      <c r="T1441" s="36">
        <f t="shared" si="463"/>
        <v>221</v>
      </c>
      <c r="U1441" s="73">
        <v>0.55138888888888882</v>
      </c>
      <c r="V1441" s="74">
        <v>0.56458333333333333</v>
      </c>
      <c r="W1441" s="75">
        <v>1.3194444444444509E-2</v>
      </c>
      <c r="X1441" s="74">
        <v>0.57638888888888895</v>
      </c>
      <c r="Y1441" s="75">
        <v>1.1805555555555625E-2</v>
      </c>
      <c r="Z1441" s="76">
        <v>41746</v>
      </c>
      <c r="AA1441" s="36" t="str">
        <f t="shared" si="464"/>
        <v>Internacional</v>
      </c>
      <c r="AB1441" s="36">
        <f t="shared" si="464"/>
        <v>1.2599206349206341E-2</v>
      </c>
      <c r="AC1441" s="36">
        <f t="shared" si="464"/>
        <v>1.0342261904761918E-2</v>
      </c>
      <c r="AD1441" s="36">
        <f t="shared" si="464"/>
        <v>2.2941468253968259E-2</v>
      </c>
      <c r="AE1441" s="36">
        <f t="shared" si="464"/>
        <v>320</v>
      </c>
      <c r="AF1441" s="36">
        <f t="shared" si="464"/>
        <v>179</v>
      </c>
      <c r="AG1441" s="36" t="str">
        <f t="shared" si="464"/>
        <v>LAX</v>
      </c>
    </row>
    <row r="1442" spans="18:33" x14ac:dyDescent="0.25">
      <c r="R1442">
        <v>1428</v>
      </c>
      <c r="S1442" s="36" t="str">
        <f t="shared" si="463"/>
        <v>UNIDOS VOLAMOS AIRLINES</v>
      </c>
      <c r="T1442" s="36">
        <f t="shared" si="463"/>
        <v>221</v>
      </c>
      <c r="U1442" s="73">
        <v>0.56597222222222221</v>
      </c>
      <c r="V1442" s="74">
        <v>0.58194444444444449</v>
      </c>
      <c r="W1442" s="75">
        <v>1.5972222222222276E-2</v>
      </c>
      <c r="X1442" s="74">
        <v>0.59375</v>
      </c>
      <c r="Y1442" s="75">
        <v>1.1805555555555514E-2</v>
      </c>
      <c r="Z1442" s="76">
        <v>41747</v>
      </c>
      <c r="AA1442" s="36" t="str">
        <f t="shared" si="464"/>
        <v>Internacional</v>
      </c>
      <c r="AB1442" s="36">
        <f t="shared" si="464"/>
        <v>1.2599206349206341E-2</v>
      </c>
      <c r="AC1442" s="36">
        <f t="shared" si="464"/>
        <v>1.0342261904761918E-2</v>
      </c>
      <c r="AD1442" s="36">
        <f t="shared" si="464"/>
        <v>2.2941468253968259E-2</v>
      </c>
      <c r="AE1442" s="36">
        <f t="shared" si="464"/>
        <v>320</v>
      </c>
      <c r="AF1442" s="36">
        <f t="shared" si="464"/>
        <v>179</v>
      </c>
      <c r="AG1442" s="36" t="str">
        <f t="shared" si="464"/>
        <v>LAX</v>
      </c>
    </row>
    <row r="1443" spans="18:33" x14ac:dyDescent="0.25">
      <c r="R1443">
        <v>1429</v>
      </c>
      <c r="S1443" s="36" t="str">
        <f t="shared" si="463"/>
        <v>UNIDOS VOLAMOS AIRLINES</v>
      </c>
      <c r="T1443" s="36">
        <f t="shared" si="463"/>
        <v>221</v>
      </c>
      <c r="U1443" s="73">
        <v>0.54791666666666672</v>
      </c>
      <c r="V1443" s="74">
        <v>0.5625</v>
      </c>
      <c r="W1443" s="75">
        <v>1.4583333333333282E-2</v>
      </c>
      <c r="X1443" s="74">
        <v>0.56944444444444442</v>
      </c>
      <c r="Y1443" s="75">
        <v>6.9444444444444198E-3</v>
      </c>
      <c r="Z1443" s="76">
        <v>41748</v>
      </c>
      <c r="AA1443" s="36" t="str">
        <f t="shared" si="464"/>
        <v>Internacional</v>
      </c>
      <c r="AB1443" s="36">
        <f t="shared" si="464"/>
        <v>1.2599206349206341E-2</v>
      </c>
      <c r="AC1443" s="36">
        <f t="shared" si="464"/>
        <v>1.0342261904761918E-2</v>
      </c>
      <c r="AD1443" s="36">
        <f t="shared" si="464"/>
        <v>2.2941468253968259E-2</v>
      </c>
      <c r="AE1443" s="36">
        <f t="shared" si="464"/>
        <v>320</v>
      </c>
      <c r="AF1443" s="36">
        <f t="shared" si="464"/>
        <v>179</v>
      </c>
      <c r="AG1443" s="36" t="str">
        <f t="shared" si="464"/>
        <v>LAX</v>
      </c>
    </row>
    <row r="1444" spans="18:33" x14ac:dyDescent="0.25">
      <c r="R1444">
        <v>1430</v>
      </c>
      <c r="S1444" s="36" t="str">
        <f t="shared" si="463"/>
        <v>UNIDOS VOLAMOS AIRLINES</v>
      </c>
      <c r="T1444" s="36">
        <f t="shared" si="463"/>
        <v>221</v>
      </c>
      <c r="U1444" s="73">
        <v>0.55486111111111114</v>
      </c>
      <c r="V1444" s="74">
        <v>0.56666666666666665</v>
      </c>
      <c r="W1444" s="75">
        <v>1.1805555555555514E-2</v>
      </c>
      <c r="X1444" s="74">
        <v>0.57986111111111105</v>
      </c>
      <c r="Y1444" s="75">
        <v>1.3194444444444398E-2</v>
      </c>
      <c r="Z1444" s="76">
        <v>41749</v>
      </c>
      <c r="AA1444" s="36" t="str">
        <f t="shared" si="464"/>
        <v>Internacional</v>
      </c>
      <c r="AB1444" s="36">
        <f t="shared" si="464"/>
        <v>1.2599206349206341E-2</v>
      </c>
      <c r="AC1444" s="36">
        <f t="shared" si="464"/>
        <v>1.0342261904761918E-2</v>
      </c>
      <c r="AD1444" s="36">
        <f t="shared" si="464"/>
        <v>2.2941468253968259E-2</v>
      </c>
      <c r="AE1444" s="36">
        <f t="shared" si="464"/>
        <v>320</v>
      </c>
      <c r="AF1444" s="36">
        <f t="shared" si="464"/>
        <v>179</v>
      </c>
      <c r="AG1444" s="36" t="str">
        <f t="shared" si="464"/>
        <v>LAX</v>
      </c>
    </row>
    <row r="1445" spans="18:33" x14ac:dyDescent="0.25">
      <c r="R1445">
        <v>1431</v>
      </c>
      <c r="S1445" s="36" t="str">
        <f t="shared" si="463"/>
        <v>UNIDOS VOLAMOS AIRLINES</v>
      </c>
      <c r="T1445" s="36">
        <f t="shared" si="463"/>
        <v>221</v>
      </c>
      <c r="U1445" s="73">
        <v>0.55972222222222223</v>
      </c>
      <c r="V1445" s="74">
        <v>0.57152777777777775</v>
      </c>
      <c r="W1445" s="75">
        <v>1.1805555555555514E-2</v>
      </c>
      <c r="X1445" s="74">
        <v>0.58333333333333337</v>
      </c>
      <c r="Y1445" s="75">
        <v>1.1805555555555625E-2</v>
      </c>
      <c r="Z1445" s="76">
        <v>41750</v>
      </c>
      <c r="AA1445" s="36" t="str">
        <f t="shared" si="464"/>
        <v>Internacional</v>
      </c>
      <c r="AB1445" s="36">
        <f t="shared" si="464"/>
        <v>1.2599206349206341E-2</v>
      </c>
      <c r="AC1445" s="36">
        <f t="shared" si="464"/>
        <v>1.0342261904761918E-2</v>
      </c>
      <c r="AD1445" s="36">
        <f t="shared" si="464"/>
        <v>2.2941468253968259E-2</v>
      </c>
      <c r="AE1445" s="36">
        <f t="shared" si="464"/>
        <v>320</v>
      </c>
      <c r="AF1445" s="36">
        <f t="shared" si="464"/>
        <v>179</v>
      </c>
      <c r="AG1445" s="36" t="str">
        <f t="shared" si="464"/>
        <v>LAX</v>
      </c>
    </row>
    <row r="1446" spans="18:33" x14ac:dyDescent="0.25">
      <c r="R1446">
        <v>1432</v>
      </c>
      <c r="S1446" s="36" t="str">
        <f t="shared" si="463"/>
        <v>UNIDOS VOLAMOS AIRLINES</v>
      </c>
      <c r="T1446" s="36">
        <f t="shared" si="463"/>
        <v>221</v>
      </c>
      <c r="U1446" s="73">
        <v>0.55763888888888891</v>
      </c>
      <c r="V1446" s="74">
        <v>0.56944444444444442</v>
      </c>
      <c r="W1446" s="75">
        <v>1.1805555555555514E-2</v>
      </c>
      <c r="X1446" s="74">
        <v>0.5805555555555556</v>
      </c>
      <c r="Y1446" s="75">
        <v>1.1111111111111183E-2</v>
      </c>
      <c r="Z1446" s="76">
        <v>41751</v>
      </c>
      <c r="AA1446" s="36" t="str">
        <f t="shared" si="464"/>
        <v>Internacional</v>
      </c>
      <c r="AB1446" s="36">
        <f t="shared" si="464"/>
        <v>1.2599206349206341E-2</v>
      </c>
      <c r="AC1446" s="36">
        <f t="shared" si="464"/>
        <v>1.0342261904761918E-2</v>
      </c>
      <c r="AD1446" s="36">
        <f t="shared" si="464"/>
        <v>2.2941468253968259E-2</v>
      </c>
      <c r="AE1446" s="36">
        <f t="shared" si="464"/>
        <v>320</v>
      </c>
      <c r="AF1446" s="36">
        <f t="shared" si="464"/>
        <v>179</v>
      </c>
      <c r="AG1446" s="36" t="str">
        <f t="shared" si="464"/>
        <v>LAX</v>
      </c>
    </row>
    <row r="1447" spans="18:33" x14ac:dyDescent="0.25">
      <c r="R1447">
        <v>1433</v>
      </c>
      <c r="S1447" s="36" t="str">
        <f t="shared" si="463"/>
        <v>UNIDOS VOLAMOS AIRLINES</v>
      </c>
      <c r="T1447" s="36">
        <f t="shared" si="463"/>
        <v>221</v>
      </c>
      <c r="U1447" s="73">
        <v>0.55763888888888891</v>
      </c>
      <c r="V1447" s="74">
        <v>0.56944444444444442</v>
      </c>
      <c r="W1447" s="75">
        <v>1.1805555555555514E-2</v>
      </c>
      <c r="X1447" s="74">
        <v>0.5805555555555556</v>
      </c>
      <c r="Y1447" s="75">
        <v>1.1111111111111183E-2</v>
      </c>
      <c r="Z1447" s="76">
        <v>41751</v>
      </c>
      <c r="AA1447" s="36" t="str">
        <f t="shared" si="464"/>
        <v>Internacional</v>
      </c>
      <c r="AB1447" s="36">
        <f t="shared" si="464"/>
        <v>1.2599206349206341E-2</v>
      </c>
      <c r="AC1447" s="36">
        <f t="shared" si="464"/>
        <v>1.0342261904761918E-2</v>
      </c>
      <c r="AD1447" s="36">
        <f t="shared" si="464"/>
        <v>2.2941468253968259E-2</v>
      </c>
      <c r="AE1447" s="36">
        <f t="shared" si="464"/>
        <v>320</v>
      </c>
      <c r="AF1447" s="36">
        <f t="shared" si="464"/>
        <v>179</v>
      </c>
      <c r="AG1447" s="36" t="str">
        <f t="shared" si="464"/>
        <v>LAX</v>
      </c>
    </row>
    <row r="1448" spans="18:33" x14ac:dyDescent="0.25">
      <c r="R1448">
        <v>1434</v>
      </c>
      <c r="S1448" s="36" t="str">
        <f t="shared" si="463"/>
        <v>UNIDOS VOLAMOS AIRLINES</v>
      </c>
      <c r="T1448" s="36">
        <f t="shared" si="463"/>
        <v>221</v>
      </c>
      <c r="U1448" s="73">
        <v>0.54722222222222217</v>
      </c>
      <c r="V1448" s="74">
        <v>0.5625</v>
      </c>
      <c r="W1448" s="75">
        <v>1.5277777777777835E-2</v>
      </c>
      <c r="X1448" s="74">
        <v>0.57500000000000007</v>
      </c>
      <c r="Y1448" s="75">
        <v>1.2500000000000067E-2</v>
      </c>
      <c r="Z1448" s="76">
        <v>41753</v>
      </c>
      <c r="AA1448" s="36" t="str">
        <f t="shared" si="464"/>
        <v>Internacional</v>
      </c>
      <c r="AB1448" s="36">
        <f t="shared" si="464"/>
        <v>1.2599206349206341E-2</v>
      </c>
      <c r="AC1448" s="36">
        <f t="shared" si="464"/>
        <v>1.0342261904761918E-2</v>
      </c>
      <c r="AD1448" s="36">
        <f t="shared" si="464"/>
        <v>2.2941468253968259E-2</v>
      </c>
      <c r="AE1448" s="36">
        <f t="shared" si="464"/>
        <v>320</v>
      </c>
      <c r="AF1448" s="36">
        <f t="shared" si="464"/>
        <v>179</v>
      </c>
      <c r="AG1448" s="36" t="str">
        <f t="shared" si="464"/>
        <v>LAX</v>
      </c>
    </row>
    <row r="1449" spans="18:33" x14ac:dyDescent="0.25">
      <c r="R1449">
        <v>1435</v>
      </c>
      <c r="S1449" s="36" t="str">
        <f t="shared" si="463"/>
        <v>UNIDOS VOLAMOS AIRLINES</v>
      </c>
      <c r="T1449" s="36">
        <f t="shared" si="463"/>
        <v>221</v>
      </c>
      <c r="U1449" s="73">
        <v>0.55694444444444446</v>
      </c>
      <c r="V1449" s="74">
        <v>0.56944444444444442</v>
      </c>
      <c r="W1449" s="75">
        <v>1.2499999999999956E-2</v>
      </c>
      <c r="X1449" s="74">
        <v>0.5805555555555556</v>
      </c>
      <c r="Y1449" s="75">
        <v>1.1111111111111183E-2</v>
      </c>
      <c r="Z1449" s="76">
        <v>41754</v>
      </c>
      <c r="AA1449" s="36" t="str">
        <f t="shared" si="464"/>
        <v>Internacional</v>
      </c>
      <c r="AB1449" s="36">
        <f t="shared" si="464"/>
        <v>1.2599206349206341E-2</v>
      </c>
      <c r="AC1449" s="36">
        <f t="shared" si="464"/>
        <v>1.0342261904761918E-2</v>
      </c>
      <c r="AD1449" s="36">
        <f t="shared" si="464"/>
        <v>2.2941468253968259E-2</v>
      </c>
      <c r="AE1449" s="36">
        <f t="shared" si="464"/>
        <v>320</v>
      </c>
      <c r="AF1449" s="36">
        <f t="shared" si="464"/>
        <v>179</v>
      </c>
      <c r="AG1449" s="36" t="str">
        <f t="shared" si="464"/>
        <v>LAX</v>
      </c>
    </row>
    <row r="1450" spans="18:33" x14ac:dyDescent="0.25">
      <c r="R1450">
        <v>1436</v>
      </c>
      <c r="S1450" s="36" t="str">
        <f t="shared" si="463"/>
        <v>UNIDOS VOLAMOS AIRLINES</v>
      </c>
      <c r="T1450" s="36">
        <f t="shared" si="463"/>
        <v>221</v>
      </c>
      <c r="U1450" s="73">
        <v>0.54513888888888895</v>
      </c>
      <c r="V1450" s="74">
        <v>0.55833333333333335</v>
      </c>
      <c r="W1450" s="75">
        <v>1.3194444444444398E-2</v>
      </c>
      <c r="X1450" s="74">
        <v>0.57013888888888886</v>
      </c>
      <c r="Y1450" s="75">
        <v>1.1805555555555514E-2</v>
      </c>
      <c r="Z1450" s="76">
        <v>41756</v>
      </c>
      <c r="AA1450" s="36" t="str">
        <f t="shared" si="464"/>
        <v>Internacional</v>
      </c>
      <c r="AB1450" s="36">
        <f t="shared" si="464"/>
        <v>1.2599206349206341E-2</v>
      </c>
      <c r="AC1450" s="36">
        <f t="shared" si="464"/>
        <v>1.0342261904761918E-2</v>
      </c>
      <c r="AD1450" s="36">
        <f t="shared" si="464"/>
        <v>2.2941468253968259E-2</v>
      </c>
      <c r="AE1450" s="36">
        <f t="shared" si="464"/>
        <v>320</v>
      </c>
      <c r="AF1450" s="36">
        <f t="shared" si="464"/>
        <v>179</v>
      </c>
      <c r="AG1450" s="36" t="str">
        <f t="shared" si="464"/>
        <v>LAX</v>
      </c>
    </row>
    <row r="1451" spans="18:33" x14ac:dyDescent="0.25">
      <c r="R1451">
        <v>1437</v>
      </c>
      <c r="S1451" s="36" t="str">
        <f t="shared" si="463"/>
        <v>UNIDOS VOLAMOS AIRLINES</v>
      </c>
      <c r="T1451" s="36">
        <f t="shared" si="463"/>
        <v>221</v>
      </c>
      <c r="U1451" s="73">
        <v>0.55486111111111114</v>
      </c>
      <c r="V1451" s="74">
        <v>0.56736111111111109</v>
      </c>
      <c r="W1451" s="75">
        <v>1.2499999999999956E-2</v>
      </c>
      <c r="X1451" s="74">
        <v>0.57986111111111105</v>
      </c>
      <c r="Y1451" s="75">
        <v>1.2499999999999956E-2</v>
      </c>
      <c r="Z1451" s="76">
        <v>41757</v>
      </c>
      <c r="AA1451" s="36" t="str">
        <f t="shared" si="464"/>
        <v>Internacional</v>
      </c>
      <c r="AB1451" s="36">
        <f t="shared" si="464"/>
        <v>1.2599206349206341E-2</v>
      </c>
      <c r="AC1451" s="36">
        <f t="shared" si="464"/>
        <v>1.0342261904761918E-2</v>
      </c>
      <c r="AD1451" s="36">
        <f t="shared" si="464"/>
        <v>2.2941468253968259E-2</v>
      </c>
      <c r="AE1451" s="36">
        <f t="shared" si="464"/>
        <v>320</v>
      </c>
      <c r="AF1451" s="36">
        <f t="shared" si="464"/>
        <v>179</v>
      </c>
      <c r="AG1451" s="36" t="str">
        <f t="shared" si="464"/>
        <v>LAX</v>
      </c>
    </row>
    <row r="1452" spans="18:33" x14ac:dyDescent="0.25">
      <c r="R1452">
        <v>1438</v>
      </c>
      <c r="S1452" s="36" t="str">
        <f t="shared" si="463"/>
        <v>UNIDOS VOLAMOS AIRLINES</v>
      </c>
      <c r="T1452" s="36">
        <f t="shared" si="463"/>
        <v>221</v>
      </c>
      <c r="U1452" s="73">
        <v>0.56527777777777777</v>
      </c>
      <c r="V1452" s="74">
        <v>0.57986111111111105</v>
      </c>
      <c r="W1452" s="75">
        <v>1.4583333333333282E-2</v>
      </c>
      <c r="X1452" s="74">
        <v>0.59444444444444444</v>
      </c>
      <c r="Y1452" s="75">
        <v>1.4583333333333393E-2</v>
      </c>
      <c r="Z1452" s="76">
        <v>41758</v>
      </c>
      <c r="AA1452" s="36" t="str">
        <f t="shared" si="464"/>
        <v>Internacional</v>
      </c>
      <c r="AB1452" s="36">
        <f t="shared" si="464"/>
        <v>1.2599206349206341E-2</v>
      </c>
      <c r="AC1452" s="36">
        <f t="shared" si="464"/>
        <v>1.0342261904761918E-2</v>
      </c>
      <c r="AD1452" s="36">
        <f t="shared" si="464"/>
        <v>2.2941468253968259E-2</v>
      </c>
      <c r="AE1452" s="36">
        <f t="shared" si="464"/>
        <v>320</v>
      </c>
      <c r="AF1452" s="36">
        <f t="shared" si="464"/>
        <v>179</v>
      </c>
      <c r="AG1452" s="36" t="str">
        <f t="shared" si="464"/>
        <v>LAX</v>
      </c>
    </row>
    <row r="1453" spans="18:33" x14ac:dyDescent="0.25">
      <c r="R1453">
        <v>1439</v>
      </c>
      <c r="S1453" s="36" t="str">
        <f t="shared" si="463"/>
        <v>UNIDOS VOLAMOS AIRLINES</v>
      </c>
      <c r="T1453" s="36">
        <f t="shared" si="463"/>
        <v>221</v>
      </c>
      <c r="U1453" s="73">
        <v>0.55763888888888891</v>
      </c>
      <c r="V1453" s="74">
        <v>0.57222222222222219</v>
      </c>
      <c r="W1453" s="75">
        <v>1.4583333333333282E-2</v>
      </c>
      <c r="X1453" s="74">
        <v>0.59444444444444444</v>
      </c>
      <c r="Y1453" s="75">
        <v>2.2222222222222254E-2</v>
      </c>
      <c r="Z1453" s="76">
        <v>41759</v>
      </c>
      <c r="AA1453" s="36" t="str">
        <f t="shared" si="464"/>
        <v>Internacional</v>
      </c>
      <c r="AB1453" s="36">
        <f t="shared" si="464"/>
        <v>1.2599206349206341E-2</v>
      </c>
      <c r="AC1453" s="36">
        <f t="shared" si="464"/>
        <v>1.0342261904761918E-2</v>
      </c>
      <c r="AD1453" s="36">
        <f t="shared" si="464"/>
        <v>2.2941468253968259E-2</v>
      </c>
      <c r="AE1453" s="36">
        <f t="shared" si="464"/>
        <v>320</v>
      </c>
      <c r="AF1453" s="36">
        <f t="shared" si="464"/>
        <v>179</v>
      </c>
      <c r="AG1453" s="36" t="str">
        <f t="shared" si="464"/>
        <v>LAX</v>
      </c>
    </row>
    <row r="1454" spans="18:33" x14ac:dyDescent="0.25">
      <c r="R1454">
        <v>1440</v>
      </c>
      <c r="S1454" s="36" t="str">
        <f t="shared" si="463"/>
        <v>UNIDOS VOLAMOS AIRLINES</v>
      </c>
      <c r="T1454" s="36">
        <f t="shared" si="463"/>
        <v>221</v>
      </c>
      <c r="U1454" s="73">
        <v>0.22430555555555556</v>
      </c>
      <c r="V1454" s="74">
        <v>0.24583333333333335</v>
      </c>
      <c r="W1454" s="75">
        <v>2.1527777777777785E-2</v>
      </c>
      <c r="X1454" s="74">
        <v>0.26666666666666666</v>
      </c>
      <c r="Y1454" s="75">
        <v>2.0833333333333315E-2</v>
      </c>
      <c r="Z1454" s="76">
        <v>41758</v>
      </c>
      <c r="AA1454" s="36" t="str">
        <f t="shared" si="464"/>
        <v>Internacional</v>
      </c>
      <c r="AB1454" s="36">
        <f t="shared" si="464"/>
        <v>1.2599206349206341E-2</v>
      </c>
      <c r="AC1454" s="36">
        <f t="shared" si="464"/>
        <v>1.0342261904761918E-2</v>
      </c>
      <c r="AD1454" s="36">
        <f t="shared" si="464"/>
        <v>2.2941468253968259E-2</v>
      </c>
      <c r="AE1454" s="36">
        <f t="shared" si="464"/>
        <v>320</v>
      </c>
      <c r="AF1454" s="36">
        <f t="shared" si="464"/>
        <v>179</v>
      </c>
      <c r="AG1454" s="36" t="str">
        <f t="shared" si="464"/>
        <v>LAX</v>
      </c>
    </row>
    <row r="1455" spans="18:33" ht="15.75" thickBot="1" x14ac:dyDescent="0.3">
      <c r="R1455">
        <v>1441</v>
      </c>
      <c r="S1455" s="36" t="str">
        <f t="shared" si="463"/>
        <v>UNIDOS VOLAMOS AIRLINES</v>
      </c>
      <c r="T1455" s="36">
        <f t="shared" si="463"/>
        <v>221</v>
      </c>
      <c r="U1455" s="83">
        <v>0.55347222222222225</v>
      </c>
      <c r="V1455" s="84">
        <v>0.5625</v>
      </c>
      <c r="W1455" s="85">
        <v>9.0277777777777457E-3</v>
      </c>
      <c r="X1455" s="84">
        <v>0.57222222222222219</v>
      </c>
      <c r="Y1455" s="85">
        <v>9.7222222222221877E-3</v>
      </c>
      <c r="Z1455" s="86">
        <v>41754</v>
      </c>
      <c r="AA1455" s="36" t="str">
        <f t="shared" si="464"/>
        <v>Internacional</v>
      </c>
      <c r="AB1455" s="36">
        <f t="shared" si="464"/>
        <v>1.2599206349206341E-2</v>
      </c>
      <c r="AC1455" s="36">
        <f t="shared" si="464"/>
        <v>1.0342261904761918E-2</v>
      </c>
      <c r="AD1455" s="36">
        <f t="shared" si="464"/>
        <v>2.2941468253968259E-2</v>
      </c>
      <c r="AE1455" s="36">
        <f t="shared" si="464"/>
        <v>320</v>
      </c>
      <c r="AF1455" s="36">
        <f t="shared" si="464"/>
        <v>179</v>
      </c>
      <c r="AG1455" s="36" t="str">
        <f t="shared" si="464"/>
        <v>LAX</v>
      </c>
    </row>
    <row r="1456" spans="18:33" x14ac:dyDescent="0.25">
      <c r="R1456">
        <v>1442</v>
      </c>
      <c r="S1456" s="36" t="str">
        <f t="shared" si="463"/>
        <v>UNIDOS VOLAMOS AIRLINES</v>
      </c>
      <c r="T1456" s="55">
        <v>322</v>
      </c>
      <c r="U1456" s="56">
        <v>0.58611111111111114</v>
      </c>
      <c r="V1456" s="57">
        <v>0.60416666666666663</v>
      </c>
      <c r="W1456" s="58">
        <v>1.8055555555555491E-2</v>
      </c>
      <c r="X1456" s="57">
        <v>0.61041666666666672</v>
      </c>
      <c r="Y1456" s="58">
        <v>6.2500000000000888E-3</v>
      </c>
      <c r="Z1456" s="59">
        <v>41754</v>
      </c>
      <c r="AA1456" s="60" t="s">
        <v>22</v>
      </c>
      <c r="AB1456" s="61">
        <v>1.8269230769230746E-2</v>
      </c>
      <c r="AC1456" s="61">
        <v>9.054487179487182E-3</v>
      </c>
      <c r="AD1456" s="231">
        <v>2.7323717948717928E-2</v>
      </c>
      <c r="AE1456" s="132">
        <v>320</v>
      </c>
      <c r="AF1456" s="132">
        <v>179</v>
      </c>
      <c r="AG1456" s="132" t="s">
        <v>43</v>
      </c>
    </row>
    <row r="1457" spans="18:33" x14ac:dyDescent="0.25">
      <c r="R1457">
        <v>1443</v>
      </c>
      <c r="S1457" s="36" t="str">
        <f t="shared" si="463"/>
        <v>UNIDOS VOLAMOS AIRLINES</v>
      </c>
      <c r="T1457" s="36">
        <f t="shared" si="463"/>
        <v>322</v>
      </c>
      <c r="U1457" s="73">
        <v>0.55347222222222225</v>
      </c>
      <c r="V1457" s="74">
        <v>0.56874999999999998</v>
      </c>
      <c r="W1457" s="75">
        <v>1.5277777777777724E-2</v>
      </c>
      <c r="X1457" s="74">
        <v>0.5708333333333333</v>
      </c>
      <c r="Y1457" s="75">
        <v>2.0833333333333259E-3</v>
      </c>
      <c r="Z1457" s="76">
        <v>41730</v>
      </c>
      <c r="AA1457" s="36" t="str">
        <f t="shared" ref="AA1457:AG1481" si="465">AA1456</f>
        <v>Internacional</v>
      </c>
      <c r="AB1457" s="36">
        <f t="shared" si="465"/>
        <v>1.8269230769230746E-2</v>
      </c>
      <c r="AC1457" s="36">
        <f t="shared" si="465"/>
        <v>9.054487179487182E-3</v>
      </c>
      <c r="AD1457" s="36">
        <f t="shared" si="465"/>
        <v>2.7323717948717928E-2</v>
      </c>
      <c r="AE1457" s="36">
        <f t="shared" si="465"/>
        <v>320</v>
      </c>
      <c r="AF1457" s="36">
        <f t="shared" si="465"/>
        <v>179</v>
      </c>
      <c r="AG1457" s="36" t="str">
        <f t="shared" si="465"/>
        <v>SFO</v>
      </c>
    </row>
    <row r="1458" spans="18:33" x14ac:dyDescent="0.25">
      <c r="R1458">
        <v>1444</v>
      </c>
      <c r="S1458" s="36" t="str">
        <f t="shared" si="463"/>
        <v>UNIDOS VOLAMOS AIRLINES</v>
      </c>
      <c r="T1458" s="36">
        <f t="shared" si="463"/>
        <v>322</v>
      </c>
      <c r="U1458" s="73">
        <v>0.57638888888888895</v>
      </c>
      <c r="V1458" s="74">
        <v>0.58333333333333337</v>
      </c>
      <c r="W1458" s="75">
        <v>6.9444444444444198E-3</v>
      </c>
      <c r="X1458" s="74">
        <v>0.58958333333333335</v>
      </c>
      <c r="Y1458" s="75">
        <v>6.2499999999999778E-3</v>
      </c>
      <c r="Z1458" s="76">
        <v>41731</v>
      </c>
      <c r="AA1458" s="36" t="str">
        <f t="shared" si="465"/>
        <v>Internacional</v>
      </c>
      <c r="AB1458" s="36">
        <f t="shared" si="465"/>
        <v>1.8269230769230746E-2</v>
      </c>
      <c r="AC1458" s="36">
        <f t="shared" si="465"/>
        <v>9.054487179487182E-3</v>
      </c>
      <c r="AD1458" s="36">
        <f t="shared" si="465"/>
        <v>2.7323717948717928E-2</v>
      </c>
      <c r="AE1458" s="36">
        <f t="shared" si="465"/>
        <v>320</v>
      </c>
      <c r="AF1458" s="36">
        <f t="shared" si="465"/>
        <v>179</v>
      </c>
      <c r="AG1458" s="36" t="str">
        <f t="shared" si="465"/>
        <v>SFO</v>
      </c>
    </row>
    <row r="1459" spans="18:33" x14ac:dyDescent="0.25">
      <c r="R1459">
        <v>1445</v>
      </c>
      <c r="S1459" s="36" t="str">
        <f t="shared" si="463"/>
        <v>UNIDOS VOLAMOS AIRLINES</v>
      </c>
      <c r="T1459" s="36">
        <f t="shared" si="463"/>
        <v>322</v>
      </c>
      <c r="U1459" s="73">
        <v>0.57638888888888895</v>
      </c>
      <c r="V1459" s="74">
        <v>0.58333333333333337</v>
      </c>
      <c r="W1459" s="75">
        <v>6.9444444444444198E-3</v>
      </c>
      <c r="X1459" s="74">
        <v>0.58958333333333335</v>
      </c>
      <c r="Y1459" s="75">
        <v>6.2499999999999778E-3</v>
      </c>
      <c r="Z1459" s="76">
        <v>41731</v>
      </c>
      <c r="AA1459" s="36" t="str">
        <f t="shared" si="465"/>
        <v>Internacional</v>
      </c>
      <c r="AB1459" s="36">
        <f t="shared" si="465"/>
        <v>1.8269230769230746E-2</v>
      </c>
      <c r="AC1459" s="36">
        <f t="shared" si="465"/>
        <v>9.054487179487182E-3</v>
      </c>
      <c r="AD1459" s="36">
        <f t="shared" si="465"/>
        <v>2.7323717948717928E-2</v>
      </c>
      <c r="AE1459" s="36">
        <f t="shared" si="465"/>
        <v>320</v>
      </c>
      <c r="AF1459" s="36">
        <f t="shared" si="465"/>
        <v>179</v>
      </c>
      <c r="AG1459" s="36" t="str">
        <f t="shared" si="465"/>
        <v>SFO</v>
      </c>
    </row>
    <row r="1460" spans="18:33" x14ac:dyDescent="0.25">
      <c r="R1460">
        <v>1446</v>
      </c>
      <c r="S1460" s="36" t="str">
        <f t="shared" si="463"/>
        <v>UNIDOS VOLAMOS AIRLINES</v>
      </c>
      <c r="T1460" s="36">
        <f t="shared" si="463"/>
        <v>322</v>
      </c>
      <c r="U1460" s="73">
        <v>0.55069444444444449</v>
      </c>
      <c r="V1460" s="74">
        <v>0.56180555555555556</v>
      </c>
      <c r="W1460" s="75">
        <v>1.1111111111111072E-2</v>
      </c>
      <c r="X1460" s="74">
        <v>0.57986111111111105</v>
      </c>
      <c r="Y1460" s="75">
        <v>1.8055555555555491E-2</v>
      </c>
      <c r="Z1460" s="76">
        <v>41732</v>
      </c>
      <c r="AA1460" s="36" t="str">
        <f t="shared" si="465"/>
        <v>Internacional</v>
      </c>
      <c r="AB1460" s="36">
        <f t="shared" si="465"/>
        <v>1.8269230769230746E-2</v>
      </c>
      <c r="AC1460" s="36">
        <f t="shared" si="465"/>
        <v>9.054487179487182E-3</v>
      </c>
      <c r="AD1460" s="36">
        <f t="shared" si="465"/>
        <v>2.7323717948717928E-2</v>
      </c>
      <c r="AE1460" s="36">
        <f t="shared" si="465"/>
        <v>320</v>
      </c>
      <c r="AF1460" s="36">
        <f t="shared" si="465"/>
        <v>179</v>
      </c>
      <c r="AG1460" s="36" t="str">
        <f t="shared" si="465"/>
        <v>SFO</v>
      </c>
    </row>
    <row r="1461" spans="18:33" x14ac:dyDescent="0.25">
      <c r="R1461">
        <v>1447</v>
      </c>
      <c r="S1461" s="36" t="str">
        <f t="shared" si="463"/>
        <v>UNIDOS VOLAMOS AIRLINES</v>
      </c>
      <c r="T1461" s="36">
        <f t="shared" si="463"/>
        <v>322</v>
      </c>
      <c r="U1461" s="73">
        <v>0.55625000000000002</v>
      </c>
      <c r="V1461" s="74">
        <v>0.57152777777777775</v>
      </c>
      <c r="W1461" s="75">
        <v>1.5277777777777724E-2</v>
      </c>
      <c r="X1461" s="74">
        <v>0.57986111111111105</v>
      </c>
      <c r="Y1461" s="75">
        <v>8.3333333333333037E-3</v>
      </c>
      <c r="Z1461" s="76">
        <v>41733</v>
      </c>
      <c r="AA1461" s="36" t="str">
        <f t="shared" si="465"/>
        <v>Internacional</v>
      </c>
      <c r="AB1461" s="36">
        <f t="shared" si="465"/>
        <v>1.8269230769230746E-2</v>
      </c>
      <c r="AC1461" s="36">
        <f t="shared" si="465"/>
        <v>9.054487179487182E-3</v>
      </c>
      <c r="AD1461" s="36">
        <f t="shared" si="465"/>
        <v>2.7323717948717928E-2</v>
      </c>
      <c r="AE1461" s="36">
        <f t="shared" si="465"/>
        <v>320</v>
      </c>
      <c r="AF1461" s="36">
        <f t="shared" si="465"/>
        <v>179</v>
      </c>
      <c r="AG1461" s="36" t="str">
        <f t="shared" si="465"/>
        <v>SFO</v>
      </c>
    </row>
    <row r="1462" spans="18:33" x14ac:dyDescent="0.25">
      <c r="R1462">
        <v>1448</v>
      </c>
      <c r="S1462" s="36" t="str">
        <f t="shared" si="463"/>
        <v>UNIDOS VOLAMOS AIRLINES</v>
      </c>
      <c r="T1462" s="36">
        <f t="shared" si="463"/>
        <v>322</v>
      </c>
      <c r="U1462" s="73">
        <v>0.55486111111111114</v>
      </c>
      <c r="V1462" s="74">
        <v>0.56805555555555554</v>
      </c>
      <c r="W1462" s="75">
        <v>1.3194444444444398E-2</v>
      </c>
      <c r="X1462" s="74">
        <v>0.57361111111111118</v>
      </c>
      <c r="Y1462" s="75">
        <v>5.5555555555556468E-3</v>
      </c>
      <c r="Z1462" s="76">
        <v>41734</v>
      </c>
      <c r="AA1462" s="36" t="str">
        <f t="shared" si="465"/>
        <v>Internacional</v>
      </c>
      <c r="AB1462" s="36">
        <f t="shared" si="465"/>
        <v>1.8269230769230746E-2</v>
      </c>
      <c r="AC1462" s="36">
        <f t="shared" si="465"/>
        <v>9.054487179487182E-3</v>
      </c>
      <c r="AD1462" s="36">
        <f t="shared" si="465"/>
        <v>2.7323717948717928E-2</v>
      </c>
      <c r="AE1462" s="36">
        <f t="shared" si="465"/>
        <v>320</v>
      </c>
      <c r="AF1462" s="36">
        <f t="shared" si="465"/>
        <v>179</v>
      </c>
      <c r="AG1462" s="36" t="str">
        <f t="shared" si="465"/>
        <v>SFO</v>
      </c>
    </row>
    <row r="1463" spans="18:33" x14ac:dyDescent="0.25">
      <c r="R1463">
        <v>1449</v>
      </c>
      <c r="S1463" s="36" t="str">
        <f t="shared" si="463"/>
        <v>UNIDOS VOLAMOS AIRLINES</v>
      </c>
      <c r="T1463" s="36">
        <f t="shared" si="463"/>
        <v>322</v>
      </c>
      <c r="U1463" s="73">
        <v>0.61597222222222225</v>
      </c>
      <c r="V1463" s="74">
        <v>0.63194444444444442</v>
      </c>
      <c r="W1463" s="75">
        <v>1.5972222222222165E-2</v>
      </c>
      <c r="X1463" s="74">
        <v>0.63541666666666663</v>
      </c>
      <c r="Y1463" s="75">
        <v>3.4722222222222099E-3</v>
      </c>
      <c r="Z1463" s="76">
        <v>41735</v>
      </c>
      <c r="AA1463" s="36" t="str">
        <f t="shared" si="465"/>
        <v>Internacional</v>
      </c>
      <c r="AB1463" s="36">
        <f t="shared" si="465"/>
        <v>1.8269230769230746E-2</v>
      </c>
      <c r="AC1463" s="36">
        <f t="shared" si="465"/>
        <v>9.054487179487182E-3</v>
      </c>
      <c r="AD1463" s="36">
        <f t="shared" si="465"/>
        <v>2.7323717948717928E-2</v>
      </c>
      <c r="AE1463" s="36">
        <f t="shared" si="465"/>
        <v>320</v>
      </c>
      <c r="AF1463" s="36">
        <f t="shared" si="465"/>
        <v>179</v>
      </c>
      <c r="AG1463" s="36" t="str">
        <f t="shared" si="465"/>
        <v>SFO</v>
      </c>
    </row>
    <row r="1464" spans="18:33" x14ac:dyDescent="0.25">
      <c r="R1464">
        <v>1450</v>
      </c>
      <c r="S1464" s="36" t="str">
        <f t="shared" si="463"/>
        <v>UNIDOS VOLAMOS AIRLINES</v>
      </c>
      <c r="T1464" s="36">
        <f t="shared" si="463"/>
        <v>322</v>
      </c>
      <c r="U1464" s="73">
        <v>0.60555555555555551</v>
      </c>
      <c r="V1464" s="74">
        <v>0.62152777777777779</v>
      </c>
      <c r="W1464" s="75">
        <v>1.5972222222222276E-2</v>
      </c>
      <c r="X1464" s="74">
        <v>0.62777777777777777</v>
      </c>
      <c r="Y1464" s="75">
        <v>6.2499999999999778E-3</v>
      </c>
      <c r="Z1464" s="76">
        <v>41736</v>
      </c>
      <c r="AA1464" s="36" t="str">
        <f t="shared" si="465"/>
        <v>Internacional</v>
      </c>
      <c r="AB1464" s="36">
        <f t="shared" si="465"/>
        <v>1.8269230769230746E-2</v>
      </c>
      <c r="AC1464" s="36">
        <f t="shared" si="465"/>
        <v>9.054487179487182E-3</v>
      </c>
      <c r="AD1464" s="36">
        <f t="shared" si="465"/>
        <v>2.7323717948717928E-2</v>
      </c>
      <c r="AE1464" s="36">
        <f t="shared" si="465"/>
        <v>320</v>
      </c>
      <c r="AF1464" s="36">
        <f t="shared" si="465"/>
        <v>179</v>
      </c>
      <c r="AG1464" s="36" t="str">
        <f t="shared" si="465"/>
        <v>SFO</v>
      </c>
    </row>
    <row r="1465" spans="18:33" x14ac:dyDescent="0.25">
      <c r="R1465">
        <v>1451</v>
      </c>
      <c r="S1465" s="36" t="str">
        <f t="shared" si="463"/>
        <v>UNIDOS VOLAMOS AIRLINES</v>
      </c>
      <c r="T1465" s="36">
        <f t="shared" si="463"/>
        <v>322</v>
      </c>
      <c r="U1465" s="73">
        <v>0.58888888888888891</v>
      </c>
      <c r="V1465" s="74">
        <v>0.60625000000000007</v>
      </c>
      <c r="W1465" s="75">
        <v>1.736111111111116E-2</v>
      </c>
      <c r="X1465" s="74">
        <v>0.61388888888888882</v>
      </c>
      <c r="Y1465" s="75">
        <v>7.6388888888887507E-3</v>
      </c>
      <c r="Z1465" s="76">
        <v>41739</v>
      </c>
      <c r="AA1465" s="36" t="str">
        <f t="shared" si="465"/>
        <v>Internacional</v>
      </c>
      <c r="AB1465" s="36">
        <f t="shared" si="465"/>
        <v>1.8269230769230746E-2</v>
      </c>
      <c r="AC1465" s="36">
        <f t="shared" si="465"/>
        <v>9.054487179487182E-3</v>
      </c>
      <c r="AD1465" s="36">
        <f t="shared" si="465"/>
        <v>2.7323717948717928E-2</v>
      </c>
      <c r="AE1465" s="36">
        <f t="shared" si="465"/>
        <v>320</v>
      </c>
      <c r="AF1465" s="36">
        <f t="shared" si="465"/>
        <v>179</v>
      </c>
      <c r="AG1465" s="36" t="str">
        <f t="shared" si="465"/>
        <v>SFO</v>
      </c>
    </row>
    <row r="1466" spans="18:33" x14ac:dyDescent="0.25">
      <c r="R1466">
        <v>1452</v>
      </c>
      <c r="S1466" s="36" t="str">
        <f t="shared" si="463"/>
        <v>UNIDOS VOLAMOS AIRLINES</v>
      </c>
      <c r="T1466" s="36">
        <f t="shared" si="463"/>
        <v>322</v>
      </c>
      <c r="U1466" s="73">
        <v>0.58402777777777781</v>
      </c>
      <c r="V1466" s="74">
        <v>0.60069444444444442</v>
      </c>
      <c r="W1466" s="75">
        <v>1.6666666666666607E-2</v>
      </c>
      <c r="X1466" s="74">
        <v>0.60972222222222217</v>
      </c>
      <c r="Y1466" s="75">
        <v>9.0277777777777457E-3</v>
      </c>
      <c r="Z1466" s="76">
        <v>41741</v>
      </c>
      <c r="AA1466" s="36" t="str">
        <f t="shared" si="465"/>
        <v>Internacional</v>
      </c>
      <c r="AB1466" s="36">
        <f t="shared" si="465"/>
        <v>1.8269230769230746E-2</v>
      </c>
      <c r="AC1466" s="36">
        <f t="shared" si="465"/>
        <v>9.054487179487182E-3</v>
      </c>
      <c r="AD1466" s="36">
        <f t="shared" si="465"/>
        <v>2.7323717948717928E-2</v>
      </c>
      <c r="AE1466" s="36">
        <f t="shared" si="465"/>
        <v>320</v>
      </c>
      <c r="AF1466" s="36">
        <f t="shared" si="465"/>
        <v>179</v>
      </c>
      <c r="AG1466" s="36" t="str">
        <f t="shared" si="465"/>
        <v>SFO</v>
      </c>
    </row>
    <row r="1467" spans="18:33" x14ac:dyDescent="0.25">
      <c r="R1467">
        <v>1453</v>
      </c>
      <c r="S1467" s="36" t="str">
        <f t="shared" si="463"/>
        <v>UNIDOS VOLAMOS AIRLINES</v>
      </c>
      <c r="T1467" s="36">
        <f t="shared" si="463"/>
        <v>322</v>
      </c>
      <c r="U1467" s="73">
        <v>0.60486111111111118</v>
      </c>
      <c r="V1467" s="74">
        <v>0.61875000000000002</v>
      </c>
      <c r="W1467" s="75">
        <v>1.388888888888884E-2</v>
      </c>
      <c r="X1467" s="74">
        <v>0.62708333333333333</v>
      </c>
      <c r="Y1467" s="75">
        <v>8.3333333333333037E-3</v>
      </c>
      <c r="Z1467" s="76">
        <v>41744</v>
      </c>
      <c r="AA1467" s="36" t="str">
        <f t="shared" si="465"/>
        <v>Internacional</v>
      </c>
      <c r="AB1467" s="36">
        <f t="shared" si="465"/>
        <v>1.8269230769230746E-2</v>
      </c>
      <c r="AC1467" s="36">
        <f t="shared" si="465"/>
        <v>9.054487179487182E-3</v>
      </c>
      <c r="AD1467" s="36">
        <f t="shared" si="465"/>
        <v>2.7323717948717928E-2</v>
      </c>
      <c r="AE1467" s="36">
        <f t="shared" si="465"/>
        <v>320</v>
      </c>
      <c r="AF1467" s="36">
        <f t="shared" si="465"/>
        <v>179</v>
      </c>
      <c r="AG1467" s="36" t="str">
        <f t="shared" si="465"/>
        <v>SFO</v>
      </c>
    </row>
    <row r="1468" spans="18:33" x14ac:dyDescent="0.25">
      <c r="R1468">
        <v>1454</v>
      </c>
      <c r="S1468" s="36" t="str">
        <f t="shared" si="463"/>
        <v>UNIDOS VOLAMOS AIRLINES</v>
      </c>
      <c r="T1468" s="36">
        <f t="shared" si="463"/>
        <v>322</v>
      </c>
      <c r="U1468" s="73">
        <v>0.61944444444444446</v>
      </c>
      <c r="V1468" s="74">
        <v>0.6333333333333333</v>
      </c>
      <c r="W1468" s="75">
        <v>1.388888888888884E-2</v>
      </c>
      <c r="X1468" s="74">
        <v>0.6430555555555556</v>
      </c>
      <c r="Y1468" s="75">
        <v>9.7222222222222987E-3</v>
      </c>
      <c r="Z1468" s="76">
        <v>41745</v>
      </c>
      <c r="AA1468" s="36" t="str">
        <f t="shared" si="465"/>
        <v>Internacional</v>
      </c>
      <c r="AB1468" s="36">
        <f t="shared" si="465"/>
        <v>1.8269230769230746E-2</v>
      </c>
      <c r="AC1468" s="36">
        <f t="shared" si="465"/>
        <v>9.054487179487182E-3</v>
      </c>
      <c r="AD1468" s="36">
        <f t="shared" si="465"/>
        <v>2.7323717948717928E-2</v>
      </c>
      <c r="AE1468" s="36">
        <f t="shared" si="465"/>
        <v>320</v>
      </c>
      <c r="AF1468" s="36">
        <f t="shared" si="465"/>
        <v>179</v>
      </c>
      <c r="AG1468" s="36" t="str">
        <f t="shared" si="465"/>
        <v>SFO</v>
      </c>
    </row>
    <row r="1469" spans="18:33" x14ac:dyDescent="0.25">
      <c r="R1469">
        <v>1455</v>
      </c>
      <c r="S1469" s="36" t="str">
        <f t="shared" si="463"/>
        <v>UNIDOS VOLAMOS AIRLINES</v>
      </c>
      <c r="T1469" s="36">
        <f t="shared" si="463"/>
        <v>322</v>
      </c>
      <c r="U1469" s="73">
        <v>0.59583333333333333</v>
      </c>
      <c r="V1469" s="74">
        <v>0.61111111111111105</v>
      </c>
      <c r="W1469" s="75">
        <v>1.5277777777777724E-2</v>
      </c>
      <c r="X1469" s="74">
        <v>0.61944444444444446</v>
      </c>
      <c r="Y1469" s="75">
        <v>8.3333333333334147E-3</v>
      </c>
      <c r="Z1469" s="76">
        <v>41746</v>
      </c>
      <c r="AA1469" s="36" t="str">
        <f t="shared" si="465"/>
        <v>Internacional</v>
      </c>
      <c r="AB1469" s="36">
        <f t="shared" si="465"/>
        <v>1.8269230769230746E-2</v>
      </c>
      <c r="AC1469" s="36">
        <f t="shared" si="465"/>
        <v>9.054487179487182E-3</v>
      </c>
      <c r="AD1469" s="36">
        <f t="shared" si="465"/>
        <v>2.7323717948717928E-2</v>
      </c>
      <c r="AE1469" s="36">
        <f t="shared" si="465"/>
        <v>320</v>
      </c>
      <c r="AF1469" s="36">
        <f t="shared" si="465"/>
        <v>179</v>
      </c>
      <c r="AG1469" s="36" t="str">
        <f t="shared" si="465"/>
        <v>SFO</v>
      </c>
    </row>
    <row r="1470" spans="18:33" x14ac:dyDescent="0.25">
      <c r="R1470">
        <v>1456</v>
      </c>
      <c r="S1470" s="36" t="str">
        <f t="shared" si="463"/>
        <v>UNIDOS VOLAMOS AIRLINES</v>
      </c>
      <c r="T1470" s="36">
        <f t="shared" si="463"/>
        <v>322</v>
      </c>
      <c r="U1470" s="73">
        <v>0.58611111111111114</v>
      </c>
      <c r="V1470" s="74">
        <v>0.60486111111111118</v>
      </c>
      <c r="W1470" s="75">
        <v>1.8750000000000044E-2</v>
      </c>
      <c r="X1470" s="74">
        <v>0.61041666666666672</v>
      </c>
      <c r="Y1470" s="75">
        <v>5.5555555555555358E-3</v>
      </c>
      <c r="Z1470" s="76">
        <v>41747</v>
      </c>
      <c r="AA1470" s="36" t="str">
        <f t="shared" si="465"/>
        <v>Internacional</v>
      </c>
      <c r="AB1470" s="36">
        <f t="shared" si="465"/>
        <v>1.8269230769230746E-2</v>
      </c>
      <c r="AC1470" s="36">
        <f t="shared" si="465"/>
        <v>9.054487179487182E-3</v>
      </c>
      <c r="AD1470" s="36">
        <f t="shared" si="465"/>
        <v>2.7323717948717928E-2</v>
      </c>
      <c r="AE1470" s="36">
        <f t="shared" si="465"/>
        <v>320</v>
      </c>
      <c r="AF1470" s="36">
        <f t="shared" si="465"/>
        <v>179</v>
      </c>
      <c r="AG1470" s="36" t="str">
        <f t="shared" si="465"/>
        <v>SFO</v>
      </c>
    </row>
    <row r="1471" spans="18:33" x14ac:dyDescent="0.25">
      <c r="R1471">
        <v>1457</v>
      </c>
      <c r="S1471" s="36" t="str">
        <f t="shared" si="463"/>
        <v>UNIDOS VOLAMOS AIRLINES</v>
      </c>
      <c r="T1471" s="36">
        <f t="shared" si="463"/>
        <v>322</v>
      </c>
      <c r="U1471" s="73">
        <v>0.6</v>
      </c>
      <c r="V1471" s="74">
        <v>0.62361111111111112</v>
      </c>
      <c r="W1471" s="75">
        <v>2.3611111111111138E-2</v>
      </c>
      <c r="X1471" s="74">
        <v>0.63194444444444442</v>
      </c>
      <c r="Y1471" s="75">
        <v>8.3333333333333037E-3</v>
      </c>
      <c r="Z1471" s="76">
        <v>41748</v>
      </c>
      <c r="AA1471" s="36" t="str">
        <f t="shared" si="465"/>
        <v>Internacional</v>
      </c>
      <c r="AB1471" s="36">
        <f t="shared" si="465"/>
        <v>1.8269230769230746E-2</v>
      </c>
      <c r="AC1471" s="36">
        <f t="shared" si="465"/>
        <v>9.054487179487182E-3</v>
      </c>
      <c r="AD1471" s="36">
        <f t="shared" si="465"/>
        <v>2.7323717948717928E-2</v>
      </c>
      <c r="AE1471" s="36">
        <f t="shared" si="465"/>
        <v>320</v>
      </c>
      <c r="AF1471" s="36">
        <f t="shared" si="465"/>
        <v>179</v>
      </c>
      <c r="AG1471" s="36" t="str">
        <f t="shared" si="465"/>
        <v>SFO</v>
      </c>
    </row>
    <row r="1472" spans="18:33" x14ac:dyDescent="0.25">
      <c r="R1472">
        <v>1458</v>
      </c>
      <c r="S1472" s="36" t="str">
        <f t="shared" si="463"/>
        <v>UNIDOS VOLAMOS AIRLINES</v>
      </c>
      <c r="T1472" s="36">
        <f t="shared" si="463"/>
        <v>322</v>
      </c>
      <c r="U1472" s="73">
        <v>0.58472222222222225</v>
      </c>
      <c r="V1472" s="74">
        <v>0.60138888888888886</v>
      </c>
      <c r="W1472" s="75">
        <v>1.6666666666666607E-2</v>
      </c>
      <c r="X1472" s="74">
        <v>0.60972222222222217</v>
      </c>
      <c r="Y1472" s="75">
        <v>8.3333333333333037E-3</v>
      </c>
      <c r="Z1472" s="76">
        <v>41749</v>
      </c>
      <c r="AA1472" s="36" t="str">
        <f t="shared" si="465"/>
        <v>Internacional</v>
      </c>
      <c r="AB1472" s="36">
        <f t="shared" si="465"/>
        <v>1.8269230769230746E-2</v>
      </c>
      <c r="AC1472" s="36">
        <f t="shared" si="465"/>
        <v>9.054487179487182E-3</v>
      </c>
      <c r="AD1472" s="36">
        <f t="shared" si="465"/>
        <v>2.7323717948717928E-2</v>
      </c>
      <c r="AE1472" s="36">
        <f t="shared" si="465"/>
        <v>320</v>
      </c>
      <c r="AF1472" s="36">
        <f t="shared" si="465"/>
        <v>179</v>
      </c>
      <c r="AG1472" s="36" t="str">
        <f t="shared" si="465"/>
        <v>SFO</v>
      </c>
    </row>
    <row r="1473" spans="18:33" x14ac:dyDescent="0.25">
      <c r="R1473">
        <v>1459</v>
      </c>
      <c r="S1473" s="36" t="str">
        <f t="shared" si="463"/>
        <v>UNIDOS VOLAMOS AIRLINES</v>
      </c>
      <c r="T1473" s="36">
        <f t="shared" si="463"/>
        <v>322</v>
      </c>
      <c r="U1473" s="73">
        <v>0.60416666666666663</v>
      </c>
      <c r="V1473" s="74">
        <v>0.6166666666666667</v>
      </c>
      <c r="W1473" s="75">
        <v>1.2500000000000067E-2</v>
      </c>
      <c r="X1473" s="74">
        <v>0.62986111111111109</v>
      </c>
      <c r="Y1473" s="75">
        <v>1.3194444444444398E-2</v>
      </c>
      <c r="Z1473" s="76">
        <v>41750</v>
      </c>
      <c r="AA1473" s="36" t="str">
        <f t="shared" si="465"/>
        <v>Internacional</v>
      </c>
      <c r="AB1473" s="36">
        <f t="shared" si="465"/>
        <v>1.8269230769230746E-2</v>
      </c>
      <c r="AC1473" s="36">
        <f t="shared" si="465"/>
        <v>9.054487179487182E-3</v>
      </c>
      <c r="AD1473" s="36">
        <f t="shared" si="465"/>
        <v>2.7323717948717928E-2</v>
      </c>
      <c r="AE1473" s="36">
        <f t="shared" si="465"/>
        <v>320</v>
      </c>
      <c r="AF1473" s="36">
        <f t="shared" si="465"/>
        <v>179</v>
      </c>
      <c r="AG1473" s="36" t="str">
        <f t="shared" si="465"/>
        <v>SFO</v>
      </c>
    </row>
    <row r="1474" spans="18:33" x14ac:dyDescent="0.25">
      <c r="R1474">
        <v>1460</v>
      </c>
      <c r="S1474" s="36" t="str">
        <f t="shared" si="463"/>
        <v>UNIDOS VOLAMOS AIRLINES</v>
      </c>
      <c r="T1474" s="36">
        <f t="shared" si="463"/>
        <v>322</v>
      </c>
      <c r="U1474" s="73">
        <v>0.60069444444444442</v>
      </c>
      <c r="V1474" s="74">
        <v>0.62083333333333335</v>
      </c>
      <c r="W1474" s="75">
        <v>2.0138888888888928E-2</v>
      </c>
      <c r="X1474" s="74">
        <v>0.62986111111111109</v>
      </c>
      <c r="Y1474" s="75">
        <v>9.0277777777777457E-3</v>
      </c>
      <c r="Z1474" s="76">
        <v>41751</v>
      </c>
      <c r="AA1474" s="36" t="str">
        <f t="shared" si="465"/>
        <v>Internacional</v>
      </c>
      <c r="AB1474" s="36">
        <f t="shared" si="465"/>
        <v>1.8269230769230746E-2</v>
      </c>
      <c r="AC1474" s="36">
        <f t="shared" si="465"/>
        <v>9.054487179487182E-3</v>
      </c>
      <c r="AD1474" s="36">
        <f t="shared" si="465"/>
        <v>2.7323717948717928E-2</v>
      </c>
      <c r="AE1474" s="36">
        <f t="shared" si="465"/>
        <v>320</v>
      </c>
      <c r="AF1474" s="36">
        <f t="shared" si="465"/>
        <v>179</v>
      </c>
      <c r="AG1474" s="36" t="str">
        <f t="shared" si="465"/>
        <v>SFO</v>
      </c>
    </row>
    <row r="1475" spans="18:33" x14ac:dyDescent="0.25">
      <c r="R1475">
        <v>1461</v>
      </c>
      <c r="S1475" s="36" t="str">
        <f t="shared" si="463"/>
        <v>UNIDOS VOLAMOS AIRLINES</v>
      </c>
      <c r="T1475" s="36">
        <f t="shared" si="463"/>
        <v>322</v>
      </c>
      <c r="U1475" s="73">
        <v>0.60069444444444442</v>
      </c>
      <c r="V1475" s="74">
        <v>0.62083333333333335</v>
      </c>
      <c r="W1475" s="75">
        <v>2.0138888888888928E-2</v>
      </c>
      <c r="X1475" s="74">
        <v>0.62708333333333333</v>
      </c>
      <c r="Y1475" s="75">
        <v>6.2499999999999778E-3</v>
      </c>
      <c r="Z1475" s="76">
        <v>41751</v>
      </c>
      <c r="AA1475" s="36" t="str">
        <f t="shared" si="465"/>
        <v>Internacional</v>
      </c>
      <c r="AB1475" s="36">
        <f t="shared" si="465"/>
        <v>1.8269230769230746E-2</v>
      </c>
      <c r="AC1475" s="36">
        <f t="shared" si="465"/>
        <v>9.054487179487182E-3</v>
      </c>
      <c r="AD1475" s="36">
        <f t="shared" si="465"/>
        <v>2.7323717948717928E-2</v>
      </c>
      <c r="AE1475" s="36">
        <f t="shared" si="465"/>
        <v>320</v>
      </c>
      <c r="AF1475" s="36">
        <f t="shared" si="465"/>
        <v>179</v>
      </c>
      <c r="AG1475" s="36" t="str">
        <f t="shared" si="465"/>
        <v>SFO</v>
      </c>
    </row>
    <row r="1476" spans="18:33" x14ac:dyDescent="0.25">
      <c r="R1476">
        <v>1462</v>
      </c>
      <c r="S1476" s="36" t="str">
        <f t="shared" si="463"/>
        <v>UNIDOS VOLAMOS AIRLINES</v>
      </c>
      <c r="T1476" s="36">
        <f t="shared" si="463"/>
        <v>322</v>
      </c>
      <c r="U1476" s="73">
        <v>0.59444444444444444</v>
      </c>
      <c r="V1476" s="74">
        <v>0.61388888888888882</v>
      </c>
      <c r="W1476" s="75">
        <v>1.9444444444444375E-2</v>
      </c>
      <c r="X1476" s="74">
        <v>0.62916666666666665</v>
      </c>
      <c r="Y1476" s="75">
        <v>1.5277777777777835E-2</v>
      </c>
      <c r="Z1476" s="76">
        <v>41753</v>
      </c>
      <c r="AA1476" s="36" t="str">
        <f t="shared" si="465"/>
        <v>Internacional</v>
      </c>
      <c r="AB1476" s="36">
        <f t="shared" si="465"/>
        <v>1.8269230769230746E-2</v>
      </c>
      <c r="AC1476" s="36">
        <f t="shared" si="465"/>
        <v>9.054487179487182E-3</v>
      </c>
      <c r="AD1476" s="36">
        <f t="shared" si="465"/>
        <v>2.7323717948717928E-2</v>
      </c>
      <c r="AE1476" s="36">
        <f t="shared" si="465"/>
        <v>320</v>
      </c>
      <c r="AF1476" s="36">
        <f t="shared" si="465"/>
        <v>179</v>
      </c>
      <c r="AG1476" s="36" t="str">
        <f t="shared" si="465"/>
        <v>SFO</v>
      </c>
    </row>
    <row r="1477" spans="18:33" x14ac:dyDescent="0.25">
      <c r="R1477">
        <v>1463</v>
      </c>
      <c r="S1477" s="36" t="str">
        <f t="shared" si="463"/>
        <v>UNIDOS VOLAMOS AIRLINES</v>
      </c>
      <c r="T1477" s="36">
        <f t="shared" si="463"/>
        <v>322</v>
      </c>
      <c r="U1477" s="73">
        <v>0.59305555555555556</v>
      </c>
      <c r="V1477" s="74">
        <v>0.61111111111111105</v>
      </c>
      <c r="W1477" s="75">
        <v>1.8055555555555491E-2</v>
      </c>
      <c r="X1477" s="74">
        <v>0.625</v>
      </c>
      <c r="Y1477" s="75">
        <v>1.3888888888888951E-2</v>
      </c>
      <c r="Z1477" s="76">
        <v>41754</v>
      </c>
      <c r="AA1477" s="36" t="str">
        <f t="shared" si="465"/>
        <v>Internacional</v>
      </c>
      <c r="AB1477" s="36">
        <f t="shared" si="465"/>
        <v>1.8269230769230746E-2</v>
      </c>
      <c r="AC1477" s="36">
        <f t="shared" si="465"/>
        <v>9.054487179487182E-3</v>
      </c>
      <c r="AD1477" s="36">
        <f t="shared" si="465"/>
        <v>2.7323717948717928E-2</v>
      </c>
      <c r="AE1477" s="36">
        <f t="shared" si="465"/>
        <v>320</v>
      </c>
      <c r="AF1477" s="36">
        <f t="shared" si="465"/>
        <v>179</v>
      </c>
      <c r="AG1477" s="36" t="str">
        <f t="shared" si="465"/>
        <v>SFO</v>
      </c>
    </row>
    <row r="1478" spans="18:33" x14ac:dyDescent="0.25">
      <c r="R1478">
        <v>1464</v>
      </c>
      <c r="S1478" s="36" t="str">
        <f t="shared" si="463"/>
        <v>UNIDOS VOLAMOS AIRLINES</v>
      </c>
      <c r="T1478" s="36">
        <f t="shared" si="463"/>
        <v>322</v>
      </c>
      <c r="U1478" s="73">
        <v>0.59236111111111112</v>
      </c>
      <c r="V1478" s="74">
        <v>0.60555555555555551</v>
      </c>
      <c r="W1478" s="75">
        <v>1.3194444444444398E-2</v>
      </c>
      <c r="X1478" s="74">
        <v>0.61597222222222225</v>
      </c>
      <c r="Y1478" s="75">
        <v>1.0416666666666741E-2</v>
      </c>
      <c r="Z1478" s="76">
        <v>41756</v>
      </c>
      <c r="AA1478" s="36" t="str">
        <f t="shared" si="465"/>
        <v>Internacional</v>
      </c>
      <c r="AB1478" s="36">
        <f t="shared" si="465"/>
        <v>1.8269230769230746E-2</v>
      </c>
      <c r="AC1478" s="36">
        <f t="shared" si="465"/>
        <v>9.054487179487182E-3</v>
      </c>
      <c r="AD1478" s="36">
        <f t="shared" si="465"/>
        <v>2.7323717948717928E-2</v>
      </c>
      <c r="AE1478" s="36">
        <f t="shared" si="465"/>
        <v>320</v>
      </c>
      <c r="AF1478" s="36">
        <f t="shared" si="465"/>
        <v>179</v>
      </c>
      <c r="AG1478" s="36" t="str">
        <f t="shared" si="465"/>
        <v>SFO</v>
      </c>
    </row>
    <row r="1479" spans="18:33" x14ac:dyDescent="0.25">
      <c r="R1479">
        <v>1465</v>
      </c>
      <c r="S1479" s="36" t="str">
        <f t="shared" si="463"/>
        <v>UNIDOS VOLAMOS AIRLINES</v>
      </c>
      <c r="T1479" s="36">
        <f t="shared" si="463"/>
        <v>322</v>
      </c>
      <c r="U1479" s="73">
        <v>0.55486111111111114</v>
      </c>
      <c r="V1479" s="74">
        <v>0.63402777777777775</v>
      </c>
      <c r="W1479" s="75">
        <v>7.9166666666666607E-2</v>
      </c>
      <c r="X1479" s="74">
        <v>0.64513888888888882</v>
      </c>
      <c r="Y1479" s="75">
        <v>1.1111111111111072E-2</v>
      </c>
      <c r="Z1479" s="76">
        <v>41757</v>
      </c>
      <c r="AA1479" s="36" t="str">
        <f t="shared" si="465"/>
        <v>Internacional</v>
      </c>
      <c r="AB1479" s="36">
        <f t="shared" si="465"/>
        <v>1.8269230769230746E-2</v>
      </c>
      <c r="AC1479" s="36">
        <f t="shared" si="465"/>
        <v>9.054487179487182E-3</v>
      </c>
      <c r="AD1479" s="36">
        <f t="shared" si="465"/>
        <v>2.7323717948717928E-2</v>
      </c>
      <c r="AE1479" s="36">
        <f t="shared" si="465"/>
        <v>320</v>
      </c>
      <c r="AF1479" s="36">
        <f t="shared" si="465"/>
        <v>179</v>
      </c>
      <c r="AG1479" s="36" t="str">
        <f t="shared" si="465"/>
        <v>SFO</v>
      </c>
    </row>
    <row r="1480" spans="18:33" x14ac:dyDescent="0.25">
      <c r="R1480">
        <v>1466</v>
      </c>
      <c r="S1480" s="36" t="str">
        <f t="shared" si="463"/>
        <v>UNIDOS VOLAMOS AIRLINES</v>
      </c>
      <c r="T1480" s="36">
        <f t="shared" si="463"/>
        <v>322</v>
      </c>
      <c r="U1480" s="73">
        <v>0.59861111111111109</v>
      </c>
      <c r="V1480" s="74">
        <v>0.62638888888888888</v>
      </c>
      <c r="W1480" s="75">
        <v>2.777777777777779E-2</v>
      </c>
      <c r="X1480" s="74">
        <v>0.63750000000000007</v>
      </c>
      <c r="Y1480" s="75">
        <v>1.1111111111111183E-2</v>
      </c>
      <c r="Z1480" s="76">
        <v>41758</v>
      </c>
      <c r="AA1480" s="36" t="str">
        <f t="shared" si="465"/>
        <v>Internacional</v>
      </c>
      <c r="AB1480" s="36">
        <f t="shared" si="465"/>
        <v>1.8269230769230746E-2</v>
      </c>
      <c r="AC1480" s="36">
        <f t="shared" si="465"/>
        <v>9.054487179487182E-3</v>
      </c>
      <c r="AD1480" s="36">
        <f t="shared" si="465"/>
        <v>2.7323717948717928E-2</v>
      </c>
      <c r="AE1480" s="36">
        <f t="shared" si="465"/>
        <v>320</v>
      </c>
      <c r="AF1480" s="36">
        <f t="shared" si="465"/>
        <v>179</v>
      </c>
      <c r="AG1480" s="36" t="str">
        <f t="shared" si="465"/>
        <v>SFO</v>
      </c>
    </row>
    <row r="1481" spans="18:33" ht="15.75" thickBot="1" x14ac:dyDescent="0.3">
      <c r="R1481">
        <v>1467</v>
      </c>
      <c r="S1481" s="36" t="str">
        <f t="shared" si="463"/>
        <v>UNIDOS VOLAMOS AIRLINES</v>
      </c>
      <c r="T1481" s="36">
        <f t="shared" si="463"/>
        <v>322</v>
      </c>
      <c r="U1481" s="83">
        <v>0.58958333333333335</v>
      </c>
      <c r="V1481" s="84">
        <v>0.59930555555555554</v>
      </c>
      <c r="W1481" s="85">
        <v>9.7222222222221877E-3</v>
      </c>
      <c r="X1481" s="84">
        <v>0.6166666666666667</v>
      </c>
      <c r="Y1481" s="85">
        <v>1.736111111111116E-2</v>
      </c>
      <c r="Z1481" s="86">
        <v>41759</v>
      </c>
      <c r="AA1481" s="36" t="str">
        <f t="shared" si="465"/>
        <v>Internacional</v>
      </c>
      <c r="AB1481" s="36">
        <f t="shared" si="465"/>
        <v>1.8269230769230746E-2</v>
      </c>
      <c r="AC1481" s="36">
        <f t="shared" si="465"/>
        <v>9.054487179487182E-3</v>
      </c>
      <c r="AD1481" s="36">
        <f t="shared" si="465"/>
        <v>2.7323717948717928E-2</v>
      </c>
      <c r="AE1481" s="36">
        <f t="shared" si="465"/>
        <v>320</v>
      </c>
      <c r="AF1481" s="36">
        <f t="shared" si="465"/>
        <v>179</v>
      </c>
      <c r="AG1481" s="36" t="str">
        <f t="shared" si="465"/>
        <v>SFO</v>
      </c>
    </row>
    <row r="1482" spans="18:33" x14ac:dyDescent="0.25">
      <c r="R1482">
        <v>1468</v>
      </c>
      <c r="S1482" s="36" t="str">
        <f t="shared" si="463"/>
        <v>UNIDOS VOLAMOS AIRLINES</v>
      </c>
      <c r="T1482" s="55">
        <v>480</v>
      </c>
      <c r="U1482" s="56">
        <v>0.20208333333333331</v>
      </c>
      <c r="V1482" s="57">
        <v>0.21666666666666667</v>
      </c>
      <c r="W1482" s="58">
        <v>1.4583333333333365E-2</v>
      </c>
      <c r="X1482" s="57">
        <v>0.22569444444444445</v>
      </c>
      <c r="Y1482" s="58">
        <v>9.0277777777777735E-3</v>
      </c>
      <c r="Z1482" s="59">
        <v>41730</v>
      </c>
      <c r="AA1482" s="60" t="s">
        <v>22</v>
      </c>
      <c r="AB1482" s="61">
        <v>1.395833333333334E-2</v>
      </c>
      <c r="AC1482" s="61">
        <v>1.4548611111111106E-2</v>
      </c>
      <c r="AD1482" s="231">
        <v>2.8506944444444446E-2</v>
      </c>
      <c r="AE1482" s="132">
        <v>320</v>
      </c>
      <c r="AF1482" s="132">
        <v>179</v>
      </c>
      <c r="AG1482" s="132" t="s">
        <v>43</v>
      </c>
    </row>
    <row r="1483" spans="18:33" x14ac:dyDescent="0.25">
      <c r="R1483">
        <v>1469</v>
      </c>
      <c r="S1483" s="36" t="str">
        <f t="shared" si="463"/>
        <v>UNIDOS VOLAMOS AIRLINES</v>
      </c>
      <c r="T1483" s="36">
        <f t="shared" si="463"/>
        <v>480</v>
      </c>
      <c r="U1483" s="73">
        <v>0.20347222222222219</v>
      </c>
      <c r="V1483" s="74">
        <v>0.21805555555555556</v>
      </c>
      <c r="W1483" s="75">
        <v>1.4583333333333365E-2</v>
      </c>
      <c r="X1483" s="74">
        <v>0.25</v>
      </c>
      <c r="Y1483" s="75">
        <v>3.1944444444444442E-2</v>
      </c>
      <c r="Z1483" s="76">
        <v>41733</v>
      </c>
      <c r="AA1483" s="36" t="str">
        <f t="shared" ref="AA1483:AG1501" si="466">AA1482</f>
        <v>Internacional</v>
      </c>
      <c r="AB1483" s="36">
        <f t="shared" si="466"/>
        <v>1.395833333333334E-2</v>
      </c>
      <c r="AC1483" s="36">
        <f t="shared" si="466"/>
        <v>1.4548611111111106E-2</v>
      </c>
      <c r="AD1483" s="36">
        <f t="shared" si="466"/>
        <v>2.8506944444444446E-2</v>
      </c>
      <c r="AE1483" s="36">
        <f t="shared" si="466"/>
        <v>320</v>
      </c>
      <c r="AF1483" s="36">
        <f t="shared" si="466"/>
        <v>179</v>
      </c>
      <c r="AG1483" s="36" t="str">
        <f t="shared" si="466"/>
        <v>SFO</v>
      </c>
    </row>
    <row r="1484" spans="18:33" x14ac:dyDescent="0.25">
      <c r="R1484">
        <v>1470</v>
      </c>
      <c r="S1484" s="36" t="str">
        <f t="shared" si="463"/>
        <v>UNIDOS VOLAMOS AIRLINES</v>
      </c>
      <c r="T1484" s="36">
        <f t="shared" si="463"/>
        <v>480</v>
      </c>
      <c r="U1484" s="73">
        <v>0.20416666666666669</v>
      </c>
      <c r="V1484" s="74">
        <v>0.22222222222222221</v>
      </c>
      <c r="W1484" s="75">
        <v>1.8055555555555519E-2</v>
      </c>
      <c r="X1484" s="74">
        <v>0.23263888888888887</v>
      </c>
      <c r="Y1484" s="75">
        <v>1.0416666666666657E-2</v>
      </c>
      <c r="Z1484" s="76">
        <v>41733</v>
      </c>
      <c r="AA1484" s="36" t="str">
        <f t="shared" si="466"/>
        <v>Internacional</v>
      </c>
      <c r="AB1484" s="36">
        <f t="shared" si="466"/>
        <v>1.395833333333334E-2</v>
      </c>
      <c r="AC1484" s="36">
        <f t="shared" si="466"/>
        <v>1.4548611111111106E-2</v>
      </c>
      <c r="AD1484" s="36">
        <f t="shared" si="466"/>
        <v>2.8506944444444446E-2</v>
      </c>
      <c r="AE1484" s="36">
        <f t="shared" si="466"/>
        <v>320</v>
      </c>
      <c r="AF1484" s="36">
        <f t="shared" si="466"/>
        <v>179</v>
      </c>
      <c r="AG1484" s="36" t="str">
        <f t="shared" si="466"/>
        <v>SFO</v>
      </c>
    </row>
    <row r="1485" spans="18:33" x14ac:dyDescent="0.25">
      <c r="R1485">
        <v>1471</v>
      </c>
      <c r="S1485" s="36" t="str">
        <f t="shared" si="463"/>
        <v>UNIDOS VOLAMOS AIRLINES</v>
      </c>
      <c r="T1485" s="36">
        <f t="shared" si="463"/>
        <v>480</v>
      </c>
      <c r="U1485" s="73">
        <v>0.22569444444444445</v>
      </c>
      <c r="V1485" s="74">
        <v>0.23402777777777781</v>
      </c>
      <c r="W1485" s="75">
        <v>8.3333333333333592E-3</v>
      </c>
      <c r="X1485" s="74">
        <v>0.24305555555555555</v>
      </c>
      <c r="Y1485" s="75">
        <v>9.0277777777777457E-3</v>
      </c>
      <c r="Z1485" s="76">
        <v>41736</v>
      </c>
      <c r="AA1485" s="36" t="str">
        <f t="shared" si="466"/>
        <v>Internacional</v>
      </c>
      <c r="AB1485" s="36">
        <f t="shared" si="466"/>
        <v>1.395833333333334E-2</v>
      </c>
      <c r="AC1485" s="36">
        <f t="shared" si="466"/>
        <v>1.4548611111111106E-2</v>
      </c>
      <c r="AD1485" s="36">
        <f t="shared" si="466"/>
        <v>2.8506944444444446E-2</v>
      </c>
      <c r="AE1485" s="36">
        <f t="shared" si="466"/>
        <v>320</v>
      </c>
      <c r="AF1485" s="36">
        <f t="shared" si="466"/>
        <v>179</v>
      </c>
      <c r="AG1485" s="36" t="str">
        <f t="shared" si="466"/>
        <v>SFO</v>
      </c>
    </row>
    <row r="1486" spans="18:33" ht="15.75" thickBot="1" x14ac:dyDescent="0.3">
      <c r="R1486">
        <v>1472</v>
      </c>
      <c r="S1486" s="36" t="str">
        <f t="shared" si="463"/>
        <v>UNIDOS VOLAMOS AIRLINES</v>
      </c>
      <c r="T1486" s="36">
        <f t="shared" si="463"/>
        <v>480</v>
      </c>
      <c r="U1486" s="73">
        <v>0.22430555555555556</v>
      </c>
      <c r="V1486" s="74">
        <v>0.23194444444444443</v>
      </c>
      <c r="W1486" s="75">
        <v>7.6388888888888618E-3</v>
      </c>
      <c r="X1486" s="74">
        <v>0.23819444444444446</v>
      </c>
      <c r="Y1486" s="75">
        <v>6.2500000000000333E-3</v>
      </c>
      <c r="Z1486" s="76">
        <v>41736</v>
      </c>
      <c r="AA1486" s="36" t="str">
        <f t="shared" si="466"/>
        <v>Internacional</v>
      </c>
      <c r="AB1486" s="36">
        <f t="shared" si="466"/>
        <v>1.395833333333334E-2</v>
      </c>
      <c r="AC1486" s="36">
        <f t="shared" si="466"/>
        <v>1.4548611111111106E-2</v>
      </c>
      <c r="AD1486" s="36">
        <f t="shared" si="466"/>
        <v>2.8506944444444446E-2</v>
      </c>
      <c r="AE1486" s="36">
        <f t="shared" si="466"/>
        <v>320</v>
      </c>
      <c r="AF1486" s="36">
        <f t="shared" si="466"/>
        <v>179</v>
      </c>
      <c r="AG1486" s="36" t="str">
        <f t="shared" si="466"/>
        <v>SFO</v>
      </c>
    </row>
    <row r="1487" spans="18:33" x14ac:dyDescent="0.25">
      <c r="R1487">
        <v>1473</v>
      </c>
      <c r="S1487" s="45" t="s">
        <v>95</v>
      </c>
      <c r="T1487" s="36">
        <f t="shared" ref="T1487:T1505" si="467">T1486</f>
        <v>480</v>
      </c>
      <c r="U1487" s="73">
        <v>0.22291666666666665</v>
      </c>
      <c r="V1487" s="74">
        <v>0.23402777777777781</v>
      </c>
      <c r="W1487" s="75">
        <v>1.1111111111111155E-2</v>
      </c>
      <c r="X1487" s="74">
        <v>0.24305555555555555</v>
      </c>
      <c r="Y1487" s="75">
        <v>9.0277777777777457E-3</v>
      </c>
      <c r="Z1487" s="76">
        <v>41737</v>
      </c>
      <c r="AA1487" s="36" t="str">
        <f t="shared" si="466"/>
        <v>Internacional</v>
      </c>
      <c r="AB1487" s="36">
        <f t="shared" si="466"/>
        <v>1.395833333333334E-2</v>
      </c>
      <c r="AC1487" s="36">
        <f t="shared" si="466"/>
        <v>1.4548611111111106E-2</v>
      </c>
      <c r="AD1487" s="36">
        <f t="shared" si="466"/>
        <v>2.8506944444444446E-2</v>
      </c>
      <c r="AE1487" s="36">
        <f t="shared" si="466"/>
        <v>320</v>
      </c>
      <c r="AF1487" s="36">
        <f t="shared" si="466"/>
        <v>179</v>
      </c>
      <c r="AG1487" s="36" t="str">
        <f t="shared" si="466"/>
        <v>SFO</v>
      </c>
    </row>
    <row r="1488" spans="18:33" x14ac:dyDescent="0.25">
      <c r="R1488">
        <v>1474</v>
      </c>
      <c r="S1488" s="36" t="str">
        <f t="shared" ref="S1488:T1549" si="468">S1487</f>
        <v>UNIDOS VOLAMOS AIRLINES</v>
      </c>
      <c r="T1488" s="36">
        <f t="shared" si="467"/>
        <v>480</v>
      </c>
      <c r="U1488" s="73">
        <v>0.23124999999999998</v>
      </c>
      <c r="V1488" s="74">
        <v>0.24722222222222223</v>
      </c>
      <c r="W1488" s="75">
        <v>1.5972222222222249E-2</v>
      </c>
      <c r="X1488" s="74">
        <v>0.25625000000000003</v>
      </c>
      <c r="Y1488" s="75">
        <v>9.0277777777778012E-3</v>
      </c>
      <c r="Z1488" s="76">
        <v>41738</v>
      </c>
      <c r="AA1488" s="36" t="str">
        <f t="shared" si="466"/>
        <v>Internacional</v>
      </c>
      <c r="AB1488" s="36">
        <f t="shared" si="466"/>
        <v>1.395833333333334E-2</v>
      </c>
      <c r="AC1488" s="36">
        <f t="shared" si="466"/>
        <v>1.4548611111111106E-2</v>
      </c>
      <c r="AD1488" s="36">
        <f t="shared" si="466"/>
        <v>2.8506944444444446E-2</v>
      </c>
      <c r="AE1488" s="36">
        <f t="shared" si="466"/>
        <v>320</v>
      </c>
      <c r="AF1488" s="36">
        <f t="shared" si="466"/>
        <v>179</v>
      </c>
      <c r="AG1488" s="36" t="str">
        <f t="shared" si="466"/>
        <v>SFO</v>
      </c>
    </row>
    <row r="1489" spans="18:33" x14ac:dyDescent="0.25">
      <c r="R1489">
        <v>1475</v>
      </c>
      <c r="S1489" s="36" t="str">
        <f t="shared" si="468"/>
        <v>UNIDOS VOLAMOS AIRLINES</v>
      </c>
      <c r="T1489" s="36">
        <f t="shared" si="467"/>
        <v>480</v>
      </c>
      <c r="U1489" s="73">
        <v>0.23750000000000002</v>
      </c>
      <c r="V1489" s="74">
        <v>0.24722222222222223</v>
      </c>
      <c r="W1489" s="75">
        <v>9.7222222222222154E-3</v>
      </c>
      <c r="X1489" s="74">
        <v>0.27152777777777776</v>
      </c>
      <c r="Y1489" s="75">
        <v>2.4305555555555525E-2</v>
      </c>
      <c r="Z1489" s="76">
        <v>41739</v>
      </c>
      <c r="AA1489" s="36" t="str">
        <f t="shared" si="466"/>
        <v>Internacional</v>
      </c>
      <c r="AB1489" s="36">
        <f t="shared" si="466"/>
        <v>1.395833333333334E-2</v>
      </c>
      <c r="AC1489" s="36">
        <f t="shared" si="466"/>
        <v>1.4548611111111106E-2</v>
      </c>
      <c r="AD1489" s="36">
        <f t="shared" si="466"/>
        <v>2.8506944444444446E-2</v>
      </c>
      <c r="AE1489" s="36">
        <f t="shared" si="466"/>
        <v>320</v>
      </c>
      <c r="AF1489" s="36">
        <f t="shared" si="466"/>
        <v>179</v>
      </c>
      <c r="AG1489" s="36" t="str">
        <f t="shared" si="466"/>
        <v>SFO</v>
      </c>
    </row>
    <row r="1490" spans="18:33" x14ac:dyDescent="0.25">
      <c r="R1490">
        <v>1476</v>
      </c>
      <c r="S1490" s="36" t="str">
        <f t="shared" si="468"/>
        <v>UNIDOS VOLAMOS AIRLINES</v>
      </c>
      <c r="T1490" s="36">
        <f t="shared" si="467"/>
        <v>480</v>
      </c>
      <c r="U1490" s="73">
        <v>0.20208333333333331</v>
      </c>
      <c r="V1490" s="74">
        <v>0.21666666666666667</v>
      </c>
      <c r="W1490" s="75">
        <v>1.4583333333333365E-2</v>
      </c>
      <c r="X1490" s="74">
        <v>0.22569444444444445</v>
      </c>
      <c r="Y1490" s="75">
        <v>9.0277777777777735E-3</v>
      </c>
      <c r="Z1490" s="76">
        <v>41742</v>
      </c>
      <c r="AA1490" s="36" t="str">
        <f t="shared" si="466"/>
        <v>Internacional</v>
      </c>
      <c r="AB1490" s="36">
        <f t="shared" si="466"/>
        <v>1.395833333333334E-2</v>
      </c>
      <c r="AC1490" s="36">
        <f t="shared" si="466"/>
        <v>1.4548611111111106E-2</v>
      </c>
      <c r="AD1490" s="36">
        <f t="shared" si="466"/>
        <v>2.8506944444444446E-2</v>
      </c>
      <c r="AE1490" s="36">
        <f t="shared" si="466"/>
        <v>320</v>
      </c>
      <c r="AF1490" s="36">
        <f t="shared" si="466"/>
        <v>179</v>
      </c>
      <c r="AG1490" s="36" t="str">
        <f t="shared" si="466"/>
        <v>SFO</v>
      </c>
    </row>
    <row r="1491" spans="18:33" x14ac:dyDescent="0.25">
      <c r="R1491">
        <v>1477</v>
      </c>
      <c r="S1491" s="36" t="str">
        <f t="shared" si="468"/>
        <v>UNIDOS VOLAMOS AIRLINES</v>
      </c>
      <c r="T1491" s="36">
        <f t="shared" si="467"/>
        <v>480</v>
      </c>
      <c r="U1491" s="73">
        <v>0.22152777777777777</v>
      </c>
      <c r="V1491" s="74">
        <v>0.24166666666666667</v>
      </c>
      <c r="W1491" s="75">
        <v>2.0138888888888901E-2</v>
      </c>
      <c r="X1491" s="74">
        <v>0.24722222222222223</v>
      </c>
      <c r="Y1491" s="75">
        <v>5.5555555555555636E-3</v>
      </c>
      <c r="Z1491" s="76">
        <v>41743</v>
      </c>
      <c r="AA1491" s="36" t="str">
        <f t="shared" si="466"/>
        <v>Internacional</v>
      </c>
      <c r="AB1491" s="36">
        <f t="shared" si="466"/>
        <v>1.395833333333334E-2</v>
      </c>
      <c r="AC1491" s="36">
        <f t="shared" si="466"/>
        <v>1.4548611111111106E-2</v>
      </c>
      <c r="AD1491" s="36">
        <f t="shared" si="466"/>
        <v>2.8506944444444446E-2</v>
      </c>
      <c r="AE1491" s="36">
        <f t="shared" si="466"/>
        <v>320</v>
      </c>
      <c r="AF1491" s="36">
        <f t="shared" si="466"/>
        <v>179</v>
      </c>
      <c r="AG1491" s="36" t="str">
        <f t="shared" si="466"/>
        <v>SFO</v>
      </c>
    </row>
    <row r="1492" spans="18:33" x14ac:dyDescent="0.25">
      <c r="R1492">
        <v>1478</v>
      </c>
      <c r="S1492" s="36" t="str">
        <f t="shared" si="468"/>
        <v>UNIDOS VOLAMOS AIRLINES</v>
      </c>
      <c r="T1492" s="36">
        <f t="shared" si="467"/>
        <v>480</v>
      </c>
      <c r="U1492" s="73">
        <v>0.22013888888888888</v>
      </c>
      <c r="V1492" s="74">
        <v>0.2388888888888889</v>
      </c>
      <c r="W1492" s="75">
        <v>1.8750000000000017E-2</v>
      </c>
      <c r="X1492" s="74">
        <v>0.25555555555555559</v>
      </c>
      <c r="Y1492" s="75">
        <v>1.6666666666666691E-2</v>
      </c>
      <c r="Z1492" s="76">
        <v>41745</v>
      </c>
      <c r="AA1492" s="36" t="str">
        <f t="shared" si="466"/>
        <v>Internacional</v>
      </c>
      <c r="AB1492" s="36">
        <f t="shared" si="466"/>
        <v>1.395833333333334E-2</v>
      </c>
      <c r="AC1492" s="36">
        <f t="shared" si="466"/>
        <v>1.4548611111111106E-2</v>
      </c>
      <c r="AD1492" s="36">
        <f t="shared" si="466"/>
        <v>2.8506944444444446E-2</v>
      </c>
      <c r="AE1492" s="36">
        <f t="shared" si="466"/>
        <v>320</v>
      </c>
      <c r="AF1492" s="36">
        <f t="shared" si="466"/>
        <v>179</v>
      </c>
      <c r="AG1492" s="36" t="str">
        <f t="shared" si="466"/>
        <v>SFO</v>
      </c>
    </row>
    <row r="1493" spans="18:33" x14ac:dyDescent="0.25">
      <c r="R1493">
        <v>1479</v>
      </c>
      <c r="S1493" s="36" t="str">
        <f t="shared" si="468"/>
        <v>UNIDOS VOLAMOS AIRLINES</v>
      </c>
      <c r="T1493" s="36">
        <f t="shared" si="467"/>
        <v>480</v>
      </c>
      <c r="U1493" s="73">
        <v>0.20833333333333334</v>
      </c>
      <c r="V1493" s="74">
        <v>0.21875</v>
      </c>
      <c r="W1493" s="75">
        <v>1.0416666666666657E-2</v>
      </c>
      <c r="X1493" s="74">
        <v>0.23055555555555554</v>
      </c>
      <c r="Y1493" s="75">
        <v>1.1805555555555541E-2</v>
      </c>
      <c r="Z1493" s="76">
        <v>41745</v>
      </c>
      <c r="AA1493" s="36" t="str">
        <f t="shared" si="466"/>
        <v>Internacional</v>
      </c>
      <c r="AB1493" s="36">
        <f t="shared" si="466"/>
        <v>1.395833333333334E-2</v>
      </c>
      <c r="AC1493" s="36">
        <f t="shared" si="466"/>
        <v>1.4548611111111106E-2</v>
      </c>
      <c r="AD1493" s="36">
        <f t="shared" si="466"/>
        <v>2.8506944444444446E-2</v>
      </c>
      <c r="AE1493" s="36">
        <f t="shared" si="466"/>
        <v>320</v>
      </c>
      <c r="AF1493" s="36">
        <f t="shared" si="466"/>
        <v>179</v>
      </c>
      <c r="AG1493" s="36" t="str">
        <f t="shared" si="466"/>
        <v>SFO</v>
      </c>
    </row>
    <row r="1494" spans="18:33" x14ac:dyDescent="0.25">
      <c r="R1494">
        <v>1480</v>
      </c>
      <c r="S1494" s="36" t="str">
        <f t="shared" si="468"/>
        <v>UNIDOS VOLAMOS AIRLINES</v>
      </c>
      <c r="T1494" s="36">
        <f t="shared" si="467"/>
        <v>480</v>
      </c>
      <c r="U1494" s="73">
        <v>0.22569444444444445</v>
      </c>
      <c r="V1494" s="74">
        <v>0.23124999999999998</v>
      </c>
      <c r="W1494" s="75">
        <v>5.5555555555555358E-3</v>
      </c>
      <c r="X1494" s="74">
        <v>0.25486111111111109</v>
      </c>
      <c r="Y1494" s="75">
        <v>2.361111111111111E-2</v>
      </c>
      <c r="Z1494" s="76">
        <v>41746</v>
      </c>
      <c r="AA1494" s="36" t="str">
        <f t="shared" si="466"/>
        <v>Internacional</v>
      </c>
      <c r="AB1494" s="36">
        <f t="shared" si="466"/>
        <v>1.395833333333334E-2</v>
      </c>
      <c r="AC1494" s="36">
        <f t="shared" si="466"/>
        <v>1.4548611111111106E-2</v>
      </c>
      <c r="AD1494" s="36">
        <f t="shared" si="466"/>
        <v>2.8506944444444446E-2</v>
      </c>
      <c r="AE1494" s="36">
        <f t="shared" si="466"/>
        <v>320</v>
      </c>
      <c r="AF1494" s="36">
        <f t="shared" si="466"/>
        <v>179</v>
      </c>
      <c r="AG1494" s="36" t="str">
        <f t="shared" si="466"/>
        <v>SFO</v>
      </c>
    </row>
    <row r="1495" spans="18:33" x14ac:dyDescent="0.25">
      <c r="R1495">
        <v>1481</v>
      </c>
      <c r="S1495" s="36" t="str">
        <f t="shared" si="468"/>
        <v>UNIDOS VOLAMOS AIRLINES</v>
      </c>
      <c r="T1495" s="36">
        <f t="shared" si="467"/>
        <v>480</v>
      </c>
      <c r="U1495" s="73">
        <v>0.23402777777777781</v>
      </c>
      <c r="V1495" s="74">
        <v>0.25347222222222221</v>
      </c>
      <c r="W1495" s="75">
        <v>1.9444444444444403E-2</v>
      </c>
      <c r="X1495" s="74">
        <v>0.27361111111111108</v>
      </c>
      <c r="Y1495" s="75">
        <v>2.0138888888888873E-2</v>
      </c>
      <c r="Z1495" s="76">
        <v>41747</v>
      </c>
      <c r="AA1495" s="36" t="str">
        <f t="shared" si="466"/>
        <v>Internacional</v>
      </c>
      <c r="AB1495" s="36">
        <f t="shared" si="466"/>
        <v>1.395833333333334E-2</v>
      </c>
      <c r="AC1495" s="36">
        <f t="shared" si="466"/>
        <v>1.4548611111111106E-2</v>
      </c>
      <c r="AD1495" s="36">
        <f t="shared" si="466"/>
        <v>2.8506944444444446E-2</v>
      </c>
      <c r="AE1495" s="36">
        <f t="shared" si="466"/>
        <v>320</v>
      </c>
      <c r="AF1495" s="36">
        <f t="shared" si="466"/>
        <v>179</v>
      </c>
      <c r="AG1495" s="36" t="str">
        <f t="shared" si="466"/>
        <v>SFO</v>
      </c>
    </row>
    <row r="1496" spans="18:33" x14ac:dyDescent="0.25">
      <c r="R1496">
        <v>1482</v>
      </c>
      <c r="S1496" s="36" t="str">
        <f t="shared" si="468"/>
        <v>UNIDOS VOLAMOS AIRLINES</v>
      </c>
      <c r="T1496" s="36">
        <f t="shared" si="467"/>
        <v>480</v>
      </c>
      <c r="U1496" s="73">
        <v>0.22708333333333333</v>
      </c>
      <c r="V1496" s="74">
        <v>0.24861111111111112</v>
      </c>
      <c r="W1496" s="75">
        <v>2.1527777777777785E-2</v>
      </c>
      <c r="X1496" s="74">
        <v>0.26597222222222222</v>
      </c>
      <c r="Y1496" s="75">
        <v>1.7361111111111105E-2</v>
      </c>
      <c r="Z1496" s="76">
        <v>41752</v>
      </c>
      <c r="AA1496" s="36" t="str">
        <f t="shared" si="466"/>
        <v>Internacional</v>
      </c>
      <c r="AB1496" s="36">
        <f t="shared" si="466"/>
        <v>1.395833333333334E-2</v>
      </c>
      <c r="AC1496" s="36">
        <f t="shared" si="466"/>
        <v>1.4548611111111106E-2</v>
      </c>
      <c r="AD1496" s="36">
        <f t="shared" si="466"/>
        <v>2.8506944444444446E-2</v>
      </c>
      <c r="AE1496" s="36">
        <f t="shared" si="466"/>
        <v>320</v>
      </c>
      <c r="AF1496" s="36">
        <f t="shared" si="466"/>
        <v>179</v>
      </c>
      <c r="AG1496" s="36" t="str">
        <f t="shared" si="466"/>
        <v>SFO</v>
      </c>
    </row>
    <row r="1497" spans="18:33" x14ac:dyDescent="0.25">
      <c r="R1497">
        <v>1483</v>
      </c>
      <c r="S1497" s="36" t="str">
        <f t="shared" si="468"/>
        <v>UNIDOS VOLAMOS AIRLINES</v>
      </c>
      <c r="T1497" s="36">
        <f t="shared" si="467"/>
        <v>480</v>
      </c>
      <c r="U1497" s="73">
        <v>0.22638888888888889</v>
      </c>
      <c r="V1497" s="74">
        <v>0.25</v>
      </c>
      <c r="W1497" s="75">
        <v>2.361111111111111E-2</v>
      </c>
      <c r="X1497" s="74">
        <v>0.26666666666666666</v>
      </c>
      <c r="Y1497" s="75">
        <v>1.6666666666666663E-2</v>
      </c>
      <c r="Z1497" s="76">
        <v>41752</v>
      </c>
      <c r="AA1497" s="36" t="str">
        <f t="shared" si="466"/>
        <v>Internacional</v>
      </c>
      <c r="AB1497" s="36">
        <f t="shared" si="466"/>
        <v>1.395833333333334E-2</v>
      </c>
      <c r="AC1497" s="36">
        <f t="shared" si="466"/>
        <v>1.4548611111111106E-2</v>
      </c>
      <c r="AD1497" s="36">
        <f t="shared" si="466"/>
        <v>2.8506944444444446E-2</v>
      </c>
      <c r="AE1497" s="36">
        <f t="shared" si="466"/>
        <v>320</v>
      </c>
      <c r="AF1497" s="36">
        <f t="shared" si="466"/>
        <v>179</v>
      </c>
      <c r="AG1497" s="36" t="str">
        <f t="shared" si="466"/>
        <v>SFO</v>
      </c>
    </row>
    <row r="1498" spans="18:33" x14ac:dyDescent="0.25">
      <c r="R1498">
        <v>1484</v>
      </c>
      <c r="S1498" s="36" t="str">
        <f t="shared" si="468"/>
        <v>UNIDOS VOLAMOS AIRLINES</v>
      </c>
      <c r="T1498" s="36">
        <f t="shared" si="467"/>
        <v>480</v>
      </c>
      <c r="U1498" s="73">
        <v>0.22708333333333333</v>
      </c>
      <c r="V1498" s="74">
        <v>0.23263888888888887</v>
      </c>
      <c r="W1498" s="75">
        <v>5.5555555555555358E-3</v>
      </c>
      <c r="X1498" s="74">
        <v>0.23819444444444446</v>
      </c>
      <c r="Y1498" s="75">
        <v>5.5555555555555913E-3</v>
      </c>
      <c r="Z1498" s="76">
        <v>41754</v>
      </c>
      <c r="AA1498" s="36" t="str">
        <f t="shared" si="466"/>
        <v>Internacional</v>
      </c>
      <c r="AB1498" s="36">
        <f t="shared" si="466"/>
        <v>1.395833333333334E-2</v>
      </c>
      <c r="AC1498" s="36">
        <f t="shared" si="466"/>
        <v>1.4548611111111106E-2</v>
      </c>
      <c r="AD1498" s="36">
        <f t="shared" si="466"/>
        <v>2.8506944444444446E-2</v>
      </c>
      <c r="AE1498" s="36">
        <f t="shared" si="466"/>
        <v>320</v>
      </c>
      <c r="AF1498" s="36">
        <f t="shared" si="466"/>
        <v>179</v>
      </c>
      <c r="AG1498" s="36" t="str">
        <f t="shared" si="466"/>
        <v>SFO</v>
      </c>
    </row>
    <row r="1499" spans="18:33" x14ac:dyDescent="0.25">
      <c r="R1499">
        <v>1485</v>
      </c>
      <c r="S1499" s="36" t="str">
        <f t="shared" si="468"/>
        <v>UNIDOS VOLAMOS AIRLINES</v>
      </c>
      <c r="T1499" s="36">
        <f t="shared" si="467"/>
        <v>480</v>
      </c>
      <c r="U1499" s="73">
        <v>0.22500000000000001</v>
      </c>
      <c r="V1499" s="74">
        <v>0.23819444444444446</v>
      </c>
      <c r="W1499" s="75">
        <v>1.3194444444444453E-2</v>
      </c>
      <c r="X1499" s="74">
        <v>0.26041666666666669</v>
      </c>
      <c r="Y1499" s="75">
        <v>2.2222222222222227E-2</v>
      </c>
      <c r="Z1499" s="76">
        <v>41756</v>
      </c>
      <c r="AA1499" s="36" t="str">
        <f t="shared" si="466"/>
        <v>Internacional</v>
      </c>
      <c r="AB1499" s="36">
        <f t="shared" si="466"/>
        <v>1.395833333333334E-2</v>
      </c>
      <c r="AC1499" s="36">
        <f t="shared" si="466"/>
        <v>1.4548611111111106E-2</v>
      </c>
      <c r="AD1499" s="36">
        <f t="shared" si="466"/>
        <v>2.8506944444444446E-2</v>
      </c>
      <c r="AE1499" s="36">
        <f t="shared" si="466"/>
        <v>320</v>
      </c>
      <c r="AF1499" s="36">
        <f t="shared" si="466"/>
        <v>179</v>
      </c>
      <c r="AG1499" s="36" t="str">
        <f t="shared" si="466"/>
        <v>SFO</v>
      </c>
    </row>
    <row r="1500" spans="18:33" x14ac:dyDescent="0.25">
      <c r="R1500">
        <v>1486</v>
      </c>
      <c r="S1500" s="36" t="str">
        <f t="shared" si="468"/>
        <v>UNIDOS VOLAMOS AIRLINES</v>
      </c>
      <c r="T1500" s="36">
        <f t="shared" si="467"/>
        <v>480</v>
      </c>
      <c r="U1500" s="73">
        <v>0.24583333333333335</v>
      </c>
      <c r="V1500" s="74">
        <v>0.25763888888888892</v>
      </c>
      <c r="W1500" s="75">
        <v>1.1805555555555569E-2</v>
      </c>
      <c r="X1500" s="74">
        <v>0.27083333333333331</v>
      </c>
      <c r="Y1500" s="75">
        <v>1.3194444444444398E-2</v>
      </c>
      <c r="Z1500" s="76">
        <v>41757</v>
      </c>
      <c r="AA1500" s="36" t="str">
        <f t="shared" si="466"/>
        <v>Internacional</v>
      </c>
      <c r="AB1500" s="36">
        <f t="shared" si="466"/>
        <v>1.395833333333334E-2</v>
      </c>
      <c r="AC1500" s="36">
        <f t="shared" si="466"/>
        <v>1.4548611111111106E-2</v>
      </c>
      <c r="AD1500" s="36">
        <f t="shared" si="466"/>
        <v>2.8506944444444446E-2</v>
      </c>
      <c r="AE1500" s="36">
        <f t="shared" si="466"/>
        <v>320</v>
      </c>
      <c r="AF1500" s="36">
        <f t="shared" si="466"/>
        <v>179</v>
      </c>
      <c r="AG1500" s="36" t="str">
        <f t="shared" si="466"/>
        <v>SFO</v>
      </c>
    </row>
    <row r="1501" spans="18:33" ht="15.75" thickBot="1" x14ac:dyDescent="0.3">
      <c r="R1501">
        <v>1487</v>
      </c>
      <c r="S1501" s="36" t="str">
        <f t="shared" si="468"/>
        <v>UNIDOS VOLAMOS AIRLINES</v>
      </c>
      <c r="T1501" s="36">
        <f t="shared" si="467"/>
        <v>480</v>
      </c>
      <c r="U1501" s="83">
        <v>0.23611111111111113</v>
      </c>
      <c r="V1501" s="84">
        <v>0.25069444444444444</v>
      </c>
      <c r="W1501" s="85">
        <v>1.4583333333333309E-2</v>
      </c>
      <c r="X1501" s="84">
        <v>0.27083333333333331</v>
      </c>
      <c r="Y1501" s="85">
        <v>2.0138888888888873E-2</v>
      </c>
      <c r="Z1501" s="86">
        <v>41759</v>
      </c>
      <c r="AA1501" s="36" t="str">
        <f t="shared" si="466"/>
        <v>Internacional</v>
      </c>
      <c r="AB1501" s="36">
        <f t="shared" si="466"/>
        <v>1.395833333333334E-2</v>
      </c>
      <c r="AC1501" s="36">
        <f t="shared" si="466"/>
        <v>1.4548611111111106E-2</v>
      </c>
      <c r="AD1501" s="36">
        <f t="shared" si="466"/>
        <v>2.8506944444444446E-2</v>
      </c>
      <c r="AE1501" s="36">
        <f t="shared" si="466"/>
        <v>320</v>
      </c>
      <c r="AF1501" s="36">
        <f t="shared" si="466"/>
        <v>179</v>
      </c>
      <c r="AG1501" s="36" t="str">
        <f t="shared" si="466"/>
        <v>SFO</v>
      </c>
    </row>
    <row r="1502" spans="18:33" x14ac:dyDescent="0.25">
      <c r="R1502">
        <v>1488</v>
      </c>
      <c r="S1502" s="36" t="str">
        <f t="shared" si="468"/>
        <v>UNIDOS VOLAMOS AIRLINES</v>
      </c>
      <c r="T1502" s="55">
        <v>1590</v>
      </c>
      <c r="U1502" s="56">
        <v>0.22500000000000001</v>
      </c>
      <c r="V1502" s="57">
        <v>0.24097222222222223</v>
      </c>
      <c r="W1502" s="58">
        <v>1.5972222222222221E-2</v>
      </c>
      <c r="X1502" s="57">
        <v>0.25347222222222221</v>
      </c>
      <c r="Y1502" s="58">
        <v>1.2499999999999983E-2</v>
      </c>
      <c r="Z1502" s="59">
        <v>41734</v>
      </c>
      <c r="AA1502" s="60" t="s">
        <v>22</v>
      </c>
      <c r="AB1502" s="61">
        <v>1.8055555555555561E-2</v>
      </c>
      <c r="AC1502" s="61">
        <v>1.354166666666666E-2</v>
      </c>
      <c r="AD1502" s="231">
        <v>3.1597222222222221E-2</v>
      </c>
      <c r="AE1502" s="132" t="s">
        <v>45</v>
      </c>
      <c r="AF1502" s="132">
        <v>126</v>
      </c>
      <c r="AG1502" s="132" t="s">
        <v>43</v>
      </c>
    </row>
    <row r="1503" spans="18:33" ht="15.75" thickBot="1" x14ac:dyDescent="0.3">
      <c r="R1503">
        <v>1489</v>
      </c>
      <c r="S1503" s="36" t="str">
        <f t="shared" si="468"/>
        <v>UNIDOS VOLAMOS AIRLINES</v>
      </c>
      <c r="T1503" s="36">
        <f>T1502</f>
        <v>1590</v>
      </c>
      <c r="U1503" s="83">
        <v>0.22708333333333333</v>
      </c>
      <c r="V1503" s="84">
        <v>0.24722222222222223</v>
      </c>
      <c r="W1503" s="85">
        <v>2.0138888888888901E-2</v>
      </c>
      <c r="X1503" s="84">
        <v>0.26180555555555557</v>
      </c>
      <c r="Y1503" s="85">
        <v>1.4583333333333337E-2</v>
      </c>
      <c r="Z1503" s="86">
        <v>41755</v>
      </c>
      <c r="AA1503" s="36" t="str">
        <f t="shared" ref="AA1503:AG1503" si="469">AA1502</f>
        <v>Internacional</v>
      </c>
      <c r="AB1503" s="36">
        <f t="shared" si="469"/>
        <v>1.8055555555555561E-2</v>
      </c>
      <c r="AC1503" s="36">
        <f t="shared" si="469"/>
        <v>1.354166666666666E-2</v>
      </c>
      <c r="AD1503" s="36">
        <f t="shared" si="469"/>
        <v>3.1597222222222221E-2</v>
      </c>
      <c r="AE1503" s="36" t="str">
        <f t="shared" si="469"/>
        <v>B737-700</v>
      </c>
      <c r="AF1503" s="36">
        <f t="shared" si="469"/>
        <v>126</v>
      </c>
      <c r="AG1503" s="36" t="str">
        <f t="shared" si="469"/>
        <v>SFO</v>
      </c>
    </row>
    <row r="1504" spans="18:33" x14ac:dyDescent="0.25">
      <c r="R1504">
        <v>1490</v>
      </c>
      <c r="S1504" s="36" t="str">
        <f t="shared" si="468"/>
        <v>UNIDOS VOLAMOS AIRLINES</v>
      </c>
      <c r="T1504" s="55">
        <v>4211</v>
      </c>
      <c r="U1504" s="56">
        <v>0.96527777777777779</v>
      </c>
      <c r="V1504" s="57">
        <v>0.97361111111111109</v>
      </c>
      <c r="W1504" s="58">
        <v>8.3333333333333037E-3</v>
      </c>
      <c r="X1504" s="57">
        <v>0.97916666666666663</v>
      </c>
      <c r="Y1504" s="58">
        <v>5.5555555555555358E-3</v>
      </c>
      <c r="Z1504" s="59">
        <v>41730</v>
      </c>
      <c r="AA1504" s="60" t="s">
        <v>22</v>
      </c>
      <c r="AB1504" s="61">
        <v>8.8768115942028953E-3</v>
      </c>
      <c r="AC1504" s="61">
        <v>9.5712560386473581E-3</v>
      </c>
      <c r="AD1504" s="231">
        <v>1.8448067632850253E-2</v>
      </c>
      <c r="AE1504" s="132" t="s">
        <v>20</v>
      </c>
      <c r="AF1504" s="132">
        <v>50</v>
      </c>
      <c r="AG1504" s="132" t="s">
        <v>96</v>
      </c>
    </row>
    <row r="1505" spans="18:33" x14ac:dyDescent="0.25">
      <c r="R1505">
        <v>1491</v>
      </c>
      <c r="S1505" s="36" t="str">
        <f t="shared" si="468"/>
        <v>UNIDOS VOLAMOS AIRLINES</v>
      </c>
      <c r="T1505" s="36">
        <f t="shared" si="468"/>
        <v>4211</v>
      </c>
      <c r="U1505" s="73">
        <v>0.86111111111111116</v>
      </c>
      <c r="V1505" s="74">
        <v>0.87222222222222223</v>
      </c>
      <c r="W1505" s="75">
        <v>1.1111111111111072E-2</v>
      </c>
      <c r="X1505" s="74">
        <v>0.8847222222222223</v>
      </c>
      <c r="Y1505" s="75">
        <v>1.2500000000000067E-2</v>
      </c>
      <c r="Z1505" s="76">
        <v>41731</v>
      </c>
      <c r="AA1505" s="36" t="str">
        <f t="shared" ref="AA1505:AG1526" si="470">AA1504</f>
        <v>Internacional</v>
      </c>
      <c r="AB1505" s="36">
        <f t="shared" si="470"/>
        <v>8.8768115942028953E-3</v>
      </c>
      <c r="AC1505" s="36">
        <f t="shared" si="470"/>
        <v>9.5712560386473581E-3</v>
      </c>
      <c r="AD1505" s="36">
        <f t="shared" si="470"/>
        <v>1.8448067632850253E-2</v>
      </c>
      <c r="AE1505" s="36" t="str">
        <f t="shared" si="470"/>
        <v>ER4</v>
      </c>
      <c r="AF1505" s="36">
        <f t="shared" si="470"/>
        <v>50</v>
      </c>
      <c r="AG1505" s="36" t="str">
        <f t="shared" si="470"/>
        <v>AIH</v>
      </c>
    </row>
    <row r="1506" spans="18:33" x14ac:dyDescent="0.25">
      <c r="R1506">
        <v>1492</v>
      </c>
      <c r="S1506" s="36" t="str">
        <f t="shared" si="468"/>
        <v>UNIDOS VOLAMOS AIRLINES</v>
      </c>
      <c r="T1506" s="36">
        <f t="shared" si="468"/>
        <v>4211</v>
      </c>
      <c r="U1506" s="73">
        <v>0.96736111111111101</v>
      </c>
      <c r="V1506" s="74">
        <v>0.9770833333333333</v>
      </c>
      <c r="W1506" s="75">
        <v>9.7222222222222987E-3</v>
      </c>
      <c r="X1506" s="74">
        <v>0.98402777777777783</v>
      </c>
      <c r="Y1506" s="75">
        <v>6.9444444444445308E-3</v>
      </c>
      <c r="Z1506" s="76">
        <v>41732</v>
      </c>
      <c r="AA1506" s="36" t="str">
        <f t="shared" si="470"/>
        <v>Internacional</v>
      </c>
      <c r="AB1506" s="36">
        <f t="shared" si="470"/>
        <v>8.8768115942028953E-3</v>
      </c>
      <c r="AC1506" s="36">
        <f t="shared" si="470"/>
        <v>9.5712560386473581E-3</v>
      </c>
      <c r="AD1506" s="36">
        <f t="shared" si="470"/>
        <v>1.8448067632850253E-2</v>
      </c>
      <c r="AE1506" s="36" t="str">
        <f t="shared" si="470"/>
        <v>ER4</v>
      </c>
      <c r="AF1506" s="36">
        <f t="shared" si="470"/>
        <v>50</v>
      </c>
      <c r="AG1506" s="36" t="str">
        <f t="shared" si="470"/>
        <v>AIH</v>
      </c>
    </row>
    <row r="1507" spans="18:33" x14ac:dyDescent="0.25">
      <c r="R1507">
        <v>1493</v>
      </c>
      <c r="S1507" s="36" t="str">
        <f t="shared" si="468"/>
        <v>UNIDOS VOLAMOS AIRLINES</v>
      </c>
      <c r="T1507" s="36">
        <f t="shared" si="468"/>
        <v>4211</v>
      </c>
      <c r="U1507" s="73">
        <v>0.94861111111111107</v>
      </c>
      <c r="V1507" s="74">
        <v>0.9555555555555556</v>
      </c>
      <c r="W1507" s="75">
        <v>6.9444444444445308E-3</v>
      </c>
      <c r="X1507" s="74">
        <v>0.96875</v>
      </c>
      <c r="Y1507" s="75">
        <v>1.3194444444444398E-2</v>
      </c>
      <c r="Z1507" s="76">
        <v>41734</v>
      </c>
      <c r="AA1507" s="36" t="str">
        <f t="shared" si="470"/>
        <v>Internacional</v>
      </c>
      <c r="AB1507" s="36">
        <f t="shared" si="470"/>
        <v>8.8768115942028953E-3</v>
      </c>
      <c r="AC1507" s="36">
        <f t="shared" si="470"/>
        <v>9.5712560386473581E-3</v>
      </c>
      <c r="AD1507" s="36">
        <f t="shared" si="470"/>
        <v>1.8448067632850253E-2</v>
      </c>
      <c r="AE1507" s="36" t="str">
        <f t="shared" si="470"/>
        <v>ER4</v>
      </c>
      <c r="AF1507" s="36">
        <f t="shared" si="470"/>
        <v>50</v>
      </c>
      <c r="AG1507" s="36" t="str">
        <f t="shared" si="470"/>
        <v>AIH</v>
      </c>
    </row>
    <row r="1508" spans="18:33" x14ac:dyDescent="0.25">
      <c r="R1508">
        <v>1494</v>
      </c>
      <c r="S1508" s="36" t="str">
        <f t="shared" si="468"/>
        <v>UNIDOS VOLAMOS AIRLINES</v>
      </c>
      <c r="T1508" s="36">
        <f t="shared" si="468"/>
        <v>4211</v>
      </c>
      <c r="U1508" s="73">
        <v>0.95000000000000007</v>
      </c>
      <c r="V1508" s="74">
        <v>0.9590277777777777</v>
      </c>
      <c r="W1508" s="75">
        <v>9.0277777777776347E-3</v>
      </c>
      <c r="X1508" s="74">
        <v>0.96944444444444444</v>
      </c>
      <c r="Y1508" s="75">
        <v>1.0416666666666741E-2</v>
      </c>
      <c r="Z1508" s="76">
        <v>41733</v>
      </c>
      <c r="AA1508" s="36" t="str">
        <f t="shared" si="470"/>
        <v>Internacional</v>
      </c>
      <c r="AB1508" s="36">
        <f t="shared" si="470"/>
        <v>8.8768115942028953E-3</v>
      </c>
      <c r="AC1508" s="36">
        <f t="shared" si="470"/>
        <v>9.5712560386473581E-3</v>
      </c>
      <c r="AD1508" s="36">
        <f t="shared" si="470"/>
        <v>1.8448067632850253E-2</v>
      </c>
      <c r="AE1508" s="36" t="str">
        <f t="shared" si="470"/>
        <v>ER4</v>
      </c>
      <c r="AF1508" s="36">
        <f t="shared" si="470"/>
        <v>50</v>
      </c>
      <c r="AG1508" s="36" t="str">
        <f t="shared" si="470"/>
        <v>AIH</v>
      </c>
    </row>
    <row r="1509" spans="18:33" x14ac:dyDescent="0.25">
      <c r="R1509">
        <v>1495</v>
      </c>
      <c r="S1509" s="36" t="str">
        <f t="shared" si="468"/>
        <v>UNIDOS VOLAMOS AIRLINES</v>
      </c>
      <c r="T1509" s="36">
        <f t="shared" si="468"/>
        <v>4211</v>
      </c>
      <c r="U1509" s="73">
        <v>1.0027777777777778</v>
      </c>
      <c r="V1509" s="74">
        <v>1.0125</v>
      </c>
      <c r="W1509" s="75">
        <v>9.7222222222221877E-3</v>
      </c>
      <c r="X1509" s="74">
        <v>1.0180555555555555</v>
      </c>
      <c r="Y1509" s="75">
        <v>5.5555555555555358E-3</v>
      </c>
      <c r="Z1509" s="76">
        <v>41736</v>
      </c>
      <c r="AA1509" s="36" t="str">
        <f t="shared" si="470"/>
        <v>Internacional</v>
      </c>
      <c r="AB1509" s="36">
        <f t="shared" si="470"/>
        <v>8.8768115942028953E-3</v>
      </c>
      <c r="AC1509" s="36">
        <f t="shared" si="470"/>
        <v>9.5712560386473581E-3</v>
      </c>
      <c r="AD1509" s="36">
        <f t="shared" si="470"/>
        <v>1.8448067632850253E-2</v>
      </c>
      <c r="AE1509" s="36" t="str">
        <f t="shared" si="470"/>
        <v>ER4</v>
      </c>
      <c r="AF1509" s="36">
        <f t="shared" si="470"/>
        <v>50</v>
      </c>
      <c r="AG1509" s="36" t="str">
        <f t="shared" si="470"/>
        <v>AIH</v>
      </c>
    </row>
    <row r="1510" spans="18:33" x14ac:dyDescent="0.25">
      <c r="R1510">
        <v>1496</v>
      </c>
      <c r="S1510" s="36" t="str">
        <f t="shared" si="468"/>
        <v>UNIDOS VOLAMOS AIRLINES</v>
      </c>
      <c r="T1510" s="36">
        <f t="shared" si="468"/>
        <v>4211</v>
      </c>
      <c r="U1510" s="73">
        <v>1.0069444444444444</v>
      </c>
      <c r="V1510" s="74">
        <v>1.0138888888888888</v>
      </c>
      <c r="W1510" s="75">
        <v>6.9444444444444198E-3</v>
      </c>
      <c r="X1510" s="74">
        <v>1.0201388888888889</v>
      </c>
      <c r="Y1510" s="75">
        <v>6.2500000000000888E-3</v>
      </c>
      <c r="Z1510" s="76">
        <v>41737</v>
      </c>
      <c r="AA1510" s="36" t="str">
        <f t="shared" si="470"/>
        <v>Internacional</v>
      </c>
      <c r="AB1510" s="36">
        <f t="shared" si="470"/>
        <v>8.8768115942028953E-3</v>
      </c>
      <c r="AC1510" s="36">
        <f t="shared" si="470"/>
        <v>9.5712560386473581E-3</v>
      </c>
      <c r="AD1510" s="36">
        <f t="shared" si="470"/>
        <v>1.8448067632850253E-2</v>
      </c>
      <c r="AE1510" s="36" t="str">
        <f t="shared" si="470"/>
        <v>ER4</v>
      </c>
      <c r="AF1510" s="36">
        <f t="shared" si="470"/>
        <v>50</v>
      </c>
      <c r="AG1510" s="36" t="str">
        <f t="shared" si="470"/>
        <v>AIH</v>
      </c>
    </row>
    <row r="1511" spans="18:33" x14ac:dyDescent="0.25">
      <c r="R1511">
        <v>1497</v>
      </c>
      <c r="S1511" s="36" t="str">
        <f t="shared" si="468"/>
        <v>UNIDOS VOLAMOS AIRLINES</v>
      </c>
      <c r="T1511" s="36">
        <f t="shared" si="468"/>
        <v>4211</v>
      </c>
      <c r="U1511" s="73">
        <v>0.98541666666666661</v>
      </c>
      <c r="V1511" s="74">
        <v>0.99652777777777779</v>
      </c>
      <c r="W1511" s="75">
        <v>1.1111111111111183E-2</v>
      </c>
      <c r="X1511" s="74">
        <v>1.0083333333333333</v>
      </c>
      <c r="Y1511" s="75">
        <v>1.1805555555555514E-2</v>
      </c>
      <c r="Z1511" s="76">
        <v>41738</v>
      </c>
      <c r="AA1511" s="36" t="str">
        <f t="shared" si="470"/>
        <v>Internacional</v>
      </c>
      <c r="AB1511" s="36">
        <f t="shared" si="470"/>
        <v>8.8768115942028953E-3</v>
      </c>
      <c r="AC1511" s="36">
        <f t="shared" si="470"/>
        <v>9.5712560386473581E-3</v>
      </c>
      <c r="AD1511" s="36">
        <f t="shared" si="470"/>
        <v>1.8448067632850253E-2</v>
      </c>
      <c r="AE1511" s="36" t="str">
        <f t="shared" si="470"/>
        <v>ER4</v>
      </c>
      <c r="AF1511" s="36">
        <f t="shared" si="470"/>
        <v>50</v>
      </c>
      <c r="AG1511" s="36" t="str">
        <f t="shared" si="470"/>
        <v>AIH</v>
      </c>
    </row>
    <row r="1512" spans="18:33" x14ac:dyDescent="0.25">
      <c r="R1512">
        <v>1498</v>
      </c>
      <c r="S1512" s="36" t="str">
        <f t="shared" si="468"/>
        <v>UNIDOS VOLAMOS AIRLINES</v>
      </c>
      <c r="T1512" s="36">
        <f t="shared" si="468"/>
        <v>4211</v>
      </c>
      <c r="U1512" s="73">
        <v>0.9868055555555556</v>
      </c>
      <c r="V1512" s="74">
        <v>0.99444444444444446</v>
      </c>
      <c r="W1512" s="75">
        <v>7.6388888888888618E-3</v>
      </c>
      <c r="X1512" s="74">
        <v>1.0006944444444443</v>
      </c>
      <c r="Y1512" s="75">
        <v>6.2499999999998668E-3</v>
      </c>
      <c r="Z1512" s="76">
        <v>41739</v>
      </c>
      <c r="AA1512" s="36" t="str">
        <f t="shared" si="470"/>
        <v>Internacional</v>
      </c>
      <c r="AB1512" s="36">
        <f t="shared" si="470"/>
        <v>8.8768115942028953E-3</v>
      </c>
      <c r="AC1512" s="36">
        <f t="shared" si="470"/>
        <v>9.5712560386473581E-3</v>
      </c>
      <c r="AD1512" s="36">
        <f t="shared" si="470"/>
        <v>1.8448067632850253E-2</v>
      </c>
      <c r="AE1512" s="36" t="str">
        <f t="shared" si="470"/>
        <v>ER4</v>
      </c>
      <c r="AF1512" s="36">
        <f t="shared" si="470"/>
        <v>50</v>
      </c>
      <c r="AG1512" s="36" t="str">
        <f t="shared" si="470"/>
        <v>AIH</v>
      </c>
    </row>
    <row r="1513" spans="18:33" x14ac:dyDescent="0.25">
      <c r="R1513">
        <v>1499</v>
      </c>
      <c r="S1513" s="36" t="str">
        <f t="shared" si="468"/>
        <v>UNIDOS VOLAMOS AIRLINES</v>
      </c>
      <c r="T1513" s="36">
        <f t="shared" si="468"/>
        <v>4211</v>
      </c>
      <c r="U1513" s="73">
        <v>0.99375000000000002</v>
      </c>
      <c r="V1513" s="74">
        <v>1.0020833333333334</v>
      </c>
      <c r="W1513" s="75">
        <v>8.3333333333334147E-3</v>
      </c>
      <c r="X1513" s="74">
        <v>1.0173611111111112</v>
      </c>
      <c r="Y1513" s="75">
        <v>1.5277777777777724E-2</v>
      </c>
      <c r="Z1513" s="76">
        <v>41740</v>
      </c>
      <c r="AA1513" s="36" t="str">
        <f t="shared" si="470"/>
        <v>Internacional</v>
      </c>
      <c r="AB1513" s="36">
        <f t="shared" si="470"/>
        <v>8.8768115942028953E-3</v>
      </c>
      <c r="AC1513" s="36">
        <f t="shared" si="470"/>
        <v>9.5712560386473581E-3</v>
      </c>
      <c r="AD1513" s="36">
        <f t="shared" si="470"/>
        <v>1.8448067632850253E-2</v>
      </c>
      <c r="AE1513" s="36" t="str">
        <f t="shared" si="470"/>
        <v>ER4</v>
      </c>
      <c r="AF1513" s="36">
        <f t="shared" si="470"/>
        <v>50</v>
      </c>
      <c r="AG1513" s="36" t="str">
        <f t="shared" si="470"/>
        <v>AIH</v>
      </c>
    </row>
    <row r="1514" spans="18:33" x14ac:dyDescent="0.25">
      <c r="R1514">
        <v>1500</v>
      </c>
      <c r="S1514" s="36" t="str">
        <f t="shared" si="468"/>
        <v>UNIDOS VOLAMOS AIRLINES</v>
      </c>
      <c r="T1514" s="36">
        <f t="shared" si="468"/>
        <v>4211</v>
      </c>
      <c r="U1514" s="73">
        <v>0.96527777777777779</v>
      </c>
      <c r="V1514" s="74">
        <v>0.97361111111111109</v>
      </c>
      <c r="W1514" s="75">
        <v>8.3333333333333037E-3</v>
      </c>
      <c r="X1514" s="74">
        <v>0.97916666666666663</v>
      </c>
      <c r="Y1514" s="75">
        <v>5.5555555555555358E-3</v>
      </c>
      <c r="Z1514" s="76">
        <v>41742</v>
      </c>
      <c r="AA1514" s="36" t="str">
        <f t="shared" si="470"/>
        <v>Internacional</v>
      </c>
      <c r="AB1514" s="36">
        <f t="shared" si="470"/>
        <v>8.8768115942028953E-3</v>
      </c>
      <c r="AC1514" s="36">
        <f t="shared" si="470"/>
        <v>9.5712560386473581E-3</v>
      </c>
      <c r="AD1514" s="36">
        <f t="shared" si="470"/>
        <v>1.8448067632850253E-2</v>
      </c>
      <c r="AE1514" s="36" t="str">
        <f t="shared" si="470"/>
        <v>ER4</v>
      </c>
      <c r="AF1514" s="36">
        <f t="shared" si="470"/>
        <v>50</v>
      </c>
      <c r="AG1514" s="36" t="str">
        <f t="shared" si="470"/>
        <v>AIH</v>
      </c>
    </row>
    <row r="1515" spans="18:33" x14ac:dyDescent="0.25">
      <c r="R1515">
        <v>1501</v>
      </c>
      <c r="S1515" s="36" t="str">
        <f t="shared" si="468"/>
        <v>UNIDOS VOLAMOS AIRLINES</v>
      </c>
      <c r="T1515" s="36">
        <f t="shared" si="468"/>
        <v>4211</v>
      </c>
      <c r="U1515" s="73">
        <v>0.98402777777777783</v>
      </c>
      <c r="V1515" s="74">
        <v>0.99305555555555547</v>
      </c>
      <c r="W1515" s="75">
        <v>9.0277777777776347E-3</v>
      </c>
      <c r="X1515" s="74">
        <v>1.0069444444444444</v>
      </c>
      <c r="Y1515" s="75">
        <v>1.3888888888888951E-2</v>
      </c>
      <c r="Z1515" s="76">
        <v>41745</v>
      </c>
      <c r="AA1515" s="36" t="str">
        <f t="shared" si="470"/>
        <v>Internacional</v>
      </c>
      <c r="AB1515" s="36">
        <f t="shared" si="470"/>
        <v>8.8768115942028953E-3</v>
      </c>
      <c r="AC1515" s="36">
        <f t="shared" si="470"/>
        <v>9.5712560386473581E-3</v>
      </c>
      <c r="AD1515" s="36">
        <f t="shared" si="470"/>
        <v>1.8448067632850253E-2</v>
      </c>
      <c r="AE1515" s="36" t="str">
        <f t="shared" si="470"/>
        <v>ER4</v>
      </c>
      <c r="AF1515" s="36">
        <f t="shared" si="470"/>
        <v>50</v>
      </c>
      <c r="AG1515" s="36" t="str">
        <f t="shared" si="470"/>
        <v>AIH</v>
      </c>
    </row>
    <row r="1516" spans="18:33" x14ac:dyDescent="0.25">
      <c r="R1516">
        <v>1502</v>
      </c>
      <c r="S1516" s="36" t="str">
        <f t="shared" si="468"/>
        <v>UNIDOS VOLAMOS AIRLINES</v>
      </c>
      <c r="T1516" s="36">
        <f t="shared" si="468"/>
        <v>4211</v>
      </c>
      <c r="U1516" s="73">
        <v>0.9819444444444444</v>
      </c>
      <c r="V1516" s="74">
        <v>0.98958333333333337</v>
      </c>
      <c r="W1516" s="75">
        <v>7.6388888888889728E-3</v>
      </c>
      <c r="X1516" s="74">
        <v>0.99791666666666667</v>
      </c>
      <c r="Y1516" s="75">
        <v>8.3333333333333037E-3</v>
      </c>
      <c r="Z1516" s="76">
        <v>41746</v>
      </c>
      <c r="AA1516" s="36" t="str">
        <f t="shared" si="470"/>
        <v>Internacional</v>
      </c>
      <c r="AB1516" s="36">
        <f t="shared" si="470"/>
        <v>8.8768115942028953E-3</v>
      </c>
      <c r="AC1516" s="36">
        <f t="shared" si="470"/>
        <v>9.5712560386473581E-3</v>
      </c>
      <c r="AD1516" s="36">
        <f t="shared" si="470"/>
        <v>1.8448067632850253E-2</v>
      </c>
      <c r="AE1516" s="36" t="str">
        <f t="shared" si="470"/>
        <v>ER4</v>
      </c>
      <c r="AF1516" s="36">
        <f t="shared" si="470"/>
        <v>50</v>
      </c>
      <c r="AG1516" s="36" t="str">
        <f t="shared" si="470"/>
        <v>AIH</v>
      </c>
    </row>
    <row r="1517" spans="18:33" x14ac:dyDescent="0.25">
      <c r="R1517">
        <v>1503</v>
      </c>
      <c r="S1517" s="36" t="str">
        <f t="shared" si="468"/>
        <v>UNIDOS VOLAMOS AIRLINES</v>
      </c>
      <c r="T1517" s="36">
        <f t="shared" si="468"/>
        <v>4211</v>
      </c>
      <c r="U1517" s="73">
        <v>0.97777777777777775</v>
      </c>
      <c r="V1517" s="74">
        <v>0.9868055555555556</v>
      </c>
      <c r="W1517" s="75">
        <v>9.0277777777778567E-3</v>
      </c>
      <c r="X1517" s="134">
        <v>0.99305555555555547</v>
      </c>
      <c r="Y1517" s="75">
        <v>6.2499999999998668E-3</v>
      </c>
      <c r="Z1517" s="76">
        <v>41747</v>
      </c>
      <c r="AA1517" s="36" t="str">
        <f t="shared" si="470"/>
        <v>Internacional</v>
      </c>
      <c r="AB1517" s="36">
        <f t="shared" si="470"/>
        <v>8.8768115942028953E-3</v>
      </c>
      <c r="AC1517" s="36">
        <f t="shared" si="470"/>
        <v>9.5712560386473581E-3</v>
      </c>
      <c r="AD1517" s="36">
        <f t="shared" si="470"/>
        <v>1.8448067632850253E-2</v>
      </c>
      <c r="AE1517" s="36" t="str">
        <f t="shared" si="470"/>
        <v>ER4</v>
      </c>
      <c r="AF1517" s="36">
        <f t="shared" si="470"/>
        <v>50</v>
      </c>
      <c r="AG1517" s="36" t="str">
        <f t="shared" si="470"/>
        <v>AIH</v>
      </c>
    </row>
    <row r="1518" spans="18:33" x14ac:dyDescent="0.25">
      <c r="R1518">
        <v>1504</v>
      </c>
      <c r="S1518" s="36" t="str">
        <f t="shared" si="468"/>
        <v>UNIDOS VOLAMOS AIRLINES</v>
      </c>
      <c r="T1518" s="36">
        <f t="shared" si="468"/>
        <v>4211</v>
      </c>
      <c r="U1518" s="73">
        <v>1.0069444444444444</v>
      </c>
      <c r="V1518" s="74">
        <v>1.01875</v>
      </c>
      <c r="W1518" s="75">
        <v>1.1805555555555625E-2</v>
      </c>
      <c r="X1518" s="74">
        <v>1.0243055555555556</v>
      </c>
      <c r="Y1518" s="75">
        <v>5.5555555555555358E-3</v>
      </c>
      <c r="Z1518" s="76">
        <v>41749</v>
      </c>
      <c r="AA1518" s="36" t="str">
        <f t="shared" si="470"/>
        <v>Internacional</v>
      </c>
      <c r="AB1518" s="36">
        <f t="shared" si="470"/>
        <v>8.8768115942028953E-3</v>
      </c>
      <c r="AC1518" s="36">
        <f t="shared" si="470"/>
        <v>9.5712560386473581E-3</v>
      </c>
      <c r="AD1518" s="36">
        <f t="shared" si="470"/>
        <v>1.8448067632850253E-2</v>
      </c>
      <c r="AE1518" s="36" t="str">
        <f t="shared" si="470"/>
        <v>ER4</v>
      </c>
      <c r="AF1518" s="36">
        <f t="shared" si="470"/>
        <v>50</v>
      </c>
      <c r="AG1518" s="36" t="str">
        <f t="shared" si="470"/>
        <v>AIH</v>
      </c>
    </row>
    <row r="1519" spans="18:33" x14ac:dyDescent="0.25">
      <c r="R1519">
        <v>1505</v>
      </c>
      <c r="S1519" s="36" t="str">
        <f t="shared" si="468"/>
        <v>UNIDOS VOLAMOS AIRLINES</v>
      </c>
      <c r="T1519" s="36">
        <f t="shared" si="468"/>
        <v>4211</v>
      </c>
      <c r="U1519" s="73">
        <v>0.98749999999999993</v>
      </c>
      <c r="V1519" s="74">
        <v>0.99583333333333324</v>
      </c>
      <c r="W1519" s="75">
        <v>8.3333333333333037E-3</v>
      </c>
      <c r="X1519" s="74">
        <v>1.0069444444444444</v>
      </c>
      <c r="Y1519" s="75">
        <v>1.1111111111111183E-2</v>
      </c>
      <c r="Z1519" s="76">
        <v>41751</v>
      </c>
      <c r="AA1519" s="36" t="str">
        <f t="shared" si="470"/>
        <v>Internacional</v>
      </c>
      <c r="AB1519" s="36">
        <f t="shared" si="470"/>
        <v>8.8768115942028953E-3</v>
      </c>
      <c r="AC1519" s="36">
        <f t="shared" si="470"/>
        <v>9.5712560386473581E-3</v>
      </c>
      <c r="AD1519" s="36">
        <f t="shared" si="470"/>
        <v>1.8448067632850253E-2</v>
      </c>
      <c r="AE1519" s="36" t="str">
        <f t="shared" si="470"/>
        <v>ER4</v>
      </c>
      <c r="AF1519" s="36">
        <f t="shared" si="470"/>
        <v>50</v>
      </c>
      <c r="AG1519" s="36" t="str">
        <f t="shared" si="470"/>
        <v>AIH</v>
      </c>
    </row>
    <row r="1520" spans="18:33" x14ac:dyDescent="0.25">
      <c r="R1520">
        <v>1506</v>
      </c>
      <c r="S1520" s="36" t="str">
        <f t="shared" si="468"/>
        <v>UNIDOS VOLAMOS AIRLINES</v>
      </c>
      <c r="T1520" s="36">
        <f t="shared" si="468"/>
        <v>4211</v>
      </c>
      <c r="U1520" s="73">
        <v>1.007638888888889</v>
      </c>
      <c r="V1520" s="74">
        <v>1.0125</v>
      </c>
      <c r="W1520" s="75">
        <v>4.8611111111109828E-3</v>
      </c>
      <c r="X1520" s="74">
        <v>1.0256944444444445</v>
      </c>
      <c r="Y1520" s="75">
        <v>1.3194444444444509E-2</v>
      </c>
      <c r="Z1520" s="76">
        <v>41751</v>
      </c>
      <c r="AA1520" s="36" t="str">
        <f t="shared" si="470"/>
        <v>Internacional</v>
      </c>
      <c r="AB1520" s="36">
        <f t="shared" si="470"/>
        <v>8.8768115942028953E-3</v>
      </c>
      <c r="AC1520" s="36">
        <f t="shared" si="470"/>
        <v>9.5712560386473581E-3</v>
      </c>
      <c r="AD1520" s="36">
        <f t="shared" si="470"/>
        <v>1.8448067632850253E-2</v>
      </c>
      <c r="AE1520" s="36" t="str">
        <f t="shared" si="470"/>
        <v>ER4</v>
      </c>
      <c r="AF1520" s="36">
        <f t="shared" si="470"/>
        <v>50</v>
      </c>
      <c r="AG1520" s="36" t="str">
        <f t="shared" si="470"/>
        <v>AIH</v>
      </c>
    </row>
    <row r="1521" spans="18:33" x14ac:dyDescent="0.25">
      <c r="R1521">
        <v>1507</v>
      </c>
      <c r="S1521" s="36" t="str">
        <f t="shared" si="468"/>
        <v>UNIDOS VOLAMOS AIRLINES</v>
      </c>
      <c r="T1521" s="36">
        <f t="shared" si="468"/>
        <v>4211</v>
      </c>
      <c r="U1521" s="73">
        <v>0.97986111111111107</v>
      </c>
      <c r="V1521" s="74">
        <v>0.98611111111111116</v>
      </c>
      <c r="W1521" s="75">
        <v>6.2500000000000888E-3</v>
      </c>
      <c r="X1521" s="74">
        <v>0.99097222222222225</v>
      </c>
      <c r="Y1521" s="75">
        <v>4.8611111111110938E-3</v>
      </c>
      <c r="Z1521" s="76">
        <v>41752</v>
      </c>
      <c r="AA1521" s="36" t="str">
        <f t="shared" si="470"/>
        <v>Internacional</v>
      </c>
      <c r="AB1521" s="36">
        <f t="shared" si="470"/>
        <v>8.8768115942028953E-3</v>
      </c>
      <c r="AC1521" s="36">
        <f t="shared" si="470"/>
        <v>9.5712560386473581E-3</v>
      </c>
      <c r="AD1521" s="36">
        <f t="shared" si="470"/>
        <v>1.8448067632850253E-2</v>
      </c>
      <c r="AE1521" s="36" t="str">
        <f t="shared" si="470"/>
        <v>ER4</v>
      </c>
      <c r="AF1521" s="36">
        <f t="shared" si="470"/>
        <v>50</v>
      </c>
      <c r="AG1521" s="36" t="str">
        <f t="shared" si="470"/>
        <v>AIH</v>
      </c>
    </row>
    <row r="1522" spans="18:33" x14ac:dyDescent="0.25">
      <c r="R1522">
        <v>1508</v>
      </c>
      <c r="S1522" s="36" t="str">
        <f t="shared" si="468"/>
        <v>UNIDOS VOLAMOS AIRLINES</v>
      </c>
      <c r="T1522" s="36">
        <f t="shared" si="468"/>
        <v>4211</v>
      </c>
      <c r="U1522" s="73">
        <v>0.98611111111111116</v>
      </c>
      <c r="V1522" s="74">
        <v>0.99444444444444446</v>
      </c>
      <c r="W1522" s="75">
        <v>8.3333333333333037E-3</v>
      </c>
      <c r="X1522" s="74">
        <v>1</v>
      </c>
      <c r="Y1522" s="75">
        <v>5.5555555555555358E-3</v>
      </c>
      <c r="Z1522" s="76">
        <v>41754</v>
      </c>
      <c r="AA1522" s="36" t="str">
        <f t="shared" si="470"/>
        <v>Internacional</v>
      </c>
      <c r="AB1522" s="36">
        <f t="shared" si="470"/>
        <v>8.8768115942028953E-3</v>
      </c>
      <c r="AC1522" s="36">
        <f t="shared" si="470"/>
        <v>9.5712560386473581E-3</v>
      </c>
      <c r="AD1522" s="36">
        <f t="shared" si="470"/>
        <v>1.8448067632850253E-2</v>
      </c>
      <c r="AE1522" s="36" t="str">
        <f t="shared" si="470"/>
        <v>ER4</v>
      </c>
      <c r="AF1522" s="36">
        <f t="shared" si="470"/>
        <v>50</v>
      </c>
      <c r="AG1522" s="36" t="str">
        <f t="shared" si="470"/>
        <v>AIH</v>
      </c>
    </row>
    <row r="1523" spans="18:33" x14ac:dyDescent="0.25">
      <c r="R1523">
        <v>1509</v>
      </c>
      <c r="S1523" s="36" t="str">
        <f t="shared" si="468"/>
        <v>UNIDOS VOLAMOS AIRLINES</v>
      </c>
      <c r="T1523" s="36">
        <f t="shared" si="468"/>
        <v>4211</v>
      </c>
      <c r="U1523" s="73">
        <v>1</v>
      </c>
      <c r="V1523" s="74">
        <v>1.0131944444444445</v>
      </c>
      <c r="W1523" s="75">
        <v>1.3194444444444509E-2</v>
      </c>
      <c r="X1523" s="74">
        <v>1.0284722222222222</v>
      </c>
      <c r="Y1523" s="75">
        <v>1.5277777777777724E-2</v>
      </c>
      <c r="Z1523" s="76">
        <v>41755</v>
      </c>
      <c r="AA1523" s="36" t="str">
        <f t="shared" si="470"/>
        <v>Internacional</v>
      </c>
      <c r="AB1523" s="36">
        <f t="shared" si="470"/>
        <v>8.8768115942028953E-3</v>
      </c>
      <c r="AC1523" s="36">
        <f t="shared" si="470"/>
        <v>9.5712560386473581E-3</v>
      </c>
      <c r="AD1523" s="36">
        <f t="shared" si="470"/>
        <v>1.8448067632850253E-2</v>
      </c>
      <c r="AE1523" s="36" t="str">
        <f t="shared" si="470"/>
        <v>ER4</v>
      </c>
      <c r="AF1523" s="36">
        <f t="shared" si="470"/>
        <v>50</v>
      </c>
      <c r="AG1523" s="36" t="str">
        <f t="shared" si="470"/>
        <v>AIH</v>
      </c>
    </row>
    <row r="1524" spans="18:33" x14ac:dyDescent="0.25">
      <c r="R1524">
        <v>1510</v>
      </c>
      <c r="S1524" s="36" t="str">
        <f t="shared" si="468"/>
        <v>UNIDOS VOLAMOS AIRLINES</v>
      </c>
      <c r="T1524" s="36">
        <f t="shared" si="468"/>
        <v>4211</v>
      </c>
      <c r="U1524" s="73">
        <v>0.99722222222222223</v>
      </c>
      <c r="V1524" s="74">
        <v>1.0062499999999999</v>
      </c>
      <c r="W1524" s="75">
        <v>9.0277777777776347E-3</v>
      </c>
      <c r="X1524" s="74">
        <v>1.0173611111111112</v>
      </c>
      <c r="Y1524" s="75">
        <v>1.1111111111111294E-2</v>
      </c>
      <c r="Z1524" s="76">
        <v>41756</v>
      </c>
      <c r="AA1524" s="36" t="str">
        <f t="shared" si="470"/>
        <v>Internacional</v>
      </c>
      <c r="AB1524" s="36">
        <f t="shared" si="470"/>
        <v>8.8768115942028953E-3</v>
      </c>
      <c r="AC1524" s="36">
        <f t="shared" si="470"/>
        <v>9.5712560386473581E-3</v>
      </c>
      <c r="AD1524" s="36">
        <f t="shared" si="470"/>
        <v>1.8448067632850253E-2</v>
      </c>
      <c r="AE1524" s="36" t="str">
        <f t="shared" si="470"/>
        <v>ER4</v>
      </c>
      <c r="AF1524" s="36">
        <f t="shared" si="470"/>
        <v>50</v>
      </c>
      <c r="AG1524" s="36" t="str">
        <f t="shared" si="470"/>
        <v>AIH</v>
      </c>
    </row>
    <row r="1525" spans="18:33" x14ac:dyDescent="0.25">
      <c r="R1525">
        <v>1511</v>
      </c>
      <c r="S1525" s="36" t="str">
        <f t="shared" si="468"/>
        <v>UNIDOS VOLAMOS AIRLINES</v>
      </c>
      <c r="T1525" s="36">
        <f t="shared" si="468"/>
        <v>4211</v>
      </c>
      <c r="U1525" s="73">
        <v>1.0034722222222221</v>
      </c>
      <c r="V1525" s="74">
        <v>1.0131944444444445</v>
      </c>
      <c r="W1525" s="75">
        <v>9.7222222222224097E-3</v>
      </c>
      <c r="X1525" s="74">
        <v>1.0277777777777779</v>
      </c>
      <c r="Y1525" s="75">
        <v>1.4583333333333393E-2</v>
      </c>
      <c r="Z1525" s="76">
        <v>41758</v>
      </c>
      <c r="AA1525" s="36" t="str">
        <f t="shared" si="470"/>
        <v>Internacional</v>
      </c>
      <c r="AB1525" s="36">
        <f t="shared" si="470"/>
        <v>8.8768115942028953E-3</v>
      </c>
      <c r="AC1525" s="36">
        <f t="shared" si="470"/>
        <v>9.5712560386473581E-3</v>
      </c>
      <c r="AD1525" s="36">
        <f t="shared" si="470"/>
        <v>1.8448067632850253E-2</v>
      </c>
      <c r="AE1525" s="36" t="str">
        <f t="shared" si="470"/>
        <v>ER4</v>
      </c>
      <c r="AF1525" s="36">
        <f t="shared" si="470"/>
        <v>50</v>
      </c>
      <c r="AG1525" s="36" t="str">
        <f t="shared" si="470"/>
        <v>AIH</v>
      </c>
    </row>
    <row r="1526" spans="18:33" ht="15.75" thickBot="1" x14ac:dyDescent="0.3">
      <c r="R1526">
        <v>1512</v>
      </c>
      <c r="S1526" s="36" t="str">
        <f t="shared" si="468"/>
        <v>UNIDOS VOLAMOS AIRLINES</v>
      </c>
      <c r="T1526" s="36">
        <f t="shared" si="468"/>
        <v>4211</v>
      </c>
      <c r="U1526" s="83">
        <v>0.99930555555555556</v>
      </c>
      <c r="V1526" s="84">
        <v>1.0090277777777776</v>
      </c>
      <c r="W1526" s="85">
        <v>9.7222222222220767E-3</v>
      </c>
      <c r="X1526" s="84">
        <v>1.0201388888888889</v>
      </c>
      <c r="Y1526" s="85">
        <v>1.1111111111111294E-2</v>
      </c>
      <c r="Z1526" s="86">
        <v>41759</v>
      </c>
      <c r="AA1526" s="36" t="str">
        <f t="shared" si="470"/>
        <v>Internacional</v>
      </c>
      <c r="AB1526" s="36">
        <f t="shared" si="470"/>
        <v>8.8768115942028953E-3</v>
      </c>
      <c r="AC1526" s="36">
        <f t="shared" si="470"/>
        <v>9.5712560386473581E-3</v>
      </c>
      <c r="AD1526" s="36">
        <f t="shared" si="470"/>
        <v>1.8448067632850253E-2</v>
      </c>
      <c r="AE1526" s="36" t="str">
        <f t="shared" si="470"/>
        <v>ER4</v>
      </c>
      <c r="AF1526" s="36">
        <f t="shared" si="470"/>
        <v>50</v>
      </c>
      <c r="AG1526" s="36" t="str">
        <f t="shared" si="470"/>
        <v>AIH</v>
      </c>
    </row>
    <row r="1527" spans="18:33" x14ac:dyDescent="0.25">
      <c r="R1527">
        <v>1513</v>
      </c>
      <c r="S1527" s="36" t="str">
        <f t="shared" si="468"/>
        <v>UNIDOS VOLAMOS AIRLINES</v>
      </c>
      <c r="T1527" s="55">
        <v>4354</v>
      </c>
      <c r="U1527" s="56">
        <v>0.4375</v>
      </c>
      <c r="V1527" s="57">
        <v>0.44722222222222219</v>
      </c>
      <c r="W1527" s="58">
        <v>9.7222222222221877E-3</v>
      </c>
      <c r="X1527" s="57">
        <v>0.45416666666666666</v>
      </c>
      <c r="Y1527" s="58">
        <v>6.9444444444444753E-3</v>
      </c>
      <c r="Z1527" s="59">
        <v>41730</v>
      </c>
      <c r="AA1527" s="60" t="s">
        <v>22</v>
      </c>
      <c r="AB1527" s="61">
        <v>1.0763888888888894E-2</v>
      </c>
      <c r="AC1527" s="61">
        <v>8.7072649572649506E-3</v>
      </c>
      <c r="AD1527" s="231">
        <v>1.9471153846153846E-2</v>
      </c>
      <c r="AE1527" s="132" t="s">
        <v>20</v>
      </c>
      <c r="AF1527" s="132">
        <v>50</v>
      </c>
      <c r="AG1527" s="132" t="s">
        <v>54</v>
      </c>
    </row>
    <row r="1528" spans="18:33" x14ac:dyDescent="0.25">
      <c r="R1528">
        <v>1514</v>
      </c>
      <c r="S1528" s="36" t="str">
        <f t="shared" si="468"/>
        <v>UNIDOS VOLAMOS AIRLINES</v>
      </c>
      <c r="T1528" s="36">
        <f t="shared" si="468"/>
        <v>4354</v>
      </c>
      <c r="U1528" s="73">
        <v>0.43888888888888888</v>
      </c>
      <c r="V1528" s="74">
        <v>0.45277777777777778</v>
      </c>
      <c r="W1528" s="75">
        <v>1.3888888888888895E-2</v>
      </c>
      <c r="X1528" s="74">
        <v>0.45694444444444443</v>
      </c>
      <c r="Y1528" s="75">
        <v>4.1666666666666519E-3</v>
      </c>
      <c r="Z1528" s="76">
        <v>41731</v>
      </c>
      <c r="AA1528" s="36" t="str">
        <f t="shared" ref="AA1528:AG1552" si="471">AA1527</f>
        <v>Internacional</v>
      </c>
      <c r="AB1528" s="36">
        <f t="shared" si="471"/>
        <v>1.0763888888888894E-2</v>
      </c>
      <c r="AC1528" s="36">
        <f t="shared" si="471"/>
        <v>8.7072649572649506E-3</v>
      </c>
      <c r="AD1528" s="36">
        <f t="shared" si="471"/>
        <v>1.9471153846153846E-2</v>
      </c>
      <c r="AE1528" s="36" t="str">
        <f t="shared" si="471"/>
        <v>ER4</v>
      </c>
      <c r="AF1528" s="36">
        <f t="shared" si="471"/>
        <v>50</v>
      </c>
      <c r="AG1528" s="36" t="str">
        <f t="shared" si="471"/>
        <v>IAH</v>
      </c>
    </row>
    <row r="1529" spans="18:33" x14ac:dyDescent="0.25">
      <c r="R1529">
        <v>1515</v>
      </c>
      <c r="S1529" s="36" t="str">
        <f t="shared" si="468"/>
        <v>UNIDOS VOLAMOS AIRLINES</v>
      </c>
      <c r="T1529" s="36">
        <f t="shared" si="468"/>
        <v>4354</v>
      </c>
      <c r="U1529" s="73">
        <v>0.43888888888888888</v>
      </c>
      <c r="V1529" s="74">
        <v>0.45277777777777778</v>
      </c>
      <c r="W1529" s="75">
        <v>1.3888888888888895E-2</v>
      </c>
      <c r="X1529" s="74">
        <v>0.45694444444444443</v>
      </c>
      <c r="Y1529" s="75">
        <v>4.1666666666666519E-3</v>
      </c>
      <c r="Z1529" s="76">
        <v>41731</v>
      </c>
      <c r="AA1529" s="36" t="str">
        <f t="shared" si="471"/>
        <v>Internacional</v>
      </c>
      <c r="AB1529" s="36">
        <f t="shared" si="471"/>
        <v>1.0763888888888894E-2</v>
      </c>
      <c r="AC1529" s="36">
        <f t="shared" si="471"/>
        <v>8.7072649572649506E-3</v>
      </c>
      <c r="AD1529" s="36">
        <f t="shared" si="471"/>
        <v>1.9471153846153846E-2</v>
      </c>
      <c r="AE1529" s="36" t="str">
        <f t="shared" si="471"/>
        <v>ER4</v>
      </c>
      <c r="AF1529" s="36">
        <f t="shared" si="471"/>
        <v>50</v>
      </c>
      <c r="AG1529" s="36" t="str">
        <f t="shared" si="471"/>
        <v>IAH</v>
      </c>
    </row>
    <row r="1530" spans="18:33" x14ac:dyDescent="0.25">
      <c r="R1530">
        <v>1516</v>
      </c>
      <c r="S1530" s="36" t="str">
        <f t="shared" si="468"/>
        <v>UNIDOS VOLAMOS AIRLINES</v>
      </c>
      <c r="T1530" s="36">
        <f t="shared" si="468"/>
        <v>4354</v>
      </c>
      <c r="U1530" s="73">
        <v>0.44722222222222219</v>
      </c>
      <c r="V1530" s="74">
        <v>0.4548611111111111</v>
      </c>
      <c r="W1530" s="75">
        <v>7.6388888888889173E-3</v>
      </c>
      <c r="X1530" s="74">
        <v>0.46597222222222223</v>
      </c>
      <c r="Y1530" s="75">
        <v>1.1111111111111127E-2</v>
      </c>
      <c r="Z1530" s="76">
        <v>41732</v>
      </c>
      <c r="AA1530" s="36" t="str">
        <f t="shared" si="471"/>
        <v>Internacional</v>
      </c>
      <c r="AB1530" s="36">
        <f t="shared" si="471"/>
        <v>1.0763888888888894E-2</v>
      </c>
      <c r="AC1530" s="36">
        <f t="shared" si="471"/>
        <v>8.7072649572649506E-3</v>
      </c>
      <c r="AD1530" s="36">
        <f t="shared" si="471"/>
        <v>1.9471153846153846E-2</v>
      </c>
      <c r="AE1530" s="36" t="str">
        <f t="shared" si="471"/>
        <v>ER4</v>
      </c>
      <c r="AF1530" s="36">
        <f t="shared" si="471"/>
        <v>50</v>
      </c>
      <c r="AG1530" s="36" t="str">
        <f t="shared" si="471"/>
        <v>IAH</v>
      </c>
    </row>
    <row r="1531" spans="18:33" x14ac:dyDescent="0.25">
      <c r="R1531">
        <v>1517</v>
      </c>
      <c r="S1531" s="36" t="str">
        <f t="shared" si="468"/>
        <v>UNIDOS VOLAMOS AIRLINES</v>
      </c>
      <c r="T1531" s="36">
        <f t="shared" si="468"/>
        <v>4354</v>
      </c>
      <c r="U1531" s="73">
        <v>0.4513888888888889</v>
      </c>
      <c r="V1531" s="74">
        <v>0.4597222222222222</v>
      </c>
      <c r="W1531" s="75">
        <v>8.3333333333333037E-3</v>
      </c>
      <c r="X1531" s="74">
        <v>0.46388888888888885</v>
      </c>
      <c r="Y1531" s="75">
        <v>4.1666666666666519E-3</v>
      </c>
      <c r="Z1531" s="76">
        <v>41733</v>
      </c>
      <c r="AA1531" s="36" t="str">
        <f t="shared" si="471"/>
        <v>Internacional</v>
      </c>
      <c r="AB1531" s="36">
        <f t="shared" si="471"/>
        <v>1.0763888888888894E-2</v>
      </c>
      <c r="AC1531" s="36">
        <f t="shared" si="471"/>
        <v>8.7072649572649506E-3</v>
      </c>
      <c r="AD1531" s="36">
        <f t="shared" si="471"/>
        <v>1.9471153846153846E-2</v>
      </c>
      <c r="AE1531" s="36" t="str">
        <f t="shared" si="471"/>
        <v>ER4</v>
      </c>
      <c r="AF1531" s="36">
        <f t="shared" si="471"/>
        <v>50</v>
      </c>
      <c r="AG1531" s="36" t="str">
        <f t="shared" si="471"/>
        <v>IAH</v>
      </c>
    </row>
    <row r="1532" spans="18:33" x14ac:dyDescent="0.25">
      <c r="R1532">
        <v>1518</v>
      </c>
      <c r="S1532" s="36" t="str">
        <f t="shared" si="468"/>
        <v>UNIDOS VOLAMOS AIRLINES</v>
      </c>
      <c r="T1532" s="36">
        <f t="shared" si="468"/>
        <v>4354</v>
      </c>
      <c r="U1532" s="73">
        <v>0.43541666666666662</v>
      </c>
      <c r="V1532" s="74">
        <v>0.44513888888888892</v>
      </c>
      <c r="W1532" s="75">
        <v>9.7222222222222987E-3</v>
      </c>
      <c r="X1532" s="74">
        <v>0.45624999999999999</v>
      </c>
      <c r="Y1532" s="75">
        <v>1.1111111111111072E-2</v>
      </c>
      <c r="Z1532" s="76">
        <v>41734</v>
      </c>
      <c r="AA1532" s="36" t="str">
        <f t="shared" si="471"/>
        <v>Internacional</v>
      </c>
      <c r="AB1532" s="36">
        <f t="shared" si="471"/>
        <v>1.0763888888888894E-2</v>
      </c>
      <c r="AC1532" s="36">
        <f t="shared" si="471"/>
        <v>8.7072649572649506E-3</v>
      </c>
      <c r="AD1532" s="36">
        <f t="shared" si="471"/>
        <v>1.9471153846153846E-2</v>
      </c>
      <c r="AE1532" s="36" t="str">
        <f t="shared" si="471"/>
        <v>ER4</v>
      </c>
      <c r="AF1532" s="36">
        <f t="shared" si="471"/>
        <v>50</v>
      </c>
      <c r="AG1532" s="36" t="str">
        <f t="shared" si="471"/>
        <v>IAH</v>
      </c>
    </row>
    <row r="1533" spans="18:33" x14ac:dyDescent="0.25">
      <c r="R1533">
        <v>1519</v>
      </c>
      <c r="S1533" s="36" t="str">
        <f t="shared" si="468"/>
        <v>UNIDOS VOLAMOS AIRLINES</v>
      </c>
      <c r="T1533" s="36">
        <f t="shared" si="468"/>
        <v>4354</v>
      </c>
      <c r="U1533" s="73">
        <v>0.51736111111111105</v>
      </c>
      <c r="V1533" s="74">
        <v>0.52777777777777779</v>
      </c>
      <c r="W1533" s="75">
        <v>1.0416666666666741E-2</v>
      </c>
      <c r="X1533" s="74">
        <v>0.53749999999999998</v>
      </c>
      <c r="Y1533" s="75">
        <v>9.7222222222221877E-3</v>
      </c>
      <c r="Z1533" s="76">
        <v>41736</v>
      </c>
      <c r="AA1533" s="36" t="str">
        <f t="shared" si="471"/>
        <v>Internacional</v>
      </c>
      <c r="AB1533" s="36">
        <f t="shared" si="471"/>
        <v>1.0763888888888894E-2</v>
      </c>
      <c r="AC1533" s="36">
        <f t="shared" si="471"/>
        <v>8.7072649572649506E-3</v>
      </c>
      <c r="AD1533" s="36">
        <f t="shared" si="471"/>
        <v>1.9471153846153846E-2</v>
      </c>
      <c r="AE1533" s="36" t="str">
        <f t="shared" si="471"/>
        <v>ER4</v>
      </c>
      <c r="AF1533" s="36">
        <f t="shared" si="471"/>
        <v>50</v>
      </c>
      <c r="AG1533" s="36" t="str">
        <f t="shared" si="471"/>
        <v>IAH</v>
      </c>
    </row>
    <row r="1534" spans="18:33" x14ac:dyDescent="0.25">
      <c r="R1534">
        <v>1520</v>
      </c>
      <c r="S1534" s="36" t="str">
        <f t="shared" si="468"/>
        <v>UNIDOS VOLAMOS AIRLINES</v>
      </c>
      <c r="T1534" s="36">
        <f t="shared" si="468"/>
        <v>4354</v>
      </c>
      <c r="U1534" s="73">
        <v>0.47222222222222227</v>
      </c>
      <c r="V1534" s="74">
        <v>0.48055555555555557</v>
      </c>
      <c r="W1534" s="75">
        <v>8.3333333333333037E-3</v>
      </c>
      <c r="X1534" s="74">
        <v>0.49027777777777781</v>
      </c>
      <c r="Y1534" s="75">
        <v>9.7222222222222432E-3</v>
      </c>
      <c r="Z1534" s="76">
        <v>41739</v>
      </c>
      <c r="AA1534" s="36" t="str">
        <f t="shared" si="471"/>
        <v>Internacional</v>
      </c>
      <c r="AB1534" s="36">
        <f t="shared" si="471"/>
        <v>1.0763888888888894E-2</v>
      </c>
      <c r="AC1534" s="36">
        <f t="shared" si="471"/>
        <v>8.7072649572649506E-3</v>
      </c>
      <c r="AD1534" s="36">
        <f t="shared" si="471"/>
        <v>1.9471153846153846E-2</v>
      </c>
      <c r="AE1534" s="36" t="str">
        <f t="shared" si="471"/>
        <v>ER4</v>
      </c>
      <c r="AF1534" s="36">
        <f t="shared" si="471"/>
        <v>50</v>
      </c>
      <c r="AG1534" s="36" t="str">
        <f t="shared" si="471"/>
        <v>IAH</v>
      </c>
    </row>
    <row r="1535" spans="18:33" x14ac:dyDescent="0.25">
      <c r="R1535">
        <v>1521</v>
      </c>
      <c r="S1535" s="36" t="str">
        <f t="shared" si="468"/>
        <v>UNIDOS VOLAMOS AIRLINES</v>
      </c>
      <c r="T1535" s="36">
        <f t="shared" si="468"/>
        <v>4354</v>
      </c>
      <c r="U1535" s="73">
        <v>0.47222222222222227</v>
      </c>
      <c r="V1535" s="74">
        <v>0.48125000000000001</v>
      </c>
      <c r="W1535" s="75">
        <v>9.0277777777777457E-3</v>
      </c>
      <c r="X1535" s="74">
        <v>0.48888888888888887</v>
      </c>
      <c r="Y1535" s="75">
        <v>7.6388888888888618E-3</v>
      </c>
      <c r="Z1535" s="76">
        <v>41741</v>
      </c>
      <c r="AA1535" s="36" t="str">
        <f t="shared" si="471"/>
        <v>Internacional</v>
      </c>
      <c r="AB1535" s="36">
        <f t="shared" si="471"/>
        <v>1.0763888888888894E-2</v>
      </c>
      <c r="AC1535" s="36">
        <f t="shared" si="471"/>
        <v>8.7072649572649506E-3</v>
      </c>
      <c r="AD1535" s="36">
        <f t="shared" si="471"/>
        <v>1.9471153846153846E-2</v>
      </c>
      <c r="AE1535" s="36" t="str">
        <f t="shared" si="471"/>
        <v>ER4</v>
      </c>
      <c r="AF1535" s="36">
        <f t="shared" si="471"/>
        <v>50</v>
      </c>
      <c r="AG1535" s="36" t="str">
        <f t="shared" si="471"/>
        <v>IAH</v>
      </c>
    </row>
    <row r="1536" spans="18:33" x14ac:dyDescent="0.25">
      <c r="R1536">
        <v>1522</v>
      </c>
      <c r="S1536" s="36" t="str">
        <f t="shared" si="468"/>
        <v>UNIDOS VOLAMOS AIRLINES</v>
      </c>
      <c r="T1536" s="36">
        <f t="shared" si="468"/>
        <v>4354</v>
      </c>
      <c r="U1536" s="73">
        <v>0.4826388888888889</v>
      </c>
      <c r="V1536" s="74">
        <v>0.4916666666666667</v>
      </c>
      <c r="W1536" s="75">
        <v>9.0277777777778012E-3</v>
      </c>
      <c r="X1536" s="74">
        <v>0.49652777777777773</v>
      </c>
      <c r="Y1536" s="75">
        <v>4.8611111111110383E-3</v>
      </c>
      <c r="Z1536" s="76">
        <v>41743</v>
      </c>
      <c r="AA1536" s="36" t="str">
        <f t="shared" si="471"/>
        <v>Internacional</v>
      </c>
      <c r="AB1536" s="36">
        <f t="shared" si="471"/>
        <v>1.0763888888888894E-2</v>
      </c>
      <c r="AC1536" s="36">
        <f t="shared" si="471"/>
        <v>8.7072649572649506E-3</v>
      </c>
      <c r="AD1536" s="36">
        <f t="shared" si="471"/>
        <v>1.9471153846153846E-2</v>
      </c>
      <c r="AE1536" s="36" t="str">
        <f t="shared" si="471"/>
        <v>ER4</v>
      </c>
      <c r="AF1536" s="36">
        <f t="shared" si="471"/>
        <v>50</v>
      </c>
      <c r="AG1536" s="36" t="str">
        <f t="shared" si="471"/>
        <v>IAH</v>
      </c>
    </row>
    <row r="1537" spans="18:33" x14ac:dyDescent="0.25">
      <c r="R1537">
        <v>1523</v>
      </c>
      <c r="S1537" s="36" t="str">
        <f t="shared" si="468"/>
        <v>UNIDOS VOLAMOS AIRLINES</v>
      </c>
      <c r="T1537" s="36">
        <f t="shared" si="468"/>
        <v>4354</v>
      </c>
      <c r="U1537" s="73">
        <v>0.48125000000000001</v>
      </c>
      <c r="V1537" s="74">
        <v>0.4916666666666667</v>
      </c>
      <c r="W1537" s="75">
        <v>1.0416666666666685E-2</v>
      </c>
      <c r="X1537" s="74">
        <v>0.50138888888888888</v>
      </c>
      <c r="Y1537" s="75">
        <v>9.7222222222221877E-3</v>
      </c>
      <c r="Z1537" s="76">
        <v>41744</v>
      </c>
      <c r="AA1537" s="36" t="str">
        <f t="shared" si="471"/>
        <v>Internacional</v>
      </c>
      <c r="AB1537" s="36">
        <f t="shared" si="471"/>
        <v>1.0763888888888894E-2</v>
      </c>
      <c r="AC1537" s="36">
        <f t="shared" si="471"/>
        <v>8.7072649572649506E-3</v>
      </c>
      <c r="AD1537" s="36">
        <f t="shared" si="471"/>
        <v>1.9471153846153846E-2</v>
      </c>
      <c r="AE1537" s="36" t="str">
        <f t="shared" si="471"/>
        <v>ER4</v>
      </c>
      <c r="AF1537" s="36">
        <f t="shared" si="471"/>
        <v>50</v>
      </c>
      <c r="AG1537" s="36" t="str">
        <f t="shared" si="471"/>
        <v>IAH</v>
      </c>
    </row>
    <row r="1538" spans="18:33" x14ac:dyDescent="0.25">
      <c r="R1538">
        <v>1524</v>
      </c>
      <c r="S1538" s="36" t="str">
        <f t="shared" si="468"/>
        <v>UNIDOS VOLAMOS AIRLINES</v>
      </c>
      <c r="T1538" s="36">
        <f t="shared" si="468"/>
        <v>4354</v>
      </c>
      <c r="U1538" s="73">
        <v>0.48680555555555555</v>
      </c>
      <c r="V1538" s="74">
        <v>0.50208333333333333</v>
      </c>
      <c r="W1538" s="75">
        <v>1.5277777777777779E-2</v>
      </c>
      <c r="X1538" s="74">
        <v>0.50624999999999998</v>
      </c>
      <c r="Y1538" s="75">
        <v>4.1666666666666519E-3</v>
      </c>
      <c r="Z1538" s="76">
        <v>41745</v>
      </c>
      <c r="AA1538" s="36" t="str">
        <f t="shared" si="471"/>
        <v>Internacional</v>
      </c>
      <c r="AB1538" s="36">
        <f t="shared" si="471"/>
        <v>1.0763888888888894E-2</v>
      </c>
      <c r="AC1538" s="36">
        <f t="shared" si="471"/>
        <v>8.7072649572649506E-3</v>
      </c>
      <c r="AD1538" s="36">
        <f t="shared" si="471"/>
        <v>1.9471153846153846E-2</v>
      </c>
      <c r="AE1538" s="36" t="str">
        <f t="shared" si="471"/>
        <v>ER4</v>
      </c>
      <c r="AF1538" s="36">
        <f t="shared" si="471"/>
        <v>50</v>
      </c>
      <c r="AG1538" s="36" t="str">
        <f t="shared" si="471"/>
        <v>IAH</v>
      </c>
    </row>
    <row r="1539" spans="18:33" x14ac:dyDescent="0.25">
      <c r="R1539">
        <v>1525</v>
      </c>
      <c r="S1539" s="36" t="str">
        <f t="shared" si="468"/>
        <v>UNIDOS VOLAMOS AIRLINES</v>
      </c>
      <c r="T1539" s="36">
        <f t="shared" si="468"/>
        <v>4354</v>
      </c>
      <c r="U1539" s="73">
        <v>0.4909722222222222</v>
      </c>
      <c r="V1539" s="74">
        <v>0.50138888888888888</v>
      </c>
      <c r="W1539" s="75">
        <v>1.0416666666666685E-2</v>
      </c>
      <c r="X1539" s="74">
        <v>0.51111111111111118</v>
      </c>
      <c r="Y1539" s="75">
        <v>9.7222222222222987E-3</v>
      </c>
      <c r="Z1539" s="76">
        <v>41746</v>
      </c>
      <c r="AA1539" s="36" t="str">
        <f t="shared" si="471"/>
        <v>Internacional</v>
      </c>
      <c r="AB1539" s="36">
        <f t="shared" si="471"/>
        <v>1.0763888888888894E-2</v>
      </c>
      <c r="AC1539" s="36">
        <f t="shared" si="471"/>
        <v>8.7072649572649506E-3</v>
      </c>
      <c r="AD1539" s="36">
        <f t="shared" si="471"/>
        <v>1.9471153846153846E-2</v>
      </c>
      <c r="AE1539" s="36" t="str">
        <f t="shared" si="471"/>
        <v>ER4</v>
      </c>
      <c r="AF1539" s="36">
        <f t="shared" si="471"/>
        <v>50</v>
      </c>
      <c r="AG1539" s="36" t="str">
        <f t="shared" si="471"/>
        <v>IAH</v>
      </c>
    </row>
    <row r="1540" spans="18:33" x14ac:dyDescent="0.25">
      <c r="R1540">
        <v>1526</v>
      </c>
      <c r="S1540" s="36" t="str">
        <f t="shared" si="468"/>
        <v>UNIDOS VOLAMOS AIRLINES</v>
      </c>
      <c r="T1540" s="36">
        <f t="shared" si="468"/>
        <v>4354</v>
      </c>
      <c r="U1540" s="73">
        <v>0.47638888888888892</v>
      </c>
      <c r="V1540" s="74">
        <v>0.48680555555555555</v>
      </c>
      <c r="W1540" s="75">
        <v>1.041666666666663E-2</v>
      </c>
      <c r="X1540" s="74">
        <v>0.49236111111111108</v>
      </c>
      <c r="Y1540" s="75">
        <v>5.5555555555555358E-3</v>
      </c>
      <c r="Z1540" s="76">
        <v>41747</v>
      </c>
      <c r="AA1540" s="36" t="str">
        <f t="shared" si="471"/>
        <v>Internacional</v>
      </c>
      <c r="AB1540" s="36">
        <f t="shared" si="471"/>
        <v>1.0763888888888894E-2</v>
      </c>
      <c r="AC1540" s="36">
        <f t="shared" si="471"/>
        <v>8.7072649572649506E-3</v>
      </c>
      <c r="AD1540" s="36">
        <f t="shared" si="471"/>
        <v>1.9471153846153846E-2</v>
      </c>
      <c r="AE1540" s="36" t="str">
        <f t="shared" si="471"/>
        <v>ER4</v>
      </c>
      <c r="AF1540" s="36">
        <f t="shared" si="471"/>
        <v>50</v>
      </c>
      <c r="AG1540" s="36" t="str">
        <f t="shared" si="471"/>
        <v>IAH</v>
      </c>
    </row>
    <row r="1541" spans="18:33" x14ac:dyDescent="0.25">
      <c r="R1541">
        <v>1527</v>
      </c>
      <c r="S1541" s="36" t="str">
        <f t="shared" si="468"/>
        <v>UNIDOS VOLAMOS AIRLINES</v>
      </c>
      <c r="T1541" s="36">
        <f t="shared" si="468"/>
        <v>4354</v>
      </c>
      <c r="U1541" s="73">
        <v>0.4826388888888889</v>
      </c>
      <c r="V1541" s="74">
        <v>0.49305555555555558</v>
      </c>
      <c r="W1541" s="75">
        <v>1.0416666666666685E-2</v>
      </c>
      <c r="X1541" s="74">
        <v>0.5</v>
      </c>
      <c r="Y1541" s="75">
        <v>6.9444444444444198E-3</v>
      </c>
      <c r="Z1541" s="76">
        <v>41748</v>
      </c>
      <c r="AA1541" s="36" t="str">
        <f t="shared" si="471"/>
        <v>Internacional</v>
      </c>
      <c r="AB1541" s="36">
        <f t="shared" si="471"/>
        <v>1.0763888888888894E-2</v>
      </c>
      <c r="AC1541" s="36">
        <f t="shared" si="471"/>
        <v>8.7072649572649506E-3</v>
      </c>
      <c r="AD1541" s="36">
        <f t="shared" si="471"/>
        <v>1.9471153846153846E-2</v>
      </c>
      <c r="AE1541" s="36" t="str">
        <f t="shared" si="471"/>
        <v>ER4</v>
      </c>
      <c r="AF1541" s="36">
        <f t="shared" si="471"/>
        <v>50</v>
      </c>
      <c r="AG1541" s="36" t="str">
        <f t="shared" si="471"/>
        <v>IAH</v>
      </c>
    </row>
    <row r="1542" spans="18:33" x14ac:dyDescent="0.25">
      <c r="R1542">
        <v>1528</v>
      </c>
      <c r="S1542" s="36" t="str">
        <f t="shared" si="468"/>
        <v>UNIDOS VOLAMOS AIRLINES</v>
      </c>
      <c r="T1542" s="36">
        <f t="shared" si="468"/>
        <v>4354</v>
      </c>
      <c r="U1542" s="73">
        <v>0.4861111111111111</v>
      </c>
      <c r="V1542" s="74">
        <v>0.49583333333333335</v>
      </c>
      <c r="W1542" s="75">
        <v>9.7222222222222432E-3</v>
      </c>
      <c r="X1542" s="74">
        <v>0.50138888888888888</v>
      </c>
      <c r="Y1542" s="75">
        <v>5.5555555555555358E-3</v>
      </c>
      <c r="Z1542" s="76">
        <v>41749</v>
      </c>
      <c r="AA1542" s="36" t="str">
        <f t="shared" si="471"/>
        <v>Internacional</v>
      </c>
      <c r="AB1542" s="36">
        <f t="shared" si="471"/>
        <v>1.0763888888888894E-2</v>
      </c>
      <c r="AC1542" s="36">
        <f t="shared" si="471"/>
        <v>8.7072649572649506E-3</v>
      </c>
      <c r="AD1542" s="36">
        <f t="shared" si="471"/>
        <v>1.9471153846153846E-2</v>
      </c>
      <c r="AE1542" s="36" t="str">
        <f t="shared" si="471"/>
        <v>ER4</v>
      </c>
      <c r="AF1542" s="36">
        <f t="shared" si="471"/>
        <v>50</v>
      </c>
      <c r="AG1542" s="36" t="str">
        <f t="shared" si="471"/>
        <v>IAH</v>
      </c>
    </row>
    <row r="1543" spans="18:33" x14ac:dyDescent="0.25">
      <c r="R1543">
        <v>1529</v>
      </c>
      <c r="S1543" s="36" t="str">
        <f t="shared" si="468"/>
        <v>UNIDOS VOLAMOS AIRLINES</v>
      </c>
      <c r="T1543" s="36">
        <f t="shared" si="468"/>
        <v>4354</v>
      </c>
      <c r="U1543" s="73">
        <v>0.48819444444444443</v>
      </c>
      <c r="V1543" s="74">
        <v>0.49652777777777773</v>
      </c>
      <c r="W1543" s="75">
        <v>8.3333333333333037E-3</v>
      </c>
      <c r="X1543" s="74">
        <v>0.50416666666666665</v>
      </c>
      <c r="Y1543" s="75">
        <v>7.6388888888889173E-3</v>
      </c>
      <c r="Z1543" s="76">
        <v>41750</v>
      </c>
      <c r="AA1543" s="36" t="str">
        <f t="shared" si="471"/>
        <v>Internacional</v>
      </c>
      <c r="AB1543" s="36">
        <f t="shared" si="471"/>
        <v>1.0763888888888894E-2</v>
      </c>
      <c r="AC1543" s="36">
        <f t="shared" si="471"/>
        <v>8.7072649572649506E-3</v>
      </c>
      <c r="AD1543" s="36">
        <f t="shared" si="471"/>
        <v>1.9471153846153846E-2</v>
      </c>
      <c r="AE1543" s="36" t="str">
        <f t="shared" si="471"/>
        <v>ER4</v>
      </c>
      <c r="AF1543" s="36">
        <f t="shared" si="471"/>
        <v>50</v>
      </c>
      <c r="AG1543" s="36" t="str">
        <f t="shared" si="471"/>
        <v>IAH</v>
      </c>
    </row>
    <row r="1544" spans="18:33" x14ac:dyDescent="0.25">
      <c r="R1544">
        <v>1530</v>
      </c>
      <c r="S1544" s="36" t="str">
        <f t="shared" si="468"/>
        <v>UNIDOS VOLAMOS AIRLINES</v>
      </c>
      <c r="T1544" s="36">
        <f t="shared" si="468"/>
        <v>4354</v>
      </c>
      <c r="U1544" s="73">
        <v>0.4770833333333333</v>
      </c>
      <c r="V1544" s="74">
        <v>0.48541666666666666</v>
      </c>
      <c r="W1544" s="75">
        <v>8.3333333333333592E-3</v>
      </c>
      <c r="X1544" s="74">
        <v>0.50347222222222221</v>
      </c>
      <c r="Y1544" s="75">
        <v>1.8055555555555547E-2</v>
      </c>
      <c r="Z1544" s="76">
        <v>41751</v>
      </c>
      <c r="AA1544" s="36" t="str">
        <f t="shared" si="471"/>
        <v>Internacional</v>
      </c>
      <c r="AB1544" s="36">
        <f t="shared" si="471"/>
        <v>1.0763888888888894E-2</v>
      </c>
      <c r="AC1544" s="36">
        <f t="shared" si="471"/>
        <v>8.7072649572649506E-3</v>
      </c>
      <c r="AD1544" s="36">
        <f t="shared" si="471"/>
        <v>1.9471153846153846E-2</v>
      </c>
      <c r="AE1544" s="36" t="str">
        <f t="shared" si="471"/>
        <v>ER4</v>
      </c>
      <c r="AF1544" s="36">
        <f t="shared" si="471"/>
        <v>50</v>
      </c>
      <c r="AG1544" s="36" t="str">
        <f t="shared" si="471"/>
        <v>IAH</v>
      </c>
    </row>
    <row r="1545" spans="18:33" x14ac:dyDescent="0.25">
      <c r="R1545">
        <v>1531</v>
      </c>
      <c r="S1545" s="36" t="str">
        <f t="shared" si="468"/>
        <v>UNIDOS VOLAMOS AIRLINES</v>
      </c>
      <c r="T1545" s="36">
        <f t="shared" si="468"/>
        <v>4354</v>
      </c>
      <c r="U1545" s="73">
        <v>0.4770833333333333</v>
      </c>
      <c r="V1545" s="74">
        <v>0.48541666666666666</v>
      </c>
      <c r="W1545" s="75">
        <v>8.3333333333333592E-3</v>
      </c>
      <c r="X1545" s="74">
        <v>0.50347222222222221</v>
      </c>
      <c r="Y1545" s="75">
        <v>1.8055555555555547E-2</v>
      </c>
      <c r="Z1545" s="76">
        <v>41751</v>
      </c>
      <c r="AA1545" s="36" t="str">
        <f t="shared" si="471"/>
        <v>Internacional</v>
      </c>
      <c r="AB1545" s="36">
        <f t="shared" si="471"/>
        <v>1.0763888888888894E-2</v>
      </c>
      <c r="AC1545" s="36">
        <f t="shared" si="471"/>
        <v>8.7072649572649506E-3</v>
      </c>
      <c r="AD1545" s="36">
        <f t="shared" si="471"/>
        <v>1.9471153846153846E-2</v>
      </c>
      <c r="AE1545" s="36" t="str">
        <f t="shared" si="471"/>
        <v>ER4</v>
      </c>
      <c r="AF1545" s="36">
        <f t="shared" si="471"/>
        <v>50</v>
      </c>
      <c r="AG1545" s="36" t="str">
        <f t="shared" si="471"/>
        <v>IAH</v>
      </c>
    </row>
    <row r="1546" spans="18:33" x14ac:dyDescent="0.25">
      <c r="R1546">
        <v>1532</v>
      </c>
      <c r="S1546" s="36" t="str">
        <f t="shared" si="468"/>
        <v>UNIDOS VOLAMOS AIRLINES</v>
      </c>
      <c r="T1546" s="36">
        <f t="shared" si="468"/>
        <v>4354</v>
      </c>
      <c r="U1546" s="73">
        <v>0.4916666666666667</v>
      </c>
      <c r="V1546" s="74">
        <v>0.50347222222222221</v>
      </c>
      <c r="W1546" s="75">
        <v>1.1805555555555514E-2</v>
      </c>
      <c r="X1546" s="74">
        <v>0.51250000000000007</v>
      </c>
      <c r="Y1546" s="75">
        <v>9.0277777777778567E-3</v>
      </c>
      <c r="Z1546" s="76">
        <v>41753</v>
      </c>
      <c r="AA1546" s="36" t="str">
        <f t="shared" si="471"/>
        <v>Internacional</v>
      </c>
      <c r="AB1546" s="36">
        <f t="shared" si="471"/>
        <v>1.0763888888888894E-2</v>
      </c>
      <c r="AC1546" s="36">
        <f t="shared" si="471"/>
        <v>8.7072649572649506E-3</v>
      </c>
      <c r="AD1546" s="36">
        <f t="shared" si="471"/>
        <v>1.9471153846153846E-2</v>
      </c>
      <c r="AE1546" s="36" t="str">
        <f t="shared" si="471"/>
        <v>ER4</v>
      </c>
      <c r="AF1546" s="36">
        <f t="shared" si="471"/>
        <v>50</v>
      </c>
      <c r="AG1546" s="36" t="str">
        <f t="shared" si="471"/>
        <v>IAH</v>
      </c>
    </row>
    <row r="1547" spans="18:33" x14ac:dyDescent="0.25">
      <c r="R1547">
        <v>1533</v>
      </c>
      <c r="S1547" s="36" t="str">
        <f t="shared" si="468"/>
        <v>UNIDOS VOLAMOS AIRLINES</v>
      </c>
      <c r="T1547" s="36">
        <f t="shared" si="468"/>
        <v>4354</v>
      </c>
      <c r="U1547" s="73">
        <v>0.48958333333333331</v>
      </c>
      <c r="V1547" s="74">
        <v>0.50208333333333333</v>
      </c>
      <c r="W1547" s="75">
        <v>1.2500000000000011E-2</v>
      </c>
      <c r="X1547" s="74">
        <v>0.50972222222222219</v>
      </c>
      <c r="Y1547" s="75">
        <v>7.6388888888888618E-3</v>
      </c>
      <c r="Z1547" s="76">
        <v>41754</v>
      </c>
      <c r="AA1547" s="36" t="str">
        <f t="shared" si="471"/>
        <v>Internacional</v>
      </c>
      <c r="AB1547" s="36">
        <f t="shared" si="471"/>
        <v>1.0763888888888894E-2</v>
      </c>
      <c r="AC1547" s="36">
        <f t="shared" si="471"/>
        <v>8.7072649572649506E-3</v>
      </c>
      <c r="AD1547" s="36">
        <f t="shared" si="471"/>
        <v>1.9471153846153846E-2</v>
      </c>
      <c r="AE1547" s="36" t="str">
        <f t="shared" si="471"/>
        <v>ER4</v>
      </c>
      <c r="AF1547" s="36">
        <f t="shared" si="471"/>
        <v>50</v>
      </c>
      <c r="AG1547" s="36" t="str">
        <f t="shared" si="471"/>
        <v>IAH</v>
      </c>
    </row>
    <row r="1548" spans="18:33" x14ac:dyDescent="0.25">
      <c r="R1548">
        <v>1534</v>
      </c>
      <c r="S1548" s="36" t="str">
        <f t="shared" si="468"/>
        <v>UNIDOS VOLAMOS AIRLINES</v>
      </c>
      <c r="T1548" s="36">
        <f t="shared" si="468"/>
        <v>4354</v>
      </c>
      <c r="U1548" s="73">
        <v>0.47916666666666669</v>
      </c>
      <c r="V1548" s="74">
        <v>0.49583333333333335</v>
      </c>
      <c r="W1548" s="75">
        <v>1.6666666666666663E-2</v>
      </c>
      <c r="X1548" s="74">
        <v>0.5</v>
      </c>
      <c r="Y1548" s="75">
        <v>4.1666666666666519E-3</v>
      </c>
      <c r="Z1548" s="76">
        <v>41754</v>
      </c>
      <c r="AA1548" s="36" t="str">
        <f t="shared" si="471"/>
        <v>Internacional</v>
      </c>
      <c r="AB1548" s="36">
        <f t="shared" si="471"/>
        <v>1.0763888888888894E-2</v>
      </c>
      <c r="AC1548" s="36">
        <f t="shared" si="471"/>
        <v>8.7072649572649506E-3</v>
      </c>
      <c r="AD1548" s="36">
        <f t="shared" si="471"/>
        <v>1.9471153846153846E-2</v>
      </c>
      <c r="AE1548" s="36" t="str">
        <f t="shared" si="471"/>
        <v>ER4</v>
      </c>
      <c r="AF1548" s="36">
        <f t="shared" si="471"/>
        <v>50</v>
      </c>
      <c r="AG1548" s="36" t="str">
        <f t="shared" si="471"/>
        <v>IAH</v>
      </c>
    </row>
    <row r="1549" spans="18:33" ht="15.75" thickBot="1" x14ac:dyDescent="0.3">
      <c r="R1549">
        <v>1535</v>
      </c>
      <c r="S1549" s="36" t="str">
        <f t="shared" si="468"/>
        <v>UNIDOS VOLAMOS AIRLINES</v>
      </c>
      <c r="T1549" s="36">
        <f t="shared" si="468"/>
        <v>4354</v>
      </c>
      <c r="U1549" s="73">
        <v>0.4770833333333333</v>
      </c>
      <c r="V1549" s="74">
        <v>0.48819444444444443</v>
      </c>
      <c r="W1549" s="75">
        <v>1.1111111111111127E-2</v>
      </c>
      <c r="X1549" s="74">
        <v>0.49861111111111112</v>
      </c>
      <c r="Y1549" s="75">
        <v>1.0416666666666685E-2</v>
      </c>
      <c r="Z1549" s="76">
        <v>41756</v>
      </c>
      <c r="AA1549" s="36" t="str">
        <f t="shared" si="471"/>
        <v>Internacional</v>
      </c>
      <c r="AB1549" s="36">
        <f t="shared" si="471"/>
        <v>1.0763888888888894E-2</v>
      </c>
      <c r="AC1549" s="36">
        <f t="shared" si="471"/>
        <v>8.7072649572649506E-3</v>
      </c>
      <c r="AD1549" s="36">
        <f t="shared" si="471"/>
        <v>1.9471153846153846E-2</v>
      </c>
      <c r="AE1549" s="36" t="str">
        <f t="shared" si="471"/>
        <v>ER4</v>
      </c>
      <c r="AF1549" s="36">
        <f t="shared" si="471"/>
        <v>50</v>
      </c>
      <c r="AG1549" s="36" t="str">
        <f t="shared" si="471"/>
        <v>IAH</v>
      </c>
    </row>
    <row r="1550" spans="18:33" x14ac:dyDescent="0.25">
      <c r="R1550">
        <v>1536</v>
      </c>
      <c r="S1550" s="45" t="s">
        <v>95</v>
      </c>
      <c r="T1550" s="36">
        <f t="shared" ref="T1550:T1574" si="472">T1549</f>
        <v>4354</v>
      </c>
      <c r="U1550" s="73">
        <v>0.47291666666666665</v>
      </c>
      <c r="V1550" s="74">
        <v>0.48333333333333334</v>
      </c>
      <c r="W1550" s="75">
        <v>1.0416666666666685E-2</v>
      </c>
      <c r="X1550" s="74">
        <v>0.4909722222222222</v>
      </c>
      <c r="Y1550" s="75">
        <v>7.6388888888888618E-3</v>
      </c>
      <c r="Z1550" s="76">
        <v>41757</v>
      </c>
      <c r="AA1550" s="36" t="str">
        <f t="shared" si="471"/>
        <v>Internacional</v>
      </c>
      <c r="AB1550" s="36">
        <f t="shared" si="471"/>
        <v>1.0763888888888894E-2</v>
      </c>
      <c r="AC1550" s="36">
        <f t="shared" si="471"/>
        <v>8.7072649572649506E-3</v>
      </c>
      <c r="AD1550" s="36">
        <f t="shared" si="471"/>
        <v>1.9471153846153846E-2</v>
      </c>
      <c r="AE1550" s="36" t="str">
        <f t="shared" si="471"/>
        <v>ER4</v>
      </c>
      <c r="AF1550" s="36">
        <f t="shared" si="471"/>
        <v>50</v>
      </c>
      <c r="AG1550" s="36" t="str">
        <f t="shared" si="471"/>
        <v>IAH</v>
      </c>
    </row>
    <row r="1551" spans="18:33" x14ac:dyDescent="0.25">
      <c r="R1551">
        <v>1537</v>
      </c>
      <c r="S1551" s="36" t="str">
        <f t="shared" ref="S1551:T1614" si="473">S1550</f>
        <v>UNIDOS VOLAMOS AIRLINES</v>
      </c>
      <c r="T1551" s="36">
        <f t="shared" si="472"/>
        <v>4354</v>
      </c>
      <c r="U1551" s="73">
        <v>0.48055555555555557</v>
      </c>
      <c r="V1551" s="74">
        <v>0.49236111111111108</v>
      </c>
      <c r="W1551" s="75">
        <v>1.1805555555555514E-2</v>
      </c>
      <c r="X1551" s="74">
        <v>0.50347222222222221</v>
      </c>
      <c r="Y1551" s="75">
        <v>1.1111111111111127E-2</v>
      </c>
      <c r="Z1551" s="76">
        <v>41758</v>
      </c>
      <c r="AA1551" s="36" t="str">
        <f t="shared" si="471"/>
        <v>Internacional</v>
      </c>
      <c r="AB1551" s="36">
        <f t="shared" si="471"/>
        <v>1.0763888888888894E-2</v>
      </c>
      <c r="AC1551" s="36">
        <f t="shared" si="471"/>
        <v>8.7072649572649506E-3</v>
      </c>
      <c r="AD1551" s="36">
        <f t="shared" si="471"/>
        <v>1.9471153846153846E-2</v>
      </c>
      <c r="AE1551" s="36" t="str">
        <f t="shared" si="471"/>
        <v>ER4</v>
      </c>
      <c r="AF1551" s="36">
        <f t="shared" si="471"/>
        <v>50</v>
      </c>
      <c r="AG1551" s="36" t="str">
        <f t="shared" si="471"/>
        <v>IAH</v>
      </c>
    </row>
    <row r="1552" spans="18:33" ht="15.75" thickBot="1" x14ac:dyDescent="0.3">
      <c r="R1552">
        <v>1538</v>
      </c>
      <c r="S1552" s="36" t="str">
        <f t="shared" si="473"/>
        <v>UNIDOS VOLAMOS AIRLINES</v>
      </c>
      <c r="T1552" s="36">
        <f t="shared" si="472"/>
        <v>4354</v>
      </c>
      <c r="U1552" s="83">
        <v>0.48194444444444445</v>
      </c>
      <c r="V1552" s="84">
        <v>0.49583333333333335</v>
      </c>
      <c r="W1552" s="85">
        <v>1.3888888888888895E-2</v>
      </c>
      <c r="X1552" s="84">
        <v>0.5131944444444444</v>
      </c>
      <c r="Y1552" s="85">
        <v>1.7361111111111049E-2</v>
      </c>
      <c r="Z1552" s="86">
        <v>41759</v>
      </c>
      <c r="AA1552" s="36" t="str">
        <f t="shared" si="471"/>
        <v>Internacional</v>
      </c>
      <c r="AB1552" s="36">
        <f t="shared" si="471"/>
        <v>1.0763888888888894E-2</v>
      </c>
      <c r="AC1552" s="36">
        <f t="shared" si="471"/>
        <v>8.7072649572649506E-3</v>
      </c>
      <c r="AD1552" s="36">
        <f t="shared" si="471"/>
        <v>1.9471153846153846E-2</v>
      </c>
      <c r="AE1552" s="36" t="str">
        <f t="shared" si="471"/>
        <v>ER4</v>
      </c>
      <c r="AF1552" s="36">
        <f t="shared" si="471"/>
        <v>50</v>
      </c>
      <c r="AG1552" s="36" t="str">
        <f t="shared" si="471"/>
        <v>IAH</v>
      </c>
    </row>
    <row r="1553" spans="18:33" x14ac:dyDescent="0.25">
      <c r="R1553">
        <v>1539</v>
      </c>
      <c r="S1553" s="36" t="str">
        <f t="shared" si="473"/>
        <v>UNIDOS VOLAMOS AIRLINES</v>
      </c>
      <c r="T1553" s="55">
        <v>4394</v>
      </c>
      <c r="U1553" s="56">
        <v>0.86319444444444438</v>
      </c>
      <c r="V1553" s="57">
        <v>0.87569444444444444</v>
      </c>
      <c r="W1553" s="58">
        <v>1.2500000000000067E-2</v>
      </c>
      <c r="X1553" s="57">
        <v>0.88194444444444453</v>
      </c>
      <c r="Y1553" s="58">
        <v>6.2500000000000888E-3</v>
      </c>
      <c r="Z1553" s="59">
        <v>41730</v>
      </c>
      <c r="AA1553" s="60" t="s">
        <v>22</v>
      </c>
      <c r="AB1553" s="61">
        <v>9.1880341880341936E-3</v>
      </c>
      <c r="AC1553" s="61">
        <v>9.2147435897436004E-3</v>
      </c>
      <c r="AD1553" s="231">
        <v>1.8402777777777796E-2</v>
      </c>
      <c r="AE1553" s="132" t="s">
        <v>20</v>
      </c>
      <c r="AF1553" s="132">
        <v>50</v>
      </c>
      <c r="AG1553" s="132" t="s">
        <v>54</v>
      </c>
    </row>
    <row r="1554" spans="18:33" x14ac:dyDescent="0.25">
      <c r="R1554">
        <v>1540</v>
      </c>
      <c r="S1554" s="36" t="str">
        <f t="shared" si="473"/>
        <v>UNIDOS VOLAMOS AIRLINES</v>
      </c>
      <c r="T1554" s="36">
        <f t="shared" si="473"/>
        <v>4394</v>
      </c>
      <c r="U1554" s="73">
        <v>0.86458333333333337</v>
      </c>
      <c r="V1554" s="74">
        <v>0.87222222222222223</v>
      </c>
      <c r="W1554" s="75">
        <v>7.6388888888888618E-3</v>
      </c>
      <c r="X1554" s="74">
        <v>0.88680555555555562</v>
      </c>
      <c r="Y1554" s="75">
        <v>1.4583333333333393E-2</v>
      </c>
      <c r="Z1554" s="76">
        <v>41731</v>
      </c>
      <c r="AA1554" s="36" t="str">
        <f t="shared" ref="AA1554:AG1578" si="474">AA1553</f>
        <v>Internacional</v>
      </c>
      <c r="AB1554" s="36">
        <f t="shared" si="474"/>
        <v>9.1880341880341936E-3</v>
      </c>
      <c r="AC1554" s="36">
        <f t="shared" si="474"/>
        <v>9.2147435897436004E-3</v>
      </c>
      <c r="AD1554" s="36">
        <f t="shared" si="474"/>
        <v>1.8402777777777796E-2</v>
      </c>
      <c r="AE1554" s="36" t="str">
        <f t="shared" si="474"/>
        <v>ER4</v>
      </c>
      <c r="AF1554" s="36">
        <f t="shared" si="474"/>
        <v>50</v>
      </c>
      <c r="AG1554" s="36" t="str">
        <f t="shared" si="474"/>
        <v>IAH</v>
      </c>
    </row>
    <row r="1555" spans="18:33" x14ac:dyDescent="0.25">
      <c r="R1555">
        <v>1541</v>
      </c>
      <c r="S1555" s="36" t="str">
        <f t="shared" si="473"/>
        <v>UNIDOS VOLAMOS AIRLINES</v>
      </c>
      <c r="T1555" s="36">
        <f t="shared" si="473"/>
        <v>4394</v>
      </c>
      <c r="U1555" s="73">
        <v>0.89583333333333337</v>
      </c>
      <c r="V1555" s="74">
        <v>0.90833333333333333</v>
      </c>
      <c r="W1555" s="75">
        <v>1.2499999999999956E-2</v>
      </c>
      <c r="X1555" s="74">
        <v>0.91319444444444453</v>
      </c>
      <c r="Y1555" s="75">
        <v>4.8611111111112049E-3</v>
      </c>
      <c r="Z1555" s="76">
        <v>41732</v>
      </c>
      <c r="AA1555" s="36" t="str">
        <f t="shared" si="474"/>
        <v>Internacional</v>
      </c>
      <c r="AB1555" s="36">
        <f t="shared" si="474"/>
        <v>9.1880341880341936E-3</v>
      </c>
      <c r="AC1555" s="36">
        <f t="shared" si="474"/>
        <v>9.2147435897436004E-3</v>
      </c>
      <c r="AD1555" s="36">
        <f t="shared" si="474"/>
        <v>1.8402777777777796E-2</v>
      </c>
      <c r="AE1555" s="36" t="str">
        <f t="shared" si="474"/>
        <v>ER4</v>
      </c>
      <c r="AF1555" s="36">
        <f t="shared" si="474"/>
        <v>50</v>
      </c>
      <c r="AG1555" s="36" t="str">
        <f t="shared" si="474"/>
        <v>IAH</v>
      </c>
    </row>
    <row r="1556" spans="18:33" x14ac:dyDescent="0.25">
      <c r="R1556">
        <v>1542</v>
      </c>
      <c r="S1556" s="36" t="str">
        <f t="shared" si="473"/>
        <v>UNIDOS VOLAMOS AIRLINES</v>
      </c>
      <c r="T1556" s="36">
        <f t="shared" si="473"/>
        <v>4394</v>
      </c>
      <c r="U1556" s="73">
        <v>0.87222222222222223</v>
      </c>
      <c r="V1556" s="74">
        <v>0.88055555555555554</v>
      </c>
      <c r="W1556" s="75">
        <v>8.3333333333333037E-3</v>
      </c>
      <c r="X1556" s="74">
        <v>0.88611111111111107</v>
      </c>
      <c r="Y1556" s="75">
        <v>5.5555555555555358E-3</v>
      </c>
      <c r="Z1556" s="76">
        <v>41734</v>
      </c>
      <c r="AA1556" s="36" t="str">
        <f t="shared" si="474"/>
        <v>Internacional</v>
      </c>
      <c r="AB1556" s="36">
        <f t="shared" si="474"/>
        <v>9.1880341880341936E-3</v>
      </c>
      <c r="AC1556" s="36">
        <f t="shared" si="474"/>
        <v>9.2147435897436004E-3</v>
      </c>
      <c r="AD1556" s="36">
        <f t="shared" si="474"/>
        <v>1.8402777777777796E-2</v>
      </c>
      <c r="AE1556" s="36" t="str">
        <f t="shared" si="474"/>
        <v>ER4</v>
      </c>
      <c r="AF1556" s="36">
        <f t="shared" si="474"/>
        <v>50</v>
      </c>
      <c r="AG1556" s="36" t="str">
        <f t="shared" si="474"/>
        <v>IAH</v>
      </c>
    </row>
    <row r="1557" spans="18:33" x14ac:dyDescent="0.25">
      <c r="R1557">
        <v>1543</v>
      </c>
      <c r="S1557" s="36" t="str">
        <f t="shared" si="473"/>
        <v>UNIDOS VOLAMOS AIRLINES</v>
      </c>
      <c r="T1557" s="36">
        <f t="shared" si="473"/>
        <v>4394</v>
      </c>
      <c r="U1557" s="73">
        <v>0.9291666666666667</v>
      </c>
      <c r="V1557" s="74">
        <v>0.93888888888888899</v>
      </c>
      <c r="W1557" s="75">
        <v>9.7222222222222987E-3</v>
      </c>
      <c r="X1557" s="74">
        <v>0.95138888888888884</v>
      </c>
      <c r="Y1557" s="75">
        <v>1.2499999999999845E-2</v>
      </c>
      <c r="Z1557" s="76">
        <v>41736</v>
      </c>
      <c r="AA1557" s="36" t="str">
        <f t="shared" si="474"/>
        <v>Internacional</v>
      </c>
      <c r="AB1557" s="36">
        <f t="shared" si="474"/>
        <v>9.1880341880341936E-3</v>
      </c>
      <c r="AC1557" s="36">
        <f t="shared" si="474"/>
        <v>9.2147435897436004E-3</v>
      </c>
      <c r="AD1557" s="36">
        <f t="shared" si="474"/>
        <v>1.8402777777777796E-2</v>
      </c>
      <c r="AE1557" s="36" t="str">
        <f t="shared" si="474"/>
        <v>ER4</v>
      </c>
      <c r="AF1557" s="36">
        <f t="shared" si="474"/>
        <v>50</v>
      </c>
      <c r="AG1557" s="36" t="str">
        <f t="shared" si="474"/>
        <v>IAH</v>
      </c>
    </row>
    <row r="1558" spans="18:33" x14ac:dyDescent="0.25">
      <c r="R1558">
        <v>1544</v>
      </c>
      <c r="S1558" s="36" t="str">
        <f t="shared" si="473"/>
        <v>UNIDOS VOLAMOS AIRLINES</v>
      </c>
      <c r="T1558" s="36">
        <f t="shared" si="473"/>
        <v>4394</v>
      </c>
      <c r="U1558" s="73">
        <v>0.90833333333333333</v>
      </c>
      <c r="V1558" s="74">
        <v>0.91875000000000007</v>
      </c>
      <c r="W1558" s="75">
        <v>1.0416666666666741E-2</v>
      </c>
      <c r="X1558" s="74">
        <v>0.92708333333333337</v>
      </c>
      <c r="Y1558" s="75">
        <v>8.3333333333333037E-3</v>
      </c>
      <c r="Z1558" s="76">
        <v>41737</v>
      </c>
      <c r="AA1558" s="36" t="str">
        <f t="shared" si="474"/>
        <v>Internacional</v>
      </c>
      <c r="AB1558" s="36">
        <f t="shared" si="474"/>
        <v>9.1880341880341936E-3</v>
      </c>
      <c r="AC1558" s="36">
        <f t="shared" si="474"/>
        <v>9.2147435897436004E-3</v>
      </c>
      <c r="AD1558" s="36">
        <f t="shared" si="474"/>
        <v>1.8402777777777796E-2</v>
      </c>
      <c r="AE1558" s="36" t="str">
        <f t="shared" si="474"/>
        <v>ER4</v>
      </c>
      <c r="AF1558" s="36">
        <f t="shared" si="474"/>
        <v>50</v>
      </c>
      <c r="AG1558" s="36" t="str">
        <f t="shared" si="474"/>
        <v>IAH</v>
      </c>
    </row>
    <row r="1559" spans="18:33" x14ac:dyDescent="0.25">
      <c r="R1559">
        <v>1545</v>
      </c>
      <c r="S1559" s="36" t="str">
        <f t="shared" si="473"/>
        <v>UNIDOS VOLAMOS AIRLINES</v>
      </c>
      <c r="T1559" s="36">
        <f t="shared" si="473"/>
        <v>4394</v>
      </c>
      <c r="U1559" s="73">
        <v>0.90833333333333333</v>
      </c>
      <c r="V1559" s="74">
        <v>0.91805555555555562</v>
      </c>
      <c r="W1559" s="75">
        <v>9.7222222222222987E-3</v>
      </c>
      <c r="X1559" s="74">
        <v>0.93263888888888891</v>
      </c>
      <c r="Y1559" s="75">
        <v>1.4583333333333282E-2</v>
      </c>
      <c r="Z1559" s="76">
        <v>41738</v>
      </c>
      <c r="AA1559" s="36" t="str">
        <f t="shared" si="474"/>
        <v>Internacional</v>
      </c>
      <c r="AB1559" s="36">
        <f t="shared" si="474"/>
        <v>9.1880341880341936E-3</v>
      </c>
      <c r="AC1559" s="36">
        <f t="shared" si="474"/>
        <v>9.2147435897436004E-3</v>
      </c>
      <c r="AD1559" s="36">
        <f t="shared" si="474"/>
        <v>1.8402777777777796E-2</v>
      </c>
      <c r="AE1559" s="36" t="str">
        <f t="shared" si="474"/>
        <v>ER4</v>
      </c>
      <c r="AF1559" s="36">
        <f t="shared" si="474"/>
        <v>50</v>
      </c>
      <c r="AG1559" s="36" t="str">
        <f t="shared" si="474"/>
        <v>IAH</v>
      </c>
    </row>
    <row r="1560" spans="18:33" x14ac:dyDescent="0.25">
      <c r="R1560">
        <v>1546</v>
      </c>
      <c r="S1560" s="36" t="str">
        <f t="shared" si="473"/>
        <v>UNIDOS VOLAMOS AIRLINES</v>
      </c>
      <c r="T1560" s="36">
        <f t="shared" si="473"/>
        <v>4394</v>
      </c>
      <c r="U1560" s="73">
        <v>0.98263888888888884</v>
      </c>
      <c r="V1560" s="74">
        <v>0.9902777777777777</v>
      </c>
      <c r="W1560" s="75">
        <v>7.6388888888888618E-3</v>
      </c>
      <c r="X1560" s="74">
        <v>0.99444444444444446</v>
      </c>
      <c r="Y1560" s="75">
        <v>4.1666666666667629E-3</v>
      </c>
      <c r="Z1560" s="76">
        <v>41739</v>
      </c>
      <c r="AA1560" s="36" t="str">
        <f t="shared" si="474"/>
        <v>Internacional</v>
      </c>
      <c r="AB1560" s="36">
        <f t="shared" si="474"/>
        <v>9.1880341880341936E-3</v>
      </c>
      <c r="AC1560" s="36">
        <f t="shared" si="474"/>
        <v>9.2147435897436004E-3</v>
      </c>
      <c r="AD1560" s="36">
        <f t="shared" si="474"/>
        <v>1.8402777777777796E-2</v>
      </c>
      <c r="AE1560" s="36" t="str">
        <f t="shared" si="474"/>
        <v>ER4</v>
      </c>
      <c r="AF1560" s="36">
        <f t="shared" si="474"/>
        <v>50</v>
      </c>
      <c r="AG1560" s="36" t="str">
        <f t="shared" si="474"/>
        <v>IAH</v>
      </c>
    </row>
    <row r="1561" spans="18:33" x14ac:dyDescent="0.25">
      <c r="R1561">
        <v>1547</v>
      </c>
      <c r="S1561" s="36" t="str">
        <f t="shared" si="473"/>
        <v>UNIDOS VOLAMOS AIRLINES</v>
      </c>
      <c r="T1561" s="36">
        <f t="shared" si="473"/>
        <v>4394</v>
      </c>
      <c r="U1561" s="73">
        <v>0.89722222222222225</v>
      </c>
      <c r="V1561" s="74">
        <v>0.90625</v>
      </c>
      <c r="W1561" s="75">
        <v>9.0277777777777457E-3</v>
      </c>
      <c r="X1561" s="74">
        <v>0.91666666666666663</v>
      </c>
      <c r="Y1561" s="75">
        <v>1.041666666666663E-2</v>
      </c>
      <c r="Z1561" s="76">
        <v>41740</v>
      </c>
      <c r="AA1561" s="36" t="str">
        <f t="shared" si="474"/>
        <v>Internacional</v>
      </c>
      <c r="AB1561" s="36">
        <f t="shared" si="474"/>
        <v>9.1880341880341936E-3</v>
      </c>
      <c r="AC1561" s="36">
        <f t="shared" si="474"/>
        <v>9.2147435897436004E-3</v>
      </c>
      <c r="AD1561" s="36">
        <f t="shared" si="474"/>
        <v>1.8402777777777796E-2</v>
      </c>
      <c r="AE1561" s="36" t="str">
        <f t="shared" si="474"/>
        <v>ER4</v>
      </c>
      <c r="AF1561" s="36">
        <f t="shared" si="474"/>
        <v>50</v>
      </c>
      <c r="AG1561" s="36" t="str">
        <f t="shared" si="474"/>
        <v>IAH</v>
      </c>
    </row>
    <row r="1562" spans="18:33" x14ac:dyDescent="0.25">
      <c r="R1562">
        <v>1548</v>
      </c>
      <c r="S1562" s="36" t="str">
        <f t="shared" si="473"/>
        <v>UNIDOS VOLAMOS AIRLINES</v>
      </c>
      <c r="T1562" s="36">
        <f t="shared" si="473"/>
        <v>4394</v>
      </c>
      <c r="U1562" s="73">
        <v>0.86319444444444438</v>
      </c>
      <c r="V1562" s="74">
        <v>0.87569444444444444</v>
      </c>
      <c r="W1562" s="75">
        <v>1.2500000000000067E-2</v>
      </c>
      <c r="X1562" s="74">
        <v>0.88194444444444453</v>
      </c>
      <c r="Y1562" s="75">
        <v>6.2500000000000888E-3</v>
      </c>
      <c r="Z1562" s="76">
        <v>41742</v>
      </c>
      <c r="AA1562" s="36" t="str">
        <f t="shared" si="474"/>
        <v>Internacional</v>
      </c>
      <c r="AB1562" s="36">
        <f t="shared" si="474"/>
        <v>9.1880341880341936E-3</v>
      </c>
      <c r="AC1562" s="36">
        <f t="shared" si="474"/>
        <v>9.2147435897436004E-3</v>
      </c>
      <c r="AD1562" s="36">
        <f t="shared" si="474"/>
        <v>1.8402777777777796E-2</v>
      </c>
      <c r="AE1562" s="36" t="str">
        <f t="shared" si="474"/>
        <v>ER4</v>
      </c>
      <c r="AF1562" s="36">
        <f t="shared" si="474"/>
        <v>50</v>
      </c>
      <c r="AG1562" s="36" t="str">
        <f t="shared" si="474"/>
        <v>IAH</v>
      </c>
    </row>
    <row r="1563" spans="18:33" x14ac:dyDescent="0.25">
      <c r="R1563">
        <v>1549</v>
      </c>
      <c r="S1563" s="36" t="str">
        <f t="shared" si="473"/>
        <v>UNIDOS VOLAMOS AIRLINES</v>
      </c>
      <c r="T1563" s="36">
        <f t="shared" si="473"/>
        <v>4394</v>
      </c>
      <c r="U1563" s="73">
        <v>0.92013888888888884</v>
      </c>
      <c r="V1563" s="74">
        <v>0.92569444444444438</v>
      </c>
      <c r="W1563" s="75">
        <v>5.5555555555555358E-3</v>
      </c>
      <c r="X1563" s="74">
        <v>0.93611111111111101</v>
      </c>
      <c r="Y1563" s="75">
        <v>1.041666666666663E-2</v>
      </c>
      <c r="Z1563" s="76">
        <v>41743</v>
      </c>
      <c r="AA1563" s="36" t="str">
        <f t="shared" si="474"/>
        <v>Internacional</v>
      </c>
      <c r="AB1563" s="36">
        <f t="shared" si="474"/>
        <v>9.1880341880341936E-3</v>
      </c>
      <c r="AC1563" s="36">
        <f t="shared" si="474"/>
        <v>9.2147435897436004E-3</v>
      </c>
      <c r="AD1563" s="36">
        <f t="shared" si="474"/>
        <v>1.8402777777777796E-2</v>
      </c>
      <c r="AE1563" s="36" t="str">
        <f t="shared" si="474"/>
        <v>ER4</v>
      </c>
      <c r="AF1563" s="36">
        <f t="shared" si="474"/>
        <v>50</v>
      </c>
      <c r="AG1563" s="36" t="str">
        <f t="shared" si="474"/>
        <v>IAH</v>
      </c>
    </row>
    <row r="1564" spans="18:33" x14ac:dyDescent="0.25">
      <c r="R1564">
        <v>1550</v>
      </c>
      <c r="S1564" s="36" t="str">
        <f t="shared" si="473"/>
        <v>UNIDOS VOLAMOS AIRLINES</v>
      </c>
      <c r="T1564" s="36">
        <f t="shared" si="473"/>
        <v>4394</v>
      </c>
      <c r="U1564" s="73">
        <v>0.90416666666666667</v>
      </c>
      <c r="V1564" s="74">
        <v>0.91319444444444453</v>
      </c>
      <c r="W1564" s="75">
        <v>9.0277777777778567E-3</v>
      </c>
      <c r="X1564" s="74">
        <v>0.92361111111111116</v>
      </c>
      <c r="Y1564" s="75">
        <v>1.041666666666663E-2</v>
      </c>
      <c r="Z1564" s="76">
        <v>41745</v>
      </c>
      <c r="AA1564" s="36" t="str">
        <f t="shared" si="474"/>
        <v>Internacional</v>
      </c>
      <c r="AB1564" s="36">
        <f t="shared" si="474"/>
        <v>9.1880341880341936E-3</v>
      </c>
      <c r="AC1564" s="36">
        <f t="shared" si="474"/>
        <v>9.2147435897436004E-3</v>
      </c>
      <c r="AD1564" s="36">
        <f t="shared" si="474"/>
        <v>1.8402777777777796E-2</v>
      </c>
      <c r="AE1564" s="36" t="str">
        <f t="shared" si="474"/>
        <v>ER4</v>
      </c>
      <c r="AF1564" s="36">
        <f t="shared" si="474"/>
        <v>50</v>
      </c>
      <c r="AG1564" s="36" t="str">
        <f t="shared" si="474"/>
        <v>IAH</v>
      </c>
    </row>
    <row r="1565" spans="18:33" x14ac:dyDescent="0.25">
      <c r="R1565">
        <v>1551</v>
      </c>
      <c r="S1565" s="36" t="str">
        <f t="shared" si="473"/>
        <v>UNIDOS VOLAMOS AIRLINES</v>
      </c>
      <c r="T1565" s="36">
        <f t="shared" si="473"/>
        <v>4394</v>
      </c>
      <c r="U1565" s="73">
        <v>0.90763888888888899</v>
      </c>
      <c r="V1565" s="74">
        <v>0.91666666666666663</v>
      </c>
      <c r="W1565" s="75">
        <v>9.0277777777776347E-3</v>
      </c>
      <c r="X1565" s="74">
        <v>0.93194444444444446</v>
      </c>
      <c r="Y1565" s="75">
        <v>1.5277777777777835E-2</v>
      </c>
      <c r="Z1565" s="76">
        <v>41744</v>
      </c>
      <c r="AA1565" s="36" t="str">
        <f t="shared" si="474"/>
        <v>Internacional</v>
      </c>
      <c r="AB1565" s="36">
        <f t="shared" si="474"/>
        <v>9.1880341880341936E-3</v>
      </c>
      <c r="AC1565" s="36">
        <f t="shared" si="474"/>
        <v>9.2147435897436004E-3</v>
      </c>
      <c r="AD1565" s="36">
        <f t="shared" si="474"/>
        <v>1.8402777777777796E-2</v>
      </c>
      <c r="AE1565" s="36" t="str">
        <f t="shared" si="474"/>
        <v>ER4</v>
      </c>
      <c r="AF1565" s="36">
        <f t="shared" si="474"/>
        <v>50</v>
      </c>
      <c r="AG1565" s="36" t="str">
        <f t="shared" si="474"/>
        <v>IAH</v>
      </c>
    </row>
    <row r="1566" spans="18:33" x14ac:dyDescent="0.25">
      <c r="R1566">
        <v>1552</v>
      </c>
      <c r="S1566" s="36" t="str">
        <f t="shared" si="473"/>
        <v>UNIDOS VOLAMOS AIRLINES</v>
      </c>
      <c r="T1566" s="36">
        <f t="shared" si="473"/>
        <v>4394</v>
      </c>
      <c r="U1566" s="73">
        <v>0.89513888888888893</v>
      </c>
      <c r="V1566" s="74">
        <v>0.90277777777777779</v>
      </c>
      <c r="W1566" s="75">
        <v>7.6388888888888618E-3</v>
      </c>
      <c r="X1566" s="74">
        <v>0.91180555555555554</v>
      </c>
      <c r="Y1566" s="75">
        <v>9.0277777777777457E-3</v>
      </c>
      <c r="Z1566" s="76">
        <v>41746</v>
      </c>
      <c r="AA1566" s="36" t="str">
        <f t="shared" si="474"/>
        <v>Internacional</v>
      </c>
      <c r="AB1566" s="36">
        <f t="shared" si="474"/>
        <v>9.1880341880341936E-3</v>
      </c>
      <c r="AC1566" s="36">
        <f t="shared" si="474"/>
        <v>9.2147435897436004E-3</v>
      </c>
      <c r="AD1566" s="36">
        <f t="shared" si="474"/>
        <v>1.8402777777777796E-2</v>
      </c>
      <c r="AE1566" s="36" t="str">
        <f t="shared" si="474"/>
        <v>ER4</v>
      </c>
      <c r="AF1566" s="36">
        <f t="shared" si="474"/>
        <v>50</v>
      </c>
      <c r="AG1566" s="36" t="str">
        <f t="shared" si="474"/>
        <v>IAH</v>
      </c>
    </row>
    <row r="1567" spans="18:33" x14ac:dyDescent="0.25">
      <c r="R1567">
        <v>1553</v>
      </c>
      <c r="S1567" s="36" t="str">
        <f t="shared" si="473"/>
        <v>UNIDOS VOLAMOS AIRLINES</v>
      </c>
      <c r="T1567" s="36">
        <f t="shared" si="473"/>
        <v>4394</v>
      </c>
      <c r="U1567" s="73">
        <v>0.90555555555555556</v>
      </c>
      <c r="V1567" s="74">
        <v>0.91527777777777775</v>
      </c>
      <c r="W1567" s="75">
        <v>9.7222222222221877E-3</v>
      </c>
      <c r="X1567" s="74">
        <v>0.92361111111111116</v>
      </c>
      <c r="Y1567" s="75">
        <v>8.3333333333334147E-3</v>
      </c>
      <c r="Z1567" s="76">
        <v>41747</v>
      </c>
      <c r="AA1567" s="36" t="str">
        <f t="shared" si="474"/>
        <v>Internacional</v>
      </c>
      <c r="AB1567" s="36">
        <f t="shared" si="474"/>
        <v>9.1880341880341936E-3</v>
      </c>
      <c r="AC1567" s="36">
        <f t="shared" si="474"/>
        <v>9.2147435897436004E-3</v>
      </c>
      <c r="AD1567" s="36">
        <f t="shared" si="474"/>
        <v>1.8402777777777796E-2</v>
      </c>
      <c r="AE1567" s="36" t="str">
        <f t="shared" si="474"/>
        <v>ER4</v>
      </c>
      <c r="AF1567" s="36">
        <f t="shared" si="474"/>
        <v>50</v>
      </c>
      <c r="AG1567" s="36" t="str">
        <f t="shared" si="474"/>
        <v>IAH</v>
      </c>
    </row>
    <row r="1568" spans="18:33" x14ac:dyDescent="0.25">
      <c r="R1568">
        <v>1554</v>
      </c>
      <c r="S1568" s="36" t="str">
        <f t="shared" si="473"/>
        <v>UNIDOS VOLAMOS AIRLINES</v>
      </c>
      <c r="T1568" s="36">
        <f t="shared" si="473"/>
        <v>4394</v>
      </c>
      <c r="U1568" s="73">
        <v>0.91111111111111109</v>
      </c>
      <c r="V1568" s="74">
        <v>0.91875000000000007</v>
      </c>
      <c r="W1568" s="75">
        <v>7.6388888888889728E-3</v>
      </c>
      <c r="X1568" s="74">
        <v>0.92708333333333337</v>
      </c>
      <c r="Y1568" s="75">
        <v>8.3333333333333037E-3</v>
      </c>
      <c r="Z1568" s="76">
        <v>41749</v>
      </c>
      <c r="AA1568" s="36" t="str">
        <f t="shared" si="474"/>
        <v>Internacional</v>
      </c>
      <c r="AB1568" s="36">
        <f t="shared" si="474"/>
        <v>9.1880341880341936E-3</v>
      </c>
      <c r="AC1568" s="36">
        <f t="shared" si="474"/>
        <v>9.2147435897436004E-3</v>
      </c>
      <c r="AD1568" s="36">
        <f t="shared" si="474"/>
        <v>1.8402777777777796E-2</v>
      </c>
      <c r="AE1568" s="36" t="str">
        <f t="shared" si="474"/>
        <v>ER4</v>
      </c>
      <c r="AF1568" s="36">
        <f t="shared" si="474"/>
        <v>50</v>
      </c>
      <c r="AG1568" s="36" t="str">
        <f t="shared" si="474"/>
        <v>IAH</v>
      </c>
    </row>
    <row r="1569" spans="18:33" x14ac:dyDescent="0.25">
      <c r="R1569">
        <v>1555</v>
      </c>
      <c r="S1569" s="36" t="str">
        <f t="shared" si="473"/>
        <v>UNIDOS VOLAMOS AIRLINES</v>
      </c>
      <c r="T1569" s="36">
        <f t="shared" si="473"/>
        <v>4394</v>
      </c>
      <c r="U1569" s="73">
        <v>0.9</v>
      </c>
      <c r="V1569" s="74">
        <v>0.91805555555555562</v>
      </c>
      <c r="W1569" s="75">
        <v>1.8055555555555602E-2</v>
      </c>
      <c r="X1569" s="74">
        <v>0.92361111111111116</v>
      </c>
      <c r="Y1569" s="75">
        <v>5.5555555555555358E-3</v>
      </c>
      <c r="Z1569" s="76">
        <v>41748</v>
      </c>
      <c r="AA1569" s="36" t="str">
        <f t="shared" si="474"/>
        <v>Internacional</v>
      </c>
      <c r="AB1569" s="36">
        <f t="shared" si="474"/>
        <v>9.1880341880341936E-3</v>
      </c>
      <c r="AC1569" s="36">
        <f t="shared" si="474"/>
        <v>9.2147435897436004E-3</v>
      </c>
      <c r="AD1569" s="36">
        <f t="shared" si="474"/>
        <v>1.8402777777777796E-2</v>
      </c>
      <c r="AE1569" s="36" t="str">
        <f t="shared" si="474"/>
        <v>ER4</v>
      </c>
      <c r="AF1569" s="36">
        <f t="shared" si="474"/>
        <v>50</v>
      </c>
      <c r="AG1569" s="36" t="str">
        <f t="shared" si="474"/>
        <v>IAH</v>
      </c>
    </row>
    <row r="1570" spans="18:33" x14ac:dyDescent="0.25">
      <c r="R1570">
        <v>1556</v>
      </c>
      <c r="S1570" s="36" t="str">
        <f t="shared" si="473"/>
        <v>UNIDOS VOLAMOS AIRLINES</v>
      </c>
      <c r="T1570" s="36">
        <f t="shared" si="473"/>
        <v>4394</v>
      </c>
      <c r="U1570" s="73">
        <v>0.96944444444444444</v>
      </c>
      <c r="V1570" s="74">
        <v>0.97361111111111109</v>
      </c>
      <c r="W1570" s="75">
        <v>4.1666666666666519E-3</v>
      </c>
      <c r="X1570" s="74">
        <v>0.98611111111111116</v>
      </c>
      <c r="Y1570" s="75">
        <v>1.2500000000000067E-2</v>
      </c>
      <c r="Z1570" s="76">
        <v>41751</v>
      </c>
      <c r="AA1570" s="36" t="str">
        <f t="shared" si="474"/>
        <v>Internacional</v>
      </c>
      <c r="AB1570" s="36">
        <f t="shared" si="474"/>
        <v>9.1880341880341936E-3</v>
      </c>
      <c r="AC1570" s="36">
        <f t="shared" si="474"/>
        <v>9.2147435897436004E-3</v>
      </c>
      <c r="AD1570" s="36">
        <f t="shared" si="474"/>
        <v>1.8402777777777796E-2</v>
      </c>
      <c r="AE1570" s="36" t="str">
        <f t="shared" si="474"/>
        <v>ER4</v>
      </c>
      <c r="AF1570" s="36">
        <f t="shared" si="474"/>
        <v>50</v>
      </c>
      <c r="AG1570" s="36" t="str">
        <f t="shared" si="474"/>
        <v>IAH</v>
      </c>
    </row>
    <row r="1571" spans="18:33" x14ac:dyDescent="0.25">
      <c r="R1571">
        <v>1557</v>
      </c>
      <c r="S1571" s="36" t="str">
        <f t="shared" si="473"/>
        <v>UNIDOS VOLAMOS AIRLINES</v>
      </c>
      <c r="T1571" s="36">
        <f t="shared" si="473"/>
        <v>4394</v>
      </c>
      <c r="U1571" s="73">
        <v>0.9</v>
      </c>
      <c r="V1571" s="74">
        <v>0.91111111111111109</v>
      </c>
      <c r="W1571" s="75">
        <v>1.1111111111111072E-2</v>
      </c>
      <c r="X1571" s="74">
        <v>0.92361111111111116</v>
      </c>
      <c r="Y1571" s="75">
        <v>1.2500000000000067E-2</v>
      </c>
      <c r="Z1571" s="76">
        <v>41752</v>
      </c>
      <c r="AA1571" s="36" t="str">
        <f t="shared" si="474"/>
        <v>Internacional</v>
      </c>
      <c r="AB1571" s="36">
        <f t="shared" si="474"/>
        <v>9.1880341880341936E-3</v>
      </c>
      <c r="AC1571" s="36">
        <f t="shared" si="474"/>
        <v>9.2147435897436004E-3</v>
      </c>
      <c r="AD1571" s="36">
        <f t="shared" si="474"/>
        <v>1.8402777777777796E-2</v>
      </c>
      <c r="AE1571" s="36" t="str">
        <f t="shared" si="474"/>
        <v>ER4</v>
      </c>
      <c r="AF1571" s="36">
        <f t="shared" si="474"/>
        <v>50</v>
      </c>
      <c r="AG1571" s="36" t="str">
        <f t="shared" si="474"/>
        <v>IAH</v>
      </c>
    </row>
    <row r="1572" spans="18:33" x14ac:dyDescent="0.25">
      <c r="R1572">
        <v>1558</v>
      </c>
      <c r="S1572" s="36" t="str">
        <f t="shared" si="473"/>
        <v>UNIDOS VOLAMOS AIRLINES</v>
      </c>
      <c r="T1572" s="36">
        <f t="shared" si="473"/>
        <v>4394</v>
      </c>
      <c r="U1572" s="73">
        <v>0.91388888888888886</v>
      </c>
      <c r="V1572" s="74">
        <v>0.92361111111111116</v>
      </c>
      <c r="W1572" s="75">
        <v>9.7222222222222987E-3</v>
      </c>
      <c r="X1572" s="74">
        <v>0.9277777777777777</v>
      </c>
      <c r="Y1572" s="75">
        <v>4.1666666666665408E-3</v>
      </c>
      <c r="Z1572" s="76">
        <v>41752</v>
      </c>
      <c r="AA1572" s="36" t="str">
        <f t="shared" si="474"/>
        <v>Internacional</v>
      </c>
      <c r="AB1572" s="36">
        <f t="shared" si="474"/>
        <v>9.1880341880341936E-3</v>
      </c>
      <c r="AC1572" s="36">
        <f t="shared" si="474"/>
        <v>9.2147435897436004E-3</v>
      </c>
      <c r="AD1572" s="36">
        <f t="shared" si="474"/>
        <v>1.8402777777777796E-2</v>
      </c>
      <c r="AE1572" s="36" t="str">
        <f t="shared" si="474"/>
        <v>ER4</v>
      </c>
      <c r="AF1572" s="36">
        <f t="shared" si="474"/>
        <v>50</v>
      </c>
      <c r="AG1572" s="36" t="str">
        <f t="shared" si="474"/>
        <v>IAH</v>
      </c>
    </row>
    <row r="1573" spans="18:33" x14ac:dyDescent="0.25">
      <c r="R1573">
        <v>1559</v>
      </c>
      <c r="S1573" s="36" t="str">
        <f t="shared" si="473"/>
        <v>UNIDOS VOLAMOS AIRLINES</v>
      </c>
      <c r="T1573" s="36">
        <f t="shared" si="473"/>
        <v>4394</v>
      </c>
      <c r="U1573" s="73">
        <v>0.90416666666666667</v>
      </c>
      <c r="V1573" s="74">
        <v>0.91180555555555554</v>
      </c>
      <c r="W1573" s="75">
        <v>7.6388888888888618E-3</v>
      </c>
      <c r="X1573" s="74">
        <v>0.91666666666666663</v>
      </c>
      <c r="Y1573" s="75">
        <v>4.8611111111110938E-3</v>
      </c>
      <c r="Z1573" s="76">
        <v>41754</v>
      </c>
      <c r="AA1573" s="36" t="str">
        <f t="shared" si="474"/>
        <v>Internacional</v>
      </c>
      <c r="AB1573" s="36">
        <f t="shared" si="474"/>
        <v>9.1880341880341936E-3</v>
      </c>
      <c r="AC1573" s="36">
        <f t="shared" si="474"/>
        <v>9.2147435897436004E-3</v>
      </c>
      <c r="AD1573" s="36">
        <f t="shared" si="474"/>
        <v>1.8402777777777796E-2</v>
      </c>
      <c r="AE1573" s="36" t="str">
        <f t="shared" si="474"/>
        <v>ER4</v>
      </c>
      <c r="AF1573" s="36">
        <f t="shared" si="474"/>
        <v>50</v>
      </c>
      <c r="AG1573" s="36" t="str">
        <f t="shared" si="474"/>
        <v>IAH</v>
      </c>
    </row>
    <row r="1574" spans="18:33" x14ac:dyDescent="0.25">
      <c r="R1574">
        <v>1560</v>
      </c>
      <c r="S1574" s="36" t="str">
        <f t="shared" si="473"/>
        <v>UNIDOS VOLAMOS AIRLINES</v>
      </c>
      <c r="T1574" s="36">
        <f t="shared" si="473"/>
        <v>4394</v>
      </c>
      <c r="U1574" s="73">
        <v>0.90763888888888899</v>
      </c>
      <c r="V1574" s="74">
        <v>0.91736111111111107</v>
      </c>
      <c r="W1574" s="75">
        <v>9.7222222222220767E-3</v>
      </c>
      <c r="X1574" s="74">
        <v>0.9243055555555556</v>
      </c>
      <c r="Y1574" s="75">
        <v>6.9444444444445308E-3</v>
      </c>
      <c r="Z1574" s="76">
        <v>41755</v>
      </c>
      <c r="AA1574" s="36" t="str">
        <f t="shared" si="474"/>
        <v>Internacional</v>
      </c>
      <c r="AB1574" s="36">
        <f t="shared" si="474"/>
        <v>9.1880341880341936E-3</v>
      </c>
      <c r="AC1574" s="36">
        <f t="shared" si="474"/>
        <v>9.2147435897436004E-3</v>
      </c>
      <c r="AD1574" s="36">
        <f t="shared" si="474"/>
        <v>1.8402777777777796E-2</v>
      </c>
      <c r="AE1574" s="36" t="str">
        <f t="shared" si="474"/>
        <v>ER4</v>
      </c>
      <c r="AF1574" s="36">
        <f t="shared" si="474"/>
        <v>50</v>
      </c>
      <c r="AG1574" s="36" t="str">
        <f t="shared" si="474"/>
        <v>IAH</v>
      </c>
    </row>
    <row r="1575" spans="18:33" x14ac:dyDescent="0.25">
      <c r="R1575">
        <v>1561</v>
      </c>
      <c r="S1575" s="36" t="str">
        <f t="shared" si="473"/>
        <v>UNIDOS VOLAMOS AIRLINES</v>
      </c>
      <c r="T1575" s="36">
        <f t="shared" si="473"/>
        <v>4394</v>
      </c>
      <c r="U1575" s="73">
        <v>0.90069444444444446</v>
      </c>
      <c r="V1575" s="74">
        <v>0.91180555555555554</v>
      </c>
      <c r="W1575" s="75">
        <v>1.1111111111111072E-2</v>
      </c>
      <c r="X1575" s="74">
        <v>0.92083333333333339</v>
      </c>
      <c r="Y1575" s="75">
        <v>9.0277777777778567E-3</v>
      </c>
      <c r="Z1575" s="76">
        <v>41756</v>
      </c>
      <c r="AA1575" s="36" t="str">
        <f t="shared" si="474"/>
        <v>Internacional</v>
      </c>
      <c r="AB1575" s="36">
        <f t="shared" si="474"/>
        <v>9.1880341880341936E-3</v>
      </c>
      <c r="AC1575" s="36">
        <f t="shared" si="474"/>
        <v>9.2147435897436004E-3</v>
      </c>
      <c r="AD1575" s="36">
        <f t="shared" si="474"/>
        <v>1.8402777777777796E-2</v>
      </c>
      <c r="AE1575" s="36" t="str">
        <f t="shared" si="474"/>
        <v>ER4</v>
      </c>
      <c r="AF1575" s="36">
        <f t="shared" si="474"/>
        <v>50</v>
      </c>
      <c r="AG1575" s="36" t="str">
        <f t="shared" si="474"/>
        <v>IAH</v>
      </c>
    </row>
    <row r="1576" spans="18:33" x14ac:dyDescent="0.25">
      <c r="R1576">
        <v>1562</v>
      </c>
      <c r="S1576" s="36" t="str">
        <f t="shared" si="473"/>
        <v>UNIDOS VOLAMOS AIRLINES</v>
      </c>
      <c r="T1576" s="36">
        <f t="shared" si="473"/>
        <v>4394</v>
      </c>
      <c r="U1576" s="73">
        <v>0.92013888888888884</v>
      </c>
      <c r="V1576" s="74">
        <v>0.92361111111111116</v>
      </c>
      <c r="W1576" s="75">
        <v>3.4722222222223209E-3</v>
      </c>
      <c r="X1576" s="74">
        <v>0.93541666666666667</v>
      </c>
      <c r="Y1576" s="75">
        <v>1.1805555555555514E-2</v>
      </c>
      <c r="Z1576" s="76">
        <v>41757</v>
      </c>
      <c r="AA1576" s="36" t="str">
        <f t="shared" si="474"/>
        <v>Internacional</v>
      </c>
      <c r="AB1576" s="36">
        <f t="shared" si="474"/>
        <v>9.1880341880341936E-3</v>
      </c>
      <c r="AC1576" s="36">
        <f t="shared" si="474"/>
        <v>9.2147435897436004E-3</v>
      </c>
      <c r="AD1576" s="36">
        <f t="shared" si="474"/>
        <v>1.8402777777777796E-2</v>
      </c>
      <c r="AE1576" s="36" t="str">
        <f t="shared" si="474"/>
        <v>ER4</v>
      </c>
      <c r="AF1576" s="36">
        <f t="shared" si="474"/>
        <v>50</v>
      </c>
      <c r="AG1576" s="36" t="str">
        <f t="shared" si="474"/>
        <v>IAH</v>
      </c>
    </row>
    <row r="1577" spans="18:33" x14ac:dyDescent="0.25">
      <c r="R1577">
        <v>1563</v>
      </c>
      <c r="S1577" s="36" t="str">
        <f t="shared" si="473"/>
        <v>UNIDOS VOLAMOS AIRLINES</v>
      </c>
      <c r="T1577" s="36">
        <f t="shared" si="473"/>
        <v>4394</v>
      </c>
      <c r="U1577" s="73">
        <v>0.9375</v>
      </c>
      <c r="V1577" s="74">
        <v>0.94305555555555554</v>
      </c>
      <c r="W1577" s="75">
        <v>5.5555555555555358E-3</v>
      </c>
      <c r="X1577" s="74">
        <v>0.95486111111111116</v>
      </c>
      <c r="Y1577" s="75">
        <v>1.1805555555555625E-2</v>
      </c>
      <c r="Z1577" s="76">
        <v>41758</v>
      </c>
      <c r="AA1577" s="36" t="str">
        <f t="shared" si="474"/>
        <v>Internacional</v>
      </c>
      <c r="AB1577" s="36">
        <f t="shared" si="474"/>
        <v>9.1880341880341936E-3</v>
      </c>
      <c r="AC1577" s="36">
        <f t="shared" si="474"/>
        <v>9.2147435897436004E-3</v>
      </c>
      <c r="AD1577" s="36">
        <f t="shared" si="474"/>
        <v>1.8402777777777796E-2</v>
      </c>
      <c r="AE1577" s="36" t="str">
        <f t="shared" si="474"/>
        <v>ER4</v>
      </c>
      <c r="AF1577" s="36">
        <f t="shared" si="474"/>
        <v>50</v>
      </c>
      <c r="AG1577" s="36" t="str">
        <f t="shared" si="474"/>
        <v>IAH</v>
      </c>
    </row>
    <row r="1578" spans="18:33" ht="15.75" thickBot="1" x14ac:dyDescent="0.3">
      <c r="R1578">
        <v>1564</v>
      </c>
      <c r="S1578" s="36" t="str">
        <f t="shared" si="473"/>
        <v>UNIDOS VOLAMOS AIRLINES</v>
      </c>
      <c r="T1578" s="36">
        <f t="shared" si="473"/>
        <v>4394</v>
      </c>
      <c r="U1578" s="83">
        <v>0.9194444444444444</v>
      </c>
      <c r="V1578" s="84">
        <v>0.9291666666666667</v>
      </c>
      <c r="W1578" s="85">
        <v>9.7222222222222987E-3</v>
      </c>
      <c r="X1578" s="84">
        <v>0.94027777777777777</v>
      </c>
      <c r="Y1578" s="85">
        <v>1.1111111111111072E-2</v>
      </c>
      <c r="Z1578" s="86">
        <v>41759</v>
      </c>
      <c r="AA1578" s="36" t="str">
        <f t="shared" si="474"/>
        <v>Internacional</v>
      </c>
      <c r="AB1578" s="36">
        <f t="shared" si="474"/>
        <v>9.1880341880341936E-3</v>
      </c>
      <c r="AC1578" s="36">
        <f t="shared" si="474"/>
        <v>9.2147435897436004E-3</v>
      </c>
      <c r="AD1578" s="36">
        <f t="shared" si="474"/>
        <v>1.8402777777777796E-2</v>
      </c>
      <c r="AE1578" s="36" t="str">
        <f t="shared" si="474"/>
        <v>ER4</v>
      </c>
      <c r="AF1578" s="36">
        <f t="shared" si="474"/>
        <v>50</v>
      </c>
      <c r="AG1578" s="36" t="str">
        <f t="shared" si="474"/>
        <v>IAH</v>
      </c>
    </row>
    <row r="1579" spans="18:33" x14ac:dyDescent="0.25">
      <c r="R1579">
        <v>1565</v>
      </c>
      <c r="S1579" s="36" t="str">
        <f t="shared" si="473"/>
        <v>UNIDOS VOLAMOS AIRLINES</v>
      </c>
      <c r="T1579" s="55">
        <v>4489</v>
      </c>
      <c r="U1579" s="56">
        <v>0.87777777777777777</v>
      </c>
      <c r="V1579" s="57">
        <v>0.8881944444444444</v>
      </c>
      <c r="W1579" s="58">
        <v>1.041666666666663E-2</v>
      </c>
      <c r="X1579" s="57">
        <v>0.89444444444444438</v>
      </c>
      <c r="Y1579" s="58">
        <v>6.2499999999999778E-3</v>
      </c>
      <c r="Z1579" s="59">
        <v>41735</v>
      </c>
      <c r="AA1579" s="60" t="s">
        <v>22</v>
      </c>
      <c r="AB1579" s="61">
        <v>1.0416666666666635E-2</v>
      </c>
      <c r="AC1579" s="61">
        <v>1.1647727272727266E-2</v>
      </c>
      <c r="AD1579" s="231">
        <v>2.2064393939393901E-2</v>
      </c>
      <c r="AE1579" s="132" t="s">
        <v>20</v>
      </c>
      <c r="AF1579" s="132">
        <v>50</v>
      </c>
      <c r="AG1579" s="132" t="s">
        <v>54</v>
      </c>
    </row>
    <row r="1580" spans="18:33" x14ac:dyDescent="0.25">
      <c r="R1580">
        <v>1566</v>
      </c>
      <c r="S1580" s="36" t="str">
        <f t="shared" si="473"/>
        <v>UNIDOS VOLAMOS AIRLINES</v>
      </c>
      <c r="T1580" s="36">
        <f t="shared" si="473"/>
        <v>4489</v>
      </c>
      <c r="U1580" s="73">
        <v>0.85902777777777783</v>
      </c>
      <c r="V1580" s="74">
        <v>0.87083333333333324</v>
      </c>
      <c r="W1580" s="75">
        <v>1.1805555555555403E-2</v>
      </c>
      <c r="X1580" s="74">
        <v>0.87847222222222221</v>
      </c>
      <c r="Y1580" s="75">
        <v>7.6388888888889728E-3</v>
      </c>
      <c r="Z1580" s="76">
        <v>41736</v>
      </c>
      <c r="AA1580" s="36" t="str">
        <f t="shared" ref="AA1580:AG1600" si="475">AA1579</f>
        <v>Internacional</v>
      </c>
      <c r="AB1580" s="36">
        <f t="shared" si="475"/>
        <v>1.0416666666666635E-2</v>
      </c>
      <c r="AC1580" s="36">
        <f t="shared" si="475"/>
        <v>1.1647727272727266E-2</v>
      </c>
      <c r="AD1580" s="36">
        <f t="shared" si="475"/>
        <v>2.2064393939393901E-2</v>
      </c>
      <c r="AE1580" s="36" t="str">
        <f t="shared" si="475"/>
        <v>ER4</v>
      </c>
      <c r="AF1580" s="36">
        <f t="shared" si="475"/>
        <v>50</v>
      </c>
      <c r="AG1580" s="36" t="str">
        <f t="shared" si="475"/>
        <v>IAH</v>
      </c>
    </row>
    <row r="1581" spans="18:33" x14ac:dyDescent="0.25">
      <c r="R1581">
        <v>1567</v>
      </c>
      <c r="S1581" s="36" t="str">
        <f t="shared" si="473"/>
        <v>UNIDOS VOLAMOS AIRLINES</v>
      </c>
      <c r="T1581" s="36">
        <f t="shared" si="473"/>
        <v>4489</v>
      </c>
      <c r="U1581" s="73">
        <v>0.86597222222222225</v>
      </c>
      <c r="V1581" s="74">
        <v>0.87222222222222223</v>
      </c>
      <c r="W1581" s="75">
        <v>6.2499999999999778E-3</v>
      </c>
      <c r="X1581" s="74">
        <v>0.89097222222222217</v>
      </c>
      <c r="Y1581" s="75">
        <v>1.8749999999999933E-2</v>
      </c>
      <c r="Z1581" s="76">
        <v>41737</v>
      </c>
      <c r="AA1581" s="36" t="str">
        <f t="shared" si="475"/>
        <v>Internacional</v>
      </c>
      <c r="AB1581" s="36">
        <f t="shared" si="475"/>
        <v>1.0416666666666635E-2</v>
      </c>
      <c r="AC1581" s="36">
        <f t="shared" si="475"/>
        <v>1.1647727272727266E-2</v>
      </c>
      <c r="AD1581" s="36">
        <f t="shared" si="475"/>
        <v>2.2064393939393901E-2</v>
      </c>
      <c r="AE1581" s="36" t="str">
        <f t="shared" si="475"/>
        <v>ER4</v>
      </c>
      <c r="AF1581" s="36">
        <f t="shared" si="475"/>
        <v>50</v>
      </c>
      <c r="AG1581" s="36" t="str">
        <f t="shared" si="475"/>
        <v>IAH</v>
      </c>
    </row>
    <row r="1582" spans="18:33" x14ac:dyDescent="0.25">
      <c r="R1582">
        <v>1568</v>
      </c>
      <c r="S1582" s="36" t="str">
        <f t="shared" si="473"/>
        <v>UNIDOS VOLAMOS AIRLINES</v>
      </c>
      <c r="T1582" s="36">
        <f t="shared" si="473"/>
        <v>4489</v>
      </c>
      <c r="U1582" s="73">
        <v>0.87777777777777777</v>
      </c>
      <c r="V1582" s="74">
        <v>0.8881944444444444</v>
      </c>
      <c r="W1582" s="75">
        <v>1.041666666666663E-2</v>
      </c>
      <c r="X1582" s="74">
        <v>0.8930555555555556</v>
      </c>
      <c r="Y1582" s="75">
        <v>4.8611111111112049E-3</v>
      </c>
      <c r="Z1582" s="76">
        <v>41738</v>
      </c>
      <c r="AA1582" s="36" t="str">
        <f t="shared" si="475"/>
        <v>Internacional</v>
      </c>
      <c r="AB1582" s="36">
        <f t="shared" si="475"/>
        <v>1.0416666666666635E-2</v>
      </c>
      <c r="AC1582" s="36">
        <f t="shared" si="475"/>
        <v>1.1647727272727266E-2</v>
      </c>
      <c r="AD1582" s="36">
        <f t="shared" si="475"/>
        <v>2.2064393939393901E-2</v>
      </c>
      <c r="AE1582" s="36" t="str">
        <f t="shared" si="475"/>
        <v>ER4</v>
      </c>
      <c r="AF1582" s="36">
        <f t="shared" si="475"/>
        <v>50</v>
      </c>
      <c r="AG1582" s="36" t="str">
        <f t="shared" si="475"/>
        <v>IAH</v>
      </c>
    </row>
    <row r="1583" spans="18:33" x14ac:dyDescent="0.25">
      <c r="R1583">
        <v>1569</v>
      </c>
      <c r="S1583" s="36" t="str">
        <f t="shared" si="473"/>
        <v>UNIDOS VOLAMOS AIRLINES</v>
      </c>
      <c r="T1583" s="36">
        <f t="shared" si="473"/>
        <v>4489</v>
      </c>
      <c r="U1583" s="73">
        <v>0.8666666666666667</v>
      </c>
      <c r="V1583" s="74">
        <v>0.875</v>
      </c>
      <c r="W1583" s="75">
        <v>8.3333333333333037E-3</v>
      </c>
      <c r="X1583" s="74">
        <v>0.88402777777777775</v>
      </c>
      <c r="Y1583" s="75">
        <v>9.0277777777777457E-3</v>
      </c>
      <c r="Z1583" s="76">
        <v>41739</v>
      </c>
      <c r="AA1583" s="36" t="str">
        <f t="shared" si="475"/>
        <v>Internacional</v>
      </c>
      <c r="AB1583" s="36">
        <f t="shared" si="475"/>
        <v>1.0416666666666635E-2</v>
      </c>
      <c r="AC1583" s="36">
        <f t="shared" si="475"/>
        <v>1.1647727272727266E-2</v>
      </c>
      <c r="AD1583" s="36">
        <f t="shared" si="475"/>
        <v>2.2064393939393901E-2</v>
      </c>
      <c r="AE1583" s="36" t="str">
        <f t="shared" si="475"/>
        <v>ER4</v>
      </c>
      <c r="AF1583" s="36">
        <f t="shared" si="475"/>
        <v>50</v>
      </c>
      <c r="AG1583" s="36" t="str">
        <f t="shared" si="475"/>
        <v>IAH</v>
      </c>
    </row>
    <row r="1584" spans="18:33" x14ac:dyDescent="0.25">
      <c r="R1584">
        <v>1570</v>
      </c>
      <c r="S1584" s="36" t="str">
        <f t="shared" si="473"/>
        <v>UNIDOS VOLAMOS AIRLINES</v>
      </c>
      <c r="T1584" s="36">
        <f t="shared" si="473"/>
        <v>4489</v>
      </c>
      <c r="U1584" s="73">
        <v>0.8569444444444444</v>
      </c>
      <c r="V1584" s="74">
        <v>0.86805555555555547</v>
      </c>
      <c r="W1584" s="75">
        <v>1.1111111111111072E-2</v>
      </c>
      <c r="X1584" s="74">
        <v>0.87847222222222221</v>
      </c>
      <c r="Y1584" s="75">
        <v>1.0416666666666741E-2</v>
      </c>
      <c r="Z1584" s="76">
        <v>41740</v>
      </c>
      <c r="AA1584" s="36" t="str">
        <f t="shared" si="475"/>
        <v>Internacional</v>
      </c>
      <c r="AB1584" s="36">
        <f t="shared" si="475"/>
        <v>1.0416666666666635E-2</v>
      </c>
      <c r="AC1584" s="36">
        <f t="shared" si="475"/>
        <v>1.1647727272727266E-2</v>
      </c>
      <c r="AD1584" s="36">
        <f t="shared" si="475"/>
        <v>2.2064393939393901E-2</v>
      </c>
      <c r="AE1584" s="36" t="str">
        <f t="shared" si="475"/>
        <v>ER4</v>
      </c>
      <c r="AF1584" s="36">
        <f t="shared" si="475"/>
        <v>50</v>
      </c>
      <c r="AG1584" s="36" t="str">
        <f t="shared" si="475"/>
        <v>IAH</v>
      </c>
    </row>
    <row r="1585" spans="18:33" x14ac:dyDescent="0.25">
      <c r="R1585">
        <v>1571</v>
      </c>
      <c r="S1585" s="36" t="str">
        <f t="shared" si="473"/>
        <v>UNIDOS VOLAMOS AIRLINES</v>
      </c>
      <c r="T1585" s="36">
        <f t="shared" si="473"/>
        <v>4489</v>
      </c>
      <c r="U1585" s="73">
        <v>0.87638888888888899</v>
      </c>
      <c r="V1585" s="74">
        <v>0.8847222222222223</v>
      </c>
      <c r="W1585" s="75">
        <v>8.3333333333333037E-3</v>
      </c>
      <c r="X1585" s="74">
        <v>0.89097222222222217</v>
      </c>
      <c r="Y1585" s="75">
        <v>6.2499999999998668E-3</v>
      </c>
      <c r="Z1585" s="76">
        <v>41743</v>
      </c>
      <c r="AA1585" s="36" t="str">
        <f t="shared" si="475"/>
        <v>Internacional</v>
      </c>
      <c r="AB1585" s="36">
        <f t="shared" si="475"/>
        <v>1.0416666666666635E-2</v>
      </c>
      <c r="AC1585" s="36">
        <f t="shared" si="475"/>
        <v>1.1647727272727266E-2</v>
      </c>
      <c r="AD1585" s="36">
        <f t="shared" si="475"/>
        <v>2.2064393939393901E-2</v>
      </c>
      <c r="AE1585" s="36" t="str">
        <f t="shared" si="475"/>
        <v>ER4</v>
      </c>
      <c r="AF1585" s="36">
        <f t="shared" si="475"/>
        <v>50</v>
      </c>
      <c r="AG1585" s="36" t="str">
        <f t="shared" si="475"/>
        <v>IAH</v>
      </c>
    </row>
    <row r="1586" spans="18:33" x14ac:dyDescent="0.25">
      <c r="R1586">
        <v>1572</v>
      </c>
      <c r="S1586" s="36" t="str">
        <f t="shared" si="473"/>
        <v>UNIDOS VOLAMOS AIRLINES</v>
      </c>
      <c r="T1586" s="36">
        <f t="shared" si="473"/>
        <v>4489</v>
      </c>
      <c r="U1586" s="73">
        <v>0.85069444444444453</v>
      </c>
      <c r="V1586" s="74">
        <v>0.86111111111111116</v>
      </c>
      <c r="W1586" s="75">
        <v>1.041666666666663E-2</v>
      </c>
      <c r="X1586" s="74">
        <v>0.87361111111111101</v>
      </c>
      <c r="Y1586" s="75">
        <v>1.2499999999999845E-2</v>
      </c>
      <c r="Z1586" s="76">
        <v>41745</v>
      </c>
      <c r="AA1586" s="36" t="str">
        <f t="shared" si="475"/>
        <v>Internacional</v>
      </c>
      <c r="AB1586" s="36">
        <f t="shared" si="475"/>
        <v>1.0416666666666635E-2</v>
      </c>
      <c r="AC1586" s="36">
        <f t="shared" si="475"/>
        <v>1.1647727272727266E-2</v>
      </c>
      <c r="AD1586" s="36">
        <f t="shared" si="475"/>
        <v>2.2064393939393901E-2</v>
      </c>
      <c r="AE1586" s="36" t="str">
        <f t="shared" si="475"/>
        <v>ER4</v>
      </c>
      <c r="AF1586" s="36">
        <f t="shared" si="475"/>
        <v>50</v>
      </c>
      <c r="AG1586" s="36" t="str">
        <f t="shared" si="475"/>
        <v>IAH</v>
      </c>
    </row>
    <row r="1587" spans="18:33" x14ac:dyDescent="0.25">
      <c r="R1587">
        <v>1573</v>
      </c>
      <c r="S1587" s="36" t="str">
        <f t="shared" si="473"/>
        <v>UNIDOS VOLAMOS AIRLINES</v>
      </c>
      <c r="T1587" s="36">
        <f t="shared" si="473"/>
        <v>4489</v>
      </c>
      <c r="U1587" s="73">
        <v>0.84583333333333333</v>
      </c>
      <c r="V1587" s="74">
        <v>0.8534722222222223</v>
      </c>
      <c r="W1587" s="75">
        <v>7.6388888888889728E-3</v>
      </c>
      <c r="X1587" s="74">
        <v>0.86736111111111114</v>
      </c>
      <c r="Y1587" s="75">
        <v>1.388888888888884E-2</v>
      </c>
      <c r="Z1587" s="76">
        <v>41744</v>
      </c>
      <c r="AA1587" s="36" t="str">
        <f t="shared" si="475"/>
        <v>Internacional</v>
      </c>
      <c r="AB1587" s="36">
        <f t="shared" si="475"/>
        <v>1.0416666666666635E-2</v>
      </c>
      <c r="AC1587" s="36">
        <f t="shared" si="475"/>
        <v>1.1647727272727266E-2</v>
      </c>
      <c r="AD1587" s="36">
        <f t="shared" si="475"/>
        <v>2.2064393939393901E-2</v>
      </c>
      <c r="AE1587" s="36" t="str">
        <f t="shared" si="475"/>
        <v>ER4</v>
      </c>
      <c r="AF1587" s="36">
        <f t="shared" si="475"/>
        <v>50</v>
      </c>
      <c r="AG1587" s="36" t="str">
        <f t="shared" si="475"/>
        <v>IAH</v>
      </c>
    </row>
    <row r="1588" spans="18:33" x14ac:dyDescent="0.25">
      <c r="R1588">
        <v>1574</v>
      </c>
      <c r="S1588" s="36" t="str">
        <f t="shared" si="473"/>
        <v>UNIDOS VOLAMOS AIRLINES</v>
      </c>
      <c r="T1588" s="36">
        <f t="shared" si="473"/>
        <v>4489</v>
      </c>
      <c r="U1588" s="73">
        <v>0.84791666666666676</v>
      </c>
      <c r="V1588" s="74">
        <v>0.85972222222222217</v>
      </c>
      <c r="W1588" s="75">
        <v>1.1805555555555403E-2</v>
      </c>
      <c r="X1588" s="74">
        <v>0.86805555555555547</v>
      </c>
      <c r="Y1588" s="75">
        <v>8.3333333333333037E-3</v>
      </c>
      <c r="Z1588" s="76">
        <v>41746</v>
      </c>
      <c r="AA1588" s="36" t="str">
        <f t="shared" si="475"/>
        <v>Internacional</v>
      </c>
      <c r="AB1588" s="36">
        <f t="shared" si="475"/>
        <v>1.0416666666666635E-2</v>
      </c>
      <c r="AC1588" s="36">
        <f t="shared" si="475"/>
        <v>1.1647727272727266E-2</v>
      </c>
      <c r="AD1588" s="36">
        <f t="shared" si="475"/>
        <v>2.2064393939393901E-2</v>
      </c>
      <c r="AE1588" s="36" t="str">
        <f t="shared" si="475"/>
        <v>ER4</v>
      </c>
      <c r="AF1588" s="36">
        <f t="shared" si="475"/>
        <v>50</v>
      </c>
      <c r="AG1588" s="36" t="str">
        <f t="shared" si="475"/>
        <v>IAH</v>
      </c>
    </row>
    <row r="1589" spans="18:33" x14ac:dyDescent="0.25">
      <c r="R1589">
        <v>1575</v>
      </c>
      <c r="S1589" s="36" t="str">
        <f t="shared" si="473"/>
        <v>UNIDOS VOLAMOS AIRLINES</v>
      </c>
      <c r="T1589" s="36">
        <f t="shared" si="473"/>
        <v>4489</v>
      </c>
      <c r="U1589" s="73">
        <v>0.84375</v>
      </c>
      <c r="V1589" s="74">
        <v>0.85555555555555562</v>
      </c>
      <c r="W1589" s="75">
        <v>1.1805555555555625E-2</v>
      </c>
      <c r="X1589" s="74">
        <v>0.87847222222222221</v>
      </c>
      <c r="Y1589" s="75">
        <v>2.2916666666666585E-2</v>
      </c>
      <c r="Z1589" s="76">
        <v>41747</v>
      </c>
      <c r="AA1589" s="36" t="str">
        <f t="shared" si="475"/>
        <v>Internacional</v>
      </c>
      <c r="AB1589" s="36">
        <f t="shared" si="475"/>
        <v>1.0416666666666635E-2</v>
      </c>
      <c r="AC1589" s="36">
        <f t="shared" si="475"/>
        <v>1.1647727272727266E-2</v>
      </c>
      <c r="AD1589" s="36">
        <f t="shared" si="475"/>
        <v>2.2064393939393901E-2</v>
      </c>
      <c r="AE1589" s="36" t="str">
        <f t="shared" si="475"/>
        <v>ER4</v>
      </c>
      <c r="AF1589" s="36">
        <f t="shared" si="475"/>
        <v>50</v>
      </c>
      <c r="AG1589" s="36" t="str">
        <f t="shared" si="475"/>
        <v>IAH</v>
      </c>
    </row>
    <row r="1590" spans="18:33" x14ac:dyDescent="0.25">
      <c r="R1590">
        <v>1576</v>
      </c>
      <c r="S1590" s="36" t="str">
        <f t="shared" si="473"/>
        <v>UNIDOS VOLAMOS AIRLINES</v>
      </c>
      <c r="T1590" s="36">
        <f t="shared" si="473"/>
        <v>4489</v>
      </c>
      <c r="U1590" s="73">
        <v>0.85902777777777783</v>
      </c>
      <c r="V1590" s="74">
        <v>0.87152777777777779</v>
      </c>
      <c r="W1590" s="75">
        <v>1.2499999999999956E-2</v>
      </c>
      <c r="X1590" s="74">
        <v>0.87708333333333333</v>
      </c>
      <c r="Y1590" s="75">
        <v>5.5555555555555358E-3</v>
      </c>
      <c r="Z1590" s="76">
        <v>41749</v>
      </c>
      <c r="AA1590" s="36" t="str">
        <f t="shared" si="475"/>
        <v>Internacional</v>
      </c>
      <c r="AB1590" s="36">
        <f t="shared" si="475"/>
        <v>1.0416666666666635E-2</v>
      </c>
      <c r="AC1590" s="36">
        <f t="shared" si="475"/>
        <v>1.1647727272727266E-2</v>
      </c>
      <c r="AD1590" s="36">
        <f t="shared" si="475"/>
        <v>2.2064393939393901E-2</v>
      </c>
      <c r="AE1590" s="36" t="str">
        <f t="shared" si="475"/>
        <v>ER4</v>
      </c>
      <c r="AF1590" s="36">
        <f t="shared" si="475"/>
        <v>50</v>
      </c>
      <c r="AG1590" s="36" t="str">
        <f t="shared" si="475"/>
        <v>IAH</v>
      </c>
    </row>
    <row r="1591" spans="18:33" x14ac:dyDescent="0.25">
      <c r="R1591">
        <v>1577</v>
      </c>
      <c r="S1591" s="36" t="str">
        <f t="shared" si="473"/>
        <v>UNIDOS VOLAMOS AIRLINES</v>
      </c>
      <c r="T1591" s="36">
        <f t="shared" si="473"/>
        <v>4489</v>
      </c>
      <c r="U1591" s="73">
        <v>0.86111111111111116</v>
      </c>
      <c r="V1591" s="74">
        <v>0.86875000000000002</v>
      </c>
      <c r="W1591" s="75">
        <v>7.6388888888888618E-3</v>
      </c>
      <c r="X1591" s="74">
        <v>0.87291666666666667</v>
      </c>
      <c r="Y1591" s="75">
        <v>4.1666666666666519E-3</v>
      </c>
      <c r="Z1591" s="76">
        <v>41748</v>
      </c>
      <c r="AA1591" s="36" t="str">
        <f t="shared" si="475"/>
        <v>Internacional</v>
      </c>
      <c r="AB1591" s="36">
        <f t="shared" si="475"/>
        <v>1.0416666666666635E-2</v>
      </c>
      <c r="AC1591" s="36">
        <f t="shared" si="475"/>
        <v>1.1647727272727266E-2</v>
      </c>
      <c r="AD1591" s="36">
        <f t="shared" si="475"/>
        <v>2.2064393939393901E-2</v>
      </c>
      <c r="AE1591" s="36" t="str">
        <f t="shared" si="475"/>
        <v>ER4</v>
      </c>
      <c r="AF1591" s="36">
        <f t="shared" si="475"/>
        <v>50</v>
      </c>
      <c r="AG1591" s="36" t="str">
        <f t="shared" si="475"/>
        <v>IAH</v>
      </c>
    </row>
    <row r="1592" spans="18:33" x14ac:dyDescent="0.25">
      <c r="R1592">
        <v>1578</v>
      </c>
      <c r="S1592" s="36" t="str">
        <f t="shared" si="473"/>
        <v>UNIDOS VOLAMOS AIRLINES</v>
      </c>
      <c r="T1592" s="36">
        <f t="shared" si="473"/>
        <v>4489</v>
      </c>
      <c r="U1592" s="73">
        <v>0.85555555555555562</v>
      </c>
      <c r="V1592" s="74">
        <v>0.86458333333333337</v>
      </c>
      <c r="W1592" s="75">
        <v>9.0277777777777457E-3</v>
      </c>
      <c r="X1592" s="74">
        <v>0.87708333333333333</v>
      </c>
      <c r="Y1592" s="75">
        <v>1.2499999999999956E-2</v>
      </c>
      <c r="Z1592" s="76">
        <v>41751</v>
      </c>
      <c r="AA1592" s="36" t="str">
        <f t="shared" si="475"/>
        <v>Internacional</v>
      </c>
      <c r="AB1592" s="36">
        <f t="shared" si="475"/>
        <v>1.0416666666666635E-2</v>
      </c>
      <c r="AC1592" s="36">
        <f t="shared" si="475"/>
        <v>1.1647727272727266E-2</v>
      </c>
      <c r="AD1592" s="36">
        <f t="shared" si="475"/>
        <v>2.2064393939393901E-2</v>
      </c>
      <c r="AE1592" s="36" t="str">
        <f t="shared" si="475"/>
        <v>ER4</v>
      </c>
      <c r="AF1592" s="36">
        <f t="shared" si="475"/>
        <v>50</v>
      </c>
      <c r="AG1592" s="36" t="str">
        <f t="shared" si="475"/>
        <v>IAH</v>
      </c>
    </row>
    <row r="1593" spans="18:33" x14ac:dyDescent="0.25">
      <c r="R1593">
        <v>1579</v>
      </c>
      <c r="S1593" s="36" t="str">
        <f t="shared" si="473"/>
        <v>UNIDOS VOLAMOS AIRLINES</v>
      </c>
      <c r="T1593" s="36">
        <f t="shared" si="473"/>
        <v>4489</v>
      </c>
      <c r="U1593" s="73">
        <v>0.85277777777777775</v>
      </c>
      <c r="V1593" s="74">
        <v>0.8618055555555556</v>
      </c>
      <c r="W1593" s="75">
        <v>9.0277777777778567E-3</v>
      </c>
      <c r="X1593" s="74">
        <v>0.87013888888888891</v>
      </c>
      <c r="Y1593" s="75">
        <v>8.3333333333333037E-3</v>
      </c>
      <c r="Z1593" s="76">
        <v>41752</v>
      </c>
      <c r="AA1593" s="36" t="str">
        <f t="shared" si="475"/>
        <v>Internacional</v>
      </c>
      <c r="AB1593" s="36">
        <f t="shared" si="475"/>
        <v>1.0416666666666635E-2</v>
      </c>
      <c r="AC1593" s="36">
        <f t="shared" si="475"/>
        <v>1.1647727272727266E-2</v>
      </c>
      <c r="AD1593" s="36">
        <f t="shared" si="475"/>
        <v>2.2064393939393901E-2</v>
      </c>
      <c r="AE1593" s="36" t="str">
        <f t="shared" si="475"/>
        <v>ER4</v>
      </c>
      <c r="AF1593" s="36">
        <f t="shared" si="475"/>
        <v>50</v>
      </c>
      <c r="AG1593" s="36" t="str">
        <f t="shared" si="475"/>
        <v>IAH</v>
      </c>
    </row>
    <row r="1594" spans="18:33" x14ac:dyDescent="0.25">
      <c r="R1594">
        <v>1580</v>
      </c>
      <c r="S1594" s="36" t="str">
        <f t="shared" si="473"/>
        <v>UNIDOS VOLAMOS AIRLINES</v>
      </c>
      <c r="T1594" s="36">
        <f t="shared" si="473"/>
        <v>4489</v>
      </c>
      <c r="U1594" s="73">
        <v>0.85069444444444453</v>
      </c>
      <c r="V1594" s="74">
        <v>0.86805555555555547</v>
      </c>
      <c r="W1594" s="75">
        <v>1.7361111111110938E-2</v>
      </c>
      <c r="X1594" s="74">
        <v>0.87638888888888899</v>
      </c>
      <c r="Y1594" s="75">
        <v>8.3333333333335258E-3</v>
      </c>
      <c r="Z1594" s="76">
        <v>41752</v>
      </c>
      <c r="AA1594" s="36" t="str">
        <f t="shared" si="475"/>
        <v>Internacional</v>
      </c>
      <c r="AB1594" s="36">
        <f t="shared" si="475"/>
        <v>1.0416666666666635E-2</v>
      </c>
      <c r="AC1594" s="36">
        <f t="shared" si="475"/>
        <v>1.1647727272727266E-2</v>
      </c>
      <c r="AD1594" s="36">
        <f t="shared" si="475"/>
        <v>2.2064393939393901E-2</v>
      </c>
      <c r="AE1594" s="36" t="str">
        <f t="shared" si="475"/>
        <v>ER4</v>
      </c>
      <c r="AF1594" s="36">
        <f t="shared" si="475"/>
        <v>50</v>
      </c>
      <c r="AG1594" s="36" t="str">
        <f t="shared" si="475"/>
        <v>IAH</v>
      </c>
    </row>
    <row r="1595" spans="18:33" x14ac:dyDescent="0.25">
      <c r="R1595">
        <v>1581</v>
      </c>
      <c r="S1595" s="36" t="str">
        <f t="shared" si="473"/>
        <v>UNIDOS VOLAMOS AIRLINES</v>
      </c>
      <c r="T1595" s="36">
        <f t="shared" si="473"/>
        <v>4489</v>
      </c>
      <c r="U1595" s="73">
        <v>0.86041666666666661</v>
      </c>
      <c r="V1595" s="74">
        <v>0.86805555555555547</v>
      </c>
      <c r="W1595" s="75">
        <v>7.6388888888888618E-3</v>
      </c>
      <c r="X1595" s="74">
        <v>0.875</v>
      </c>
      <c r="Y1595" s="75">
        <v>6.9444444444445308E-3</v>
      </c>
      <c r="Z1595" s="76">
        <v>41754</v>
      </c>
      <c r="AA1595" s="36" t="str">
        <f t="shared" si="475"/>
        <v>Internacional</v>
      </c>
      <c r="AB1595" s="36">
        <f t="shared" si="475"/>
        <v>1.0416666666666635E-2</v>
      </c>
      <c r="AC1595" s="36">
        <f t="shared" si="475"/>
        <v>1.1647727272727266E-2</v>
      </c>
      <c r="AD1595" s="36">
        <f t="shared" si="475"/>
        <v>2.2064393939393901E-2</v>
      </c>
      <c r="AE1595" s="36" t="str">
        <f t="shared" si="475"/>
        <v>ER4</v>
      </c>
      <c r="AF1595" s="36">
        <f t="shared" si="475"/>
        <v>50</v>
      </c>
      <c r="AG1595" s="36" t="str">
        <f t="shared" si="475"/>
        <v>IAH</v>
      </c>
    </row>
    <row r="1596" spans="18:33" x14ac:dyDescent="0.25">
      <c r="R1596">
        <v>1582</v>
      </c>
      <c r="S1596" s="36" t="str">
        <f t="shared" si="473"/>
        <v>UNIDOS VOLAMOS AIRLINES</v>
      </c>
      <c r="T1596" s="36">
        <f t="shared" si="473"/>
        <v>4489</v>
      </c>
      <c r="U1596" s="73">
        <v>0.87916666666666676</v>
      </c>
      <c r="V1596" s="74">
        <v>0.8847222222222223</v>
      </c>
      <c r="W1596" s="75">
        <v>5.5555555555555358E-3</v>
      </c>
      <c r="X1596" s="74">
        <v>0.90972222222222221</v>
      </c>
      <c r="Y1596" s="75">
        <v>2.4999999999999911E-2</v>
      </c>
      <c r="Z1596" s="76">
        <v>41755</v>
      </c>
      <c r="AA1596" s="36" t="str">
        <f t="shared" si="475"/>
        <v>Internacional</v>
      </c>
      <c r="AB1596" s="36">
        <f t="shared" si="475"/>
        <v>1.0416666666666635E-2</v>
      </c>
      <c r="AC1596" s="36">
        <f t="shared" si="475"/>
        <v>1.1647727272727266E-2</v>
      </c>
      <c r="AD1596" s="36">
        <f t="shared" si="475"/>
        <v>2.2064393939393901E-2</v>
      </c>
      <c r="AE1596" s="36" t="str">
        <f t="shared" si="475"/>
        <v>ER4</v>
      </c>
      <c r="AF1596" s="36">
        <f t="shared" si="475"/>
        <v>50</v>
      </c>
      <c r="AG1596" s="36" t="str">
        <f t="shared" si="475"/>
        <v>IAH</v>
      </c>
    </row>
    <row r="1597" spans="18:33" x14ac:dyDescent="0.25">
      <c r="R1597">
        <v>1583</v>
      </c>
      <c r="S1597" s="36" t="str">
        <f t="shared" si="473"/>
        <v>UNIDOS VOLAMOS AIRLINES</v>
      </c>
      <c r="T1597" s="36">
        <f t="shared" si="473"/>
        <v>4489</v>
      </c>
      <c r="U1597" s="73">
        <v>0.85</v>
      </c>
      <c r="V1597" s="74">
        <v>0.86111111111111116</v>
      </c>
      <c r="W1597" s="75">
        <v>1.1111111111111183E-2</v>
      </c>
      <c r="X1597" s="74">
        <v>0.86597222222222225</v>
      </c>
      <c r="Y1597" s="75">
        <v>4.8611111111110938E-3</v>
      </c>
      <c r="Z1597" s="76">
        <v>41756</v>
      </c>
      <c r="AA1597" s="36" t="str">
        <f t="shared" si="475"/>
        <v>Internacional</v>
      </c>
      <c r="AB1597" s="36">
        <f t="shared" si="475"/>
        <v>1.0416666666666635E-2</v>
      </c>
      <c r="AC1597" s="36">
        <f t="shared" si="475"/>
        <v>1.1647727272727266E-2</v>
      </c>
      <c r="AD1597" s="36">
        <f t="shared" si="475"/>
        <v>2.2064393939393901E-2</v>
      </c>
      <c r="AE1597" s="36" t="str">
        <f t="shared" si="475"/>
        <v>ER4</v>
      </c>
      <c r="AF1597" s="36">
        <f t="shared" si="475"/>
        <v>50</v>
      </c>
      <c r="AG1597" s="36" t="str">
        <f t="shared" si="475"/>
        <v>IAH</v>
      </c>
    </row>
    <row r="1598" spans="18:33" x14ac:dyDescent="0.25">
      <c r="R1598">
        <v>1584</v>
      </c>
      <c r="S1598" s="36" t="str">
        <f t="shared" si="473"/>
        <v>UNIDOS VOLAMOS AIRLINES</v>
      </c>
      <c r="T1598" s="36">
        <f t="shared" si="473"/>
        <v>4489</v>
      </c>
      <c r="U1598" s="73">
        <v>0.8618055555555556</v>
      </c>
      <c r="V1598" s="74">
        <v>0.88194444444444453</v>
      </c>
      <c r="W1598" s="75">
        <v>2.0138888888888928E-2</v>
      </c>
      <c r="X1598" s="74">
        <v>0.90625</v>
      </c>
      <c r="Y1598" s="75">
        <v>2.4305555555555469E-2</v>
      </c>
      <c r="Z1598" s="76">
        <v>41757</v>
      </c>
      <c r="AA1598" s="36" t="str">
        <f t="shared" si="475"/>
        <v>Internacional</v>
      </c>
      <c r="AB1598" s="36">
        <f t="shared" si="475"/>
        <v>1.0416666666666635E-2</v>
      </c>
      <c r="AC1598" s="36">
        <f t="shared" si="475"/>
        <v>1.1647727272727266E-2</v>
      </c>
      <c r="AD1598" s="36">
        <f t="shared" si="475"/>
        <v>2.2064393939393901E-2</v>
      </c>
      <c r="AE1598" s="36" t="str">
        <f t="shared" si="475"/>
        <v>ER4</v>
      </c>
      <c r="AF1598" s="36">
        <f t="shared" si="475"/>
        <v>50</v>
      </c>
      <c r="AG1598" s="36" t="str">
        <f t="shared" si="475"/>
        <v>IAH</v>
      </c>
    </row>
    <row r="1599" spans="18:33" x14ac:dyDescent="0.25">
      <c r="R1599">
        <v>1585</v>
      </c>
      <c r="S1599" s="36" t="str">
        <f t="shared" si="473"/>
        <v>UNIDOS VOLAMOS AIRLINES</v>
      </c>
      <c r="T1599" s="36">
        <f t="shared" si="473"/>
        <v>4489</v>
      </c>
      <c r="U1599" s="73">
        <v>0.86249999999999993</v>
      </c>
      <c r="V1599" s="74">
        <v>0.87361111111111101</v>
      </c>
      <c r="W1599" s="75">
        <v>1.1111111111111072E-2</v>
      </c>
      <c r="X1599" s="74">
        <v>0.89583333333333337</v>
      </c>
      <c r="Y1599" s="75">
        <v>2.2222222222222365E-2</v>
      </c>
      <c r="Z1599" s="76">
        <v>41758</v>
      </c>
      <c r="AA1599" s="36" t="str">
        <f t="shared" si="475"/>
        <v>Internacional</v>
      </c>
      <c r="AB1599" s="36">
        <f t="shared" si="475"/>
        <v>1.0416666666666635E-2</v>
      </c>
      <c r="AC1599" s="36">
        <f t="shared" si="475"/>
        <v>1.1647727272727266E-2</v>
      </c>
      <c r="AD1599" s="36">
        <f t="shared" si="475"/>
        <v>2.2064393939393901E-2</v>
      </c>
      <c r="AE1599" s="36" t="str">
        <f t="shared" si="475"/>
        <v>ER4</v>
      </c>
      <c r="AF1599" s="36">
        <f t="shared" si="475"/>
        <v>50</v>
      </c>
      <c r="AG1599" s="36" t="str">
        <f t="shared" si="475"/>
        <v>IAH</v>
      </c>
    </row>
    <row r="1600" spans="18:33" ht="15.75" thickBot="1" x14ac:dyDescent="0.3">
      <c r="R1600">
        <v>1586</v>
      </c>
      <c r="S1600" s="36" t="str">
        <f t="shared" si="473"/>
        <v>UNIDOS VOLAMOS AIRLINES</v>
      </c>
      <c r="T1600" s="36">
        <f t="shared" si="473"/>
        <v>4489</v>
      </c>
      <c r="U1600" s="83">
        <v>0.85555555555555562</v>
      </c>
      <c r="V1600" s="84">
        <v>0.8652777777777777</v>
      </c>
      <c r="W1600" s="85">
        <v>9.7222222222220767E-3</v>
      </c>
      <c r="X1600" s="84">
        <v>0.87847222222222221</v>
      </c>
      <c r="Y1600" s="85">
        <v>1.3194444444444509E-2</v>
      </c>
      <c r="Z1600" s="86">
        <v>41759</v>
      </c>
      <c r="AA1600" s="36" t="str">
        <f t="shared" si="475"/>
        <v>Internacional</v>
      </c>
      <c r="AB1600" s="36">
        <f t="shared" si="475"/>
        <v>1.0416666666666635E-2</v>
      </c>
      <c r="AC1600" s="36">
        <f t="shared" si="475"/>
        <v>1.1647727272727266E-2</v>
      </c>
      <c r="AD1600" s="36">
        <f t="shared" si="475"/>
        <v>2.2064393939393901E-2</v>
      </c>
      <c r="AE1600" s="36" t="str">
        <f t="shared" si="475"/>
        <v>ER4</v>
      </c>
      <c r="AF1600" s="36">
        <f t="shared" si="475"/>
        <v>50</v>
      </c>
      <c r="AG1600" s="36" t="str">
        <f t="shared" si="475"/>
        <v>IAH</v>
      </c>
    </row>
    <row r="1601" spans="18:33" x14ac:dyDescent="0.25">
      <c r="R1601">
        <v>1587</v>
      </c>
      <c r="S1601" s="36" t="str">
        <f t="shared" si="473"/>
        <v>UNIDOS VOLAMOS AIRLINES</v>
      </c>
      <c r="T1601" s="55">
        <v>4525</v>
      </c>
      <c r="U1601" s="56">
        <v>0.68958333333333333</v>
      </c>
      <c r="V1601" s="57">
        <v>0.70138888888888884</v>
      </c>
      <c r="W1601" s="58">
        <v>1.1805555555555514E-2</v>
      </c>
      <c r="X1601" s="57">
        <v>0.7090277777777777</v>
      </c>
      <c r="Y1601" s="58">
        <v>7.6388888888888618E-3</v>
      </c>
      <c r="Z1601" s="59">
        <v>41739</v>
      </c>
      <c r="AA1601" s="60" t="s">
        <v>22</v>
      </c>
      <c r="AB1601" s="61">
        <v>1.1591880341880318E-2</v>
      </c>
      <c r="AC1601" s="61">
        <v>9.0811965811966131E-3</v>
      </c>
      <c r="AD1601" s="231">
        <v>2.0673076923076933E-2</v>
      </c>
      <c r="AE1601" s="132" t="s">
        <v>20</v>
      </c>
      <c r="AF1601" s="132">
        <v>50</v>
      </c>
      <c r="AG1601" s="132" t="s">
        <v>54</v>
      </c>
    </row>
    <row r="1602" spans="18:33" x14ac:dyDescent="0.25">
      <c r="R1602">
        <v>1588</v>
      </c>
      <c r="S1602" s="36" t="str">
        <f t="shared" si="473"/>
        <v>UNIDOS VOLAMOS AIRLINES</v>
      </c>
      <c r="T1602" s="36">
        <f t="shared" si="473"/>
        <v>4525</v>
      </c>
      <c r="U1602" s="73">
        <v>0.64930555555555558</v>
      </c>
      <c r="V1602" s="74">
        <v>0.66180555555555554</v>
      </c>
      <c r="W1602" s="75">
        <v>1.2499999999999956E-2</v>
      </c>
      <c r="X1602" s="74">
        <v>0.66319444444444442</v>
      </c>
      <c r="Y1602" s="75">
        <v>1.388888888888884E-3</v>
      </c>
      <c r="Z1602" s="76">
        <v>41730</v>
      </c>
      <c r="AA1602" s="36" t="str">
        <f t="shared" ref="AA1602:AG1626" si="476">AA1601</f>
        <v>Internacional</v>
      </c>
      <c r="AB1602" s="36">
        <f t="shared" si="476"/>
        <v>1.1591880341880318E-2</v>
      </c>
      <c r="AC1602" s="36">
        <f t="shared" si="476"/>
        <v>9.0811965811966131E-3</v>
      </c>
      <c r="AD1602" s="36">
        <f t="shared" si="476"/>
        <v>2.0673076923076933E-2</v>
      </c>
      <c r="AE1602" s="36" t="str">
        <f t="shared" si="476"/>
        <v>ER4</v>
      </c>
      <c r="AF1602" s="36">
        <f t="shared" si="476"/>
        <v>50</v>
      </c>
      <c r="AG1602" s="36" t="str">
        <f t="shared" si="476"/>
        <v>IAH</v>
      </c>
    </row>
    <row r="1603" spans="18:33" x14ac:dyDescent="0.25">
      <c r="R1603">
        <v>1589</v>
      </c>
      <c r="S1603" s="36" t="str">
        <f t="shared" si="473"/>
        <v>UNIDOS VOLAMOS AIRLINES</v>
      </c>
      <c r="T1603" s="36">
        <f t="shared" si="473"/>
        <v>4525</v>
      </c>
      <c r="U1603" s="73">
        <v>0.64861111111111114</v>
      </c>
      <c r="V1603" s="74">
        <v>0.65555555555555556</v>
      </c>
      <c r="W1603" s="75">
        <v>6.9444444444444198E-3</v>
      </c>
      <c r="X1603" s="74">
        <v>0.66041666666666665</v>
      </c>
      <c r="Y1603" s="75">
        <v>4.8611111111110938E-3</v>
      </c>
      <c r="Z1603" s="76">
        <v>41731</v>
      </c>
      <c r="AA1603" s="36" t="str">
        <f t="shared" si="476"/>
        <v>Internacional</v>
      </c>
      <c r="AB1603" s="36">
        <f t="shared" si="476"/>
        <v>1.1591880341880318E-2</v>
      </c>
      <c r="AC1603" s="36">
        <f t="shared" si="476"/>
        <v>9.0811965811966131E-3</v>
      </c>
      <c r="AD1603" s="36">
        <f t="shared" si="476"/>
        <v>2.0673076923076933E-2</v>
      </c>
      <c r="AE1603" s="36" t="str">
        <f t="shared" si="476"/>
        <v>ER4</v>
      </c>
      <c r="AF1603" s="36">
        <f t="shared" si="476"/>
        <v>50</v>
      </c>
      <c r="AG1603" s="36" t="str">
        <f t="shared" si="476"/>
        <v>IAH</v>
      </c>
    </row>
    <row r="1604" spans="18:33" x14ac:dyDescent="0.25">
      <c r="R1604">
        <v>1590</v>
      </c>
      <c r="S1604" s="36" t="str">
        <f t="shared" si="473"/>
        <v>UNIDOS VOLAMOS AIRLINES</v>
      </c>
      <c r="T1604" s="36">
        <f t="shared" si="473"/>
        <v>4525</v>
      </c>
      <c r="U1604" s="73">
        <v>0.64861111111111114</v>
      </c>
      <c r="V1604" s="74">
        <v>0.65555555555555556</v>
      </c>
      <c r="W1604" s="75">
        <v>6.9444444444444198E-3</v>
      </c>
      <c r="X1604" s="74">
        <v>0.66041666666666665</v>
      </c>
      <c r="Y1604" s="75">
        <v>4.8611111111110938E-3</v>
      </c>
      <c r="Z1604" s="76">
        <v>41731</v>
      </c>
      <c r="AA1604" s="36" t="str">
        <f t="shared" si="476"/>
        <v>Internacional</v>
      </c>
      <c r="AB1604" s="36">
        <f t="shared" si="476"/>
        <v>1.1591880341880318E-2</v>
      </c>
      <c r="AC1604" s="36">
        <f t="shared" si="476"/>
        <v>9.0811965811966131E-3</v>
      </c>
      <c r="AD1604" s="36">
        <f t="shared" si="476"/>
        <v>2.0673076923076933E-2</v>
      </c>
      <c r="AE1604" s="36" t="str">
        <f t="shared" si="476"/>
        <v>ER4</v>
      </c>
      <c r="AF1604" s="36">
        <f t="shared" si="476"/>
        <v>50</v>
      </c>
      <c r="AG1604" s="36" t="str">
        <f t="shared" si="476"/>
        <v>IAH</v>
      </c>
    </row>
    <row r="1605" spans="18:33" x14ac:dyDescent="0.25">
      <c r="R1605">
        <v>1591</v>
      </c>
      <c r="S1605" s="36" t="str">
        <f t="shared" si="473"/>
        <v>UNIDOS VOLAMOS AIRLINES</v>
      </c>
      <c r="T1605" s="36">
        <f t="shared" si="473"/>
        <v>4525</v>
      </c>
      <c r="U1605" s="73">
        <v>0.6694444444444444</v>
      </c>
      <c r="V1605" s="74">
        <v>0.67708333333333337</v>
      </c>
      <c r="W1605" s="75">
        <v>7.6388888888889728E-3</v>
      </c>
      <c r="X1605" s="74">
        <v>0.69444444444444453</v>
      </c>
      <c r="Y1605" s="75">
        <v>1.736111111111116E-2</v>
      </c>
      <c r="Z1605" s="76">
        <v>41732</v>
      </c>
      <c r="AA1605" s="36" t="str">
        <f t="shared" si="476"/>
        <v>Internacional</v>
      </c>
      <c r="AB1605" s="36">
        <f t="shared" si="476"/>
        <v>1.1591880341880318E-2</v>
      </c>
      <c r="AC1605" s="36">
        <f t="shared" si="476"/>
        <v>9.0811965811966131E-3</v>
      </c>
      <c r="AD1605" s="36">
        <f t="shared" si="476"/>
        <v>2.0673076923076933E-2</v>
      </c>
      <c r="AE1605" s="36" t="str">
        <f t="shared" si="476"/>
        <v>ER4</v>
      </c>
      <c r="AF1605" s="36">
        <f t="shared" si="476"/>
        <v>50</v>
      </c>
      <c r="AG1605" s="36" t="str">
        <f t="shared" si="476"/>
        <v>IAH</v>
      </c>
    </row>
    <row r="1606" spans="18:33" x14ac:dyDescent="0.25">
      <c r="R1606">
        <v>1592</v>
      </c>
      <c r="S1606" s="36" t="str">
        <f t="shared" si="473"/>
        <v>UNIDOS VOLAMOS AIRLINES</v>
      </c>
      <c r="T1606" s="36">
        <f t="shared" si="473"/>
        <v>4525</v>
      </c>
      <c r="U1606" s="73">
        <v>0.67361111111111116</v>
      </c>
      <c r="V1606" s="74">
        <v>0.68611111111111101</v>
      </c>
      <c r="W1606" s="75">
        <v>1.2499999999999845E-2</v>
      </c>
      <c r="X1606" s="74">
        <v>0.69097222222222221</v>
      </c>
      <c r="Y1606" s="75">
        <v>4.8611111111112049E-3</v>
      </c>
      <c r="Z1606" s="76">
        <v>41733</v>
      </c>
      <c r="AA1606" s="36" t="str">
        <f t="shared" si="476"/>
        <v>Internacional</v>
      </c>
      <c r="AB1606" s="36">
        <f t="shared" si="476"/>
        <v>1.1591880341880318E-2</v>
      </c>
      <c r="AC1606" s="36">
        <f t="shared" si="476"/>
        <v>9.0811965811966131E-3</v>
      </c>
      <c r="AD1606" s="36">
        <f t="shared" si="476"/>
        <v>2.0673076923076933E-2</v>
      </c>
      <c r="AE1606" s="36" t="str">
        <f t="shared" si="476"/>
        <v>ER4</v>
      </c>
      <c r="AF1606" s="36">
        <f t="shared" si="476"/>
        <v>50</v>
      </c>
      <c r="AG1606" s="36" t="str">
        <f t="shared" si="476"/>
        <v>IAH</v>
      </c>
    </row>
    <row r="1607" spans="18:33" x14ac:dyDescent="0.25">
      <c r="R1607">
        <v>1593</v>
      </c>
      <c r="S1607" s="36" t="str">
        <f t="shared" si="473"/>
        <v>UNIDOS VOLAMOS AIRLINES</v>
      </c>
      <c r="T1607" s="36">
        <f t="shared" si="473"/>
        <v>4525</v>
      </c>
      <c r="U1607" s="73">
        <v>0.65694444444444444</v>
      </c>
      <c r="V1607" s="74">
        <v>0.70347222222222217</v>
      </c>
      <c r="W1607" s="75">
        <v>4.6527777777777724E-2</v>
      </c>
      <c r="X1607" s="74">
        <v>0.71319444444444446</v>
      </c>
      <c r="Y1607" s="75">
        <v>9.7222222222222987E-3</v>
      </c>
      <c r="Z1607" s="76">
        <v>41734</v>
      </c>
      <c r="AA1607" s="36" t="str">
        <f t="shared" si="476"/>
        <v>Internacional</v>
      </c>
      <c r="AB1607" s="36">
        <f t="shared" si="476"/>
        <v>1.1591880341880318E-2</v>
      </c>
      <c r="AC1607" s="36">
        <f t="shared" si="476"/>
        <v>9.0811965811966131E-3</v>
      </c>
      <c r="AD1607" s="36">
        <f t="shared" si="476"/>
        <v>2.0673076923076933E-2</v>
      </c>
      <c r="AE1607" s="36" t="str">
        <f t="shared" si="476"/>
        <v>ER4</v>
      </c>
      <c r="AF1607" s="36">
        <f t="shared" si="476"/>
        <v>50</v>
      </c>
      <c r="AG1607" s="36" t="str">
        <f t="shared" si="476"/>
        <v>IAH</v>
      </c>
    </row>
    <row r="1608" spans="18:33" x14ac:dyDescent="0.25">
      <c r="R1608">
        <v>1594</v>
      </c>
      <c r="S1608" s="36" t="str">
        <f t="shared" si="473"/>
        <v>UNIDOS VOLAMOS AIRLINES</v>
      </c>
      <c r="T1608" s="36">
        <f t="shared" si="473"/>
        <v>4525</v>
      </c>
      <c r="U1608" s="73">
        <v>0.73888888888888893</v>
      </c>
      <c r="V1608" s="74">
        <v>0.75</v>
      </c>
      <c r="W1608" s="75">
        <v>1.1111111111111072E-2</v>
      </c>
      <c r="X1608" s="74">
        <v>0.75486111111111109</v>
      </c>
      <c r="Y1608" s="75">
        <v>4.8611111111110938E-3</v>
      </c>
      <c r="Z1608" s="76">
        <v>41735</v>
      </c>
      <c r="AA1608" s="36" t="str">
        <f t="shared" si="476"/>
        <v>Internacional</v>
      </c>
      <c r="AB1608" s="36">
        <f t="shared" si="476"/>
        <v>1.1591880341880318E-2</v>
      </c>
      <c r="AC1608" s="36">
        <f t="shared" si="476"/>
        <v>9.0811965811966131E-3</v>
      </c>
      <c r="AD1608" s="36">
        <f t="shared" si="476"/>
        <v>2.0673076923076933E-2</v>
      </c>
      <c r="AE1608" s="36" t="str">
        <f t="shared" si="476"/>
        <v>ER4</v>
      </c>
      <c r="AF1608" s="36">
        <f t="shared" si="476"/>
        <v>50</v>
      </c>
      <c r="AG1608" s="36" t="str">
        <f t="shared" si="476"/>
        <v>IAH</v>
      </c>
    </row>
    <row r="1609" spans="18:33" x14ac:dyDescent="0.25">
      <c r="R1609">
        <v>1595</v>
      </c>
      <c r="S1609" s="36" t="str">
        <f t="shared" si="473"/>
        <v>UNIDOS VOLAMOS AIRLINES</v>
      </c>
      <c r="T1609" s="36">
        <f t="shared" si="473"/>
        <v>4525</v>
      </c>
      <c r="U1609" s="73">
        <v>0.7680555555555556</v>
      </c>
      <c r="V1609" s="74">
        <v>0.77430555555555547</v>
      </c>
      <c r="W1609" s="75">
        <v>6.2499999999998668E-3</v>
      </c>
      <c r="X1609" s="74">
        <v>0.78472222222222221</v>
      </c>
      <c r="Y1609" s="75">
        <v>1.0416666666666741E-2</v>
      </c>
      <c r="Z1609" s="76">
        <v>41736</v>
      </c>
      <c r="AA1609" s="36" t="str">
        <f t="shared" si="476"/>
        <v>Internacional</v>
      </c>
      <c r="AB1609" s="36">
        <f t="shared" si="476"/>
        <v>1.1591880341880318E-2</v>
      </c>
      <c r="AC1609" s="36">
        <f t="shared" si="476"/>
        <v>9.0811965811966131E-3</v>
      </c>
      <c r="AD1609" s="36">
        <f t="shared" si="476"/>
        <v>2.0673076923076933E-2</v>
      </c>
      <c r="AE1609" s="36" t="str">
        <f t="shared" si="476"/>
        <v>ER4</v>
      </c>
      <c r="AF1609" s="36">
        <f t="shared" si="476"/>
        <v>50</v>
      </c>
      <c r="AG1609" s="36" t="str">
        <f t="shared" si="476"/>
        <v>IAH</v>
      </c>
    </row>
    <row r="1610" spans="18:33" x14ac:dyDescent="0.25">
      <c r="R1610">
        <v>1596</v>
      </c>
      <c r="S1610" s="36" t="str">
        <f t="shared" si="473"/>
        <v>UNIDOS VOLAMOS AIRLINES</v>
      </c>
      <c r="T1610" s="36">
        <f t="shared" si="473"/>
        <v>4525</v>
      </c>
      <c r="U1610" s="73">
        <v>0.67013888888888884</v>
      </c>
      <c r="V1610" s="74">
        <v>0.69652777777777775</v>
      </c>
      <c r="W1610" s="75">
        <v>2.6388888888888906E-2</v>
      </c>
      <c r="X1610" s="74">
        <v>0.70208333333333339</v>
      </c>
      <c r="Y1610" s="75">
        <v>5.5555555555556468E-3</v>
      </c>
      <c r="Z1610" s="76">
        <v>41741</v>
      </c>
      <c r="AA1610" s="36" t="str">
        <f t="shared" si="476"/>
        <v>Internacional</v>
      </c>
      <c r="AB1610" s="36">
        <f t="shared" si="476"/>
        <v>1.1591880341880318E-2</v>
      </c>
      <c r="AC1610" s="36">
        <f t="shared" si="476"/>
        <v>9.0811965811966131E-3</v>
      </c>
      <c r="AD1610" s="36">
        <f t="shared" si="476"/>
        <v>2.0673076923076933E-2</v>
      </c>
      <c r="AE1610" s="36" t="str">
        <f t="shared" si="476"/>
        <v>ER4</v>
      </c>
      <c r="AF1610" s="36">
        <f t="shared" si="476"/>
        <v>50</v>
      </c>
      <c r="AG1610" s="36" t="str">
        <f t="shared" si="476"/>
        <v>IAH</v>
      </c>
    </row>
    <row r="1611" spans="18:33" x14ac:dyDescent="0.25">
      <c r="R1611">
        <v>1597</v>
      </c>
      <c r="S1611" s="36" t="str">
        <f t="shared" si="473"/>
        <v>UNIDOS VOLAMOS AIRLINES</v>
      </c>
      <c r="T1611" s="36">
        <f t="shared" si="473"/>
        <v>4525</v>
      </c>
      <c r="U1611" s="73">
        <v>0.70763888888888893</v>
      </c>
      <c r="V1611" s="74">
        <v>0.71875</v>
      </c>
      <c r="W1611" s="75">
        <v>1.1111111111111072E-2</v>
      </c>
      <c r="X1611" s="74">
        <v>0.72569444444444453</v>
      </c>
      <c r="Y1611" s="75">
        <v>6.9444444444445308E-3</v>
      </c>
      <c r="Z1611" s="76">
        <v>41744</v>
      </c>
      <c r="AA1611" s="36" t="str">
        <f t="shared" si="476"/>
        <v>Internacional</v>
      </c>
      <c r="AB1611" s="36">
        <f t="shared" si="476"/>
        <v>1.1591880341880318E-2</v>
      </c>
      <c r="AC1611" s="36">
        <f t="shared" si="476"/>
        <v>9.0811965811966131E-3</v>
      </c>
      <c r="AD1611" s="36">
        <f t="shared" si="476"/>
        <v>2.0673076923076933E-2</v>
      </c>
      <c r="AE1611" s="36" t="str">
        <f t="shared" si="476"/>
        <v>ER4</v>
      </c>
      <c r="AF1611" s="36">
        <f t="shared" si="476"/>
        <v>50</v>
      </c>
      <c r="AG1611" s="36" t="str">
        <f t="shared" si="476"/>
        <v>IAH</v>
      </c>
    </row>
    <row r="1612" spans="18:33" x14ac:dyDescent="0.25">
      <c r="R1612">
        <v>1598</v>
      </c>
      <c r="S1612" s="36" t="str">
        <f t="shared" si="473"/>
        <v>UNIDOS VOLAMOS AIRLINES</v>
      </c>
      <c r="T1612" s="36">
        <f t="shared" si="473"/>
        <v>4525</v>
      </c>
      <c r="U1612" s="73">
        <v>0.69027777777777777</v>
      </c>
      <c r="V1612" s="74">
        <v>0.70000000000000007</v>
      </c>
      <c r="W1612" s="75">
        <v>9.7222222222222987E-3</v>
      </c>
      <c r="X1612" s="74">
        <v>0.70833333333333337</v>
      </c>
      <c r="Y1612" s="75">
        <v>8.3333333333333037E-3</v>
      </c>
      <c r="Z1612" s="76">
        <v>41745</v>
      </c>
      <c r="AA1612" s="36" t="str">
        <f t="shared" si="476"/>
        <v>Internacional</v>
      </c>
      <c r="AB1612" s="36">
        <f t="shared" si="476"/>
        <v>1.1591880341880318E-2</v>
      </c>
      <c r="AC1612" s="36">
        <f t="shared" si="476"/>
        <v>9.0811965811966131E-3</v>
      </c>
      <c r="AD1612" s="36">
        <f t="shared" si="476"/>
        <v>2.0673076923076933E-2</v>
      </c>
      <c r="AE1612" s="36" t="str">
        <f t="shared" si="476"/>
        <v>ER4</v>
      </c>
      <c r="AF1612" s="36">
        <f t="shared" si="476"/>
        <v>50</v>
      </c>
      <c r="AG1612" s="36" t="str">
        <f t="shared" si="476"/>
        <v>IAH</v>
      </c>
    </row>
    <row r="1613" spans="18:33" x14ac:dyDescent="0.25">
      <c r="R1613">
        <v>1599</v>
      </c>
      <c r="S1613" s="36" t="str">
        <f t="shared" si="473"/>
        <v>UNIDOS VOLAMOS AIRLINES</v>
      </c>
      <c r="T1613" s="36">
        <f t="shared" si="473"/>
        <v>4525</v>
      </c>
      <c r="U1613" s="73">
        <v>0.77708333333333324</v>
      </c>
      <c r="V1613" s="74">
        <v>0.78749999999999998</v>
      </c>
      <c r="W1613" s="75">
        <v>1.0416666666666741E-2</v>
      </c>
      <c r="X1613" s="74">
        <v>0.79861111111111116</v>
      </c>
      <c r="Y1613" s="75">
        <v>1.1111111111111183E-2</v>
      </c>
      <c r="Z1613" s="76">
        <v>41746</v>
      </c>
      <c r="AA1613" s="36" t="str">
        <f t="shared" si="476"/>
        <v>Internacional</v>
      </c>
      <c r="AB1613" s="36">
        <f t="shared" si="476"/>
        <v>1.1591880341880318E-2</v>
      </c>
      <c r="AC1613" s="36">
        <f t="shared" si="476"/>
        <v>9.0811965811966131E-3</v>
      </c>
      <c r="AD1613" s="36">
        <f t="shared" si="476"/>
        <v>2.0673076923076933E-2</v>
      </c>
      <c r="AE1613" s="36" t="str">
        <f t="shared" si="476"/>
        <v>ER4</v>
      </c>
      <c r="AF1613" s="36">
        <f t="shared" si="476"/>
        <v>50</v>
      </c>
      <c r="AG1613" s="36" t="str">
        <f t="shared" si="476"/>
        <v>IAH</v>
      </c>
    </row>
    <row r="1614" spans="18:33" x14ac:dyDescent="0.25">
      <c r="R1614">
        <v>1600</v>
      </c>
      <c r="S1614" s="36" t="str">
        <f t="shared" si="473"/>
        <v>UNIDOS VOLAMOS AIRLINES</v>
      </c>
      <c r="T1614" s="36">
        <f t="shared" si="473"/>
        <v>4525</v>
      </c>
      <c r="U1614" s="73">
        <v>0.68888888888888899</v>
      </c>
      <c r="V1614" s="74">
        <v>0.69861111111111107</v>
      </c>
      <c r="W1614" s="75">
        <v>9.7222222222220767E-3</v>
      </c>
      <c r="X1614" s="74">
        <v>0.70347222222222217</v>
      </c>
      <c r="Y1614" s="75">
        <v>4.8611111111110938E-3</v>
      </c>
      <c r="Z1614" s="76">
        <v>41747</v>
      </c>
      <c r="AA1614" s="36" t="str">
        <f t="shared" si="476"/>
        <v>Internacional</v>
      </c>
      <c r="AB1614" s="36">
        <f t="shared" si="476"/>
        <v>1.1591880341880318E-2</v>
      </c>
      <c r="AC1614" s="36">
        <f t="shared" si="476"/>
        <v>9.0811965811966131E-3</v>
      </c>
      <c r="AD1614" s="36">
        <f t="shared" si="476"/>
        <v>2.0673076923076933E-2</v>
      </c>
      <c r="AE1614" s="36" t="str">
        <f t="shared" si="476"/>
        <v>ER4</v>
      </c>
      <c r="AF1614" s="36">
        <f t="shared" si="476"/>
        <v>50</v>
      </c>
      <c r="AG1614" s="36" t="str">
        <f t="shared" si="476"/>
        <v>IAH</v>
      </c>
    </row>
    <row r="1615" spans="18:33" x14ac:dyDescent="0.25">
      <c r="R1615">
        <v>1601</v>
      </c>
      <c r="S1615" s="36" t="str">
        <f t="shared" ref="S1615:T1626" si="477">S1614</f>
        <v>UNIDOS VOLAMOS AIRLINES</v>
      </c>
      <c r="T1615" s="36">
        <f t="shared" si="477"/>
        <v>4525</v>
      </c>
      <c r="U1615" s="73">
        <v>0.70138888888888884</v>
      </c>
      <c r="V1615" s="74">
        <v>0.71180555555555547</v>
      </c>
      <c r="W1615" s="75">
        <v>1.041666666666663E-2</v>
      </c>
      <c r="X1615" s="74">
        <v>0.72499999999999998</v>
      </c>
      <c r="Y1615" s="75">
        <v>1.3194444444444509E-2</v>
      </c>
      <c r="Z1615" s="76">
        <v>41748</v>
      </c>
      <c r="AA1615" s="36" t="str">
        <f t="shared" si="476"/>
        <v>Internacional</v>
      </c>
      <c r="AB1615" s="36">
        <f t="shared" si="476"/>
        <v>1.1591880341880318E-2</v>
      </c>
      <c r="AC1615" s="36">
        <f t="shared" si="476"/>
        <v>9.0811965811966131E-3</v>
      </c>
      <c r="AD1615" s="36">
        <f t="shared" si="476"/>
        <v>2.0673076923076933E-2</v>
      </c>
      <c r="AE1615" s="36" t="str">
        <f t="shared" si="476"/>
        <v>ER4</v>
      </c>
      <c r="AF1615" s="36">
        <f t="shared" si="476"/>
        <v>50</v>
      </c>
      <c r="AG1615" s="36" t="str">
        <f t="shared" si="476"/>
        <v>IAH</v>
      </c>
    </row>
    <row r="1616" spans="18:33" x14ac:dyDescent="0.25">
      <c r="R1616">
        <v>1602</v>
      </c>
      <c r="S1616" s="36" t="str">
        <f t="shared" si="477"/>
        <v>UNIDOS VOLAMOS AIRLINES</v>
      </c>
      <c r="T1616" s="36">
        <f t="shared" si="477"/>
        <v>4525</v>
      </c>
      <c r="U1616" s="73">
        <v>0.73958333333333337</v>
      </c>
      <c r="V1616" s="74">
        <v>0.75</v>
      </c>
      <c r="W1616" s="75">
        <v>1.041666666666663E-2</v>
      </c>
      <c r="X1616" s="74">
        <v>0.75624999999999998</v>
      </c>
      <c r="Y1616" s="75">
        <v>6.2499999999999778E-3</v>
      </c>
      <c r="Z1616" s="76">
        <v>41749</v>
      </c>
      <c r="AA1616" s="36" t="str">
        <f t="shared" si="476"/>
        <v>Internacional</v>
      </c>
      <c r="AB1616" s="36">
        <f t="shared" si="476"/>
        <v>1.1591880341880318E-2</v>
      </c>
      <c r="AC1616" s="36">
        <f t="shared" si="476"/>
        <v>9.0811965811966131E-3</v>
      </c>
      <c r="AD1616" s="36">
        <f t="shared" si="476"/>
        <v>2.0673076923076933E-2</v>
      </c>
      <c r="AE1616" s="36" t="str">
        <f t="shared" si="476"/>
        <v>ER4</v>
      </c>
      <c r="AF1616" s="36">
        <f t="shared" si="476"/>
        <v>50</v>
      </c>
      <c r="AG1616" s="36" t="str">
        <f t="shared" si="476"/>
        <v>IAH</v>
      </c>
    </row>
    <row r="1617" spans="18:33" x14ac:dyDescent="0.25">
      <c r="R1617">
        <v>1603</v>
      </c>
      <c r="S1617" s="36" t="str">
        <f t="shared" si="477"/>
        <v>UNIDOS VOLAMOS AIRLINES</v>
      </c>
      <c r="T1617" s="36">
        <f t="shared" si="477"/>
        <v>4525</v>
      </c>
      <c r="U1617" s="73">
        <v>0.69930555555555562</v>
      </c>
      <c r="V1617" s="74">
        <v>0.70833333333333337</v>
      </c>
      <c r="W1617" s="75">
        <v>9.0277777777777457E-3</v>
      </c>
      <c r="X1617" s="74">
        <v>0.71736111111111101</v>
      </c>
      <c r="Y1617" s="75">
        <v>9.0277777777776347E-3</v>
      </c>
      <c r="Z1617" s="76">
        <v>41750</v>
      </c>
      <c r="AA1617" s="36" t="str">
        <f t="shared" si="476"/>
        <v>Internacional</v>
      </c>
      <c r="AB1617" s="36">
        <f t="shared" si="476"/>
        <v>1.1591880341880318E-2</v>
      </c>
      <c r="AC1617" s="36">
        <f t="shared" si="476"/>
        <v>9.0811965811966131E-3</v>
      </c>
      <c r="AD1617" s="36">
        <f t="shared" si="476"/>
        <v>2.0673076923076933E-2</v>
      </c>
      <c r="AE1617" s="36" t="str">
        <f t="shared" si="476"/>
        <v>ER4</v>
      </c>
      <c r="AF1617" s="36">
        <f t="shared" si="476"/>
        <v>50</v>
      </c>
      <c r="AG1617" s="36" t="str">
        <f t="shared" si="476"/>
        <v>IAH</v>
      </c>
    </row>
    <row r="1618" spans="18:33" x14ac:dyDescent="0.25">
      <c r="R1618">
        <v>1604</v>
      </c>
      <c r="S1618" s="36" t="str">
        <f t="shared" si="477"/>
        <v>UNIDOS VOLAMOS AIRLINES</v>
      </c>
      <c r="T1618" s="36">
        <f t="shared" si="477"/>
        <v>4525</v>
      </c>
      <c r="U1618" s="73">
        <v>0.70138888888888884</v>
      </c>
      <c r="V1618" s="74">
        <v>0.71180555555555547</v>
      </c>
      <c r="W1618" s="75">
        <v>1.041666666666663E-2</v>
      </c>
      <c r="X1618" s="74">
        <v>0.7284722222222223</v>
      </c>
      <c r="Y1618" s="75">
        <v>1.6666666666666829E-2</v>
      </c>
      <c r="Z1618" s="76">
        <v>41751</v>
      </c>
      <c r="AA1618" s="36" t="str">
        <f t="shared" si="476"/>
        <v>Internacional</v>
      </c>
      <c r="AB1618" s="36">
        <f t="shared" si="476"/>
        <v>1.1591880341880318E-2</v>
      </c>
      <c r="AC1618" s="36">
        <f t="shared" si="476"/>
        <v>9.0811965811966131E-3</v>
      </c>
      <c r="AD1618" s="36">
        <f t="shared" si="476"/>
        <v>2.0673076923076933E-2</v>
      </c>
      <c r="AE1618" s="36" t="str">
        <f t="shared" si="476"/>
        <v>ER4</v>
      </c>
      <c r="AF1618" s="36">
        <f t="shared" si="476"/>
        <v>50</v>
      </c>
      <c r="AG1618" s="36" t="str">
        <f t="shared" si="476"/>
        <v>IAH</v>
      </c>
    </row>
    <row r="1619" spans="18:33" x14ac:dyDescent="0.25">
      <c r="R1619">
        <v>1605</v>
      </c>
      <c r="S1619" s="36" t="str">
        <f t="shared" si="477"/>
        <v>UNIDOS VOLAMOS AIRLINES</v>
      </c>
      <c r="T1619" s="36">
        <f t="shared" si="477"/>
        <v>4525</v>
      </c>
      <c r="U1619" s="73">
        <v>0.70138888888888884</v>
      </c>
      <c r="V1619" s="74">
        <v>0.71180555555555547</v>
      </c>
      <c r="W1619" s="75">
        <v>1.041666666666663E-2</v>
      </c>
      <c r="X1619" s="74">
        <v>0.7284722222222223</v>
      </c>
      <c r="Y1619" s="75">
        <v>1.6666666666666829E-2</v>
      </c>
      <c r="Z1619" s="76">
        <v>41751</v>
      </c>
      <c r="AA1619" s="36" t="str">
        <f t="shared" si="476"/>
        <v>Internacional</v>
      </c>
      <c r="AB1619" s="36">
        <f t="shared" si="476"/>
        <v>1.1591880341880318E-2</v>
      </c>
      <c r="AC1619" s="36">
        <f t="shared" si="476"/>
        <v>9.0811965811966131E-3</v>
      </c>
      <c r="AD1619" s="36">
        <f t="shared" si="476"/>
        <v>2.0673076923076933E-2</v>
      </c>
      <c r="AE1619" s="36" t="str">
        <f t="shared" si="476"/>
        <v>ER4</v>
      </c>
      <c r="AF1619" s="36">
        <f t="shared" si="476"/>
        <v>50</v>
      </c>
      <c r="AG1619" s="36" t="str">
        <f t="shared" si="476"/>
        <v>IAH</v>
      </c>
    </row>
    <row r="1620" spans="18:33" x14ac:dyDescent="0.25">
      <c r="R1620">
        <v>1606</v>
      </c>
      <c r="S1620" s="36" t="str">
        <f t="shared" si="477"/>
        <v>UNIDOS VOLAMOS AIRLINES</v>
      </c>
      <c r="T1620" s="36">
        <f t="shared" si="477"/>
        <v>4525</v>
      </c>
      <c r="U1620" s="73">
        <v>0.70208333333333339</v>
      </c>
      <c r="V1620" s="74">
        <v>0.71527777777777779</v>
      </c>
      <c r="W1620" s="75">
        <v>1.3194444444444398E-2</v>
      </c>
      <c r="X1620" s="74">
        <v>0.72361111111111109</v>
      </c>
      <c r="Y1620" s="75">
        <v>8.3333333333333037E-3</v>
      </c>
      <c r="Z1620" s="76">
        <v>41753</v>
      </c>
      <c r="AA1620" s="36" t="str">
        <f t="shared" si="476"/>
        <v>Internacional</v>
      </c>
      <c r="AB1620" s="36">
        <f t="shared" si="476"/>
        <v>1.1591880341880318E-2</v>
      </c>
      <c r="AC1620" s="36">
        <f t="shared" si="476"/>
        <v>9.0811965811966131E-3</v>
      </c>
      <c r="AD1620" s="36">
        <f t="shared" si="476"/>
        <v>2.0673076923076933E-2</v>
      </c>
      <c r="AE1620" s="36" t="str">
        <f t="shared" si="476"/>
        <v>ER4</v>
      </c>
      <c r="AF1620" s="36">
        <f t="shared" si="476"/>
        <v>50</v>
      </c>
      <c r="AG1620" s="36" t="str">
        <f t="shared" si="476"/>
        <v>IAH</v>
      </c>
    </row>
    <row r="1621" spans="18:33" x14ac:dyDescent="0.25">
      <c r="R1621">
        <v>1607</v>
      </c>
      <c r="S1621" s="36" t="str">
        <f t="shared" si="477"/>
        <v>UNIDOS VOLAMOS AIRLINES</v>
      </c>
      <c r="T1621" s="36">
        <f t="shared" si="477"/>
        <v>4525</v>
      </c>
      <c r="U1621" s="73">
        <v>0.69652777777777775</v>
      </c>
      <c r="V1621" s="74">
        <v>0.70833333333333337</v>
      </c>
      <c r="W1621" s="75">
        <v>1.1805555555555625E-2</v>
      </c>
      <c r="X1621" s="74">
        <v>0.71388888888888891</v>
      </c>
      <c r="Y1621" s="75">
        <v>5.5555555555555358E-3</v>
      </c>
      <c r="Z1621" s="76">
        <v>41754</v>
      </c>
      <c r="AA1621" s="36" t="str">
        <f t="shared" si="476"/>
        <v>Internacional</v>
      </c>
      <c r="AB1621" s="36">
        <f t="shared" si="476"/>
        <v>1.1591880341880318E-2</v>
      </c>
      <c r="AC1621" s="36">
        <f t="shared" si="476"/>
        <v>9.0811965811966131E-3</v>
      </c>
      <c r="AD1621" s="36">
        <f t="shared" si="476"/>
        <v>2.0673076923076933E-2</v>
      </c>
      <c r="AE1621" s="36" t="str">
        <f t="shared" si="476"/>
        <v>ER4</v>
      </c>
      <c r="AF1621" s="36">
        <f t="shared" si="476"/>
        <v>50</v>
      </c>
      <c r="AG1621" s="36" t="str">
        <f t="shared" si="476"/>
        <v>IAH</v>
      </c>
    </row>
    <row r="1622" spans="18:33" x14ac:dyDescent="0.25">
      <c r="R1622">
        <v>1608</v>
      </c>
      <c r="S1622" s="36" t="str">
        <f t="shared" si="477"/>
        <v>UNIDOS VOLAMOS AIRLINES</v>
      </c>
      <c r="T1622" s="36">
        <f t="shared" si="477"/>
        <v>4525</v>
      </c>
      <c r="U1622" s="73">
        <v>0.73958333333333337</v>
      </c>
      <c r="V1622" s="74">
        <v>0.74722222222222223</v>
      </c>
      <c r="W1622" s="75">
        <v>7.6388888888888618E-3</v>
      </c>
      <c r="X1622" s="74">
        <v>0.76666666666666661</v>
      </c>
      <c r="Y1622" s="75">
        <v>1.9444444444444375E-2</v>
      </c>
      <c r="Z1622" s="76">
        <v>41754</v>
      </c>
      <c r="AA1622" s="36" t="str">
        <f t="shared" si="476"/>
        <v>Internacional</v>
      </c>
      <c r="AB1622" s="36">
        <f t="shared" si="476"/>
        <v>1.1591880341880318E-2</v>
      </c>
      <c r="AC1622" s="36">
        <f t="shared" si="476"/>
        <v>9.0811965811966131E-3</v>
      </c>
      <c r="AD1622" s="36">
        <f t="shared" si="476"/>
        <v>2.0673076923076933E-2</v>
      </c>
      <c r="AE1622" s="36" t="str">
        <f t="shared" si="476"/>
        <v>ER4</v>
      </c>
      <c r="AF1622" s="36">
        <f t="shared" si="476"/>
        <v>50</v>
      </c>
      <c r="AG1622" s="36" t="str">
        <f t="shared" si="476"/>
        <v>IAH</v>
      </c>
    </row>
    <row r="1623" spans="18:33" x14ac:dyDescent="0.25">
      <c r="R1623">
        <v>1609</v>
      </c>
      <c r="S1623" s="36" t="str">
        <f t="shared" si="477"/>
        <v>UNIDOS VOLAMOS AIRLINES</v>
      </c>
      <c r="T1623" s="36">
        <f t="shared" si="477"/>
        <v>4525</v>
      </c>
      <c r="U1623" s="73">
        <v>0.73958333333333337</v>
      </c>
      <c r="V1623" s="74">
        <v>0.74305555555555547</v>
      </c>
      <c r="W1623" s="75">
        <v>3.4722222222220989E-3</v>
      </c>
      <c r="X1623" s="74">
        <v>0.75694444444444453</v>
      </c>
      <c r="Y1623" s="75">
        <v>1.3888888888889062E-2</v>
      </c>
      <c r="Z1623" s="76">
        <v>41754</v>
      </c>
      <c r="AA1623" s="36" t="str">
        <f t="shared" si="476"/>
        <v>Internacional</v>
      </c>
      <c r="AB1623" s="36">
        <f t="shared" si="476"/>
        <v>1.1591880341880318E-2</v>
      </c>
      <c r="AC1623" s="36">
        <f t="shared" si="476"/>
        <v>9.0811965811966131E-3</v>
      </c>
      <c r="AD1623" s="36">
        <f t="shared" si="476"/>
        <v>2.0673076923076933E-2</v>
      </c>
      <c r="AE1623" s="36" t="str">
        <f t="shared" si="476"/>
        <v>ER4</v>
      </c>
      <c r="AF1623" s="36">
        <f t="shared" si="476"/>
        <v>50</v>
      </c>
      <c r="AG1623" s="36" t="str">
        <f t="shared" si="476"/>
        <v>IAH</v>
      </c>
    </row>
    <row r="1624" spans="18:33" x14ac:dyDescent="0.25">
      <c r="R1624">
        <v>1610</v>
      </c>
      <c r="S1624" s="36" t="str">
        <f t="shared" si="477"/>
        <v>UNIDOS VOLAMOS AIRLINES</v>
      </c>
      <c r="T1624" s="36">
        <f t="shared" si="477"/>
        <v>4525</v>
      </c>
      <c r="U1624" s="73">
        <v>0.71180555555555547</v>
      </c>
      <c r="V1624" s="74">
        <v>0.72222222222222221</v>
      </c>
      <c r="W1624" s="75">
        <v>1.0416666666666741E-2</v>
      </c>
      <c r="X1624" s="74">
        <v>0.73402777777777783</v>
      </c>
      <c r="Y1624" s="75">
        <v>1.1805555555555625E-2</v>
      </c>
      <c r="Z1624" s="76">
        <v>41756</v>
      </c>
      <c r="AA1624" s="36" t="str">
        <f t="shared" si="476"/>
        <v>Internacional</v>
      </c>
      <c r="AB1624" s="36">
        <f t="shared" si="476"/>
        <v>1.1591880341880318E-2</v>
      </c>
      <c r="AC1624" s="36">
        <f t="shared" si="476"/>
        <v>9.0811965811966131E-3</v>
      </c>
      <c r="AD1624" s="36">
        <f t="shared" si="476"/>
        <v>2.0673076923076933E-2</v>
      </c>
      <c r="AE1624" s="36" t="str">
        <f t="shared" si="476"/>
        <v>ER4</v>
      </c>
      <c r="AF1624" s="36">
        <f t="shared" si="476"/>
        <v>50</v>
      </c>
      <c r="AG1624" s="36" t="str">
        <f t="shared" si="476"/>
        <v>IAH</v>
      </c>
    </row>
    <row r="1625" spans="18:33" x14ac:dyDescent="0.25">
      <c r="R1625">
        <v>1611</v>
      </c>
      <c r="S1625" s="36" t="str">
        <f t="shared" si="477"/>
        <v>UNIDOS VOLAMOS AIRLINES</v>
      </c>
      <c r="T1625" s="36">
        <f t="shared" si="477"/>
        <v>4525</v>
      </c>
      <c r="U1625" s="73">
        <v>0.7090277777777777</v>
      </c>
      <c r="V1625" s="74">
        <v>0.71805555555555556</v>
      </c>
      <c r="W1625" s="75">
        <v>9.0277777777778567E-3</v>
      </c>
      <c r="X1625" s="74">
        <v>0.72569444444444453</v>
      </c>
      <c r="Y1625" s="75">
        <v>7.6388888888889728E-3</v>
      </c>
      <c r="Z1625" s="76">
        <v>41758</v>
      </c>
      <c r="AA1625" s="36" t="str">
        <f t="shared" si="476"/>
        <v>Internacional</v>
      </c>
      <c r="AB1625" s="36">
        <f t="shared" si="476"/>
        <v>1.1591880341880318E-2</v>
      </c>
      <c r="AC1625" s="36">
        <f t="shared" si="476"/>
        <v>9.0811965811966131E-3</v>
      </c>
      <c r="AD1625" s="36">
        <f t="shared" si="476"/>
        <v>2.0673076923076933E-2</v>
      </c>
      <c r="AE1625" s="36" t="str">
        <f t="shared" si="476"/>
        <v>ER4</v>
      </c>
      <c r="AF1625" s="36">
        <f t="shared" si="476"/>
        <v>50</v>
      </c>
      <c r="AG1625" s="36" t="str">
        <f t="shared" si="476"/>
        <v>IAH</v>
      </c>
    </row>
    <row r="1626" spans="18:33" ht="15.75" thickBot="1" x14ac:dyDescent="0.3">
      <c r="R1626">
        <v>1612</v>
      </c>
      <c r="S1626" s="36" t="str">
        <f t="shared" si="477"/>
        <v>UNIDOS VOLAMOS AIRLINES</v>
      </c>
      <c r="T1626" s="36">
        <f t="shared" si="477"/>
        <v>4525</v>
      </c>
      <c r="U1626" s="83">
        <v>0.71666666666666667</v>
      </c>
      <c r="V1626" s="84">
        <v>0.72222222222222221</v>
      </c>
      <c r="W1626" s="85">
        <v>5.5555555555555358E-3</v>
      </c>
      <c r="X1626" s="84">
        <v>0.7270833333333333</v>
      </c>
      <c r="Y1626" s="85">
        <v>4.8611111111110938E-3</v>
      </c>
      <c r="Z1626" s="86">
        <v>41759</v>
      </c>
      <c r="AA1626" s="36" t="str">
        <f t="shared" si="476"/>
        <v>Internacional</v>
      </c>
      <c r="AB1626" s="36">
        <f t="shared" si="476"/>
        <v>1.1591880341880318E-2</v>
      </c>
      <c r="AC1626" s="36">
        <f t="shared" si="476"/>
        <v>9.0811965811966131E-3</v>
      </c>
      <c r="AD1626" s="36">
        <f t="shared" si="476"/>
        <v>2.0673076923076933E-2</v>
      </c>
      <c r="AE1626" s="36" t="str">
        <f t="shared" si="476"/>
        <v>ER4</v>
      </c>
      <c r="AF1626" s="36">
        <f t="shared" si="476"/>
        <v>50</v>
      </c>
      <c r="AG1626" s="36" t="str">
        <f t="shared" si="476"/>
        <v>IAH</v>
      </c>
    </row>
    <row r="1627" spans="18:33" x14ac:dyDescent="0.25">
      <c r="R1627">
        <v>1613</v>
      </c>
      <c r="S1627" s="45" t="s">
        <v>74</v>
      </c>
      <c r="T1627" s="55">
        <v>2927</v>
      </c>
      <c r="U1627" s="56">
        <v>0.71250000000000002</v>
      </c>
      <c r="V1627" s="57">
        <v>0.72152777777777777</v>
      </c>
      <c r="W1627" s="58">
        <v>9.0277777777777457E-3</v>
      </c>
      <c r="X1627" s="57">
        <v>0.72777777777777775</v>
      </c>
      <c r="Y1627" s="58">
        <v>6.2499999999999778E-3</v>
      </c>
      <c r="Z1627" s="59">
        <v>41741</v>
      </c>
      <c r="AA1627" s="60" t="s">
        <v>22</v>
      </c>
      <c r="AB1627" s="61">
        <v>1.0787037037037059E-2</v>
      </c>
      <c r="AC1627" s="61">
        <v>9.5833333333333135E-3</v>
      </c>
      <c r="AD1627" s="231">
        <v>2.0370370370370372E-2</v>
      </c>
      <c r="AE1627" s="132" t="s">
        <v>62</v>
      </c>
      <c r="AF1627" s="132">
        <v>78</v>
      </c>
      <c r="AG1627" s="132" t="s">
        <v>76</v>
      </c>
    </row>
    <row r="1628" spans="18:33" x14ac:dyDescent="0.25">
      <c r="R1628">
        <v>1614</v>
      </c>
      <c r="S1628" s="36" t="str">
        <f t="shared" ref="S1628:T1691" si="478">S1627</f>
        <v>VIAS AÉREAS DE USA</v>
      </c>
      <c r="T1628" s="36">
        <f t="shared" si="478"/>
        <v>2927</v>
      </c>
      <c r="U1628" s="73">
        <v>0.71250000000000002</v>
      </c>
      <c r="V1628" s="74">
        <v>0.71805555555555556</v>
      </c>
      <c r="W1628" s="75">
        <v>5.5555555555555358E-3</v>
      </c>
      <c r="X1628" s="74">
        <v>0.72430555555555554</v>
      </c>
      <c r="Y1628" s="75">
        <v>6.2499999999999778E-3</v>
      </c>
      <c r="Z1628" s="76">
        <v>41743</v>
      </c>
      <c r="AA1628" s="36" t="str">
        <f t="shared" ref="AA1628:AG1641" si="479">AA1627</f>
        <v>Internacional</v>
      </c>
      <c r="AB1628" s="36">
        <f t="shared" si="479"/>
        <v>1.0787037037037059E-2</v>
      </c>
      <c r="AC1628" s="36">
        <f t="shared" si="479"/>
        <v>9.5833333333333135E-3</v>
      </c>
      <c r="AD1628" s="36">
        <f t="shared" si="479"/>
        <v>2.0370370370370372E-2</v>
      </c>
      <c r="AE1628" s="36" t="str">
        <f t="shared" si="479"/>
        <v>CR9</v>
      </c>
      <c r="AF1628" s="36">
        <f t="shared" si="479"/>
        <v>78</v>
      </c>
      <c r="AG1628" s="36" t="str">
        <f t="shared" si="479"/>
        <v>PHX</v>
      </c>
    </row>
    <row r="1629" spans="18:33" x14ac:dyDescent="0.25">
      <c r="R1629">
        <v>1615</v>
      </c>
      <c r="S1629" s="36" t="str">
        <f t="shared" si="478"/>
        <v>VIAS AÉREAS DE USA</v>
      </c>
      <c r="T1629" s="36">
        <f t="shared" si="478"/>
        <v>2927</v>
      </c>
      <c r="U1629" s="73">
        <v>0.70833333333333337</v>
      </c>
      <c r="V1629" s="74">
        <v>0.71805555555555556</v>
      </c>
      <c r="W1629" s="75">
        <v>9.7222222222221877E-3</v>
      </c>
      <c r="X1629" s="74">
        <v>0.7284722222222223</v>
      </c>
      <c r="Y1629" s="75">
        <v>1.0416666666666741E-2</v>
      </c>
      <c r="Z1629" s="76">
        <v>41744</v>
      </c>
      <c r="AA1629" s="36" t="str">
        <f t="shared" si="479"/>
        <v>Internacional</v>
      </c>
      <c r="AB1629" s="36">
        <f t="shared" si="479"/>
        <v>1.0787037037037059E-2</v>
      </c>
      <c r="AC1629" s="36">
        <f t="shared" si="479"/>
        <v>9.5833333333333135E-3</v>
      </c>
      <c r="AD1629" s="36">
        <f t="shared" si="479"/>
        <v>2.0370370370370372E-2</v>
      </c>
      <c r="AE1629" s="36" t="str">
        <f t="shared" si="479"/>
        <v>CR9</v>
      </c>
      <c r="AF1629" s="36">
        <f t="shared" si="479"/>
        <v>78</v>
      </c>
      <c r="AG1629" s="36" t="str">
        <f t="shared" si="479"/>
        <v>PHX</v>
      </c>
    </row>
    <row r="1630" spans="18:33" x14ac:dyDescent="0.25">
      <c r="R1630">
        <v>1616</v>
      </c>
      <c r="S1630" s="36" t="str">
        <f t="shared" si="478"/>
        <v>VIAS AÉREAS DE USA</v>
      </c>
      <c r="T1630" s="36">
        <f t="shared" si="478"/>
        <v>2927</v>
      </c>
      <c r="U1630" s="73">
        <v>0.71736111111111101</v>
      </c>
      <c r="V1630" s="74">
        <v>0.72430555555555554</v>
      </c>
      <c r="W1630" s="75">
        <v>6.9444444444445308E-3</v>
      </c>
      <c r="X1630" s="74">
        <v>0.73125000000000007</v>
      </c>
      <c r="Y1630" s="75">
        <v>6.9444444444445308E-3</v>
      </c>
      <c r="Z1630" s="76">
        <v>41748</v>
      </c>
      <c r="AA1630" s="36" t="str">
        <f t="shared" si="479"/>
        <v>Internacional</v>
      </c>
      <c r="AB1630" s="36">
        <f t="shared" si="479"/>
        <v>1.0787037037037059E-2</v>
      </c>
      <c r="AC1630" s="36">
        <f t="shared" si="479"/>
        <v>9.5833333333333135E-3</v>
      </c>
      <c r="AD1630" s="36">
        <f t="shared" si="479"/>
        <v>2.0370370370370372E-2</v>
      </c>
      <c r="AE1630" s="36" t="str">
        <f t="shared" si="479"/>
        <v>CR9</v>
      </c>
      <c r="AF1630" s="36">
        <f t="shared" si="479"/>
        <v>78</v>
      </c>
      <c r="AG1630" s="36" t="str">
        <f t="shared" si="479"/>
        <v>PHX</v>
      </c>
    </row>
    <row r="1631" spans="18:33" x14ac:dyDescent="0.25">
      <c r="R1631">
        <v>1617</v>
      </c>
      <c r="S1631" s="36" t="str">
        <f t="shared" si="478"/>
        <v>VIAS AÉREAS DE USA</v>
      </c>
      <c r="T1631" s="36">
        <f t="shared" si="478"/>
        <v>2927</v>
      </c>
      <c r="U1631" s="73">
        <v>0.72013888888888899</v>
      </c>
      <c r="V1631" s="74">
        <v>0.72569444444444453</v>
      </c>
      <c r="W1631" s="75">
        <v>5.5555555555555358E-3</v>
      </c>
      <c r="X1631" s="74">
        <v>0.73819444444444438</v>
      </c>
      <c r="Y1631" s="75">
        <v>1.2499999999999845E-2</v>
      </c>
      <c r="Z1631" s="76">
        <v>41749</v>
      </c>
      <c r="AA1631" s="36" t="str">
        <f t="shared" si="479"/>
        <v>Internacional</v>
      </c>
      <c r="AB1631" s="36">
        <f t="shared" si="479"/>
        <v>1.0787037037037059E-2</v>
      </c>
      <c r="AC1631" s="36">
        <f t="shared" si="479"/>
        <v>9.5833333333333135E-3</v>
      </c>
      <c r="AD1631" s="36">
        <f t="shared" si="479"/>
        <v>2.0370370370370372E-2</v>
      </c>
      <c r="AE1631" s="36" t="str">
        <f t="shared" si="479"/>
        <v>CR9</v>
      </c>
      <c r="AF1631" s="36">
        <f t="shared" si="479"/>
        <v>78</v>
      </c>
      <c r="AG1631" s="36" t="str">
        <f t="shared" si="479"/>
        <v>PHX</v>
      </c>
    </row>
    <row r="1632" spans="18:33" x14ac:dyDescent="0.25">
      <c r="R1632">
        <v>1618</v>
      </c>
      <c r="S1632" s="36" t="str">
        <f t="shared" si="478"/>
        <v>VIAS AÉREAS DE USA</v>
      </c>
      <c r="T1632" s="36">
        <f t="shared" si="478"/>
        <v>2927</v>
      </c>
      <c r="U1632" s="73">
        <v>0.71875</v>
      </c>
      <c r="V1632" s="74">
        <v>0.72777777777777775</v>
      </c>
      <c r="W1632" s="75">
        <v>9.0277777777777457E-3</v>
      </c>
      <c r="X1632" s="74">
        <v>0.73472222222222217</v>
      </c>
      <c r="Y1632" s="75">
        <v>6.9444444444444198E-3</v>
      </c>
      <c r="Z1632" s="76">
        <v>41750</v>
      </c>
      <c r="AA1632" s="36" t="str">
        <f t="shared" si="479"/>
        <v>Internacional</v>
      </c>
      <c r="AB1632" s="36">
        <f t="shared" si="479"/>
        <v>1.0787037037037059E-2</v>
      </c>
      <c r="AC1632" s="36">
        <f t="shared" si="479"/>
        <v>9.5833333333333135E-3</v>
      </c>
      <c r="AD1632" s="36">
        <f t="shared" si="479"/>
        <v>2.0370370370370372E-2</v>
      </c>
      <c r="AE1632" s="36" t="str">
        <f t="shared" si="479"/>
        <v>CR9</v>
      </c>
      <c r="AF1632" s="36">
        <f t="shared" si="479"/>
        <v>78</v>
      </c>
      <c r="AG1632" s="36" t="str">
        <f t="shared" si="479"/>
        <v>PHX</v>
      </c>
    </row>
    <row r="1633" spans="18:33" x14ac:dyDescent="0.25">
      <c r="R1633">
        <v>1619</v>
      </c>
      <c r="S1633" s="36" t="str">
        <f t="shared" si="478"/>
        <v>VIAS AÉREAS DE USA</v>
      </c>
      <c r="T1633" s="36">
        <f t="shared" si="478"/>
        <v>2927</v>
      </c>
      <c r="U1633" s="73">
        <v>0.71666666666666667</v>
      </c>
      <c r="V1633" s="74">
        <v>0.72430555555555554</v>
      </c>
      <c r="W1633" s="75">
        <v>7.6388888888888618E-3</v>
      </c>
      <c r="X1633" s="74">
        <v>0.72986111111111107</v>
      </c>
      <c r="Y1633" s="75">
        <v>5.5555555555555358E-3</v>
      </c>
      <c r="Z1633" s="76">
        <v>41753</v>
      </c>
      <c r="AA1633" s="36" t="str">
        <f t="shared" si="479"/>
        <v>Internacional</v>
      </c>
      <c r="AB1633" s="36">
        <f t="shared" si="479"/>
        <v>1.0787037037037059E-2</v>
      </c>
      <c r="AC1633" s="36">
        <f t="shared" si="479"/>
        <v>9.5833333333333135E-3</v>
      </c>
      <c r="AD1633" s="36">
        <f t="shared" si="479"/>
        <v>2.0370370370370372E-2</v>
      </c>
      <c r="AE1633" s="36" t="str">
        <f t="shared" si="479"/>
        <v>CR9</v>
      </c>
      <c r="AF1633" s="36">
        <f t="shared" si="479"/>
        <v>78</v>
      </c>
      <c r="AG1633" s="36" t="str">
        <f t="shared" si="479"/>
        <v>PHX</v>
      </c>
    </row>
    <row r="1634" spans="18:33" x14ac:dyDescent="0.25">
      <c r="R1634">
        <v>1620</v>
      </c>
      <c r="S1634" s="36" t="str">
        <f t="shared" si="478"/>
        <v>VIAS AÉREAS DE USA</v>
      </c>
      <c r="T1634" s="36">
        <f t="shared" si="478"/>
        <v>2927</v>
      </c>
      <c r="U1634" s="73">
        <v>0.77916666666666667</v>
      </c>
      <c r="V1634" s="74">
        <v>0.7895833333333333</v>
      </c>
      <c r="W1634" s="75">
        <v>1.041666666666663E-2</v>
      </c>
      <c r="X1634" s="74">
        <v>0.7944444444444444</v>
      </c>
      <c r="Y1634" s="75">
        <v>4.8611111111110938E-3</v>
      </c>
      <c r="Z1634" s="76">
        <v>41754</v>
      </c>
      <c r="AA1634" s="36" t="str">
        <f t="shared" si="479"/>
        <v>Internacional</v>
      </c>
      <c r="AB1634" s="36">
        <f t="shared" si="479"/>
        <v>1.0787037037037059E-2</v>
      </c>
      <c r="AC1634" s="36">
        <f t="shared" si="479"/>
        <v>9.5833333333333135E-3</v>
      </c>
      <c r="AD1634" s="36">
        <f t="shared" si="479"/>
        <v>2.0370370370370372E-2</v>
      </c>
      <c r="AE1634" s="36" t="str">
        <f t="shared" si="479"/>
        <v>CR9</v>
      </c>
      <c r="AF1634" s="36">
        <f t="shared" si="479"/>
        <v>78</v>
      </c>
      <c r="AG1634" s="36" t="str">
        <f t="shared" si="479"/>
        <v>PHX</v>
      </c>
    </row>
    <row r="1635" spans="18:33" x14ac:dyDescent="0.25">
      <c r="R1635">
        <v>1621</v>
      </c>
      <c r="S1635" s="36" t="str">
        <f t="shared" si="478"/>
        <v>VIAS AÉREAS DE USA</v>
      </c>
      <c r="T1635" s="36">
        <f t="shared" si="478"/>
        <v>2927</v>
      </c>
      <c r="U1635" s="73">
        <v>0.70416666666666661</v>
      </c>
      <c r="V1635" s="74">
        <v>0.71180555555555547</v>
      </c>
      <c r="W1635" s="75">
        <v>7.6388888888888618E-3</v>
      </c>
      <c r="X1635" s="74">
        <v>0.72361111111111109</v>
      </c>
      <c r="Y1635" s="75">
        <v>1.1805555555555625E-2</v>
      </c>
      <c r="Z1635" s="76">
        <v>41754</v>
      </c>
      <c r="AA1635" s="36" t="str">
        <f t="shared" si="479"/>
        <v>Internacional</v>
      </c>
      <c r="AB1635" s="36">
        <f t="shared" si="479"/>
        <v>1.0787037037037059E-2</v>
      </c>
      <c r="AC1635" s="36">
        <f t="shared" si="479"/>
        <v>9.5833333333333135E-3</v>
      </c>
      <c r="AD1635" s="36">
        <f t="shared" si="479"/>
        <v>2.0370370370370372E-2</v>
      </c>
      <c r="AE1635" s="36" t="str">
        <f t="shared" si="479"/>
        <v>CR9</v>
      </c>
      <c r="AF1635" s="36">
        <f t="shared" si="479"/>
        <v>78</v>
      </c>
      <c r="AG1635" s="36" t="str">
        <f t="shared" si="479"/>
        <v>PHX</v>
      </c>
    </row>
    <row r="1636" spans="18:33" x14ac:dyDescent="0.25">
      <c r="R1636">
        <v>1622</v>
      </c>
      <c r="S1636" s="36" t="str">
        <f t="shared" si="478"/>
        <v>VIAS AÉREAS DE USA</v>
      </c>
      <c r="T1636" s="36">
        <f t="shared" si="478"/>
        <v>2927</v>
      </c>
      <c r="U1636" s="73">
        <v>0.7006944444444444</v>
      </c>
      <c r="V1636" s="74">
        <v>0.70694444444444438</v>
      </c>
      <c r="W1636" s="75">
        <v>6.2499999999999778E-3</v>
      </c>
      <c r="X1636" s="74">
        <v>0.71736111111111101</v>
      </c>
      <c r="Y1636" s="75">
        <v>1.041666666666663E-2</v>
      </c>
      <c r="Z1636" s="76">
        <v>41756</v>
      </c>
      <c r="AA1636" s="36" t="str">
        <f t="shared" si="479"/>
        <v>Internacional</v>
      </c>
      <c r="AB1636" s="36">
        <f t="shared" si="479"/>
        <v>1.0787037037037059E-2</v>
      </c>
      <c r="AC1636" s="36">
        <f t="shared" si="479"/>
        <v>9.5833333333333135E-3</v>
      </c>
      <c r="AD1636" s="36">
        <f t="shared" si="479"/>
        <v>2.0370370370370372E-2</v>
      </c>
      <c r="AE1636" s="36" t="str">
        <f t="shared" si="479"/>
        <v>CR9</v>
      </c>
      <c r="AF1636" s="36">
        <f t="shared" si="479"/>
        <v>78</v>
      </c>
      <c r="AG1636" s="36" t="str">
        <f t="shared" si="479"/>
        <v>PHX</v>
      </c>
    </row>
    <row r="1637" spans="18:33" x14ac:dyDescent="0.25">
      <c r="R1637">
        <v>1623</v>
      </c>
      <c r="S1637" s="36" t="str">
        <f t="shared" si="478"/>
        <v>VIAS AÉREAS DE USA</v>
      </c>
      <c r="T1637" s="36">
        <f t="shared" si="478"/>
        <v>2927</v>
      </c>
      <c r="U1637" s="73">
        <v>0.71458333333333324</v>
      </c>
      <c r="V1637" s="74">
        <v>0.72013888888888899</v>
      </c>
      <c r="W1637" s="75">
        <v>5.5555555555557579E-3</v>
      </c>
      <c r="X1637" s="74">
        <v>0.72638888888888886</v>
      </c>
      <c r="Y1637" s="75">
        <v>6.2499999999998668E-3</v>
      </c>
      <c r="Z1637" s="76">
        <v>41757</v>
      </c>
      <c r="AA1637" s="36" t="str">
        <f t="shared" si="479"/>
        <v>Internacional</v>
      </c>
      <c r="AB1637" s="36">
        <f t="shared" si="479"/>
        <v>1.0787037037037059E-2</v>
      </c>
      <c r="AC1637" s="36">
        <f t="shared" si="479"/>
        <v>9.5833333333333135E-3</v>
      </c>
      <c r="AD1637" s="36">
        <f t="shared" si="479"/>
        <v>2.0370370370370372E-2</v>
      </c>
      <c r="AE1637" s="36" t="str">
        <f t="shared" si="479"/>
        <v>CR9</v>
      </c>
      <c r="AF1637" s="36">
        <f t="shared" si="479"/>
        <v>78</v>
      </c>
      <c r="AG1637" s="36" t="str">
        <f t="shared" si="479"/>
        <v>PHX</v>
      </c>
    </row>
    <row r="1638" spans="18:33" x14ac:dyDescent="0.25">
      <c r="R1638">
        <v>1624</v>
      </c>
      <c r="S1638" s="36" t="str">
        <f t="shared" si="478"/>
        <v>VIAS AÉREAS DE USA</v>
      </c>
      <c r="T1638" s="36">
        <f t="shared" si="478"/>
        <v>2927</v>
      </c>
      <c r="U1638" s="73">
        <v>0.71458333333333324</v>
      </c>
      <c r="V1638" s="74">
        <v>0.72291666666666676</v>
      </c>
      <c r="W1638" s="75">
        <v>8.3333333333335258E-3</v>
      </c>
      <c r="X1638" s="74">
        <v>0.73263888888888884</v>
      </c>
      <c r="Y1638" s="75">
        <v>9.7222222222220767E-3</v>
      </c>
      <c r="Z1638" s="76">
        <v>41758</v>
      </c>
      <c r="AA1638" s="36" t="str">
        <f t="shared" si="479"/>
        <v>Internacional</v>
      </c>
      <c r="AB1638" s="36">
        <f t="shared" si="479"/>
        <v>1.0787037037037059E-2</v>
      </c>
      <c r="AC1638" s="36">
        <f t="shared" si="479"/>
        <v>9.5833333333333135E-3</v>
      </c>
      <c r="AD1638" s="36">
        <f t="shared" si="479"/>
        <v>2.0370370370370372E-2</v>
      </c>
      <c r="AE1638" s="36" t="str">
        <f t="shared" si="479"/>
        <v>CR9</v>
      </c>
      <c r="AF1638" s="36">
        <f t="shared" si="479"/>
        <v>78</v>
      </c>
      <c r="AG1638" s="36" t="str">
        <f t="shared" si="479"/>
        <v>PHX</v>
      </c>
    </row>
    <row r="1639" spans="18:33" x14ac:dyDescent="0.25">
      <c r="R1639">
        <v>1625</v>
      </c>
      <c r="S1639" s="36" t="str">
        <f t="shared" si="478"/>
        <v>VIAS AÉREAS DE USA</v>
      </c>
      <c r="T1639" s="36">
        <f t="shared" si="478"/>
        <v>2927</v>
      </c>
      <c r="U1639" s="73">
        <v>0.72222222222222221</v>
      </c>
      <c r="V1639" s="74">
        <v>0.77708333333333324</v>
      </c>
      <c r="W1639" s="75">
        <v>5.4861111111111027E-2</v>
      </c>
      <c r="X1639" s="74">
        <v>0.79305555555555562</v>
      </c>
      <c r="Y1639" s="75">
        <v>1.5972222222222388E-2</v>
      </c>
      <c r="Z1639" s="76">
        <v>41759</v>
      </c>
      <c r="AA1639" s="36" t="str">
        <f t="shared" si="479"/>
        <v>Internacional</v>
      </c>
      <c r="AB1639" s="36">
        <f t="shared" si="479"/>
        <v>1.0787037037037059E-2</v>
      </c>
      <c r="AC1639" s="36">
        <f t="shared" si="479"/>
        <v>9.5833333333333135E-3</v>
      </c>
      <c r="AD1639" s="36">
        <f t="shared" si="479"/>
        <v>2.0370370370370372E-2</v>
      </c>
      <c r="AE1639" s="36" t="str">
        <f t="shared" si="479"/>
        <v>CR9</v>
      </c>
      <c r="AF1639" s="36">
        <f t="shared" si="479"/>
        <v>78</v>
      </c>
      <c r="AG1639" s="36" t="str">
        <f t="shared" si="479"/>
        <v>PHX</v>
      </c>
    </row>
    <row r="1640" spans="18:33" x14ac:dyDescent="0.25">
      <c r="R1640">
        <v>1626</v>
      </c>
      <c r="S1640" s="36" t="str">
        <f t="shared" si="478"/>
        <v>VIAS AÉREAS DE USA</v>
      </c>
      <c r="T1640" s="36">
        <f t="shared" si="478"/>
        <v>2927</v>
      </c>
      <c r="U1640" s="73">
        <v>0.72361111111111109</v>
      </c>
      <c r="V1640" s="74">
        <v>0.73125000000000007</v>
      </c>
      <c r="W1640" s="75">
        <v>7.6388888888889728E-3</v>
      </c>
      <c r="X1640" s="74">
        <v>0.74722222222222223</v>
      </c>
      <c r="Y1640" s="75">
        <v>1.5972222222222165E-2</v>
      </c>
      <c r="Z1640" s="76">
        <v>41751</v>
      </c>
      <c r="AA1640" s="36" t="str">
        <f t="shared" si="479"/>
        <v>Internacional</v>
      </c>
      <c r="AB1640" s="36">
        <f t="shared" si="479"/>
        <v>1.0787037037037059E-2</v>
      </c>
      <c r="AC1640" s="36">
        <f t="shared" si="479"/>
        <v>9.5833333333333135E-3</v>
      </c>
      <c r="AD1640" s="36">
        <f t="shared" si="479"/>
        <v>2.0370370370370372E-2</v>
      </c>
      <c r="AE1640" s="36" t="str">
        <f t="shared" si="479"/>
        <v>CR9</v>
      </c>
      <c r="AF1640" s="36">
        <f t="shared" si="479"/>
        <v>78</v>
      </c>
      <c r="AG1640" s="36" t="str">
        <f t="shared" si="479"/>
        <v>PHX</v>
      </c>
    </row>
    <row r="1641" spans="18:33" ht="15.75" thickBot="1" x14ac:dyDescent="0.3">
      <c r="R1641">
        <v>1627</v>
      </c>
      <c r="S1641" s="36" t="str">
        <f t="shared" si="478"/>
        <v>VIAS AÉREAS DE USA</v>
      </c>
      <c r="T1641" s="36">
        <f t="shared" si="478"/>
        <v>2927</v>
      </c>
      <c r="U1641" s="83">
        <v>0.72361111111111109</v>
      </c>
      <c r="V1641" s="84">
        <v>0.73125000000000007</v>
      </c>
      <c r="W1641" s="85">
        <v>7.6388888888889728E-3</v>
      </c>
      <c r="X1641" s="84">
        <v>0.74513888888888891</v>
      </c>
      <c r="Y1641" s="85">
        <v>1.388888888888884E-2</v>
      </c>
      <c r="Z1641" s="86">
        <v>41751</v>
      </c>
      <c r="AA1641" s="36" t="str">
        <f t="shared" si="479"/>
        <v>Internacional</v>
      </c>
      <c r="AB1641" s="36">
        <f t="shared" si="479"/>
        <v>1.0787037037037059E-2</v>
      </c>
      <c r="AC1641" s="36">
        <f t="shared" si="479"/>
        <v>9.5833333333333135E-3</v>
      </c>
      <c r="AD1641" s="36">
        <f t="shared" si="479"/>
        <v>2.0370370370370372E-2</v>
      </c>
      <c r="AE1641" s="36" t="str">
        <f t="shared" si="479"/>
        <v>CR9</v>
      </c>
      <c r="AF1641" s="36">
        <f t="shared" si="479"/>
        <v>78</v>
      </c>
      <c r="AG1641" s="36" t="str">
        <f t="shared" si="479"/>
        <v>PHX</v>
      </c>
    </row>
    <row r="1642" spans="18:33" x14ac:dyDescent="0.25">
      <c r="R1642">
        <v>1628</v>
      </c>
      <c r="S1642" s="36" t="str">
        <f t="shared" si="478"/>
        <v>VIAS AÉREAS DE USA</v>
      </c>
      <c r="T1642" s="55">
        <v>2879</v>
      </c>
      <c r="U1642" s="56">
        <v>0.92013888888888884</v>
      </c>
      <c r="V1642" s="57">
        <v>0.92986111111111114</v>
      </c>
      <c r="W1642" s="58">
        <v>9.7222222222222987E-3</v>
      </c>
      <c r="X1642" s="57">
        <v>0.9375</v>
      </c>
      <c r="Y1642" s="58">
        <v>7.6388888888888618E-3</v>
      </c>
      <c r="Z1642" s="59">
        <v>41731</v>
      </c>
      <c r="AA1642" s="60" t="s">
        <v>22</v>
      </c>
      <c r="AB1642" s="61">
        <v>1.0272988505747125E-2</v>
      </c>
      <c r="AC1642" s="61">
        <v>1.0560344827586219E-2</v>
      </c>
      <c r="AD1642" s="231">
        <v>2.0833333333333343E-2</v>
      </c>
      <c r="AE1642" s="132" t="s">
        <v>97</v>
      </c>
      <c r="AF1642" s="132">
        <v>78</v>
      </c>
      <c r="AG1642" s="132" t="s">
        <v>76</v>
      </c>
    </row>
    <row r="1643" spans="18:33" x14ac:dyDescent="0.25">
      <c r="R1643">
        <v>1629</v>
      </c>
      <c r="S1643" s="36" t="str">
        <f t="shared" si="478"/>
        <v>VIAS AÉREAS DE USA</v>
      </c>
      <c r="T1643" s="36">
        <f t="shared" si="478"/>
        <v>2879</v>
      </c>
      <c r="U1643" s="73">
        <v>0.9194444444444444</v>
      </c>
      <c r="V1643" s="74">
        <v>0.92569444444444438</v>
      </c>
      <c r="W1643" s="75">
        <v>6.2499999999999778E-3</v>
      </c>
      <c r="X1643" s="74">
        <v>0.93472222222222223</v>
      </c>
      <c r="Y1643" s="75">
        <v>9.0277777777778567E-3</v>
      </c>
      <c r="Z1643" s="76">
        <v>41732</v>
      </c>
      <c r="AA1643" s="36" t="str">
        <f t="shared" ref="AA1643:AG1670" si="480">AA1642</f>
        <v>Internacional</v>
      </c>
      <c r="AB1643" s="36">
        <f t="shared" si="480"/>
        <v>1.0272988505747125E-2</v>
      </c>
      <c r="AC1643" s="36">
        <f t="shared" si="480"/>
        <v>1.0560344827586219E-2</v>
      </c>
      <c r="AD1643" s="36">
        <f t="shared" si="480"/>
        <v>2.0833333333333343E-2</v>
      </c>
      <c r="AE1643" s="36" t="str">
        <f t="shared" si="480"/>
        <v>CRJ700</v>
      </c>
      <c r="AF1643" s="36">
        <f t="shared" si="480"/>
        <v>78</v>
      </c>
      <c r="AG1643" s="36" t="str">
        <f t="shared" si="480"/>
        <v>PHX</v>
      </c>
    </row>
    <row r="1644" spans="18:33" x14ac:dyDescent="0.25">
      <c r="R1644">
        <v>1630</v>
      </c>
      <c r="S1644" s="36" t="str">
        <f t="shared" si="478"/>
        <v>VIAS AÉREAS DE USA</v>
      </c>
      <c r="T1644" s="36">
        <f t="shared" si="478"/>
        <v>2879</v>
      </c>
      <c r="U1644" s="73">
        <v>0.92083333333333339</v>
      </c>
      <c r="V1644" s="74">
        <v>0.93125000000000002</v>
      </c>
      <c r="W1644" s="75">
        <v>1.041666666666663E-2</v>
      </c>
      <c r="X1644" s="74">
        <v>0.94166666666666676</v>
      </c>
      <c r="Y1644" s="75">
        <v>1.0416666666666741E-2</v>
      </c>
      <c r="Z1644" s="76">
        <v>41734</v>
      </c>
      <c r="AA1644" s="36" t="str">
        <f t="shared" si="480"/>
        <v>Internacional</v>
      </c>
      <c r="AB1644" s="36">
        <f t="shared" si="480"/>
        <v>1.0272988505747125E-2</v>
      </c>
      <c r="AC1644" s="36">
        <f t="shared" si="480"/>
        <v>1.0560344827586219E-2</v>
      </c>
      <c r="AD1644" s="36">
        <f t="shared" si="480"/>
        <v>2.0833333333333343E-2</v>
      </c>
      <c r="AE1644" s="36" t="str">
        <f t="shared" si="480"/>
        <v>CRJ700</v>
      </c>
      <c r="AF1644" s="36">
        <f t="shared" si="480"/>
        <v>78</v>
      </c>
      <c r="AG1644" s="36" t="str">
        <f t="shared" si="480"/>
        <v>PHX</v>
      </c>
    </row>
    <row r="1645" spans="18:33" x14ac:dyDescent="0.25">
      <c r="R1645">
        <v>1631</v>
      </c>
      <c r="S1645" s="36" t="str">
        <f t="shared" si="478"/>
        <v>VIAS AÉREAS DE USA</v>
      </c>
      <c r="T1645" s="36">
        <f t="shared" si="478"/>
        <v>2879</v>
      </c>
      <c r="U1645" s="73">
        <v>0.92986111111111114</v>
      </c>
      <c r="V1645" s="74">
        <v>0.93958333333333333</v>
      </c>
      <c r="W1645" s="75">
        <v>9.7222222222221877E-3</v>
      </c>
      <c r="X1645" s="74">
        <v>0.94791666666666663</v>
      </c>
      <c r="Y1645" s="75">
        <v>8.3333333333333037E-3</v>
      </c>
      <c r="Z1645" s="76">
        <v>41733</v>
      </c>
      <c r="AA1645" s="36" t="str">
        <f t="shared" si="480"/>
        <v>Internacional</v>
      </c>
      <c r="AB1645" s="36">
        <f t="shared" si="480"/>
        <v>1.0272988505747125E-2</v>
      </c>
      <c r="AC1645" s="36">
        <f t="shared" si="480"/>
        <v>1.0560344827586219E-2</v>
      </c>
      <c r="AD1645" s="36">
        <f t="shared" si="480"/>
        <v>2.0833333333333343E-2</v>
      </c>
      <c r="AE1645" s="36" t="str">
        <f t="shared" si="480"/>
        <v>CRJ700</v>
      </c>
      <c r="AF1645" s="36">
        <f t="shared" si="480"/>
        <v>78</v>
      </c>
      <c r="AG1645" s="36" t="str">
        <f t="shared" si="480"/>
        <v>PHX</v>
      </c>
    </row>
    <row r="1646" spans="18:33" x14ac:dyDescent="0.25">
      <c r="R1646">
        <v>1632</v>
      </c>
      <c r="S1646" s="36" t="str">
        <f t="shared" si="478"/>
        <v>VIAS AÉREAS DE USA</v>
      </c>
      <c r="T1646" s="36">
        <f t="shared" si="478"/>
        <v>2879</v>
      </c>
      <c r="U1646" s="73">
        <v>0.92986111111111114</v>
      </c>
      <c r="V1646" s="74">
        <v>0.93958333333333333</v>
      </c>
      <c r="W1646" s="75">
        <v>9.7222222222221877E-3</v>
      </c>
      <c r="X1646" s="74">
        <v>0.94791666666666663</v>
      </c>
      <c r="Y1646" s="75">
        <v>8.3333333333333037E-3</v>
      </c>
      <c r="Z1646" s="76">
        <v>41733</v>
      </c>
      <c r="AA1646" s="36" t="str">
        <f t="shared" si="480"/>
        <v>Internacional</v>
      </c>
      <c r="AB1646" s="36">
        <f t="shared" si="480"/>
        <v>1.0272988505747125E-2</v>
      </c>
      <c r="AC1646" s="36">
        <f t="shared" si="480"/>
        <v>1.0560344827586219E-2</v>
      </c>
      <c r="AD1646" s="36">
        <f t="shared" si="480"/>
        <v>2.0833333333333343E-2</v>
      </c>
      <c r="AE1646" s="36" t="str">
        <f t="shared" si="480"/>
        <v>CRJ700</v>
      </c>
      <c r="AF1646" s="36">
        <f t="shared" si="480"/>
        <v>78</v>
      </c>
      <c r="AG1646" s="36" t="str">
        <f t="shared" si="480"/>
        <v>PHX</v>
      </c>
    </row>
    <row r="1647" spans="18:33" x14ac:dyDescent="0.25">
      <c r="R1647">
        <v>1633</v>
      </c>
      <c r="S1647" s="36" t="str">
        <f t="shared" si="478"/>
        <v>VIAS AÉREAS DE USA</v>
      </c>
      <c r="T1647" s="36">
        <f t="shared" si="478"/>
        <v>2879</v>
      </c>
      <c r="U1647" s="73">
        <v>0.96250000000000002</v>
      </c>
      <c r="V1647" s="74">
        <v>0.97083333333333333</v>
      </c>
      <c r="W1647" s="75">
        <v>8.3333333333333037E-3</v>
      </c>
      <c r="X1647" s="74">
        <v>0.97916666666666663</v>
      </c>
      <c r="Y1647" s="75">
        <v>8.3333333333333037E-3</v>
      </c>
      <c r="Z1647" s="76">
        <v>41735</v>
      </c>
      <c r="AA1647" s="36" t="str">
        <f t="shared" si="480"/>
        <v>Internacional</v>
      </c>
      <c r="AB1647" s="36">
        <f t="shared" si="480"/>
        <v>1.0272988505747125E-2</v>
      </c>
      <c r="AC1647" s="36">
        <f t="shared" si="480"/>
        <v>1.0560344827586219E-2</v>
      </c>
      <c r="AD1647" s="36">
        <f t="shared" si="480"/>
        <v>2.0833333333333343E-2</v>
      </c>
      <c r="AE1647" s="36" t="str">
        <f t="shared" si="480"/>
        <v>CRJ700</v>
      </c>
      <c r="AF1647" s="36">
        <f t="shared" si="480"/>
        <v>78</v>
      </c>
      <c r="AG1647" s="36" t="str">
        <f t="shared" si="480"/>
        <v>PHX</v>
      </c>
    </row>
    <row r="1648" spans="18:33" x14ac:dyDescent="0.25">
      <c r="R1648">
        <v>1634</v>
      </c>
      <c r="S1648" s="36" t="str">
        <f t="shared" si="478"/>
        <v>VIAS AÉREAS DE USA</v>
      </c>
      <c r="T1648" s="36">
        <f t="shared" si="478"/>
        <v>2879</v>
      </c>
      <c r="U1648" s="73">
        <v>0.96597222222222223</v>
      </c>
      <c r="V1648" s="74">
        <v>0.97986111111111107</v>
      </c>
      <c r="W1648" s="75">
        <v>1.388888888888884E-2</v>
      </c>
      <c r="X1648" s="74">
        <v>0.98611111111111116</v>
      </c>
      <c r="Y1648" s="75">
        <v>6.2500000000000888E-3</v>
      </c>
      <c r="Z1648" s="76">
        <v>41736</v>
      </c>
      <c r="AA1648" s="36" t="str">
        <f t="shared" si="480"/>
        <v>Internacional</v>
      </c>
      <c r="AB1648" s="36">
        <f t="shared" si="480"/>
        <v>1.0272988505747125E-2</v>
      </c>
      <c r="AC1648" s="36">
        <f t="shared" si="480"/>
        <v>1.0560344827586219E-2</v>
      </c>
      <c r="AD1648" s="36">
        <f t="shared" si="480"/>
        <v>2.0833333333333343E-2</v>
      </c>
      <c r="AE1648" s="36" t="str">
        <f t="shared" si="480"/>
        <v>CRJ700</v>
      </c>
      <c r="AF1648" s="36">
        <f t="shared" si="480"/>
        <v>78</v>
      </c>
      <c r="AG1648" s="36" t="str">
        <f t="shared" si="480"/>
        <v>PHX</v>
      </c>
    </row>
    <row r="1649" spans="18:33" x14ac:dyDescent="0.25">
      <c r="R1649">
        <v>1635</v>
      </c>
      <c r="S1649" s="36" t="str">
        <f t="shared" si="478"/>
        <v>VIAS AÉREAS DE USA</v>
      </c>
      <c r="T1649" s="36">
        <f t="shared" si="478"/>
        <v>2879</v>
      </c>
      <c r="U1649" s="73">
        <v>0.96527777777777779</v>
      </c>
      <c r="V1649" s="74">
        <v>0.97222222222222221</v>
      </c>
      <c r="W1649" s="75">
        <v>6.9444444444444198E-3</v>
      </c>
      <c r="X1649" s="74">
        <v>0.9819444444444444</v>
      </c>
      <c r="Y1649" s="75">
        <v>9.7222222222221877E-3</v>
      </c>
      <c r="Z1649" s="76">
        <v>41737</v>
      </c>
      <c r="AA1649" s="36" t="str">
        <f t="shared" si="480"/>
        <v>Internacional</v>
      </c>
      <c r="AB1649" s="36">
        <f t="shared" si="480"/>
        <v>1.0272988505747125E-2</v>
      </c>
      <c r="AC1649" s="36">
        <f t="shared" si="480"/>
        <v>1.0560344827586219E-2</v>
      </c>
      <c r="AD1649" s="36">
        <f t="shared" si="480"/>
        <v>2.0833333333333343E-2</v>
      </c>
      <c r="AE1649" s="36" t="str">
        <f t="shared" si="480"/>
        <v>CRJ700</v>
      </c>
      <c r="AF1649" s="36">
        <f t="shared" si="480"/>
        <v>78</v>
      </c>
      <c r="AG1649" s="36" t="str">
        <f t="shared" si="480"/>
        <v>PHX</v>
      </c>
    </row>
    <row r="1650" spans="18:33" x14ac:dyDescent="0.25">
      <c r="R1650">
        <v>1636</v>
      </c>
      <c r="S1650" s="36" t="str">
        <f t="shared" si="478"/>
        <v>VIAS AÉREAS DE USA</v>
      </c>
      <c r="T1650" s="36">
        <f t="shared" si="478"/>
        <v>2879</v>
      </c>
      <c r="U1650" s="73">
        <v>0.96597222222222223</v>
      </c>
      <c r="V1650" s="74">
        <v>0.97430555555555554</v>
      </c>
      <c r="W1650" s="75">
        <v>8.3333333333333037E-3</v>
      </c>
      <c r="X1650" s="74">
        <v>0.98402777777777783</v>
      </c>
      <c r="Y1650" s="75">
        <v>9.7222222222222987E-3</v>
      </c>
      <c r="Z1650" s="76">
        <v>41738</v>
      </c>
      <c r="AA1650" s="36" t="str">
        <f t="shared" si="480"/>
        <v>Internacional</v>
      </c>
      <c r="AB1650" s="36">
        <f t="shared" si="480"/>
        <v>1.0272988505747125E-2</v>
      </c>
      <c r="AC1650" s="36">
        <f t="shared" si="480"/>
        <v>1.0560344827586219E-2</v>
      </c>
      <c r="AD1650" s="36">
        <f t="shared" si="480"/>
        <v>2.0833333333333343E-2</v>
      </c>
      <c r="AE1650" s="36" t="str">
        <f t="shared" si="480"/>
        <v>CRJ700</v>
      </c>
      <c r="AF1650" s="36">
        <f t="shared" si="480"/>
        <v>78</v>
      </c>
      <c r="AG1650" s="36" t="str">
        <f t="shared" si="480"/>
        <v>PHX</v>
      </c>
    </row>
    <row r="1651" spans="18:33" x14ac:dyDescent="0.25">
      <c r="R1651">
        <v>1637</v>
      </c>
      <c r="S1651" s="36" t="str">
        <f t="shared" si="478"/>
        <v>VIAS AÉREAS DE USA</v>
      </c>
      <c r="T1651" s="36">
        <f t="shared" si="478"/>
        <v>2879</v>
      </c>
      <c r="U1651" s="73">
        <v>0.96180555555555547</v>
      </c>
      <c r="V1651" s="74">
        <v>0.96944444444444444</v>
      </c>
      <c r="W1651" s="75">
        <v>7.6388888888889728E-3</v>
      </c>
      <c r="X1651" s="74">
        <v>0.9819444444444444</v>
      </c>
      <c r="Y1651" s="75">
        <v>1.2499999999999956E-2</v>
      </c>
      <c r="Z1651" s="76">
        <v>41739</v>
      </c>
      <c r="AA1651" s="36" t="str">
        <f t="shared" si="480"/>
        <v>Internacional</v>
      </c>
      <c r="AB1651" s="36">
        <f t="shared" si="480"/>
        <v>1.0272988505747125E-2</v>
      </c>
      <c r="AC1651" s="36">
        <f t="shared" si="480"/>
        <v>1.0560344827586219E-2</v>
      </c>
      <c r="AD1651" s="36">
        <f t="shared" si="480"/>
        <v>2.0833333333333343E-2</v>
      </c>
      <c r="AE1651" s="36" t="str">
        <f t="shared" si="480"/>
        <v>CRJ700</v>
      </c>
      <c r="AF1651" s="36">
        <f t="shared" si="480"/>
        <v>78</v>
      </c>
      <c r="AG1651" s="36" t="str">
        <f t="shared" si="480"/>
        <v>PHX</v>
      </c>
    </row>
    <row r="1652" spans="18:33" x14ac:dyDescent="0.25">
      <c r="R1652">
        <v>1638</v>
      </c>
      <c r="S1652" s="36" t="str">
        <f t="shared" si="478"/>
        <v>VIAS AÉREAS DE USA</v>
      </c>
      <c r="T1652" s="36">
        <f t="shared" si="478"/>
        <v>2879</v>
      </c>
      <c r="U1652" s="73">
        <v>0.97291666666666676</v>
      </c>
      <c r="V1652" s="74">
        <v>0.98333333333333339</v>
      </c>
      <c r="W1652" s="75">
        <v>1.041666666666663E-2</v>
      </c>
      <c r="X1652" s="74">
        <v>0.99305555555555547</v>
      </c>
      <c r="Y1652" s="75">
        <v>9.7222222222220767E-3</v>
      </c>
      <c r="Z1652" s="76">
        <v>41740</v>
      </c>
      <c r="AA1652" s="36" t="str">
        <f t="shared" si="480"/>
        <v>Internacional</v>
      </c>
      <c r="AB1652" s="36">
        <f t="shared" si="480"/>
        <v>1.0272988505747125E-2</v>
      </c>
      <c r="AC1652" s="36">
        <f t="shared" si="480"/>
        <v>1.0560344827586219E-2</v>
      </c>
      <c r="AD1652" s="36">
        <f t="shared" si="480"/>
        <v>2.0833333333333343E-2</v>
      </c>
      <c r="AE1652" s="36" t="str">
        <f t="shared" si="480"/>
        <v>CRJ700</v>
      </c>
      <c r="AF1652" s="36">
        <f t="shared" si="480"/>
        <v>78</v>
      </c>
      <c r="AG1652" s="36" t="str">
        <f t="shared" si="480"/>
        <v>PHX</v>
      </c>
    </row>
    <row r="1653" spans="18:33" x14ac:dyDescent="0.25">
      <c r="R1653">
        <v>1639</v>
      </c>
      <c r="S1653" s="36" t="str">
        <f t="shared" si="478"/>
        <v>VIAS AÉREAS DE USA</v>
      </c>
      <c r="T1653" s="36">
        <f t="shared" si="478"/>
        <v>2879</v>
      </c>
      <c r="U1653" s="73">
        <v>0.92152777777777783</v>
      </c>
      <c r="V1653" s="74">
        <v>0.92847222222222225</v>
      </c>
      <c r="W1653" s="75">
        <v>6.9444444444444198E-3</v>
      </c>
      <c r="X1653" s="74">
        <v>0.93541666666666667</v>
      </c>
      <c r="Y1653" s="75">
        <v>6.9444444444444198E-3</v>
      </c>
      <c r="Z1653" s="76">
        <v>41742</v>
      </c>
      <c r="AA1653" s="36" t="str">
        <f t="shared" si="480"/>
        <v>Internacional</v>
      </c>
      <c r="AB1653" s="36">
        <f t="shared" si="480"/>
        <v>1.0272988505747125E-2</v>
      </c>
      <c r="AC1653" s="36">
        <f t="shared" si="480"/>
        <v>1.0560344827586219E-2</v>
      </c>
      <c r="AD1653" s="36">
        <f t="shared" si="480"/>
        <v>2.0833333333333343E-2</v>
      </c>
      <c r="AE1653" s="36" t="str">
        <f t="shared" si="480"/>
        <v>CRJ700</v>
      </c>
      <c r="AF1653" s="36">
        <f t="shared" si="480"/>
        <v>78</v>
      </c>
      <c r="AG1653" s="36" t="str">
        <f t="shared" si="480"/>
        <v>PHX</v>
      </c>
    </row>
    <row r="1654" spans="18:33" x14ac:dyDescent="0.25">
      <c r="R1654">
        <v>1640</v>
      </c>
      <c r="S1654" s="36" t="str">
        <f t="shared" si="478"/>
        <v>VIAS AÉREAS DE USA</v>
      </c>
      <c r="T1654" s="36">
        <f t="shared" si="478"/>
        <v>2879</v>
      </c>
      <c r="U1654" s="73">
        <v>0.96736111111111101</v>
      </c>
      <c r="V1654" s="74">
        <v>0.97430555555555554</v>
      </c>
      <c r="W1654" s="75">
        <v>6.9444444444445308E-3</v>
      </c>
      <c r="X1654" s="74">
        <v>0.98263888888888884</v>
      </c>
      <c r="Y1654" s="75">
        <v>8.3333333333333037E-3</v>
      </c>
      <c r="Z1654" s="76">
        <v>41743</v>
      </c>
      <c r="AA1654" s="36" t="str">
        <f t="shared" si="480"/>
        <v>Internacional</v>
      </c>
      <c r="AB1654" s="36">
        <f t="shared" si="480"/>
        <v>1.0272988505747125E-2</v>
      </c>
      <c r="AC1654" s="36">
        <f t="shared" si="480"/>
        <v>1.0560344827586219E-2</v>
      </c>
      <c r="AD1654" s="36">
        <f t="shared" si="480"/>
        <v>2.0833333333333343E-2</v>
      </c>
      <c r="AE1654" s="36" t="str">
        <f t="shared" si="480"/>
        <v>CRJ700</v>
      </c>
      <c r="AF1654" s="36">
        <f t="shared" si="480"/>
        <v>78</v>
      </c>
      <c r="AG1654" s="36" t="str">
        <f t="shared" si="480"/>
        <v>PHX</v>
      </c>
    </row>
    <row r="1655" spans="18:33" x14ac:dyDescent="0.25">
      <c r="R1655">
        <v>1641</v>
      </c>
      <c r="S1655" s="36" t="str">
        <f t="shared" si="478"/>
        <v>VIAS AÉREAS DE USA</v>
      </c>
      <c r="T1655" s="36">
        <f t="shared" si="478"/>
        <v>2879</v>
      </c>
      <c r="U1655" s="73">
        <v>0.95694444444444438</v>
      </c>
      <c r="V1655" s="74">
        <v>0.96388888888888891</v>
      </c>
      <c r="W1655" s="75">
        <v>6.9444444444445308E-3</v>
      </c>
      <c r="X1655" s="74">
        <v>0.97083333333333333</v>
      </c>
      <c r="Y1655" s="75">
        <v>6.9444444444444198E-3</v>
      </c>
      <c r="Z1655" s="76">
        <v>41745</v>
      </c>
      <c r="AA1655" s="36" t="str">
        <f t="shared" si="480"/>
        <v>Internacional</v>
      </c>
      <c r="AB1655" s="36">
        <f t="shared" si="480"/>
        <v>1.0272988505747125E-2</v>
      </c>
      <c r="AC1655" s="36">
        <f t="shared" si="480"/>
        <v>1.0560344827586219E-2</v>
      </c>
      <c r="AD1655" s="36">
        <f t="shared" si="480"/>
        <v>2.0833333333333343E-2</v>
      </c>
      <c r="AE1655" s="36" t="str">
        <f t="shared" si="480"/>
        <v>CRJ700</v>
      </c>
      <c r="AF1655" s="36">
        <f t="shared" si="480"/>
        <v>78</v>
      </c>
      <c r="AG1655" s="36" t="str">
        <f t="shared" si="480"/>
        <v>PHX</v>
      </c>
    </row>
    <row r="1656" spans="18:33" x14ac:dyDescent="0.25">
      <c r="R1656">
        <v>1642</v>
      </c>
      <c r="S1656" s="36" t="str">
        <f t="shared" si="478"/>
        <v>VIAS AÉREAS DE USA</v>
      </c>
      <c r="T1656" s="36">
        <f t="shared" si="478"/>
        <v>2879</v>
      </c>
      <c r="U1656" s="73">
        <v>0.96458333333333324</v>
      </c>
      <c r="V1656" s="74">
        <v>0.96875</v>
      </c>
      <c r="W1656" s="75">
        <v>4.1666666666667629E-3</v>
      </c>
      <c r="X1656" s="74">
        <v>0.9819444444444444</v>
      </c>
      <c r="Y1656" s="75">
        <v>1.3194444444444398E-2</v>
      </c>
      <c r="Z1656" s="76">
        <v>41744</v>
      </c>
      <c r="AA1656" s="36" t="str">
        <f t="shared" si="480"/>
        <v>Internacional</v>
      </c>
      <c r="AB1656" s="36">
        <f t="shared" si="480"/>
        <v>1.0272988505747125E-2</v>
      </c>
      <c r="AC1656" s="36">
        <f t="shared" si="480"/>
        <v>1.0560344827586219E-2</v>
      </c>
      <c r="AD1656" s="36">
        <f t="shared" si="480"/>
        <v>2.0833333333333343E-2</v>
      </c>
      <c r="AE1656" s="36" t="str">
        <f t="shared" si="480"/>
        <v>CRJ700</v>
      </c>
      <c r="AF1656" s="36">
        <f t="shared" si="480"/>
        <v>78</v>
      </c>
      <c r="AG1656" s="36" t="str">
        <f t="shared" si="480"/>
        <v>PHX</v>
      </c>
    </row>
    <row r="1657" spans="18:33" x14ac:dyDescent="0.25">
      <c r="R1657">
        <v>1643</v>
      </c>
      <c r="S1657" s="36" t="str">
        <f t="shared" si="478"/>
        <v>VIAS AÉREAS DE USA</v>
      </c>
      <c r="T1657" s="36">
        <f t="shared" si="478"/>
        <v>2879</v>
      </c>
      <c r="U1657" s="73">
        <v>0.96875</v>
      </c>
      <c r="V1657" s="74">
        <v>0.98055555555555562</v>
      </c>
      <c r="W1657" s="75">
        <v>1.1805555555555625E-2</v>
      </c>
      <c r="X1657" s="74">
        <v>0.98611111111111116</v>
      </c>
      <c r="Y1657" s="75">
        <v>5.5555555555555358E-3</v>
      </c>
      <c r="Z1657" s="76">
        <v>41746</v>
      </c>
      <c r="AA1657" s="36" t="str">
        <f t="shared" si="480"/>
        <v>Internacional</v>
      </c>
      <c r="AB1657" s="36">
        <f t="shared" si="480"/>
        <v>1.0272988505747125E-2</v>
      </c>
      <c r="AC1657" s="36">
        <f t="shared" si="480"/>
        <v>1.0560344827586219E-2</v>
      </c>
      <c r="AD1657" s="36">
        <f t="shared" si="480"/>
        <v>2.0833333333333343E-2</v>
      </c>
      <c r="AE1657" s="36" t="str">
        <f t="shared" si="480"/>
        <v>CRJ700</v>
      </c>
      <c r="AF1657" s="36">
        <f t="shared" si="480"/>
        <v>78</v>
      </c>
      <c r="AG1657" s="36" t="str">
        <f t="shared" si="480"/>
        <v>PHX</v>
      </c>
    </row>
    <row r="1658" spans="18:33" x14ac:dyDescent="0.25">
      <c r="R1658">
        <v>1644</v>
      </c>
      <c r="S1658" s="36" t="str">
        <f t="shared" si="478"/>
        <v>VIAS AÉREAS DE USA</v>
      </c>
      <c r="T1658" s="36">
        <f t="shared" si="478"/>
        <v>2879</v>
      </c>
      <c r="U1658" s="73">
        <v>0.96805555555555556</v>
      </c>
      <c r="V1658" s="74">
        <v>0.98263888888888884</v>
      </c>
      <c r="W1658" s="75">
        <v>1.4583333333333282E-2</v>
      </c>
      <c r="X1658" s="74">
        <v>1</v>
      </c>
      <c r="Y1658" s="75">
        <v>1.736111111111116E-2</v>
      </c>
      <c r="Z1658" s="76">
        <v>41747</v>
      </c>
      <c r="AA1658" s="36" t="str">
        <f t="shared" si="480"/>
        <v>Internacional</v>
      </c>
      <c r="AB1658" s="36">
        <f t="shared" si="480"/>
        <v>1.0272988505747125E-2</v>
      </c>
      <c r="AC1658" s="36">
        <f t="shared" si="480"/>
        <v>1.0560344827586219E-2</v>
      </c>
      <c r="AD1658" s="36">
        <f t="shared" si="480"/>
        <v>2.0833333333333343E-2</v>
      </c>
      <c r="AE1658" s="36" t="str">
        <f t="shared" si="480"/>
        <v>CRJ700</v>
      </c>
      <c r="AF1658" s="36">
        <f t="shared" si="480"/>
        <v>78</v>
      </c>
      <c r="AG1658" s="36" t="str">
        <f t="shared" si="480"/>
        <v>PHX</v>
      </c>
    </row>
    <row r="1659" spans="18:33" x14ac:dyDescent="0.25">
      <c r="R1659">
        <v>1645</v>
      </c>
      <c r="S1659" s="36" t="str">
        <f t="shared" si="478"/>
        <v>VIAS AÉREAS DE USA</v>
      </c>
      <c r="T1659" s="36">
        <f t="shared" si="478"/>
        <v>2879</v>
      </c>
      <c r="U1659" s="73">
        <v>0.97152777777777777</v>
      </c>
      <c r="V1659" s="74">
        <v>0.98472222222222217</v>
      </c>
      <c r="W1659" s="75">
        <v>1.3194444444444398E-2</v>
      </c>
      <c r="X1659" s="74">
        <v>0.98958333333333337</v>
      </c>
      <c r="Y1659" s="75">
        <v>4.8611111111112049E-3</v>
      </c>
      <c r="Z1659" s="76">
        <v>41749</v>
      </c>
      <c r="AA1659" s="36" t="str">
        <f t="shared" si="480"/>
        <v>Internacional</v>
      </c>
      <c r="AB1659" s="36">
        <f t="shared" si="480"/>
        <v>1.0272988505747125E-2</v>
      </c>
      <c r="AC1659" s="36">
        <f t="shared" si="480"/>
        <v>1.0560344827586219E-2</v>
      </c>
      <c r="AD1659" s="36">
        <f t="shared" si="480"/>
        <v>2.0833333333333343E-2</v>
      </c>
      <c r="AE1659" s="36" t="str">
        <f t="shared" si="480"/>
        <v>CRJ700</v>
      </c>
      <c r="AF1659" s="36">
        <f t="shared" si="480"/>
        <v>78</v>
      </c>
      <c r="AG1659" s="36" t="str">
        <f t="shared" si="480"/>
        <v>PHX</v>
      </c>
    </row>
    <row r="1660" spans="18:33" x14ac:dyDescent="0.25">
      <c r="R1660">
        <v>1646</v>
      </c>
      <c r="S1660" s="36" t="str">
        <f t="shared" si="478"/>
        <v>VIAS AÉREAS DE USA</v>
      </c>
      <c r="T1660" s="36">
        <f t="shared" si="478"/>
        <v>2879</v>
      </c>
      <c r="U1660" s="73">
        <v>0.96805555555555556</v>
      </c>
      <c r="V1660" s="74">
        <v>0.97916666666666663</v>
      </c>
      <c r="W1660" s="75">
        <v>1.1111111111111072E-2</v>
      </c>
      <c r="X1660" s="74">
        <v>0.98611111111111116</v>
      </c>
      <c r="Y1660" s="75">
        <v>6.9444444444445308E-3</v>
      </c>
      <c r="Z1660" s="76">
        <v>41748</v>
      </c>
      <c r="AA1660" s="36" t="str">
        <f t="shared" si="480"/>
        <v>Internacional</v>
      </c>
      <c r="AB1660" s="36">
        <f t="shared" si="480"/>
        <v>1.0272988505747125E-2</v>
      </c>
      <c r="AC1660" s="36">
        <f t="shared" si="480"/>
        <v>1.0560344827586219E-2</v>
      </c>
      <c r="AD1660" s="36">
        <f t="shared" si="480"/>
        <v>2.0833333333333343E-2</v>
      </c>
      <c r="AE1660" s="36" t="str">
        <f t="shared" si="480"/>
        <v>CRJ700</v>
      </c>
      <c r="AF1660" s="36">
        <f t="shared" si="480"/>
        <v>78</v>
      </c>
      <c r="AG1660" s="36" t="str">
        <f t="shared" si="480"/>
        <v>PHX</v>
      </c>
    </row>
    <row r="1661" spans="18:33" x14ac:dyDescent="0.25">
      <c r="R1661">
        <v>1647</v>
      </c>
      <c r="S1661" s="36" t="str">
        <f t="shared" si="478"/>
        <v>VIAS AÉREAS DE USA</v>
      </c>
      <c r="T1661" s="36">
        <f t="shared" si="478"/>
        <v>2879</v>
      </c>
      <c r="U1661" s="73">
        <v>0.9819444444444444</v>
      </c>
      <c r="V1661" s="74">
        <v>0.9902777777777777</v>
      </c>
      <c r="W1661" s="75">
        <v>8.3333333333333037E-3</v>
      </c>
      <c r="X1661" s="74">
        <v>1.0006944444444443</v>
      </c>
      <c r="Y1661" s="75">
        <v>1.041666666666663E-2</v>
      </c>
      <c r="Z1661" s="76">
        <v>41751</v>
      </c>
      <c r="AA1661" s="36" t="str">
        <f t="shared" si="480"/>
        <v>Internacional</v>
      </c>
      <c r="AB1661" s="36">
        <f t="shared" si="480"/>
        <v>1.0272988505747125E-2</v>
      </c>
      <c r="AC1661" s="36">
        <f t="shared" si="480"/>
        <v>1.0560344827586219E-2</v>
      </c>
      <c r="AD1661" s="36">
        <f t="shared" si="480"/>
        <v>2.0833333333333343E-2</v>
      </c>
      <c r="AE1661" s="36" t="str">
        <f t="shared" si="480"/>
        <v>CRJ700</v>
      </c>
      <c r="AF1661" s="36">
        <f t="shared" si="480"/>
        <v>78</v>
      </c>
      <c r="AG1661" s="36" t="str">
        <f t="shared" si="480"/>
        <v>PHX</v>
      </c>
    </row>
    <row r="1662" spans="18:33" x14ac:dyDescent="0.25">
      <c r="R1662">
        <v>1648</v>
      </c>
      <c r="S1662" s="36" t="str">
        <f t="shared" si="478"/>
        <v>VIAS AÉREAS DE USA</v>
      </c>
      <c r="T1662" s="36">
        <f t="shared" si="478"/>
        <v>2879</v>
      </c>
      <c r="U1662" s="73">
        <v>0.96875</v>
      </c>
      <c r="V1662" s="74">
        <v>0.98263888888888884</v>
      </c>
      <c r="W1662" s="75">
        <v>1.388888888888884E-2</v>
      </c>
      <c r="X1662" s="74">
        <v>0.9916666666666667</v>
      </c>
      <c r="Y1662" s="75">
        <v>9.0277777777778567E-3</v>
      </c>
      <c r="Z1662" s="76">
        <v>41752</v>
      </c>
      <c r="AA1662" s="36" t="str">
        <f t="shared" si="480"/>
        <v>Internacional</v>
      </c>
      <c r="AB1662" s="36">
        <f t="shared" si="480"/>
        <v>1.0272988505747125E-2</v>
      </c>
      <c r="AC1662" s="36">
        <f t="shared" si="480"/>
        <v>1.0560344827586219E-2</v>
      </c>
      <c r="AD1662" s="36">
        <f t="shared" si="480"/>
        <v>2.0833333333333343E-2</v>
      </c>
      <c r="AE1662" s="36" t="str">
        <f t="shared" si="480"/>
        <v>CRJ700</v>
      </c>
      <c r="AF1662" s="36">
        <f t="shared" si="480"/>
        <v>78</v>
      </c>
      <c r="AG1662" s="36" t="str">
        <f t="shared" si="480"/>
        <v>PHX</v>
      </c>
    </row>
    <row r="1663" spans="18:33" x14ac:dyDescent="0.25">
      <c r="R1663">
        <v>1649</v>
      </c>
      <c r="S1663" s="36" t="str">
        <f t="shared" si="478"/>
        <v>VIAS AÉREAS DE USA</v>
      </c>
      <c r="T1663" s="36">
        <f t="shared" si="478"/>
        <v>2879</v>
      </c>
      <c r="U1663" s="73">
        <v>0.97222222222222221</v>
      </c>
      <c r="V1663" s="74">
        <v>1.0006944444444443</v>
      </c>
      <c r="W1663" s="75">
        <v>2.8472222222222121E-2</v>
      </c>
      <c r="X1663" s="74">
        <v>1.0409722222222222</v>
      </c>
      <c r="Y1663" s="75">
        <v>4.0277777777777857E-2</v>
      </c>
      <c r="Z1663" s="76">
        <v>41752</v>
      </c>
      <c r="AA1663" s="36" t="str">
        <f t="shared" si="480"/>
        <v>Internacional</v>
      </c>
      <c r="AB1663" s="36">
        <f t="shared" si="480"/>
        <v>1.0272988505747125E-2</v>
      </c>
      <c r="AC1663" s="36">
        <f t="shared" si="480"/>
        <v>1.0560344827586219E-2</v>
      </c>
      <c r="AD1663" s="36">
        <f t="shared" si="480"/>
        <v>2.0833333333333343E-2</v>
      </c>
      <c r="AE1663" s="36" t="str">
        <f t="shared" si="480"/>
        <v>CRJ700</v>
      </c>
      <c r="AF1663" s="36">
        <f t="shared" si="480"/>
        <v>78</v>
      </c>
      <c r="AG1663" s="36" t="str">
        <f t="shared" si="480"/>
        <v>PHX</v>
      </c>
    </row>
    <row r="1664" spans="18:33" x14ac:dyDescent="0.25">
      <c r="R1664">
        <v>1650</v>
      </c>
      <c r="S1664" s="36" t="str">
        <f t="shared" si="478"/>
        <v>VIAS AÉREAS DE USA</v>
      </c>
      <c r="T1664" s="36">
        <f t="shared" si="478"/>
        <v>2879</v>
      </c>
      <c r="U1664" s="73">
        <v>0.98125000000000007</v>
      </c>
      <c r="V1664" s="74">
        <v>0.98958333333333337</v>
      </c>
      <c r="W1664" s="75">
        <v>8.3333333333333037E-3</v>
      </c>
      <c r="X1664" s="74">
        <v>0.99513888888888891</v>
      </c>
      <c r="Y1664" s="75">
        <v>5.5555555555555358E-3</v>
      </c>
      <c r="Z1664" s="76">
        <v>41754</v>
      </c>
      <c r="AA1664" s="36" t="str">
        <f t="shared" si="480"/>
        <v>Internacional</v>
      </c>
      <c r="AB1664" s="36">
        <f t="shared" si="480"/>
        <v>1.0272988505747125E-2</v>
      </c>
      <c r="AC1664" s="36">
        <f t="shared" si="480"/>
        <v>1.0560344827586219E-2</v>
      </c>
      <c r="AD1664" s="36">
        <f t="shared" si="480"/>
        <v>2.0833333333333343E-2</v>
      </c>
      <c r="AE1664" s="36" t="str">
        <f t="shared" si="480"/>
        <v>CRJ700</v>
      </c>
      <c r="AF1664" s="36">
        <f t="shared" si="480"/>
        <v>78</v>
      </c>
      <c r="AG1664" s="36" t="str">
        <f t="shared" si="480"/>
        <v>PHX</v>
      </c>
    </row>
    <row r="1665" spans="18:33" x14ac:dyDescent="0.25">
      <c r="R1665">
        <v>1651</v>
      </c>
      <c r="S1665" s="36" t="str">
        <f t="shared" si="478"/>
        <v>VIAS AÉREAS DE USA</v>
      </c>
      <c r="T1665" s="36">
        <f t="shared" si="478"/>
        <v>2879</v>
      </c>
      <c r="U1665" s="73">
        <v>0.96180555555555547</v>
      </c>
      <c r="V1665" s="74">
        <v>0.97430555555555554</v>
      </c>
      <c r="W1665" s="75">
        <v>1.2500000000000067E-2</v>
      </c>
      <c r="X1665" s="74">
        <v>0.98333333333333339</v>
      </c>
      <c r="Y1665" s="75">
        <v>9.0277777777778567E-3</v>
      </c>
      <c r="Z1665" s="76">
        <v>41755</v>
      </c>
      <c r="AA1665" s="36" t="str">
        <f t="shared" si="480"/>
        <v>Internacional</v>
      </c>
      <c r="AB1665" s="36">
        <f t="shared" si="480"/>
        <v>1.0272988505747125E-2</v>
      </c>
      <c r="AC1665" s="36">
        <f t="shared" si="480"/>
        <v>1.0560344827586219E-2</v>
      </c>
      <c r="AD1665" s="36">
        <f t="shared" si="480"/>
        <v>2.0833333333333343E-2</v>
      </c>
      <c r="AE1665" s="36" t="str">
        <f t="shared" si="480"/>
        <v>CRJ700</v>
      </c>
      <c r="AF1665" s="36">
        <f t="shared" si="480"/>
        <v>78</v>
      </c>
      <c r="AG1665" s="36" t="str">
        <f t="shared" si="480"/>
        <v>PHX</v>
      </c>
    </row>
    <row r="1666" spans="18:33" x14ac:dyDescent="0.25">
      <c r="R1666">
        <v>1652</v>
      </c>
      <c r="S1666" s="36" t="str">
        <f t="shared" si="478"/>
        <v>VIAS AÉREAS DE USA</v>
      </c>
      <c r="T1666" s="36">
        <f t="shared" si="478"/>
        <v>2879</v>
      </c>
      <c r="U1666" s="73">
        <v>0.97986111111111107</v>
      </c>
      <c r="V1666" s="74">
        <v>0.98819444444444438</v>
      </c>
      <c r="W1666" s="75">
        <v>8.3333333333333037E-3</v>
      </c>
      <c r="X1666" s="74">
        <v>1.0013888888888889</v>
      </c>
      <c r="Y1666" s="75">
        <v>1.3194444444444509E-2</v>
      </c>
      <c r="Z1666" s="76">
        <v>41757</v>
      </c>
      <c r="AA1666" s="36" t="str">
        <f t="shared" si="480"/>
        <v>Internacional</v>
      </c>
      <c r="AB1666" s="36">
        <f t="shared" si="480"/>
        <v>1.0272988505747125E-2</v>
      </c>
      <c r="AC1666" s="36">
        <f t="shared" si="480"/>
        <v>1.0560344827586219E-2</v>
      </c>
      <c r="AD1666" s="36">
        <f t="shared" si="480"/>
        <v>2.0833333333333343E-2</v>
      </c>
      <c r="AE1666" s="36" t="str">
        <f t="shared" si="480"/>
        <v>CRJ700</v>
      </c>
      <c r="AF1666" s="36">
        <f t="shared" si="480"/>
        <v>78</v>
      </c>
      <c r="AG1666" s="36" t="str">
        <f t="shared" si="480"/>
        <v>PHX</v>
      </c>
    </row>
    <row r="1667" spans="18:33" x14ac:dyDescent="0.25">
      <c r="R1667">
        <v>1653</v>
      </c>
      <c r="S1667" s="36" t="str">
        <f t="shared" si="478"/>
        <v>VIAS AÉREAS DE USA</v>
      </c>
      <c r="T1667" s="36">
        <f t="shared" si="478"/>
        <v>2879</v>
      </c>
      <c r="U1667" s="73">
        <v>0.97361111111111109</v>
      </c>
      <c r="V1667" s="74">
        <v>0.9819444444444444</v>
      </c>
      <c r="W1667" s="75">
        <v>8.3333333333333037E-3</v>
      </c>
      <c r="X1667" s="74">
        <v>0.99375000000000002</v>
      </c>
      <c r="Y1667" s="75">
        <v>1.1805555555555625E-2</v>
      </c>
      <c r="Z1667" s="76">
        <v>41758</v>
      </c>
      <c r="AA1667" s="36" t="str">
        <f t="shared" si="480"/>
        <v>Internacional</v>
      </c>
      <c r="AB1667" s="36">
        <f t="shared" si="480"/>
        <v>1.0272988505747125E-2</v>
      </c>
      <c r="AC1667" s="36">
        <f t="shared" si="480"/>
        <v>1.0560344827586219E-2</v>
      </c>
      <c r="AD1667" s="36">
        <f t="shared" si="480"/>
        <v>2.0833333333333343E-2</v>
      </c>
      <c r="AE1667" s="36" t="str">
        <f t="shared" si="480"/>
        <v>CRJ700</v>
      </c>
      <c r="AF1667" s="36">
        <f t="shared" si="480"/>
        <v>78</v>
      </c>
      <c r="AG1667" s="36" t="str">
        <f t="shared" si="480"/>
        <v>PHX</v>
      </c>
    </row>
    <row r="1668" spans="18:33" x14ac:dyDescent="0.25">
      <c r="R1668">
        <v>1654</v>
      </c>
      <c r="S1668" s="36" t="str">
        <f t="shared" si="478"/>
        <v>VIAS AÉREAS DE USA</v>
      </c>
      <c r="T1668" s="36">
        <f t="shared" si="478"/>
        <v>2879</v>
      </c>
      <c r="U1668" s="73">
        <v>7.6388888888888895E-2</v>
      </c>
      <c r="V1668" s="74">
        <v>8.5416666666666655E-2</v>
      </c>
      <c r="W1668" s="75">
        <v>9.0277777777777596E-3</v>
      </c>
      <c r="X1668" s="74">
        <v>0.10625</v>
      </c>
      <c r="Y1668" s="75">
        <v>2.0833333333333343E-2</v>
      </c>
      <c r="Z1668" s="76">
        <v>41759</v>
      </c>
      <c r="AA1668" s="36" t="str">
        <f t="shared" si="480"/>
        <v>Internacional</v>
      </c>
      <c r="AB1668" s="36">
        <f t="shared" si="480"/>
        <v>1.0272988505747125E-2</v>
      </c>
      <c r="AC1668" s="36">
        <f t="shared" si="480"/>
        <v>1.0560344827586219E-2</v>
      </c>
      <c r="AD1668" s="36">
        <f t="shared" si="480"/>
        <v>2.0833333333333343E-2</v>
      </c>
      <c r="AE1668" s="36" t="str">
        <f t="shared" si="480"/>
        <v>CRJ700</v>
      </c>
      <c r="AF1668" s="36">
        <f t="shared" si="480"/>
        <v>78</v>
      </c>
      <c r="AG1668" s="36" t="str">
        <f t="shared" si="480"/>
        <v>PHX</v>
      </c>
    </row>
    <row r="1669" spans="18:33" x14ac:dyDescent="0.25">
      <c r="R1669">
        <v>1655</v>
      </c>
      <c r="S1669" s="36" t="str">
        <f t="shared" si="478"/>
        <v>VIAS AÉREAS DE USA</v>
      </c>
      <c r="T1669" s="36">
        <f t="shared" si="478"/>
        <v>2879</v>
      </c>
      <c r="U1669" s="73">
        <v>0.57222222222222219</v>
      </c>
      <c r="V1669" s="74">
        <v>0.5805555555555556</v>
      </c>
      <c r="W1669" s="75">
        <v>8.3333333333334147E-3</v>
      </c>
      <c r="X1669" s="74">
        <v>0.58680555555555558</v>
      </c>
      <c r="Y1669" s="75">
        <v>6.2499999999999778E-3</v>
      </c>
      <c r="Z1669" s="76">
        <v>41736</v>
      </c>
      <c r="AA1669" s="36" t="str">
        <f t="shared" si="480"/>
        <v>Internacional</v>
      </c>
      <c r="AB1669" s="36">
        <f t="shared" si="480"/>
        <v>1.0272988505747125E-2</v>
      </c>
      <c r="AC1669" s="36">
        <f t="shared" si="480"/>
        <v>1.0560344827586219E-2</v>
      </c>
      <c r="AD1669" s="36">
        <f t="shared" si="480"/>
        <v>2.0833333333333343E-2</v>
      </c>
      <c r="AE1669" s="36" t="str">
        <f t="shared" si="480"/>
        <v>CRJ700</v>
      </c>
      <c r="AF1669" s="36">
        <f t="shared" si="480"/>
        <v>78</v>
      </c>
      <c r="AG1669" s="36" t="str">
        <f t="shared" si="480"/>
        <v>PHX</v>
      </c>
    </row>
    <row r="1670" spans="18:33" ht="15.75" thickBot="1" x14ac:dyDescent="0.3">
      <c r="R1670">
        <v>1656</v>
      </c>
      <c r="S1670" s="36" t="str">
        <f t="shared" si="478"/>
        <v>VIAS AÉREAS DE USA</v>
      </c>
      <c r="T1670" s="36">
        <f t="shared" si="478"/>
        <v>2879</v>
      </c>
      <c r="U1670" s="83">
        <v>0.98749999999999993</v>
      </c>
      <c r="V1670" s="84">
        <v>1.0027777777777778</v>
      </c>
      <c r="W1670" s="85">
        <v>1.5277777777777835E-2</v>
      </c>
      <c r="X1670" s="84">
        <v>1.0125</v>
      </c>
      <c r="Y1670" s="85">
        <v>9.7222222222221877E-3</v>
      </c>
      <c r="Z1670" s="86">
        <v>41756</v>
      </c>
      <c r="AA1670" s="36" t="str">
        <f t="shared" si="480"/>
        <v>Internacional</v>
      </c>
      <c r="AB1670" s="36">
        <f t="shared" si="480"/>
        <v>1.0272988505747125E-2</v>
      </c>
      <c r="AC1670" s="36">
        <f t="shared" si="480"/>
        <v>1.0560344827586219E-2</v>
      </c>
      <c r="AD1670" s="36">
        <f t="shared" si="480"/>
        <v>2.0833333333333343E-2</v>
      </c>
      <c r="AE1670" s="36" t="str">
        <f t="shared" si="480"/>
        <v>CRJ700</v>
      </c>
      <c r="AF1670" s="36">
        <f t="shared" si="480"/>
        <v>78</v>
      </c>
      <c r="AG1670" s="36" t="str">
        <f t="shared" si="480"/>
        <v>PHX</v>
      </c>
    </row>
    <row r="1671" spans="18:33" x14ac:dyDescent="0.25">
      <c r="R1671">
        <v>1657</v>
      </c>
      <c r="S1671" s="36" t="str">
        <f t="shared" si="478"/>
        <v>VIAS AÉREAS DE USA</v>
      </c>
      <c r="T1671" s="55">
        <v>2816</v>
      </c>
      <c r="U1671" s="56">
        <v>0.5395833333333333</v>
      </c>
      <c r="V1671" s="57">
        <v>0.55138888888888882</v>
      </c>
      <c r="W1671" s="58">
        <v>1.1805555555555514E-2</v>
      </c>
      <c r="X1671" s="57">
        <v>0.56111111111111112</v>
      </c>
      <c r="Y1671" s="58">
        <v>9.7222222222222987E-3</v>
      </c>
      <c r="Z1671" s="59">
        <v>41730</v>
      </c>
      <c r="AA1671" s="60" t="s">
        <v>22</v>
      </c>
      <c r="AB1671" s="61">
        <v>7.9571759259259248E-3</v>
      </c>
      <c r="AC1671" s="61">
        <v>1.1805555555555569E-2</v>
      </c>
      <c r="AD1671" s="231">
        <v>1.9762731481481492E-2</v>
      </c>
      <c r="AE1671" s="132" t="s">
        <v>97</v>
      </c>
      <c r="AF1671" s="132">
        <v>78</v>
      </c>
      <c r="AG1671" s="132" t="s">
        <v>76</v>
      </c>
    </row>
    <row r="1672" spans="18:33" x14ac:dyDescent="0.25">
      <c r="R1672">
        <v>1658</v>
      </c>
      <c r="S1672" s="36" t="str">
        <f t="shared" si="478"/>
        <v>VIAS AÉREAS DE USA</v>
      </c>
      <c r="T1672" s="36">
        <f t="shared" si="478"/>
        <v>2816</v>
      </c>
      <c r="U1672" s="73">
        <v>0.53541666666666665</v>
      </c>
      <c r="V1672" s="74">
        <v>0.54166666666666663</v>
      </c>
      <c r="W1672" s="75">
        <v>6.2499999999999778E-3</v>
      </c>
      <c r="X1672" s="74">
        <v>0.5493055555555556</v>
      </c>
      <c r="Y1672" s="75">
        <v>7.6388888888889728E-3</v>
      </c>
      <c r="Z1672" s="76">
        <v>41731</v>
      </c>
      <c r="AA1672" s="36" t="str">
        <f t="shared" ref="AA1672:AG1694" si="481">AA1671</f>
        <v>Internacional</v>
      </c>
      <c r="AB1672" s="36">
        <f t="shared" si="481"/>
        <v>7.9571759259259248E-3</v>
      </c>
      <c r="AC1672" s="36">
        <f t="shared" si="481"/>
        <v>1.1805555555555569E-2</v>
      </c>
      <c r="AD1672" s="36">
        <f t="shared" si="481"/>
        <v>1.9762731481481492E-2</v>
      </c>
      <c r="AE1672" s="36" t="str">
        <f t="shared" si="481"/>
        <v>CRJ700</v>
      </c>
      <c r="AF1672" s="36">
        <f t="shared" si="481"/>
        <v>78</v>
      </c>
      <c r="AG1672" s="36" t="str">
        <f t="shared" si="481"/>
        <v>PHX</v>
      </c>
    </row>
    <row r="1673" spans="18:33" x14ac:dyDescent="0.25">
      <c r="R1673">
        <v>1659</v>
      </c>
      <c r="S1673" s="36" t="str">
        <f t="shared" si="478"/>
        <v>VIAS AÉREAS DE USA</v>
      </c>
      <c r="T1673" s="36">
        <f t="shared" si="478"/>
        <v>2816</v>
      </c>
      <c r="U1673" s="73">
        <v>0.53541666666666665</v>
      </c>
      <c r="V1673" s="74">
        <v>0.54166666666666663</v>
      </c>
      <c r="W1673" s="75">
        <v>6.2499999999999778E-3</v>
      </c>
      <c r="X1673" s="74">
        <v>0.5493055555555556</v>
      </c>
      <c r="Y1673" s="75">
        <v>7.6388888888889728E-3</v>
      </c>
      <c r="Z1673" s="76">
        <v>41731</v>
      </c>
      <c r="AA1673" s="36" t="str">
        <f t="shared" si="481"/>
        <v>Internacional</v>
      </c>
      <c r="AB1673" s="36">
        <f t="shared" si="481"/>
        <v>7.9571759259259248E-3</v>
      </c>
      <c r="AC1673" s="36">
        <f t="shared" si="481"/>
        <v>1.1805555555555569E-2</v>
      </c>
      <c r="AD1673" s="36">
        <f t="shared" si="481"/>
        <v>1.9762731481481492E-2</v>
      </c>
      <c r="AE1673" s="36" t="str">
        <f t="shared" si="481"/>
        <v>CRJ700</v>
      </c>
      <c r="AF1673" s="36">
        <f t="shared" si="481"/>
        <v>78</v>
      </c>
      <c r="AG1673" s="36" t="str">
        <f t="shared" si="481"/>
        <v>PHX</v>
      </c>
    </row>
    <row r="1674" spans="18:33" x14ac:dyDescent="0.25">
      <c r="R1674">
        <v>1660</v>
      </c>
      <c r="S1674" s="36" t="str">
        <f t="shared" si="478"/>
        <v>VIAS AÉREAS DE USA</v>
      </c>
      <c r="T1674" s="36">
        <f t="shared" si="478"/>
        <v>2816</v>
      </c>
      <c r="U1674" s="73">
        <v>0.52847222222222223</v>
      </c>
      <c r="V1674" s="74">
        <v>0.53680555555555554</v>
      </c>
      <c r="W1674" s="75">
        <v>8.3333333333333037E-3</v>
      </c>
      <c r="X1674" s="74">
        <v>0.54861111111111105</v>
      </c>
      <c r="Y1674" s="75">
        <v>1.1805555555555514E-2</v>
      </c>
      <c r="Z1674" s="76">
        <v>41732</v>
      </c>
      <c r="AA1674" s="36" t="str">
        <f t="shared" si="481"/>
        <v>Internacional</v>
      </c>
      <c r="AB1674" s="36">
        <f t="shared" si="481"/>
        <v>7.9571759259259248E-3</v>
      </c>
      <c r="AC1674" s="36">
        <f t="shared" si="481"/>
        <v>1.1805555555555569E-2</v>
      </c>
      <c r="AD1674" s="36">
        <f t="shared" si="481"/>
        <v>1.9762731481481492E-2</v>
      </c>
      <c r="AE1674" s="36" t="str">
        <f t="shared" si="481"/>
        <v>CRJ700</v>
      </c>
      <c r="AF1674" s="36">
        <f t="shared" si="481"/>
        <v>78</v>
      </c>
      <c r="AG1674" s="36" t="str">
        <f t="shared" si="481"/>
        <v>PHX</v>
      </c>
    </row>
    <row r="1675" spans="18:33" x14ac:dyDescent="0.25">
      <c r="R1675">
        <v>1661</v>
      </c>
      <c r="S1675" s="36" t="str">
        <f t="shared" si="478"/>
        <v>VIAS AÉREAS DE USA</v>
      </c>
      <c r="T1675" s="36">
        <f t="shared" si="478"/>
        <v>2816</v>
      </c>
      <c r="U1675" s="73">
        <v>0.54513888888888895</v>
      </c>
      <c r="V1675" s="74">
        <v>0.55625000000000002</v>
      </c>
      <c r="W1675" s="75">
        <v>1.1111111111111072E-2</v>
      </c>
      <c r="X1675" s="74">
        <v>0.56180555555555556</v>
      </c>
      <c r="Y1675" s="75">
        <v>5.5555555555555358E-3</v>
      </c>
      <c r="Z1675" s="76">
        <v>41733</v>
      </c>
      <c r="AA1675" s="36" t="str">
        <f t="shared" si="481"/>
        <v>Internacional</v>
      </c>
      <c r="AB1675" s="36">
        <f t="shared" si="481"/>
        <v>7.9571759259259248E-3</v>
      </c>
      <c r="AC1675" s="36">
        <f t="shared" si="481"/>
        <v>1.1805555555555569E-2</v>
      </c>
      <c r="AD1675" s="36">
        <f t="shared" si="481"/>
        <v>1.9762731481481492E-2</v>
      </c>
      <c r="AE1675" s="36" t="str">
        <f t="shared" si="481"/>
        <v>CRJ700</v>
      </c>
      <c r="AF1675" s="36">
        <f t="shared" si="481"/>
        <v>78</v>
      </c>
      <c r="AG1675" s="36" t="str">
        <f t="shared" si="481"/>
        <v>PHX</v>
      </c>
    </row>
    <row r="1676" spans="18:33" x14ac:dyDescent="0.25">
      <c r="R1676">
        <v>1662</v>
      </c>
      <c r="S1676" s="36" t="str">
        <f t="shared" si="478"/>
        <v>VIAS AÉREAS DE USA</v>
      </c>
      <c r="T1676" s="36">
        <f t="shared" si="478"/>
        <v>2816</v>
      </c>
      <c r="U1676" s="73">
        <v>0.52777777777777779</v>
      </c>
      <c r="V1676" s="74">
        <v>0.53611111111111109</v>
      </c>
      <c r="W1676" s="75">
        <v>8.3333333333333037E-3</v>
      </c>
      <c r="X1676" s="74">
        <v>0.54791666666666672</v>
      </c>
      <c r="Y1676" s="75">
        <v>1.1805555555555625E-2</v>
      </c>
      <c r="Z1676" s="76">
        <v>41734</v>
      </c>
      <c r="AA1676" s="36" t="str">
        <f t="shared" si="481"/>
        <v>Internacional</v>
      </c>
      <c r="AB1676" s="36">
        <f t="shared" si="481"/>
        <v>7.9571759259259248E-3</v>
      </c>
      <c r="AC1676" s="36">
        <f t="shared" si="481"/>
        <v>1.1805555555555569E-2</v>
      </c>
      <c r="AD1676" s="36">
        <f t="shared" si="481"/>
        <v>1.9762731481481492E-2</v>
      </c>
      <c r="AE1676" s="36" t="str">
        <f t="shared" si="481"/>
        <v>CRJ700</v>
      </c>
      <c r="AF1676" s="36">
        <f t="shared" si="481"/>
        <v>78</v>
      </c>
      <c r="AG1676" s="36" t="str">
        <f t="shared" si="481"/>
        <v>PHX</v>
      </c>
    </row>
    <row r="1677" spans="18:33" x14ac:dyDescent="0.25">
      <c r="R1677">
        <v>1663</v>
      </c>
      <c r="S1677" s="36" t="str">
        <f t="shared" si="478"/>
        <v>VIAS AÉREAS DE USA</v>
      </c>
      <c r="T1677" s="36">
        <f t="shared" si="478"/>
        <v>2816</v>
      </c>
      <c r="U1677" s="73">
        <v>0.56319444444444444</v>
      </c>
      <c r="V1677" s="74">
        <v>0.5708333333333333</v>
      </c>
      <c r="W1677" s="75">
        <v>7.6388888888888618E-3</v>
      </c>
      <c r="X1677" s="74">
        <v>0.58402777777777781</v>
      </c>
      <c r="Y1677" s="75">
        <v>1.3194444444444509E-2</v>
      </c>
      <c r="Z1677" s="76">
        <v>41735</v>
      </c>
      <c r="AA1677" s="36" t="str">
        <f t="shared" si="481"/>
        <v>Internacional</v>
      </c>
      <c r="AB1677" s="36">
        <f t="shared" si="481"/>
        <v>7.9571759259259248E-3</v>
      </c>
      <c r="AC1677" s="36">
        <f t="shared" si="481"/>
        <v>1.1805555555555569E-2</v>
      </c>
      <c r="AD1677" s="36">
        <f t="shared" si="481"/>
        <v>1.9762731481481492E-2</v>
      </c>
      <c r="AE1677" s="36" t="str">
        <f t="shared" si="481"/>
        <v>CRJ700</v>
      </c>
      <c r="AF1677" s="36">
        <f t="shared" si="481"/>
        <v>78</v>
      </c>
      <c r="AG1677" s="36" t="str">
        <f t="shared" si="481"/>
        <v>PHX</v>
      </c>
    </row>
    <row r="1678" spans="18:33" x14ac:dyDescent="0.25">
      <c r="R1678">
        <v>1664</v>
      </c>
      <c r="S1678" s="36" t="str">
        <f t="shared" si="478"/>
        <v>VIAS AÉREAS DE USA</v>
      </c>
      <c r="T1678" s="36">
        <f t="shared" si="478"/>
        <v>2816</v>
      </c>
      <c r="U1678" s="73">
        <v>0.57152777777777775</v>
      </c>
      <c r="V1678" s="74">
        <v>0.57986111111111105</v>
      </c>
      <c r="W1678" s="75">
        <v>8.3333333333333037E-3</v>
      </c>
      <c r="X1678" s="74">
        <v>0.59236111111111112</v>
      </c>
      <c r="Y1678" s="75">
        <v>1.2500000000000067E-2</v>
      </c>
      <c r="Z1678" s="76">
        <v>41739</v>
      </c>
      <c r="AA1678" s="36" t="str">
        <f t="shared" si="481"/>
        <v>Internacional</v>
      </c>
      <c r="AB1678" s="36">
        <f t="shared" si="481"/>
        <v>7.9571759259259248E-3</v>
      </c>
      <c r="AC1678" s="36">
        <f t="shared" si="481"/>
        <v>1.1805555555555569E-2</v>
      </c>
      <c r="AD1678" s="36">
        <f t="shared" si="481"/>
        <v>1.9762731481481492E-2</v>
      </c>
      <c r="AE1678" s="36" t="str">
        <f t="shared" si="481"/>
        <v>CRJ700</v>
      </c>
      <c r="AF1678" s="36">
        <f t="shared" si="481"/>
        <v>78</v>
      </c>
      <c r="AG1678" s="36" t="str">
        <f t="shared" si="481"/>
        <v>PHX</v>
      </c>
    </row>
    <row r="1679" spans="18:33" x14ac:dyDescent="0.25">
      <c r="R1679">
        <v>1665</v>
      </c>
      <c r="S1679" s="36" t="str">
        <f t="shared" si="478"/>
        <v>VIAS AÉREAS DE USA</v>
      </c>
      <c r="T1679" s="36">
        <f t="shared" si="478"/>
        <v>2816</v>
      </c>
      <c r="U1679" s="73">
        <v>0.57430555555555551</v>
      </c>
      <c r="V1679" s="74">
        <v>0.58333333333333337</v>
      </c>
      <c r="W1679" s="75">
        <v>9.0277777777778567E-3</v>
      </c>
      <c r="X1679" s="74">
        <v>0.59722222222222221</v>
      </c>
      <c r="Y1679" s="75">
        <v>1.388888888888884E-2</v>
      </c>
      <c r="Z1679" s="76">
        <v>41741</v>
      </c>
      <c r="AA1679" s="36" t="str">
        <f t="shared" si="481"/>
        <v>Internacional</v>
      </c>
      <c r="AB1679" s="36">
        <f t="shared" si="481"/>
        <v>7.9571759259259248E-3</v>
      </c>
      <c r="AC1679" s="36">
        <f t="shared" si="481"/>
        <v>1.1805555555555569E-2</v>
      </c>
      <c r="AD1679" s="36">
        <f t="shared" si="481"/>
        <v>1.9762731481481492E-2</v>
      </c>
      <c r="AE1679" s="36" t="str">
        <f t="shared" si="481"/>
        <v>CRJ700</v>
      </c>
      <c r="AF1679" s="36">
        <f t="shared" si="481"/>
        <v>78</v>
      </c>
      <c r="AG1679" s="36" t="str">
        <f t="shared" si="481"/>
        <v>PHX</v>
      </c>
    </row>
    <row r="1680" spans="18:33" x14ac:dyDescent="0.25">
      <c r="R1680">
        <v>1666</v>
      </c>
      <c r="S1680" s="36" t="str">
        <f t="shared" si="478"/>
        <v>VIAS AÉREAS DE USA</v>
      </c>
      <c r="T1680" s="36">
        <f t="shared" si="478"/>
        <v>2816</v>
      </c>
      <c r="U1680" s="73">
        <v>0.56666666666666665</v>
      </c>
      <c r="V1680" s="74">
        <v>0.57638888888888895</v>
      </c>
      <c r="W1680" s="75">
        <v>9.7222222222222987E-3</v>
      </c>
      <c r="X1680" s="74">
        <v>0.58402777777777781</v>
      </c>
      <c r="Y1680" s="75">
        <v>7.6388888888888618E-3</v>
      </c>
      <c r="Z1680" s="76">
        <v>41743</v>
      </c>
      <c r="AA1680" s="36" t="str">
        <f t="shared" si="481"/>
        <v>Internacional</v>
      </c>
      <c r="AB1680" s="36">
        <f t="shared" si="481"/>
        <v>7.9571759259259248E-3</v>
      </c>
      <c r="AC1680" s="36">
        <f t="shared" si="481"/>
        <v>1.1805555555555569E-2</v>
      </c>
      <c r="AD1680" s="36">
        <f t="shared" si="481"/>
        <v>1.9762731481481492E-2</v>
      </c>
      <c r="AE1680" s="36" t="str">
        <f t="shared" si="481"/>
        <v>CRJ700</v>
      </c>
      <c r="AF1680" s="36">
        <f t="shared" si="481"/>
        <v>78</v>
      </c>
      <c r="AG1680" s="36" t="str">
        <f t="shared" si="481"/>
        <v>PHX</v>
      </c>
    </row>
    <row r="1681" spans="18:33" x14ac:dyDescent="0.25">
      <c r="R1681">
        <v>1667</v>
      </c>
      <c r="S1681" s="36" t="str">
        <f t="shared" si="478"/>
        <v>VIAS AÉREAS DE USA</v>
      </c>
      <c r="T1681" s="36">
        <f t="shared" si="478"/>
        <v>2816</v>
      </c>
      <c r="U1681" s="73">
        <v>0.57222222222222219</v>
      </c>
      <c r="V1681" s="74">
        <v>0.57916666666666672</v>
      </c>
      <c r="W1681" s="75">
        <v>6.9444444444445308E-3</v>
      </c>
      <c r="X1681" s="74">
        <v>0.59236111111111112</v>
      </c>
      <c r="Y1681" s="75">
        <v>1.3194444444444398E-2</v>
      </c>
      <c r="Z1681" s="76">
        <v>41744</v>
      </c>
      <c r="AA1681" s="36" t="str">
        <f t="shared" si="481"/>
        <v>Internacional</v>
      </c>
      <c r="AB1681" s="36">
        <f t="shared" si="481"/>
        <v>7.9571759259259248E-3</v>
      </c>
      <c r="AC1681" s="36">
        <f t="shared" si="481"/>
        <v>1.1805555555555569E-2</v>
      </c>
      <c r="AD1681" s="36">
        <f t="shared" si="481"/>
        <v>1.9762731481481492E-2</v>
      </c>
      <c r="AE1681" s="36" t="str">
        <f t="shared" si="481"/>
        <v>CRJ700</v>
      </c>
      <c r="AF1681" s="36">
        <f t="shared" si="481"/>
        <v>78</v>
      </c>
      <c r="AG1681" s="36" t="str">
        <f t="shared" si="481"/>
        <v>PHX</v>
      </c>
    </row>
    <row r="1682" spans="18:33" x14ac:dyDescent="0.25">
      <c r="R1682">
        <v>1668</v>
      </c>
      <c r="S1682" s="36" t="str">
        <f t="shared" si="478"/>
        <v>VIAS AÉREAS DE USA</v>
      </c>
      <c r="T1682" s="36">
        <f t="shared" si="478"/>
        <v>2816</v>
      </c>
      <c r="U1682" s="73">
        <v>0.56874999999999998</v>
      </c>
      <c r="V1682" s="74">
        <v>0.57430555555555551</v>
      </c>
      <c r="W1682" s="75">
        <v>5.5555555555555358E-3</v>
      </c>
      <c r="X1682" s="74">
        <v>0.58750000000000002</v>
      </c>
      <c r="Y1682" s="75">
        <v>1.3194444444444509E-2</v>
      </c>
      <c r="Z1682" s="76">
        <v>41745</v>
      </c>
      <c r="AA1682" s="36" t="str">
        <f t="shared" si="481"/>
        <v>Internacional</v>
      </c>
      <c r="AB1682" s="36">
        <f t="shared" si="481"/>
        <v>7.9571759259259248E-3</v>
      </c>
      <c r="AC1682" s="36">
        <f t="shared" si="481"/>
        <v>1.1805555555555569E-2</v>
      </c>
      <c r="AD1682" s="36">
        <f t="shared" si="481"/>
        <v>1.9762731481481492E-2</v>
      </c>
      <c r="AE1682" s="36" t="str">
        <f t="shared" si="481"/>
        <v>CRJ700</v>
      </c>
      <c r="AF1682" s="36">
        <f t="shared" si="481"/>
        <v>78</v>
      </c>
      <c r="AG1682" s="36" t="str">
        <f t="shared" si="481"/>
        <v>PHX</v>
      </c>
    </row>
    <row r="1683" spans="18:33" x14ac:dyDescent="0.25">
      <c r="R1683">
        <v>1669</v>
      </c>
      <c r="S1683" s="36" t="str">
        <f t="shared" si="478"/>
        <v>VIAS AÉREAS DE USA</v>
      </c>
      <c r="T1683" s="36">
        <f t="shared" si="478"/>
        <v>2816</v>
      </c>
      <c r="U1683" s="73">
        <v>0.57291666666666663</v>
      </c>
      <c r="V1683" s="74">
        <v>0.58194444444444449</v>
      </c>
      <c r="W1683" s="75">
        <v>9.0277777777778567E-3</v>
      </c>
      <c r="X1683" s="74">
        <v>0.58958333333333335</v>
      </c>
      <c r="Y1683" s="75">
        <v>7.6388888888888618E-3</v>
      </c>
      <c r="Z1683" s="76">
        <v>41746</v>
      </c>
      <c r="AA1683" s="36" t="str">
        <f t="shared" si="481"/>
        <v>Internacional</v>
      </c>
      <c r="AB1683" s="36">
        <f t="shared" si="481"/>
        <v>7.9571759259259248E-3</v>
      </c>
      <c r="AC1683" s="36">
        <f t="shared" si="481"/>
        <v>1.1805555555555569E-2</v>
      </c>
      <c r="AD1683" s="36">
        <f t="shared" si="481"/>
        <v>1.9762731481481492E-2</v>
      </c>
      <c r="AE1683" s="36" t="str">
        <f t="shared" si="481"/>
        <v>CRJ700</v>
      </c>
      <c r="AF1683" s="36">
        <f t="shared" si="481"/>
        <v>78</v>
      </c>
      <c r="AG1683" s="36" t="str">
        <f t="shared" si="481"/>
        <v>PHX</v>
      </c>
    </row>
    <row r="1684" spans="18:33" x14ac:dyDescent="0.25">
      <c r="R1684">
        <v>1670</v>
      </c>
      <c r="S1684" s="36" t="str">
        <f t="shared" si="478"/>
        <v>VIAS AÉREAS DE USA</v>
      </c>
      <c r="T1684" s="36">
        <f t="shared" si="478"/>
        <v>2816</v>
      </c>
      <c r="U1684" s="73">
        <v>0.57916666666666672</v>
      </c>
      <c r="V1684" s="74">
        <v>0.5854166666666667</v>
      </c>
      <c r="W1684" s="75">
        <v>6.2499999999999778E-3</v>
      </c>
      <c r="X1684" s="74">
        <v>0.59513888888888888</v>
      </c>
      <c r="Y1684" s="75">
        <v>9.7222222222221877E-3</v>
      </c>
      <c r="Z1684" s="76">
        <v>41747</v>
      </c>
      <c r="AA1684" s="36" t="str">
        <f t="shared" si="481"/>
        <v>Internacional</v>
      </c>
      <c r="AB1684" s="36">
        <f t="shared" si="481"/>
        <v>7.9571759259259248E-3</v>
      </c>
      <c r="AC1684" s="36">
        <f t="shared" si="481"/>
        <v>1.1805555555555569E-2</v>
      </c>
      <c r="AD1684" s="36">
        <f t="shared" si="481"/>
        <v>1.9762731481481492E-2</v>
      </c>
      <c r="AE1684" s="36" t="str">
        <f t="shared" si="481"/>
        <v>CRJ700</v>
      </c>
      <c r="AF1684" s="36">
        <f t="shared" si="481"/>
        <v>78</v>
      </c>
      <c r="AG1684" s="36" t="str">
        <f t="shared" si="481"/>
        <v>PHX</v>
      </c>
    </row>
    <row r="1685" spans="18:33" x14ac:dyDescent="0.25">
      <c r="R1685">
        <v>1671</v>
      </c>
      <c r="S1685" s="36" t="str">
        <f t="shared" si="478"/>
        <v>VIAS AÉREAS DE USA</v>
      </c>
      <c r="T1685" s="36">
        <f t="shared" si="478"/>
        <v>2816</v>
      </c>
      <c r="U1685" s="73">
        <v>0.57222222222222219</v>
      </c>
      <c r="V1685" s="74">
        <v>0.57708333333333328</v>
      </c>
      <c r="W1685" s="75">
        <v>4.8611111111110938E-3</v>
      </c>
      <c r="X1685" s="74">
        <v>0.58819444444444446</v>
      </c>
      <c r="Y1685" s="75">
        <v>1.1111111111111183E-2</v>
      </c>
      <c r="Z1685" s="76">
        <v>41748</v>
      </c>
      <c r="AA1685" s="36" t="str">
        <f t="shared" si="481"/>
        <v>Internacional</v>
      </c>
      <c r="AB1685" s="36">
        <f t="shared" si="481"/>
        <v>7.9571759259259248E-3</v>
      </c>
      <c r="AC1685" s="36">
        <f t="shared" si="481"/>
        <v>1.1805555555555569E-2</v>
      </c>
      <c r="AD1685" s="36">
        <f t="shared" si="481"/>
        <v>1.9762731481481492E-2</v>
      </c>
      <c r="AE1685" s="36" t="str">
        <f t="shared" si="481"/>
        <v>CRJ700</v>
      </c>
      <c r="AF1685" s="36">
        <f t="shared" si="481"/>
        <v>78</v>
      </c>
      <c r="AG1685" s="36" t="str">
        <f t="shared" si="481"/>
        <v>PHX</v>
      </c>
    </row>
    <row r="1686" spans="18:33" x14ac:dyDescent="0.25">
      <c r="R1686">
        <v>1672</v>
      </c>
      <c r="S1686" s="36" t="str">
        <f t="shared" si="478"/>
        <v>VIAS AÉREAS DE USA</v>
      </c>
      <c r="T1686" s="36">
        <f t="shared" si="478"/>
        <v>2816</v>
      </c>
      <c r="U1686" s="73">
        <v>0.57430555555555551</v>
      </c>
      <c r="V1686" s="74">
        <v>0.58124999999999993</v>
      </c>
      <c r="W1686" s="75">
        <v>6.9444444444444198E-3</v>
      </c>
      <c r="X1686" s="74">
        <v>0.59722222222222221</v>
      </c>
      <c r="Y1686" s="75">
        <v>1.5972222222222276E-2</v>
      </c>
      <c r="Z1686" s="76">
        <v>41749</v>
      </c>
      <c r="AA1686" s="36" t="str">
        <f t="shared" si="481"/>
        <v>Internacional</v>
      </c>
      <c r="AB1686" s="36">
        <f t="shared" si="481"/>
        <v>7.9571759259259248E-3</v>
      </c>
      <c r="AC1686" s="36">
        <f t="shared" si="481"/>
        <v>1.1805555555555569E-2</v>
      </c>
      <c r="AD1686" s="36">
        <f t="shared" si="481"/>
        <v>1.9762731481481492E-2</v>
      </c>
      <c r="AE1686" s="36" t="str">
        <f t="shared" si="481"/>
        <v>CRJ700</v>
      </c>
      <c r="AF1686" s="36">
        <f t="shared" si="481"/>
        <v>78</v>
      </c>
      <c r="AG1686" s="36" t="str">
        <f t="shared" si="481"/>
        <v>PHX</v>
      </c>
    </row>
    <row r="1687" spans="18:33" x14ac:dyDescent="0.25">
      <c r="R1687">
        <v>1673</v>
      </c>
      <c r="S1687" s="36" t="str">
        <f t="shared" si="478"/>
        <v>VIAS AÉREAS DE USA</v>
      </c>
      <c r="T1687" s="36">
        <f t="shared" si="478"/>
        <v>2816</v>
      </c>
      <c r="U1687" s="73">
        <v>0.5756944444444444</v>
      </c>
      <c r="V1687" s="74">
        <v>0.58611111111111114</v>
      </c>
      <c r="W1687" s="75">
        <v>1.0416666666666741E-2</v>
      </c>
      <c r="X1687" s="74">
        <v>0.59930555555555554</v>
      </c>
      <c r="Y1687" s="75">
        <v>1.3194444444444398E-2</v>
      </c>
      <c r="Z1687" s="76">
        <v>41750</v>
      </c>
      <c r="AA1687" s="36" t="str">
        <f t="shared" si="481"/>
        <v>Internacional</v>
      </c>
      <c r="AB1687" s="36">
        <f t="shared" si="481"/>
        <v>7.9571759259259248E-3</v>
      </c>
      <c r="AC1687" s="36">
        <f t="shared" si="481"/>
        <v>1.1805555555555569E-2</v>
      </c>
      <c r="AD1687" s="36">
        <f t="shared" si="481"/>
        <v>1.9762731481481492E-2</v>
      </c>
      <c r="AE1687" s="36" t="str">
        <f t="shared" si="481"/>
        <v>CRJ700</v>
      </c>
      <c r="AF1687" s="36">
        <f t="shared" si="481"/>
        <v>78</v>
      </c>
      <c r="AG1687" s="36" t="str">
        <f t="shared" si="481"/>
        <v>PHX</v>
      </c>
    </row>
    <row r="1688" spans="18:33" x14ac:dyDescent="0.25">
      <c r="R1688">
        <v>1674</v>
      </c>
      <c r="S1688" s="36" t="str">
        <f t="shared" si="478"/>
        <v>VIAS AÉREAS DE USA</v>
      </c>
      <c r="T1688" s="36">
        <f t="shared" si="478"/>
        <v>2816</v>
      </c>
      <c r="U1688" s="73">
        <v>0.57638888888888895</v>
      </c>
      <c r="V1688" s="74">
        <v>0.58333333333333337</v>
      </c>
      <c r="W1688" s="75">
        <v>6.9444444444444198E-3</v>
      </c>
      <c r="X1688" s="74">
        <v>0.59930555555555554</v>
      </c>
      <c r="Y1688" s="75">
        <v>1.5972222222222165E-2</v>
      </c>
      <c r="Z1688" s="76">
        <v>41751</v>
      </c>
      <c r="AA1688" s="36" t="str">
        <f t="shared" si="481"/>
        <v>Internacional</v>
      </c>
      <c r="AB1688" s="36">
        <f t="shared" si="481"/>
        <v>7.9571759259259248E-3</v>
      </c>
      <c r="AC1688" s="36">
        <f t="shared" si="481"/>
        <v>1.1805555555555569E-2</v>
      </c>
      <c r="AD1688" s="36">
        <f t="shared" si="481"/>
        <v>1.9762731481481492E-2</v>
      </c>
      <c r="AE1688" s="36" t="str">
        <f t="shared" si="481"/>
        <v>CRJ700</v>
      </c>
      <c r="AF1688" s="36">
        <f t="shared" si="481"/>
        <v>78</v>
      </c>
      <c r="AG1688" s="36" t="str">
        <f t="shared" si="481"/>
        <v>PHX</v>
      </c>
    </row>
    <row r="1689" spans="18:33" x14ac:dyDescent="0.25">
      <c r="R1689">
        <v>1675</v>
      </c>
      <c r="S1689" s="36" t="str">
        <f t="shared" si="478"/>
        <v>VIAS AÉREAS DE USA</v>
      </c>
      <c r="T1689" s="36">
        <f t="shared" si="478"/>
        <v>2816</v>
      </c>
      <c r="U1689" s="73">
        <v>0.57638888888888895</v>
      </c>
      <c r="V1689" s="74">
        <v>0.58333333333333337</v>
      </c>
      <c r="W1689" s="75">
        <v>6.9444444444444198E-3</v>
      </c>
      <c r="X1689" s="74">
        <v>0.59930555555555554</v>
      </c>
      <c r="Y1689" s="75">
        <v>1.5972222222222165E-2</v>
      </c>
      <c r="Z1689" s="76">
        <v>41751</v>
      </c>
      <c r="AA1689" s="36" t="str">
        <f t="shared" si="481"/>
        <v>Internacional</v>
      </c>
      <c r="AB1689" s="36">
        <f t="shared" si="481"/>
        <v>7.9571759259259248E-3</v>
      </c>
      <c r="AC1689" s="36">
        <f t="shared" si="481"/>
        <v>1.1805555555555569E-2</v>
      </c>
      <c r="AD1689" s="36">
        <f t="shared" si="481"/>
        <v>1.9762731481481492E-2</v>
      </c>
      <c r="AE1689" s="36" t="str">
        <f t="shared" si="481"/>
        <v>CRJ700</v>
      </c>
      <c r="AF1689" s="36">
        <f t="shared" si="481"/>
        <v>78</v>
      </c>
      <c r="AG1689" s="36" t="str">
        <f t="shared" si="481"/>
        <v>PHX</v>
      </c>
    </row>
    <row r="1690" spans="18:33" x14ac:dyDescent="0.25">
      <c r="R1690">
        <v>1676</v>
      </c>
      <c r="S1690" s="36" t="str">
        <f t="shared" si="478"/>
        <v>VIAS AÉREAS DE USA</v>
      </c>
      <c r="T1690" s="36">
        <f t="shared" si="478"/>
        <v>2816</v>
      </c>
      <c r="U1690" s="73">
        <v>0.57986111111111105</v>
      </c>
      <c r="V1690" s="74">
        <v>0.59027777777777779</v>
      </c>
      <c r="W1690" s="75">
        <v>1.0416666666666741E-2</v>
      </c>
      <c r="X1690" s="74">
        <v>0.60833333333333328</v>
      </c>
      <c r="Y1690" s="75">
        <v>1.8055555555555491E-2</v>
      </c>
      <c r="Z1690" s="76">
        <v>41753</v>
      </c>
      <c r="AA1690" s="36" t="str">
        <f t="shared" si="481"/>
        <v>Internacional</v>
      </c>
      <c r="AB1690" s="36">
        <f t="shared" si="481"/>
        <v>7.9571759259259248E-3</v>
      </c>
      <c r="AC1690" s="36">
        <f t="shared" si="481"/>
        <v>1.1805555555555569E-2</v>
      </c>
      <c r="AD1690" s="36">
        <f t="shared" si="481"/>
        <v>1.9762731481481492E-2</v>
      </c>
      <c r="AE1690" s="36" t="str">
        <f t="shared" si="481"/>
        <v>CRJ700</v>
      </c>
      <c r="AF1690" s="36">
        <f t="shared" si="481"/>
        <v>78</v>
      </c>
      <c r="AG1690" s="36" t="str">
        <f t="shared" si="481"/>
        <v>PHX</v>
      </c>
    </row>
    <row r="1691" spans="18:33" x14ac:dyDescent="0.25">
      <c r="R1691">
        <v>1677</v>
      </c>
      <c r="S1691" s="36" t="str">
        <f t="shared" si="478"/>
        <v>VIAS AÉREAS DE USA</v>
      </c>
      <c r="T1691" s="36">
        <f t="shared" si="478"/>
        <v>2816</v>
      </c>
      <c r="U1691" s="73">
        <v>0.57777777777777783</v>
      </c>
      <c r="V1691" s="74">
        <v>0.58472222222222225</v>
      </c>
      <c r="W1691" s="75">
        <v>6.9444444444444198E-3</v>
      </c>
      <c r="X1691" s="74">
        <v>0.59583333333333333</v>
      </c>
      <c r="Y1691" s="75">
        <v>1.1111111111111072E-2</v>
      </c>
      <c r="Z1691" s="76">
        <v>41754</v>
      </c>
      <c r="AA1691" s="36" t="str">
        <f t="shared" si="481"/>
        <v>Internacional</v>
      </c>
      <c r="AB1691" s="36">
        <f t="shared" si="481"/>
        <v>7.9571759259259248E-3</v>
      </c>
      <c r="AC1691" s="36">
        <f t="shared" si="481"/>
        <v>1.1805555555555569E-2</v>
      </c>
      <c r="AD1691" s="36">
        <f t="shared" si="481"/>
        <v>1.9762731481481492E-2</v>
      </c>
      <c r="AE1691" s="36" t="str">
        <f t="shared" si="481"/>
        <v>CRJ700</v>
      </c>
      <c r="AF1691" s="36">
        <f t="shared" si="481"/>
        <v>78</v>
      </c>
      <c r="AG1691" s="36" t="str">
        <f t="shared" si="481"/>
        <v>PHX</v>
      </c>
    </row>
    <row r="1692" spans="18:33" x14ac:dyDescent="0.25">
      <c r="R1692">
        <v>1678</v>
      </c>
      <c r="S1692" s="36" t="str">
        <f t="shared" ref="S1692:T1694" si="482">S1691</f>
        <v>VIAS AÉREAS DE USA</v>
      </c>
      <c r="T1692" s="36">
        <f t="shared" si="482"/>
        <v>2816</v>
      </c>
      <c r="U1692" s="73">
        <v>0.56597222222222221</v>
      </c>
      <c r="V1692" s="74">
        <v>0.57291666666666663</v>
      </c>
      <c r="W1692" s="75">
        <v>6.9444444444444198E-3</v>
      </c>
      <c r="X1692" s="74">
        <v>0.58333333333333337</v>
      </c>
      <c r="Y1692" s="75">
        <v>1.0416666666666741E-2</v>
      </c>
      <c r="Z1692" s="76">
        <v>41756</v>
      </c>
      <c r="AA1692" s="36" t="str">
        <f t="shared" si="481"/>
        <v>Internacional</v>
      </c>
      <c r="AB1692" s="36">
        <f t="shared" si="481"/>
        <v>7.9571759259259248E-3</v>
      </c>
      <c r="AC1692" s="36">
        <f t="shared" si="481"/>
        <v>1.1805555555555569E-2</v>
      </c>
      <c r="AD1692" s="36">
        <f t="shared" si="481"/>
        <v>1.9762731481481492E-2</v>
      </c>
      <c r="AE1692" s="36" t="str">
        <f t="shared" si="481"/>
        <v>CRJ700</v>
      </c>
      <c r="AF1692" s="36">
        <f t="shared" si="481"/>
        <v>78</v>
      </c>
      <c r="AG1692" s="36" t="str">
        <f t="shared" si="481"/>
        <v>PHX</v>
      </c>
    </row>
    <row r="1693" spans="18:33" x14ac:dyDescent="0.25">
      <c r="R1693">
        <v>1679</v>
      </c>
      <c r="S1693" s="36" t="str">
        <f t="shared" si="482"/>
        <v>VIAS AÉREAS DE USA</v>
      </c>
      <c r="T1693" s="36">
        <f t="shared" si="482"/>
        <v>2816</v>
      </c>
      <c r="U1693" s="73">
        <v>0.58680555555555558</v>
      </c>
      <c r="V1693" s="74">
        <v>0.59583333333333333</v>
      </c>
      <c r="W1693" s="75">
        <v>9.0277777777777457E-3</v>
      </c>
      <c r="X1693" s="74">
        <v>0.60625000000000007</v>
      </c>
      <c r="Y1693" s="75">
        <v>1.0416666666666741E-2</v>
      </c>
      <c r="Z1693" s="76">
        <v>41757</v>
      </c>
      <c r="AA1693" s="36" t="str">
        <f t="shared" si="481"/>
        <v>Internacional</v>
      </c>
      <c r="AB1693" s="36">
        <f t="shared" si="481"/>
        <v>7.9571759259259248E-3</v>
      </c>
      <c r="AC1693" s="36">
        <f t="shared" si="481"/>
        <v>1.1805555555555569E-2</v>
      </c>
      <c r="AD1693" s="36">
        <f t="shared" si="481"/>
        <v>1.9762731481481492E-2</v>
      </c>
      <c r="AE1693" s="36" t="str">
        <f t="shared" si="481"/>
        <v>CRJ700</v>
      </c>
      <c r="AF1693" s="36">
        <f t="shared" si="481"/>
        <v>78</v>
      </c>
      <c r="AG1693" s="36" t="str">
        <f t="shared" si="481"/>
        <v>PHX</v>
      </c>
    </row>
    <row r="1694" spans="18:33" ht="15.75" thickBot="1" x14ac:dyDescent="0.3">
      <c r="R1694">
        <v>1680</v>
      </c>
      <c r="S1694" s="36" t="str">
        <f t="shared" si="482"/>
        <v>VIAS AÉREAS DE USA</v>
      </c>
      <c r="T1694" s="36">
        <f t="shared" si="482"/>
        <v>2816</v>
      </c>
      <c r="U1694" s="83">
        <v>0.57013888888888886</v>
      </c>
      <c r="V1694" s="84">
        <v>0.57708333333333328</v>
      </c>
      <c r="W1694" s="85">
        <v>6.9444444444444198E-3</v>
      </c>
      <c r="X1694" s="84">
        <v>0.59305555555555556</v>
      </c>
      <c r="Y1694" s="85">
        <v>1.5972222222222276E-2</v>
      </c>
      <c r="Z1694" s="86">
        <v>41759</v>
      </c>
      <c r="AA1694" s="36" t="str">
        <f t="shared" si="481"/>
        <v>Internacional</v>
      </c>
      <c r="AB1694" s="36">
        <f t="shared" si="481"/>
        <v>7.9571759259259248E-3</v>
      </c>
      <c r="AC1694" s="36">
        <f t="shared" si="481"/>
        <v>1.1805555555555569E-2</v>
      </c>
      <c r="AD1694" s="36">
        <f t="shared" si="481"/>
        <v>1.9762731481481492E-2</v>
      </c>
      <c r="AE1694" s="36" t="str">
        <f t="shared" si="481"/>
        <v>CRJ700</v>
      </c>
      <c r="AF1694" s="36">
        <f t="shared" si="481"/>
        <v>78</v>
      </c>
      <c r="AG1694" s="36" t="str">
        <f t="shared" si="481"/>
        <v>PHX</v>
      </c>
    </row>
    <row r="1695" spans="18:33" x14ac:dyDescent="0.25">
      <c r="R1695">
        <v>1681</v>
      </c>
      <c r="S1695" s="45" t="s">
        <v>77</v>
      </c>
      <c r="T1695" s="55">
        <v>150</v>
      </c>
      <c r="U1695" s="56">
        <v>0.9375</v>
      </c>
      <c r="V1695" s="57">
        <v>0.94791666666666663</v>
      </c>
      <c r="W1695" s="58">
        <v>1.041666666666663E-2</v>
      </c>
      <c r="X1695" s="57">
        <v>0.95000000000000007</v>
      </c>
      <c r="Y1695" s="58">
        <v>2.083333333333437E-3</v>
      </c>
      <c r="Z1695" s="59">
        <v>41745</v>
      </c>
      <c r="AA1695" s="60" t="s">
        <v>19</v>
      </c>
      <c r="AB1695" s="61">
        <v>8.888888888888901E-3</v>
      </c>
      <c r="AC1695" s="61">
        <v>4.5833333333333169E-3</v>
      </c>
      <c r="AD1695" s="231">
        <v>1.3472222222222219E-2</v>
      </c>
      <c r="AE1695" s="132">
        <v>320</v>
      </c>
      <c r="AF1695" s="132">
        <v>179</v>
      </c>
      <c r="AG1695" s="132" t="s">
        <v>34</v>
      </c>
    </row>
    <row r="1696" spans="18:33" x14ac:dyDescent="0.25">
      <c r="R1696">
        <v>1682</v>
      </c>
      <c r="S1696" s="36" t="str">
        <f t="shared" ref="S1696:T1759" si="483">S1695</f>
        <v>BARATA Y MORADA</v>
      </c>
      <c r="T1696" s="36">
        <f t="shared" si="483"/>
        <v>150</v>
      </c>
      <c r="U1696" s="73">
        <v>0.91388888888888886</v>
      </c>
      <c r="V1696" s="74">
        <v>0.92361111111111116</v>
      </c>
      <c r="W1696" s="75">
        <v>9.7222222222222987E-3</v>
      </c>
      <c r="X1696" s="74">
        <v>0.92499999999999993</v>
      </c>
      <c r="Y1696" s="75">
        <v>1.3888888888887729E-3</v>
      </c>
      <c r="Z1696" s="76">
        <v>41749</v>
      </c>
      <c r="AA1696" s="36" t="str">
        <f t="shared" ref="AA1696:AG1699" si="484">AA1695</f>
        <v>Nacional</v>
      </c>
      <c r="AB1696" s="36">
        <f t="shared" si="484"/>
        <v>8.888888888888901E-3</v>
      </c>
      <c r="AC1696" s="36">
        <f t="shared" si="484"/>
        <v>4.5833333333333169E-3</v>
      </c>
      <c r="AD1696" s="36">
        <f t="shared" si="484"/>
        <v>1.3472222222222219E-2</v>
      </c>
      <c r="AE1696" s="36">
        <f t="shared" si="484"/>
        <v>320</v>
      </c>
      <c r="AF1696" s="36">
        <f t="shared" si="484"/>
        <v>179</v>
      </c>
      <c r="AG1696" s="36" t="str">
        <f t="shared" si="484"/>
        <v>TIJ</v>
      </c>
    </row>
    <row r="1697" spans="18:33" x14ac:dyDescent="0.25">
      <c r="R1697">
        <v>1683</v>
      </c>
      <c r="S1697" s="36" t="str">
        <f t="shared" si="483"/>
        <v>BARATA Y MORADA</v>
      </c>
      <c r="T1697" s="36">
        <f t="shared" si="483"/>
        <v>150</v>
      </c>
      <c r="U1697" s="73">
        <v>0.90347222222222223</v>
      </c>
      <c r="V1697" s="74">
        <v>0.91319444444444453</v>
      </c>
      <c r="W1697" s="75">
        <v>9.7222222222222987E-3</v>
      </c>
      <c r="X1697" s="74">
        <v>0.9159722222222223</v>
      </c>
      <c r="Y1697" s="75">
        <v>2.7777777777777679E-3</v>
      </c>
      <c r="Z1697" s="76">
        <v>41755</v>
      </c>
      <c r="AA1697" s="36" t="str">
        <f t="shared" si="484"/>
        <v>Nacional</v>
      </c>
      <c r="AB1697" s="36">
        <f t="shared" si="484"/>
        <v>8.888888888888901E-3</v>
      </c>
      <c r="AC1697" s="36">
        <f t="shared" si="484"/>
        <v>4.5833333333333169E-3</v>
      </c>
      <c r="AD1697" s="36">
        <f t="shared" si="484"/>
        <v>1.3472222222222219E-2</v>
      </c>
      <c r="AE1697" s="36">
        <f t="shared" si="484"/>
        <v>320</v>
      </c>
      <c r="AF1697" s="36">
        <f t="shared" si="484"/>
        <v>179</v>
      </c>
      <c r="AG1697" s="36" t="str">
        <f t="shared" si="484"/>
        <v>TIJ</v>
      </c>
    </row>
    <row r="1698" spans="18:33" x14ac:dyDescent="0.25">
      <c r="R1698">
        <v>1684</v>
      </c>
      <c r="S1698" s="36" t="str">
        <f t="shared" si="483"/>
        <v>BARATA Y MORADA</v>
      </c>
      <c r="T1698" s="36">
        <f t="shared" si="483"/>
        <v>150</v>
      </c>
      <c r="U1698" s="73">
        <v>0.90277777777777779</v>
      </c>
      <c r="V1698" s="74">
        <v>0.9145833333333333</v>
      </c>
      <c r="W1698" s="75">
        <v>1.1805555555555514E-2</v>
      </c>
      <c r="X1698" s="74">
        <v>0.92708333333333337</v>
      </c>
      <c r="Y1698" s="75">
        <v>1.2500000000000067E-2</v>
      </c>
      <c r="Z1698" s="76">
        <v>41759</v>
      </c>
      <c r="AA1698" s="36" t="str">
        <f t="shared" si="484"/>
        <v>Nacional</v>
      </c>
      <c r="AB1698" s="36">
        <f t="shared" si="484"/>
        <v>8.888888888888901E-3</v>
      </c>
      <c r="AC1698" s="36">
        <f t="shared" si="484"/>
        <v>4.5833333333333169E-3</v>
      </c>
      <c r="AD1698" s="36">
        <f t="shared" si="484"/>
        <v>1.3472222222222219E-2</v>
      </c>
      <c r="AE1698" s="36">
        <f t="shared" si="484"/>
        <v>320</v>
      </c>
      <c r="AF1698" s="36">
        <f t="shared" si="484"/>
        <v>179</v>
      </c>
      <c r="AG1698" s="36" t="str">
        <f t="shared" si="484"/>
        <v>TIJ</v>
      </c>
    </row>
    <row r="1699" spans="18:33" ht="15.75" thickBot="1" x14ac:dyDescent="0.3">
      <c r="R1699">
        <v>1685</v>
      </c>
      <c r="S1699" s="36" t="str">
        <f t="shared" si="483"/>
        <v>BARATA Y MORADA</v>
      </c>
      <c r="T1699" s="36">
        <f t="shared" si="483"/>
        <v>150</v>
      </c>
      <c r="U1699" s="83">
        <v>0.99652777777777779</v>
      </c>
      <c r="V1699" s="84">
        <v>0.99930555555555556</v>
      </c>
      <c r="W1699" s="85">
        <v>2.7777777777777679E-3</v>
      </c>
      <c r="X1699" s="84">
        <v>1.0034722222222221</v>
      </c>
      <c r="Y1699" s="85">
        <v>4.1666666666665408E-3</v>
      </c>
      <c r="Z1699" s="86">
        <v>41736</v>
      </c>
      <c r="AA1699" s="36" t="str">
        <f t="shared" si="484"/>
        <v>Nacional</v>
      </c>
      <c r="AB1699" s="36">
        <f t="shared" si="484"/>
        <v>8.888888888888901E-3</v>
      </c>
      <c r="AC1699" s="36">
        <f t="shared" si="484"/>
        <v>4.5833333333333169E-3</v>
      </c>
      <c r="AD1699" s="36">
        <f t="shared" si="484"/>
        <v>1.3472222222222219E-2</v>
      </c>
      <c r="AE1699" s="36">
        <f t="shared" si="484"/>
        <v>320</v>
      </c>
      <c r="AF1699" s="36">
        <f t="shared" si="484"/>
        <v>179</v>
      </c>
      <c r="AG1699" s="36" t="str">
        <f t="shared" si="484"/>
        <v>TIJ</v>
      </c>
    </row>
    <row r="1700" spans="18:33" x14ac:dyDescent="0.25">
      <c r="R1700">
        <v>1686</v>
      </c>
      <c r="S1700" s="36" t="str">
        <f t="shared" si="483"/>
        <v>BARATA Y MORADA</v>
      </c>
      <c r="T1700" s="55">
        <v>420</v>
      </c>
      <c r="U1700" s="56">
        <v>0.24305555555555555</v>
      </c>
      <c r="V1700" s="57">
        <v>0.25833333333333336</v>
      </c>
      <c r="W1700" s="58">
        <v>1.5277777777777807E-2</v>
      </c>
      <c r="X1700" s="57">
        <v>0.26597222222222222</v>
      </c>
      <c r="Y1700" s="58">
        <v>7.6388888888888618E-3</v>
      </c>
      <c r="Z1700" s="59">
        <v>41731</v>
      </c>
      <c r="AA1700" s="60" t="s">
        <v>19</v>
      </c>
      <c r="AB1700" s="61">
        <v>1.0990338164251217E-2</v>
      </c>
      <c r="AC1700" s="61">
        <v>1.1171497584541067E-2</v>
      </c>
      <c r="AD1700" s="231">
        <v>2.2161835748792283E-2</v>
      </c>
      <c r="AE1700" s="132">
        <v>320</v>
      </c>
      <c r="AF1700" s="132">
        <v>179</v>
      </c>
      <c r="AG1700" s="132" t="s">
        <v>34</v>
      </c>
    </row>
    <row r="1701" spans="18:33" x14ac:dyDescent="0.25">
      <c r="R1701">
        <v>1687</v>
      </c>
      <c r="S1701" s="36" t="str">
        <f t="shared" si="483"/>
        <v>BARATA Y MORADA</v>
      </c>
      <c r="T1701" s="36">
        <f t="shared" si="483"/>
        <v>420</v>
      </c>
      <c r="U1701" s="73">
        <v>0.22638888888888889</v>
      </c>
      <c r="V1701" s="74">
        <v>0.24236111111111111</v>
      </c>
      <c r="W1701" s="75">
        <v>1.5972222222222221E-2</v>
      </c>
      <c r="X1701" s="74">
        <v>0.25625000000000003</v>
      </c>
      <c r="Y1701" s="75">
        <v>1.3888888888888923E-2</v>
      </c>
      <c r="Z1701" s="76">
        <v>41732</v>
      </c>
      <c r="AA1701" s="36" t="str">
        <f t="shared" ref="AA1701:AG1722" si="485">AA1700</f>
        <v>Nacional</v>
      </c>
      <c r="AB1701" s="36">
        <f t="shared" si="485"/>
        <v>1.0990338164251217E-2</v>
      </c>
      <c r="AC1701" s="36">
        <f t="shared" si="485"/>
        <v>1.1171497584541067E-2</v>
      </c>
      <c r="AD1701" s="36">
        <f t="shared" si="485"/>
        <v>2.2161835748792283E-2</v>
      </c>
      <c r="AE1701" s="36">
        <f t="shared" si="485"/>
        <v>320</v>
      </c>
      <c r="AF1701" s="36">
        <f t="shared" si="485"/>
        <v>179</v>
      </c>
      <c r="AG1701" s="36" t="str">
        <f t="shared" si="485"/>
        <v>TIJ</v>
      </c>
    </row>
    <row r="1702" spans="18:33" x14ac:dyDescent="0.25">
      <c r="R1702">
        <v>1688</v>
      </c>
      <c r="S1702" s="36" t="str">
        <f t="shared" si="483"/>
        <v>BARATA Y MORADA</v>
      </c>
      <c r="T1702" s="36">
        <f t="shared" si="483"/>
        <v>420</v>
      </c>
      <c r="U1702" s="73">
        <v>0.23194444444444443</v>
      </c>
      <c r="V1702" s="74">
        <v>0.24097222222222223</v>
      </c>
      <c r="W1702" s="75">
        <v>9.0277777777778012E-3</v>
      </c>
      <c r="X1702" s="74">
        <v>0.24930555555555556</v>
      </c>
      <c r="Y1702" s="75">
        <v>8.3333333333333315E-3</v>
      </c>
      <c r="Z1702" s="76">
        <v>41734</v>
      </c>
      <c r="AA1702" s="36" t="str">
        <f t="shared" si="485"/>
        <v>Nacional</v>
      </c>
      <c r="AB1702" s="36">
        <f t="shared" si="485"/>
        <v>1.0990338164251217E-2</v>
      </c>
      <c r="AC1702" s="36">
        <f t="shared" si="485"/>
        <v>1.1171497584541067E-2</v>
      </c>
      <c r="AD1702" s="36">
        <f t="shared" si="485"/>
        <v>2.2161835748792283E-2</v>
      </c>
      <c r="AE1702" s="36">
        <f t="shared" si="485"/>
        <v>320</v>
      </c>
      <c r="AF1702" s="36">
        <f t="shared" si="485"/>
        <v>179</v>
      </c>
      <c r="AG1702" s="36" t="str">
        <f t="shared" si="485"/>
        <v>TIJ</v>
      </c>
    </row>
    <row r="1703" spans="18:33" x14ac:dyDescent="0.25">
      <c r="R1703">
        <v>1689</v>
      </c>
      <c r="S1703" s="36" t="str">
        <f t="shared" si="483"/>
        <v>BARATA Y MORADA</v>
      </c>
      <c r="T1703" s="36">
        <f t="shared" si="483"/>
        <v>420</v>
      </c>
      <c r="U1703" s="73">
        <v>0.22638888888888889</v>
      </c>
      <c r="V1703" s="74">
        <v>0.24305555555555555</v>
      </c>
      <c r="W1703" s="75">
        <v>1.6666666666666663E-2</v>
      </c>
      <c r="X1703" s="74">
        <v>0.24444444444444446</v>
      </c>
      <c r="Y1703" s="75">
        <v>1.3888888888889117E-3</v>
      </c>
      <c r="Z1703" s="76">
        <v>41735</v>
      </c>
      <c r="AA1703" s="36" t="str">
        <f t="shared" si="485"/>
        <v>Nacional</v>
      </c>
      <c r="AB1703" s="36">
        <f t="shared" si="485"/>
        <v>1.0990338164251217E-2</v>
      </c>
      <c r="AC1703" s="36">
        <f t="shared" si="485"/>
        <v>1.1171497584541067E-2</v>
      </c>
      <c r="AD1703" s="36">
        <f t="shared" si="485"/>
        <v>2.2161835748792283E-2</v>
      </c>
      <c r="AE1703" s="36">
        <f t="shared" si="485"/>
        <v>320</v>
      </c>
      <c r="AF1703" s="36">
        <f t="shared" si="485"/>
        <v>179</v>
      </c>
      <c r="AG1703" s="36" t="str">
        <f t="shared" si="485"/>
        <v>TIJ</v>
      </c>
    </row>
    <row r="1704" spans="18:33" x14ac:dyDescent="0.25">
      <c r="R1704">
        <v>1690</v>
      </c>
      <c r="S1704" s="36" t="str">
        <f t="shared" si="483"/>
        <v>BARATA Y MORADA</v>
      </c>
      <c r="T1704" s="36">
        <f t="shared" si="483"/>
        <v>420</v>
      </c>
      <c r="U1704" s="73">
        <v>0.23541666666666669</v>
      </c>
      <c r="V1704" s="74">
        <v>0.24652777777777779</v>
      </c>
      <c r="W1704" s="75">
        <v>1.1111111111111099E-2</v>
      </c>
      <c r="X1704" s="74">
        <v>0.25138888888888888</v>
      </c>
      <c r="Y1704" s="75">
        <v>4.8611111111110938E-3</v>
      </c>
      <c r="Z1704" s="76">
        <v>41736</v>
      </c>
      <c r="AA1704" s="36" t="str">
        <f t="shared" si="485"/>
        <v>Nacional</v>
      </c>
      <c r="AB1704" s="36">
        <f t="shared" si="485"/>
        <v>1.0990338164251217E-2</v>
      </c>
      <c r="AC1704" s="36">
        <f t="shared" si="485"/>
        <v>1.1171497584541067E-2</v>
      </c>
      <c r="AD1704" s="36">
        <f t="shared" si="485"/>
        <v>2.2161835748792283E-2</v>
      </c>
      <c r="AE1704" s="36">
        <f t="shared" si="485"/>
        <v>320</v>
      </c>
      <c r="AF1704" s="36">
        <f t="shared" si="485"/>
        <v>179</v>
      </c>
      <c r="AG1704" s="36" t="str">
        <f t="shared" si="485"/>
        <v>TIJ</v>
      </c>
    </row>
    <row r="1705" spans="18:33" x14ac:dyDescent="0.25">
      <c r="R1705">
        <v>1691</v>
      </c>
      <c r="S1705" s="36" t="str">
        <f t="shared" si="483"/>
        <v>BARATA Y MORADA</v>
      </c>
      <c r="T1705" s="36">
        <f t="shared" si="483"/>
        <v>420</v>
      </c>
      <c r="U1705" s="73">
        <v>0.23819444444444446</v>
      </c>
      <c r="V1705" s="74">
        <v>0.24722222222222223</v>
      </c>
      <c r="W1705" s="75">
        <v>9.0277777777777735E-3</v>
      </c>
      <c r="X1705" s="74">
        <v>0.2638888888888889</v>
      </c>
      <c r="Y1705" s="75">
        <v>1.6666666666666663E-2</v>
      </c>
      <c r="Z1705" s="76">
        <v>41736</v>
      </c>
      <c r="AA1705" s="36" t="str">
        <f t="shared" si="485"/>
        <v>Nacional</v>
      </c>
      <c r="AB1705" s="36">
        <f t="shared" si="485"/>
        <v>1.0990338164251217E-2</v>
      </c>
      <c r="AC1705" s="36">
        <f t="shared" si="485"/>
        <v>1.1171497584541067E-2</v>
      </c>
      <c r="AD1705" s="36">
        <f t="shared" si="485"/>
        <v>2.2161835748792283E-2</v>
      </c>
      <c r="AE1705" s="36">
        <f t="shared" si="485"/>
        <v>320</v>
      </c>
      <c r="AF1705" s="36">
        <f t="shared" si="485"/>
        <v>179</v>
      </c>
      <c r="AG1705" s="36" t="str">
        <f t="shared" si="485"/>
        <v>TIJ</v>
      </c>
    </row>
    <row r="1706" spans="18:33" x14ac:dyDescent="0.25">
      <c r="R1706">
        <v>1692</v>
      </c>
      <c r="S1706" s="36" t="str">
        <f t="shared" si="483"/>
        <v>BARATA Y MORADA</v>
      </c>
      <c r="T1706" s="36">
        <f t="shared" si="483"/>
        <v>420</v>
      </c>
      <c r="U1706" s="73">
        <v>0.22500000000000001</v>
      </c>
      <c r="V1706" s="74">
        <v>0.23124999999999998</v>
      </c>
      <c r="W1706" s="75">
        <v>6.2499999999999778E-3</v>
      </c>
      <c r="X1706" s="74">
        <v>0.24236111111111111</v>
      </c>
      <c r="Y1706" s="75">
        <v>1.1111111111111127E-2</v>
      </c>
      <c r="Z1706" s="76">
        <v>41738</v>
      </c>
      <c r="AA1706" s="36" t="str">
        <f t="shared" si="485"/>
        <v>Nacional</v>
      </c>
      <c r="AB1706" s="36">
        <f t="shared" si="485"/>
        <v>1.0990338164251217E-2</v>
      </c>
      <c r="AC1706" s="36">
        <f t="shared" si="485"/>
        <v>1.1171497584541067E-2</v>
      </c>
      <c r="AD1706" s="36">
        <f t="shared" si="485"/>
        <v>2.2161835748792283E-2</v>
      </c>
      <c r="AE1706" s="36">
        <f t="shared" si="485"/>
        <v>320</v>
      </c>
      <c r="AF1706" s="36">
        <f t="shared" si="485"/>
        <v>179</v>
      </c>
      <c r="AG1706" s="36" t="str">
        <f t="shared" si="485"/>
        <v>TIJ</v>
      </c>
    </row>
    <row r="1707" spans="18:33" x14ac:dyDescent="0.25">
      <c r="R1707">
        <v>1693</v>
      </c>
      <c r="S1707" s="36" t="str">
        <f t="shared" si="483"/>
        <v>BARATA Y MORADA</v>
      </c>
      <c r="T1707" s="36">
        <f t="shared" si="483"/>
        <v>420</v>
      </c>
      <c r="U1707" s="73">
        <v>0.22152777777777777</v>
      </c>
      <c r="V1707" s="74">
        <v>0.23263888888888887</v>
      </c>
      <c r="W1707" s="75">
        <v>1.1111111111111099E-2</v>
      </c>
      <c r="X1707" s="74">
        <v>0.24583333333333335</v>
      </c>
      <c r="Y1707" s="75">
        <v>1.3194444444444481E-2</v>
      </c>
      <c r="Z1707" s="76">
        <v>41739</v>
      </c>
      <c r="AA1707" s="36" t="str">
        <f t="shared" si="485"/>
        <v>Nacional</v>
      </c>
      <c r="AB1707" s="36">
        <f t="shared" si="485"/>
        <v>1.0990338164251217E-2</v>
      </c>
      <c r="AC1707" s="36">
        <f t="shared" si="485"/>
        <v>1.1171497584541067E-2</v>
      </c>
      <c r="AD1707" s="36">
        <f t="shared" si="485"/>
        <v>2.2161835748792283E-2</v>
      </c>
      <c r="AE1707" s="36">
        <f t="shared" si="485"/>
        <v>320</v>
      </c>
      <c r="AF1707" s="36">
        <f t="shared" si="485"/>
        <v>179</v>
      </c>
      <c r="AG1707" s="36" t="str">
        <f t="shared" si="485"/>
        <v>TIJ</v>
      </c>
    </row>
    <row r="1708" spans="18:33" x14ac:dyDescent="0.25">
      <c r="R1708">
        <v>1694</v>
      </c>
      <c r="S1708" s="36" t="str">
        <f t="shared" si="483"/>
        <v>BARATA Y MORADA</v>
      </c>
      <c r="T1708" s="36">
        <f t="shared" si="483"/>
        <v>420</v>
      </c>
      <c r="U1708" s="73">
        <v>0.23055555555555554</v>
      </c>
      <c r="V1708" s="74">
        <v>0.23819444444444446</v>
      </c>
      <c r="W1708" s="75">
        <v>7.6388888888889173E-3</v>
      </c>
      <c r="X1708" s="74">
        <v>0.25069444444444444</v>
      </c>
      <c r="Y1708" s="75">
        <v>1.2499999999999983E-2</v>
      </c>
      <c r="Z1708" s="76">
        <v>41740</v>
      </c>
      <c r="AA1708" s="36" t="str">
        <f t="shared" si="485"/>
        <v>Nacional</v>
      </c>
      <c r="AB1708" s="36">
        <f t="shared" si="485"/>
        <v>1.0990338164251217E-2</v>
      </c>
      <c r="AC1708" s="36">
        <f t="shared" si="485"/>
        <v>1.1171497584541067E-2</v>
      </c>
      <c r="AD1708" s="36">
        <f t="shared" si="485"/>
        <v>2.2161835748792283E-2</v>
      </c>
      <c r="AE1708" s="36">
        <f t="shared" si="485"/>
        <v>320</v>
      </c>
      <c r="AF1708" s="36">
        <f t="shared" si="485"/>
        <v>179</v>
      </c>
      <c r="AG1708" s="36" t="str">
        <f t="shared" si="485"/>
        <v>TIJ</v>
      </c>
    </row>
    <row r="1709" spans="18:33" x14ac:dyDescent="0.25">
      <c r="R1709">
        <v>1695</v>
      </c>
      <c r="S1709" s="36" t="str">
        <f t="shared" si="483"/>
        <v>BARATA Y MORADA</v>
      </c>
      <c r="T1709" s="36">
        <f t="shared" si="483"/>
        <v>420</v>
      </c>
      <c r="U1709" s="73">
        <v>0.6694444444444444</v>
      </c>
      <c r="V1709" s="74">
        <v>0.67499999999999993</v>
      </c>
      <c r="W1709" s="75">
        <v>5.5555555555555358E-3</v>
      </c>
      <c r="X1709" s="74">
        <v>0.68194444444444446</v>
      </c>
      <c r="Y1709" s="75">
        <v>6.9444444444445308E-3</v>
      </c>
      <c r="Z1709" s="76">
        <v>41741</v>
      </c>
      <c r="AA1709" s="36" t="str">
        <f t="shared" si="485"/>
        <v>Nacional</v>
      </c>
      <c r="AB1709" s="36">
        <f t="shared" si="485"/>
        <v>1.0990338164251217E-2</v>
      </c>
      <c r="AC1709" s="36">
        <f t="shared" si="485"/>
        <v>1.1171497584541067E-2</v>
      </c>
      <c r="AD1709" s="36">
        <f t="shared" si="485"/>
        <v>2.2161835748792283E-2</v>
      </c>
      <c r="AE1709" s="36">
        <f t="shared" si="485"/>
        <v>320</v>
      </c>
      <c r="AF1709" s="36">
        <f t="shared" si="485"/>
        <v>179</v>
      </c>
      <c r="AG1709" s="36" t="str">
        <f t="shared" si="485"/>
        <v>TIJ</v>
      </c>
    </row>
    <row r="1710" spans="18:33" x14ac:dyDescent="0.25">
      <c r="R1710">
        <v>1696</v>
      </c>
      <c r="S1710" s="36" t="str">
        <f t="shared" si="483"/>
        <v>BARATA Y MORADA</v>
      </c>
      <c r="T1710" s="36">
        <f t="shared" si="483"/>
        <v>420</v>
      </c>
      <c r="U1710" s="73">
        <v>0.22569444444444445</v>
      </c>
      <c r="V1710" s="74">
        <v>0.24027777777777778</v>
      </c>
      <c r="W1710" s="75">
        <v>1.4583333333333337E-2</v>
      </c>
      <c r="X1710" s="74">
        <v>0.24791666666666667</v>
      </c>
      <c r="Y1710" s="75">
        <v>7.6388888888888895E-3</v>
      </c>
      <c r="Z1710" s="76">
        <v>41743</v>
      </c>
      <c r="AA1710" s="36" t="str">
        <f t="shared" si="485"/>
        <v>Nacional</v>
      </c>
      <c r="AB1710" s="36">
        <f t="shared" si="485"/>
        <v>1.0990338164251217E-2</v>
      </c>
      <c r="AC1710" s="36">
        <f t="shared" si="485"/>
        <v>1.1171497584541067E-2</v>
      </c>
      <c r="AD1710" s="36">
        <f t="shared" si="485"/>
        <v>2.2161835748792283E-2</v>
      </c>
      <c r="AE1710" s="36">
        <f t="shared" si="485"/>
        <v>320</v>
      </c>
      <c r="AF1710" s="36">
        <f t="shared" si="485"/>
        <v>179</v>
      </c>
      <c r="AG1710" s="36" t="str">
        <f t="shared" si="485"/>
        <v>TIJ</v>
      </c>
    </row>
    <row r="1711" spans="18:33" x14ac:dyDescent="0.25">
      <c r="R1711">
        <v>1697</v>
      </c>
      <c r="S1711" s="36" t="str">
        <f t="shared" si="483"/>
        <v>BARATA Y MORADA</v>
      </c>
      <c r="T1711" s="36">
        <f t="shared" si="483"/>
        <v>420</v>
      </c>
      <c r="U1711" s="73">
        <v>0.22916666666666666</v>
      </c>
      <c r="V1711" s="74">
        <v>0.23611111111111113</v>
      </c>
      <c r="W1711" s="75">
        <v>6.9444444444444753E-3</v>
      </c>
      <c r="X1711" s="74">
        <v>0.24930555555555556</v>
      </c>
      <c r="Y1711" s="75">
        <v>1.3194444444444425E-2</v>
      </c>
      <c r="Z1711" s="76">
        <v>41745</v>
      </c>
      <c r="AA1711" s="36" t="str">
        <f t="shared" si="485"/>
        <v>Nacional</v>
      </c>
      <c r="AB1711" s="36">
        <f t="shared" si="485"/>
        <v>1.0990338164251217E-2</v>
      </c>
      <c r="AC1711" s="36">
        <f t="shared" si="485"/>
        <v>1.1171497584541067E-2</v>
      </c>
      <c r="AD1711" s="36">
        <f t="shared" si="485"/>
        <v>2.2161835748792283E-2</v>
      </c>
      <c r="AE1711" s="36">
        <f t="shared" si="485"/>
        <v>320</v>
      </c>
      <c r="AF1711" s="36">
        <f t="shared" si="485"/>
        <v>179</v>
      </c>
      <c r="AG1711" s="36" t="str">
        <f t="shared" si="485"/>
        <v>TIJ</v>
      </c>
    </row>
    <row r="1712" spans="18:33" x14ac:dyDescent="0.25">
      <c r="R1712">
        <v>1698</v>
      </c>
      <c r="S1712" s="36" t="str">
        <f t="shared" si="483"/>
        <v>BARATA Y MORADA</v>
      </c>
      <c r="T1712" s="36">
        <f t="shared" si="483"/>
        <v>420</v>
      </c>
      <c r="U1712" s="73">
        <v>0.22291666666666665</v>
      </c>
      <c r="V1712" s="74">
        <v>0.23402777777777781</v>
      </c>
      <c r="W1712" s="75">
        <v>1.1111111111111155E-2</v>
      </c>
      <c r="X1712" s="74">
        <v>0.24583333333333335</v>
      </c>
      <c r="Y1712" s="75">
        <v>1.1805555555555541E-2</v>
      </c>
      <c r="Z1712" s="76">
        <v>41744</v>
      </c>
      <c r="AA1712" s="36" t="str">
        <f t="shared" si="485"/>
        <v>Nacional</v>
      </c>
      <c r="AB1712" s="36">
        <f t="shared" si="485"/>
        <v>1.0990338164251217E-2</v>
      </c>
      <c r="AC1712" s="36">
        <f t="shared" si="485"/>
        <v>1.1171497584541067E-2</v>
      </c>
      <c r="AD1712" s="36">
        <f t="shared" si="485"/>
        <v>2.2161835748792283E-2</v>
      </c>
      <c r="AE1712" s="36">
        <f t="shared" si="485"/>
        <v>320</v>
      </c>
      <c r="AF1712" s="36">
        <f t="shared" si="485"/>
        <v>179</v>
      </c>
      <c r="AG1712" s="36" t="str">
        <f t="shared" si="485"/>
        <v>TIJ</v>
      </c>
    </row>
    <row r="1713" spans="18:33" x14ac:dyDescent="0.25">
      <c r="R1713">
        <v>1699</v>
      </c>
      <c r="S1713" s="36" t="str">
        <f t="shared" si="483"/>
        <v>BARATA Y MORADA</v>
      </c>
      <c r="T1713" s="36">
        <f t="shared" si="483"/>
        <v>420</v>
      </c>
      <c r="U1713" s="73">
        <v>0.22847222222222222</v>
      </c>
      <c r="V1713" s="74">
        <v>0.23750000000000002</v>
      </c>
      <c r="W1713" s="75">
        <v>9.0277777777778012E-3</v>
      </c>
      <c r="X1713" s="74">
        <v>0.24444444444444446</v>
      </c>
      <c r="Y1713" s="75">
        <v>6.9444444444444475E-3</v>
      </c>
      <c r="Z1713" s="76">
        <v>41746</v>
      </c>
      <c r="AA1713" s="36" t="str">
        <f t="shared" si="485"/>
        <v>Nacional</v>
      </c>
      <c r="AB1713" s="36">
        <f t="shared" si="485"/>
        <v>1.0990338164251217E-2</v>
      </c>
      <c r="AC1713" s="36">
        <f t="shared" si="485"/>
        <v>1.1171497584541067E-2</v>
      </c>
      <c r="AD1713" s="36">
        <f t="shared" si="485"/>
        <v>2.2161835748792283E-2</v>
      </c>
      <c r="AE1713" s="36">
        <f t="shared" si="485"/>
        <v>320</v>
      </c>
      <c r="AF1713" s="36">
        <f t="shared" si="485"/>
        <v>179</v>
      </c>
      <c r="AG1713" s="36" t="str">
        <f t="shared" si="485"/>
        <v>TIJ</v>
      </c>
    </row>
    <row r="1714" spans="18:33" x14ac:dyDescent="0.25">
      <c r="R1714">
        <v>1700</v>
      </c>
      <c r="S1714" s="36" t="str">
        <f t="shared" si="483"/>
        <v>BARATA Y MORADA</v>
      </c>
      <c r="T1714" s="36">
        <f t="shared" si="483"/>
        <v>420</v>
      </c>
      <c r="U1714" s="73">
        <v>0.25</v>
      </c>
      <c r="V1714" s="74">
        <v>0.26250000000000001</v>
      </c>
      <c r="W1714" s="75">
        <v>1.2500000000000011E-2</v>
      </c>
      <c r="X1714" s="74">
        <v>0.2638888888888889</v>
      </c>
      <c r="Y1714" s="75">
        <v>1.388888888888884E-3</v>
      </c>
      <c r="Z1714" s="76">
        <v>41747</v>
      </c>
      <c r="AA1714" s="36" t="str">
        <f t="shared" si="485"/>
        <v>Nacional</v>
      </c>
      <c r="AB1714" s="36">
        <f t="shared" si="485"/>
        <v>1.0990338164251217E-2</v>
      </c>
      <c r="AC1714" s="36">
        <f t="shared" si="485"/>
        <v>1.1171497584541067E-2</v>
      </c>
      <c r="AD1714" s="36">
        <f t="shared" si="485"/>
        <v>2.2161835748792283E-2</v>
      </c>
      <c r="AE1714" s="36">
        <f t="shared" si="485"/>
        <v>320</v>
      </c>
      <c r="AF1714" s="36">
        <f t="shared" si="485"/>
        <v>179</v>
      </c>
      <c r="AG1714" s="36" t="str">
        <f t="shared" si="485"/>
        <v>TIJ</v>
      </c>
    </row>
    <row r="1715" spans="18:33" x14ac:dyDescent="0.25">
      <c r="R1715">
        <v>1701</v>
      </c>
      <c r="S1715" s="36" t="str">
        <f t="shared" si="483"/>
        <v>BARATA Y MORADA</v>
      </c>
      <c r="T1715" s="36">
        <f t="shared" si="483"/>
        <v>420</v>
      </c>
      <c r="U1715" s="73">
        <v>0.22708333333333333</v>
      </c>
      <c r="V1715" s="74">
        <v>0.23611111111111113</v>
      </c>
      <c r="W1715" s="75">
        <v>9.0277777777778012E-3</v>
      </c>
      <c r="X1715" s="74">
        <v>0.24861111111111112</v>
      </c>
      <c r="Y1715" s="75">
        <v>1.2499999999999983E-2</v>
      </c>
      <c r="Z1715" s="76">
        <v>41749</v>
      </c>
      <c r="AA1715" s="36" t="str">
        <f t="shared" si="485"/>
        <v>Nacional</v>
      </c>
      <c r="AB1715" s="36">
        <f t="shared" si="485"/>
        <v>1.0990338164251217E-2</v>
      </c>
      <c r="AC1715" s="36">
        <f t="shared" si="485"/>
        <v>1.1171497584541067E-2</v>
      </c>
      <c r="AD1715" s="36">
        <f t="shared" si="485"/>
        <v>2.2161835748792283E-2</v>
      </c>
      <c r="AE1715" s="36">
        <f t="shared" si="485"/>
        <v>320</v>
      </c>
      <c r="AF1715" s="36">
        <f t="shared" si="485"/>
        <v>179</v>
      </c>
      <c r="AG1715" s="36" t="str">
        <f t="shared" si="485"/>
        <v>TIJ</v>
      </c>
    </row>
    <row r="1716" spans="18:33" x14ac:dyDescent="0.25">
      <c r="R1716">
        <v>1702</v>
      </c>
      <c r="S1716" s="36" t="str">
        <f t="shared" si="483"/>
        <v>BARATA Y MORADA</v>
      </c>
      <c r="T1716" s="36">
        <f t="shared" si="483"/>
        <v>420</v>
      </c>
      <c r="U1716" s="73">
        <v>0.22916666666666666</v>
      </c>
      <c r="V1716" s="74">
        <v>0.24305555555555555</v>
      </c>
      <c r="W1716" s="75">
        <v>1.3888888888888895E-2</v>
      </c>
      <c r="X1716" s="74">
        <v>0.25625000000000003</v>
      </c>
      <c r="Y1716" s="75">
        <v>1.3194444444444481E-2</v>
      </c>
      <c r="Z1716" s="76">
        <v>41749</v>
      </c>
      <c r="AA1716" s="36" t="str">
        <f t="shared" si="485"/>
        <v>Nacional</v>
      </c>
      <c r="AB1716" s="36">
        <f t="shared" si="485"/>
        <v>1.0990338164251217E-2</v>
      </c>
      <c r="AC1716" s="36">
        <f t="shared" si="485"/>
        <v>1.1171497584541067E-2</v>
      </c>
      <c r="AD1716" s="36">
        <f t="shared" si="485"/>
        <v>2.2161835748792283E-2</v>
      </c>
      <c r="AE1716" s="36">
        <f t="shared" si="485"/>
        <v>320</v>
      </c>
      <c r="AF1716" s="36">
        <f t="shared" si="485"/>
        <v>179</v>
      </c>
      <c r="AG1716" s="36" t="str">
        <f t="shared" si="485"/>
        <v>TIJ</v>
      </c>
    </row>
    <row r="1717" spans="18:33" x14ac:dyDescent="0.25">
      <c r="R1717">
        <v>1703</v>
      </c>
      <c r="S1717" s="36" t="str">
        <f t="shared" si="483"/>
        <v>BARATA Y MORADA</v>
      </c>
      <c r="T1717" s="36">
        <f t="shared" si="483"/>
        <v>420</v>
      </c>
      <c r="U1717" s="73">
        <v>0.24166666666666667</v>
      </c>
      <c r="V1717" s="74">
        <v>0.24791666666666667</v>
      </c>
      <c r="W1717" s="75">
        <v>6.2500000000000056E-3</v>
      </c>
      <c r="X1717" s="74">
        <v>0.26527777777777778</v>
      </c>
      <c r="Y1717" s="75">
        <v>1.7361111111111105E-2</v>
      </c>
      <c r="Z1717" s="76">
        <v>41751</v>
      </c>
      <c r="AA1717" s="36" t="str">
        <f t="shared" si="485"/>
        <v>Nacional</v>
      </c>
      <c r="AB1717" s="36">
        <f t="shared" si="485"/>
        <v>1.0990338164251217E-2</v>
      </c>
      <c r="AC1717" s="36">
        <f t="shared" si="485"/>
        <v>1.1171497584541067E-2</v>
      </c>
      <c r="AD1717" s="36">
        <f t="shared" si="485"/>
        <v>2.2161835748792283E-2</v>
      </c>
      <c r="AE1717" s="36">
        <f t="shared" si="485"/>
        <v>320</v>
      </c>
      <c r="AF1717" s="36">
        <f t="shared" si="485"/>
        <v>179</v>
      </c>
      <c r="AG1717" s="36" t="str">
        <f t="shared" si="485"/>
        <v>TIJ</v>
      </c>
    </row>
    <row r="1718" spans="18:33" x14ac:dyDescent="0.25">
      <c r="R1718">
        <v>1704</v>
      </c>
      <c r="S1718" s="36" t="str">
        <f t="shared" si="483"/>
        <v>BARATA Y MORADA</v>
      </c>
      <c r="T1718" s="36">
        <f t="shared" si="483"/>
        <v>420</v>
      </c>
      <c r="U1718" s="73">
        <v>0.23611111111111113</v>
      </c>
      <c r="V1718" s="74">
        <v>0.25625000000000003</v>
      </c>
      <c r="W1718" s="75">
        <v>2.0138888888888901E-2</v>
      </c>
      <c r="X1718" s="74">
        <v>0.28055555555555556</v>
      </c>
      <c r="Y1718" s="75">
        <v>2.4305555555555525E-2</v>
      </c>
      <c r="Z1718" s="76">
        <v>41753</v>
      </c>
      <c r="AA1718" s="36" t="str">
        <f t="shared" si="485"/>
        <v>Nacional</v>
      </c>
      <c r="AB1718" s="36">
        <f t="shared" si="485"/>
        <v>1.0990338164251217E-2</v>
      </c>
      <c r="AC1718" s="36">
        <f t="shared" si="485"/>
        <v>1.1171497584541067E-2</v>
      </c>
      <c r="AD1718" s="36">
        <f t="shared" si="485"/>
        <v>2.2161835748792283E-2</v>
      </c>
      <c r="AE1718" s="36">
        <f t="shared" si="485"/>
        <v>320</v>
      </c>
      <c r="AF1718" s="36">
        <f t="shared" si="485"/>
        <v>179</v>
      </c>
      <c r="AG1718" s="36" t="str">
        <f t="shared" si="485"/>
        <v>TIJ</v>
      </c>
    </row>
    <row r="1719" spans="18:33" x14ac:dyDescent="0.25">
      <c r="R1719">
        <v>1705</v>
      </c>
      <c r="S1719" s="36" t="str">
        <f t="shared" si="483"/>
        <v>BARATA Y MORADA</v>
      </c>
      <c r="T1719" s="36">
        <f t="shared" si="483"/>
        <v>420</v>
      </c>
      <c r="U1719" s="73">
        <v>0.23124999999999998</v>
      </c>
      <c r="V1719" s="74">
        <v>0.23958333333333334</v>
      </c>
      <c r="W1719" s="75">
        <v>8.3333333333333592E-3</v>
      </c>
      <c r="X1719" s="74">
        <v>0.25833333333333336</v>
      </c>
      <c r="Y1719" s="75">
        <v>1.8750000000000017E-2</v>
      </c>
      <c r="Z1719" s="76">
        <v>41755</v>
      </c>
      <c r="AA1719" s="36" t="str">
        <f t="shared" si="485"/>
        <v>Nacional</v>
      </c>
      <c r="AB1719" s="36">
        <f t="shared" si="485"/>
        <v>1.0990338164251217E-2</v>
      </c>
      <c r="AC1719" s="36">
        <f t="shared" si="485"/>
        <v>1.1171497584541067E-2</v>
      </c>
      <c r="AD1719" s="36">
        <f t="shared" si="485"/>
        <v>2.2161835748792283E-2</v>
      </c>
      <c r="AE1719" s="36">
        <f t="shared" si="485"/>
        <v>320</v>
      </c>
      <c r="AF1719" s="36">
        <f t="shared" si="485"/>
        <v>179</v>
      </c>
      <c r="AG1719" s="36" t="str">
        <f t="shared" si="485"/>
        <v>TIJ</v>
      </c>
    </row>
    <row r="1720" spans="18:33" x14ac:dyDescent="0.25">
      <c r="R1720">
        <v>1706</v>
      </c>
      <c r="S1720" s="36" t="str">
        <f t="shared" si="483"/>
        <v>BARATA Y MORADA</v>
      </c>
      <c r="T1720" s="36">
        <f t="shared" si="483"/>
        <v>420</v>
      </c>
      <c r="U1720" s="73">
        <v>0.22916666666666666</v>
      </c>
      <c r="V1720" s="74">
        <v>0.24027777777777778</v>
      </c>
      <c r="W1720" s="75">
        <v>1.1111111111111127E-2</v>
      </c>
      <c r="X1720" s="74">
        <v>0.25416666666666665</v>
      </c>
      <c r="Y1720" s="75">
        <v>1.3888888888888867E-2</v>
      </c>
      <c r="Z1720" s="76">
        <v>41757</v>
      </c>
      <c r="AA1720" s="36" t="str">
        <f t="shared" si="485"/>
        <v>Nacional</v>
      </c>
      <c r="AB1720" s="36">
        <f t="shared" si="485"/>
        <v>1.0990338164251217E-2</v>
      </c>
      <c r="AC1720" s="36">
        <f t="shared" si="485"/>
        <v>1.1171497584541067E-2</v>
      </c>
      <c r="AD1720" s="36">
        <f t="shared" si="485"/>
        <v>2.2161835748792283E-2</v>
      </c>
      <c r="AE1720" s="36">
        <f t="shared" si="485"/>
        <v>320</v>
      </c>
      <c r="AF1720" s="36">
        <f t="shared" si="485"/>
        <v>179</v>
      </c>
      <c r="AG1720" s="36" t="str">
        <f t="shared" si="485"/>
        <v>TIJ</v>
      </c>
    </row>
    <row r="1721" spans="18:33" x14ac:dyDescent="0.25">
      <c r="R1721">
        <v>1707</v>
      </c>
      <c r="S1721" s="36" t="str">
        <f t="shared" si="483"/>
        <v>BARATA Y MORADA</v>
      </c>
      <c r="T1721" s="36">
        <f t="shared" si="483"/>
        <v>420</v>
      </c>
      <c r="U1721" s="73">
        <v>0.23472222222222219</v>
      </c>
      <c r="V1721" s="74">
        <v>0.24305555555555555</v>
      </c>
      <c r="W1721" s="75">
        <v>8.3333333333333592E-3</v>
      </c>
      <c r="X1721" s="74">
        <v>0.25486111111111109</v>
      </c>
      <c r="Y1721" s="75">
        <v>1.1805555555555541E-2</v>
      </c>
      <c r="Z1721" s="76">
        <v>41759</v>
      </c>
      <c r="AA1721" s="36" t="str">
        <f t="shared" si="485"/>
        <v>Nacional</v>
      </c>
      <c r="AB1721" s="36">
        <f t="shared" si="485"/>
        <v>1.0990338164251217E-2</v>
      </c>
      <c r="AC1721" s="36">
        <f t="shared" si="485"/>
        <v>1.1171497584541067E-2</v>
      </c>
      <c r="AD1721" s="36">
        <f t="shared" si="485"/>
        <v>2.2161835748792283E-2</v>
      </c>
      <c r="AE1721" s="36">
        <f t="shared" si="485"/>
        <v>320</v>
      </c>
      <c r="AF1721" s="36">
        <f t="shared" si="485"/>
        <v>179</v>
      </c>
      <c r="AG1721" s="36" t="str">
        <f t="shared" si="485"/>
        <v>TIJ</v>
      </c>
    </row>
    <row r="1722" spans="18:33" ht="15.75" thickBot="1" x14ac:dyDescent="0.3">
      <c r="R1722">
        <v>1708</v>
      </c>
      <c r="S1722" s="36" t="str">
        <f t="shared" si="483"/>
        <v>BARATA Y MORADA</v>
      </c>
      <c r="T1722" s="36">
        <f t="shared" si="483"/>
        <v>420</v>
      </c>
      <c r="U1722" s="83">
        <v>0.2388888888888889</v>
      </c>
      <c r="V1722" s="84">
        <v>0.25277777777777777</v>
      </c>
      <c r="W1722" s="85">
        <v>1.3888888888888867E-2</v>
      </c>
      <c r="X1722" s="84">
        <v>0.26041666666666669</v>
      </c>
      <c r="Y1722" s="85">
        <v>7.6388888888889173E-3</v>
      </c>
      <c r="Z1722" s="86">
        <v>41759</v>
      </c>
      <c r="AA1722" s="36" t="str">
        <f t="shared" si="485"/>
        <v>Nacional</v>
      </c>
      <c r="AB1722" s="36">
        <f t="shared" si="485"/>
        <v>1.0990338164251217E-2</v>
      </c>
      <c r="AC1722" s="36">
        <f t="shared" si="485"/>
        <v>1.1171497584541067E-2</v>
      </c>
      <c r="AD1722" s="36">
        <f t="shared" si="485"/>
        <v>2.2161835748792283E-2</v>
      </c>
      <c r="AE1722" s="36">
        <f t="shared" si="485"/>
        <v>320</v>
      </c>
      <c r="AF1722" s="36">
        <f t="shared" si="485"/>
        <v>179</v>
      </c>
      <c r="AG1722" s="36" t="str">
        <f t="shared" si="485"/>
        <v>TIJ</v>
      </c>
    </row>
    <row r="1723" spans="18:33" x14ac:dyDescent="0.25">
      <c r="R1723">
        <v>1709</v>
      </c>
      <c r="S1723" s="36" t="str">
        <f t="shared" si="483"/>
        <v>BARATA Y MORADA</v>
      </c>
      <c r="T1723" s="55">
        <v>422</v>
      </c>
      <c r="U1723" s="56">
        <v>0.25694444444444448</v>
      </c>
      <c r="V1723" s="57">
        <v>0.26944444444444443</v>
      </c>
      <c r="W1723" s="58">
        <v>1.2499999999999956E-2</v>
      </c>
      <c r="X1723" s="57">
        <v>0.28402777777777777</v>
      </c>
      <c r="Y1723" s="58">
        <v>1.4583333333333337E-2</v>
      </c>
      <c r="Z1723" s="59">
        <v>41730</v>
      </c>
      <c r="AA1723" s="60" t="s">
        <v>19</v>
      </c>
      <c r="AB1723" s="61">
        <v>8.2175925925925819E-3</v>
      </c>
      <c r="AC1723" s="61">
        <v>1.1574074074074093E-2</v>
      </c>
      <c r="AD1723" s="231">
        <v>1.9791666666666673E-2</v>
      </c>
      <c r="AE1723" s="132">
        <v>320</v>
      </c>
      <c r="AF1723" s="132">
        <v>179</v>
      </c>
      <c r="AG1723" s="232" t="s">
        <v>34</v>
      </c>
    </row>
    <row r="1724" spans="18:33" x14ac:dyDescent="0.25">
      <c r="R1724">
        <v>1710</v>
      </c>
      <c r="S1724" s="36" t="str">
        <f t="shared" si="483"/>
        <v>BARATA Y MORADA</v>
      </c>
      <c r="T1724" s="36">
        <f t="shared" si="483"/>
        <v>422</v>
      </c>
      <c r="U1724" s="73">
        <v>0.26458333333333334</v>
      </c>
      <c r="V1724" s="74">
        <v>0.27569444444444446</v>
      </c>
      <c r="W1724" s="75">
        <v>1.1111111111111127E-2</v>
      </c>
      <c r="X1724" s="74">
        <v>0.28194444444444444</v>
      </c>
      <c r="Y1724" s="75">
        <v>6.2499999999999778E-3</v>
      </c>
      <c r="Z1724" s="76">
        <v>41732</v>
      </c>
      <c r="AA1724" s="36" t="str">
        <f t="shared" ref="AA1724:AG1734" si="486">AA1723</f>
        <v>Nacional</v>
      </c>
      <c r="AB1724" s="36">
        <f t="shared" si="486"/>
        <v>8.2175925925925819E-3</v>
      </c>
      <c r="AC1724" s="36">
        <f t="shared" si="486"/>
        <v>1.1574074074074093E-2</v>
      </c>
      <c r="AD1724" s="36">
        <f t="shared" si="486"/>
        <v>1.9791666666666673E-2</v>
      </c>
      <c r="AE1724" s="36">
        <f t="shared" si="486"/>
        <v>320</v>
      </c>
      <c r="AF1724" s="36">
        <f t="shared" si="486"/>
        <v>179</v>
      </c>
      <c r="AG1724" s="36" t="str">
        <f t="shared" si="486"/>
        <v>TIJ</v>
      </c>
    </row>
    <row r="1725" spans="18:33" x14ac:dyDescent="0.25">
      <c r="R1725">
        <v>1711</v>
      </c>
      <c r="S1725" s="36" t="str">
        <f t="shared" si="483"/>
        <v>BARATA Y MORADA</v>
      </c>
      <c r="T1725" s="36">
        <f t="shared" si="483"/>
        <v>422</v>
      </c>
      <c r="U1725" s="73">
        <v>0.26527777777777778</v>
      </c>
      <c r="V1725" s="74">
        <v>0.27083333333333331</v>
      </c>
      <c r="W1725" s="75">
        <v>5.5555555555555358E-3</v>
      </c>
      <c r="X1725" s="74">
        <v>0.28125</v>
      </c>
      <c r="Y1725" s="75">
        <v>1.0416666666666685E-2</v>
      </c>
      <c r="Z1725" s="76">
        <v>41736</v>
      </c>
      <c r="AA1725" s="36" t="str">
        <f t="shared" si="486"/>
        <v>Nacional</v>
      </c>
      <c r="AB1725" s="36">
        <f t="shared" si="486"/>
        <v>8.2175925925925819E-3</v>
      </c>
      <c r="AC1725" s="36">
        <f t="shared" si="486"/>
        <v>1.1574074074074093E-2</v>
      </c>
      <c r="AD1725" s="36">
        <f t="shared" si="486"/>
        <v>1.9791666666666673E-2</v>
      </c>
      <c r="AE1725" s="36">
        <f t="shared" si="486"/>
        <v>320</v>
      </c>
      <c r="AF1725" s="36">
        <f t="shared" si="486"/>
        <v>179</v>
      </c>
      <c r="AG1725" s="36" t="str">
        <f t="shared" si="486"/>
        <v>TIJ</v>
      </c>
    </row>
    <row r="1726" spans="18:33" x14ac:dyDescent="0.25">
      <c r="R1726">
        <v>1712</v>
      </c>
      <c r="S1726" s="36" t="str">
        <f t="shared" si="483"/>
        <v>BARATA Y MORADA</v>
      </c>
      <c r="T1726" s="36">
        <f t="shared" si="483"/>
        <v>422</v>
      </c>
      <c r="U1726" s="73">
        <v>0.26111111111111113</v>
      </c>
      <c r="V1726" s="74">
        <v>0.27499999999999997</v>
      </c>
      <c r="W1726" s="75">
        <v>1.388888888888884E-2</v>
      </c>
      <c r="X1726" s="74">
        <v>0.28819444444444448</v>
      </c>
      <c r="Y1726" s="75">
        <v>1.3194444444444509E-2</v>
      </c>
      <c r="Z1726" s="76">
        <v>41739</v>
      </c>
      <c r="AA1726" s="36" t="str">
        <f t="shared" si="486"/>
        <v>Nacional</v>
      </c>
      <c r="AB1726" s="36">
        <f t="shared" si="486"/>
        <v>8.2175925925925819E-3</v>
      </c>
      <c r="AC1726" s="36">
        <f t="shared" si="486"/>
        <v>1.1574074074074093E-2</v>
      </c>
      <c r="AD1726" s="36">
        <f t="shared" si="486"/>
        <v>1.9791666666666673E-2</v>
      </c>
      <c r="AE1726" s="36">
        <f t="shared" si="486"/>
        <v>320</v>
      </c>
      <c r="AF1726" s="36">
        <f t="shared" si="486"/>
        <v>179</v>
      </c>
      <c r="AG1726" s="36" t="str">
        <f t="shared" si="486"/>
        <v>TIJ</v>
      </c>
    </row>
    <row r="1727" spans="18:33" x14ac:dyDescent="0.25">
      <c r="R1727">
        <v>1713</v>
      </c>
      <c r="S1727" s="36" t="str">
        <f t="shared" si="483"/>
        <v>BARATA Y MORADA</v>
      </c>
      <c r="T1727" s="36">
        <f t="shared" si="483"/>
        <v>422</v>
      </c>
      <c r="U1727" s="73">
        <v>0.27361111111111108</v>
      </c>
      <c r="V1727" s="74">
        <v>0.28194444444444444</v>
      </c>
      <c r="W1727" s="75">
        <v>8.3333333333333592E-3</v>
      </c>
      <c r="X1727" s="74">
        <v>0.29305555555555557</v>
      </c>
      <c r="Y1727" s="75">
        <v>1.1111111111111127E-2</v>
      </c>
      <c r="Z1727" s="76">
        <v>41740</v>
      </c>
      <c r="AA1727" s="36" t="str">
        <f t="shared" si="486"/>
        <v>Nacional</v>
      </c>
      <c r="AB1727" s="36">
        <f t="shared" si="486"/>
        <v>8.2175925925925819E-3</v>
      </c>
      <c r="AC1727" s="36">
        <f t="shared" si="486"/>
        <v>1.1574074074074093E-2</v>
      </c>
      <c r="AD1727" s="36">
        <f t="shared" si="486"/>
        <v>1.9791666666666673E-2</v>
      </c>
      <c r="AE1727" s="36">
        <f t="shared" si="486"/>
        <v>320</v>
      </c>
      <c r="AF1727" s="36">
        <f t="shared" si="486"/>
        <v>179</v>
      </c>
      <c r="AG1727" s="36" t="str">
        <f t="shared" si="486"/>
        <v>TIJ</v>
      </c>
    </row>
    <row r="1728" spans="18:33" x14ac:dyDescent="0.25">
      <c r="R1728">
        <v>1714</v>
      </c>
      <c r="S1728" s="36" t="str">
        <f t="shared" si="483"/>
        <v>BARATA Y MORADA</v>
      </c>
      <c r="T1728" s="36">
        <f t="shared" si="483"/>
        <v>422</v>
      </c>
      <c r="U1728" s="73">
        <v>0.25694444444444448</v>
      </c>
      <c r="V1728" s="74">
        <v>0.26944444444444443</v>
      </c>
      <c r="W1728" s="75">
        <v>1.2499999999999956E-2</v>
      </c>
      <c r="X1728" s="74">
        <v>0.28402777777777777</v>
      </c>
      <c r="Y1728" s="75">
        <v>1.4583333333333337E-2</v>
      </c>
      <c r="Z1728" s="76">
        <v>41742</v>
      </c>
      <c r="AA1728" s="36" t="str">
        <f t="shared" si="486"/>
        <v>Nacional</v>
      </c>
      <c r="AB1728" s="36">
        <f t="shared" si="486"/>
        <v>8.2175925925925819E-3</v>
      </c>
      <c r="AC1728" s="36">
        <f t="shared" si="486"/>
        <v>1.1574074074074093E-2</v>
      </c>
      <c r="AD1728" s="36">
        <f t="shared" si="486"/>
        <v>1.9791666666666673E-2</v>
      </c>
      <c r="AE1728" s="36">
        <f t="shared" si="486"/>
        <v>320</v>
      </c>
      <c r="AF1728" s="36">
        <f t="shared" si="486"/>
        <v>179</v>
      </c>
      <c r="AG1728" s="36" t="str">
        <f t="shared" si="486"/>
        <v>TIJ</v>
      </c>
    </row>
    <row r="1729" spans="18:33" x14ac:dyDescent="0.25">
      <c r="R1729">
        <v>1715</v>
      </c>
      <c r="S1729" s="36" t="str">
        <f t="shared" si="483"/>
        <v>BARATA Y MORADA</v>
      </c>
      <c r="T1729" s="36">
        <f t="shared" si="483"/>
        <v>422</v>
      </c>
      <c r="U1729" s="73">
        <v>0.2673611111111111</v>
      </c>
      <c r="V1729" s="74">
        <v>0.27361111111111108</v>
      </c>
      <c r="W1729" s="75">
        <v>6.2499999999999778E-3</v>
      </c>
      <c r="X1729" s="74">
        <v>0.28958333333333336</v>
      </c>
      <c r="Y1729" s="75">
        <v>1.5972222222222276E-2</v>
      </c>
      <c r="Z1729" s="76">
        <v>41746</v>
      </c>
      <c r="AA1729" s="36" t="str">
        <f t="shared" si="486"/>
        <v>Nacional</v>
      </c>
      <c r="AB1729" s="36">
        <f t="shared" si="486"/>
        <v>8.2175925925925819E-3</v>
      </c>
      <c r="AC1729" s="36">
        <f t="shared" si="486"/>
        <v>1.1574074074074093E-2</v>
      </c>
      <c r="AD1729" s="36">
        <f t="shared" si="486"/>
        <v>1.9791666666666673E-2</v>
      </c>
      <c r="AE1729" s="36">
        <f t="shared" si="486"/>
        <v>320</v>
      </c>
      <c r="AF1729" s="36">
        <f t="shared" si="486"/>
        <v>179</v>
      </c>
      <c r="AG1729" s="36" t="str">
        <f t="shared" si="486"/>
        <v>TIJ</v>
      </c>
    </row>
    <row r="1730" spans="18:33" x14ac:dyDescent="0.25">
      <c r="R1730">
        <v>1716</v>
      </c>
      <c r="S1730" s="36" t="str">
        <f t="shared" si="483"/>
        <v>BARATA Y MORADA</v>
      </c>
      <c r="T1730" s="36">
        <f t="shared" si="483"/>
        <v>422</v>
      </c>
      <c r="U1730" s="73">
        <v>0.28472222222222221</v>
      </c>
      <c r="V1730" s="74">
        <v>0.28819444444444448</v>
      </c>
      <c r="W1730" s="75">
        <v>3.4722222222222654E-3</v>
      </c>
      <c r="X1730" s="74">
        <v>0.28888888888888892</v>
      </c>
      <c r="Y1730" s="75">
        <v>6.9444444444444198E-4</v>
      </c>
      <c r="Z1730" s="76">
        <v>41747</v>
      </c>
      <c r="AA1730" s="36" t="str">
        <f t="shared" si="486"/>
        <v>Nacional</v>
      </c>
      <c r="AB1730" s="36">
        <f t="shared" si="486"/>
        <v>8.2175925925925819E-3</v>
      </c>
      <c r="AC1730" s="36">
        <f t="shared" si="486"/>
        <v>1.1574074074074093E-2</v>
      </c>
      <c r="AD1730" s="36">
        <f t="shared" si="486"/>
        <v>1.9791666666666673E-2</v>
      </c>
      <c r="AE1730" s="36">
        <f t="shared" si="486"/>
        <v>320</v>
      </c>
      <c r="AF1730" s="36">
        <f t="shared" si="486"/>
        <v>179</v>
      </c>
      <c r="AG1730" s="36" t="str">
        <f t="shared" si="486"/>
        <v>TIJ</v>
      </c>
    </row>
    <row r="1731" spans="18:33" x14ac:dyDescent="0.25">
      <c r="R1731">
        <v>1717</v>
      </c>
      <c r="S1731" s="36" t="str">
        <f t="shared" si="483"/>
        <v>BARATA Y MORADA</v>
      </c>
      <c r="T1731" s="36">
        <f t="shared" si="483"/>
        <v>422</v>
      </c>
      <c r="U1731" s="73">
        <v>0.26180555555555557</v>
      </c>
      <c r="V1731" s="74">
        <v>0.26666666666666666</v>
      </c>
      <c r="W1731" s="75">
        <v>4.8611111111110938E-3</v>
      </c>
      <c r="X1731" s="74">
        <v>0.28194444444444444</v>
      </c>
      <c r="Y1731" s="75">
        <v>1.5277777777777779E-2</v>
      </c>
      <c r="Z1731" s="76">
        <v>41749</v>
      </c>
      <c r="AA1731" s="36" t="str">
        <f t="shared" si="486"/>
        <v>Nacional</v>
      </c>
      <c r="AB1731" s="36">
        <f t="shared" si="486"/>
        <v>8.2175925925925819E-3</v>
      </c>
      <c r="AC1731" s="36">
        <f t="shared" si="486"/>
        <v>1.1574074074074093E-2</v>
      </c>
      <c r="AD1731" s="36">
        <f t="shared" si="486"/>
        <v>1.9791666666666673E-2</v>
      </c>
      <c r="AE1731" s="36">
        <f t="shared" si="486"/>
        <v>320</v>
      </c>
      <c r="AF1731" s="36">
        <f t="shared" si="486"/>
        <v>179</v>
      </c>
      <c r="AG1731" s="36" t="str">
        <f t="shared" si="486"/>
        <v>TIJ</v>
      </c>
    </row>
    <row r="1732" spans="18:33" x14ac:dyDescent="0.25">
      <c r="R1732">
        <v>1718</v>
      </c>
      <c r="S1732" s="36" t="str">
        <f t="shared" si="483"/>
        <v>BARATA Y MORADA</v>
      </c>
      <c r="T1732" s="36">
        <f t="shared" si="483"/>
        <v>422</v>
      </c>
      <c r="U1732" s="73">
        <v>0.27986111111111112</v>
      </c>
      <c r="V1732" s="74">
        <v>0.28333333333333333</v>
      </c>
      <c r="W1732" s="75">
        <v>3.4722222222222099E-3</v>
      </c>
      <c r="X1732" s="74">
        <v>0.29791666666666666</v>
      </c>
      <c r="Y1732" s="75">
        <v>1.4583333333333337E-2</v>
      </c>
      <c r="Z1732" s="76">
        <v>41753</v>
      </c>
      <c r="AA1732" s="36" t="str">
        <f t="shared" si="486"/>
        <v>Nacional</v>
      </c>
      <c r="AB1732" s="36">
        <f t="shared" si="486"/>
        <v>8.2175925925925819E-3</v>
      </c>
      <c r="AC1732" s="36">
        <f t="shared" si="486"/>
        <v>1.1574074074074093E-2</v>
      </c>
      <c r="AD1732" s="36">
        <f t="shared" si="486"/>
        <v>1.9791666666666673E-2</v>
      </c>
      <c r="AE1732" s="36">
        <f t="shared" si="486"/>
        <v>320</v>
      </c>
      <c r="AF1732" s="36">
        <f t="shared" si="486"/>
        <v>179</v>
      </c>
      <c r="AG1732" s="36" t="str">
        <f t="shared" si="486"/>
        <v>TIJ</v>
      </c>
    </row>
    <row r="1733" spans="18:33" x14ac:dyDescent="0.25">
      <c r="R1733">
        <v>1719</v>
      </c>
      <c r="S1733" s="36" t="str">
        <f t="shared" si="483"/>
        <v>BARATA Y MORADA</v>
      </c>
      <c r="T1733" s="36">
        <f t="shared" si="483"/>
        <v>422</v>
      </c>
      <c r="U1733" s="73">
        <v>0.26527777777777778</v>
      </c>
      <c r="V1733" s="74">
        <v>0.27291666666666664</v>
      </c>
      <c r="W1733" s="75">
        <v>7.6388888888888618E-3</v>
      </c>
      <c r="X1733" s="74">
        <v>0.28750000000000003</v>
      </c>
      <c r="Y1733" s="75">
        <v>1.4583333333333393E-2</v>
      </c>
      <c r="Z1733" s="76">
        <v>41757</v>
      </c>
      <c r="AA1733" s="36" t="str">
        <f t="shared" si="486"/>
        <v>Nacional</v>
      </c>
      <c r="AB1733" s="36">
        <f t="shared" si="486"/>
        <v>8.2175925925925819E-3</v>
      </c>
      <c r="AC1733" s="36">
        <f t="shared" si="486"/>
        <v>1.1574074074074093E-2</v>
      </c>
      <c r="AD1733" s="36">
        <f t="shared" si="486"/>
        <v>1.9791666666666673E-2</v>
      </c>
      <c r="AE1733" s="36">
        <f t="shared" si="486"/>
        <v>320</v>
      </c>
      <c r="AF1733" s="36">
        <f t="shared" si="486"/>
        <v>179</v>
      </c>
      <c r="AG1733" s="36" t="str">
        <f t="shared" si="486"/>
        <v>TIJ</v>
      </c>
    </row>
    <row r="1734" spans="18:33" ht="15.75" thickBot="1" x14ac:dyDescent="0.3">
      <c r="R1734">
        <v>1720</v>
      </c>
      <c r="S1734" s="36" t="str">
        <f t="shared" si="483"/>
        <v>BARATA Y MORADA</v>
      </c>
      <c r="T1734" s="36">
        <f t="shared" si="483"/>
        <v>422</v>
      </c>
      <c r="U1734" s="83">
        <v>0.27430555555555552</v>
      </c>
      <c r="V1734" s="84">
        <v>0.28333333333333333</v>
      </c>
      <c r="W1734" s="85">
        <v>9.0277777777778012E-3</v>
      </c>
      <c r="X1734" s="84">
        <v>0.29097222222222224</v>
      </c>
      <c r="Y1734" s="85">
        <v>7.6388888888889173E-3</v>
      </c>
      <c r="Z1734" s="86">
        <v>41759</v>
      </c>
      <c r="AA1734" s="36" t="str">
        <f t="shared" si="486"/>
        <v>Nacional</v>
      </c>
      <c r="AB1734" s="36">
        <f t="shared" si="486"/>
        <v>8.2175925925925819E-3</v>
      </c>
      <c r="AC1734" s="36">
        <f t="shared" si="486"/>
        <v>1.1574074074074093E-2</v>
      </c>
      <c r="AD1734" s="36">
        <f t="shared" si="486"/>
        <v>1.9791666666666673E-2</v>
      </c>
      <c r="AE1734" s="36">
        <f t="shared" si="486"/>
        <v>320</v>
      </c>
      <c r="AF1734" s="36">
        <f t="shared" si="486"/>
        <v>179</v>
      </c>
      <c r="AG1734" s="36" t="str">
        <f t="shared" si="486"/>
        <v>TIJ</v>
      </c>
    </row>
    <row r="1735" spans="18:33" x14ac:dyDescent="0.25">
      <c r="R1735">
        <v>1721</v>
      </c>
      <c r="S1735" s="36" t="str">
        <f t="shared" si="483"/>
        <v>BARATA Y MORADA</v>
      </c>
      <c r="T1735" s="55">
        <v>424</v>
      </c>
      <c r="U1735" s="56">
        <v>0.52152777777777781</v>
      </c>
      <c r="V1735" s="57">
        <v>0.52916666666666667</v>
      </c>
      <c r="W1735" s="58">
        <v>7.6388888888888618E-3</v>
      </c>
      <c r="X1735" s="57">
        <v>0.53888888888888886</v>
      </c>
      <c r="Y1735" s="58">
        <v>9.7222222222221877E-3</v>
      </c>
      <c r="Z1735" s="59">
        <v>41730</v>
      </c>
      <c r="AA1735" s="60" t="s">
        <v>19</v>
      </c>
      <c r="AB1735" s="61">
        <v>8.611111111111118E-3</v>
      </c>
      <c r="AC1735" s="61">
        <v>9.4999999999999876E-3</v>
      </c>
      <c r="AD1735" s="231">
        <v>1.8111111111111106E-2</v>
      </c>
      <c r="AE1735" s="132">
        <v>320</v>
      </c>
      <c r="AF1735" s="132">
        <v>179</v>
      </c>
      <c r="AG1735" s="132" t="s">
        <v>34</v>
      </c>
    </row>
    <row r="1736" spans="18:33" x14ac:dyDescent="0.25">
      <c r="R1736">
        <v>1722</v>
      </c>
      <c r="S1736" s="36" t="str">
        <f t="shared" si="483"/>
        <v>BARATA Y MORADA</v>
      </c>
      <c r="T1736" s="36">
        <f t="shared" si="483"/>
        <v>424</v>
      </c>
      <c r="U1736" s="73">
        <v>0.51250000000000007</v>
      </c>
      <c r="V1736" s="74">
        <v>0.52152777777777781</v>
      </c>
      <c r="W1736" s="75">
        <v>9.0277777777777457E-3</v>
      </c>
      <c r="X1736" s="74">
        <v>0.53333333333333333</v>
      </c>
      <c r="Y1736" s="75">
        <v>1.1805555555555514E-2</v>
      </c>
      <c r="Z1736" s="76">
        <v>41733</v>
      </c>
      <c r="AA1736" s="36" t="str">
        <f t="shared" ref="AA1736:AG1759" si="487">AA1735</f>
        <v>Nacional</v>
      </c>
      <c r="AB1736" s="36">
        <f t="shared" si="487"/>
        <v>8.611111111111118E-3</v>
      </c>
      <c r="AC1736" s="36">
        <f t="shared" si="487"/>
        <v>9.4999999999999876E-3</v>
      </c>
      <c r="AD1736" s="36">
        <f t="shared" si="487"/>
        <v>1.8111111111111106E-2</v>
      </c>
      <c r="AE1736" s="36">
        <f t="shared" si="487"/>
        <v>320</v>
      </c>
      <c r="AF1736" s="36">
        <f t="shared" si="487"/>
        <v>179</v>
      </c>
      <c r="AG1736" s="36" t="str">
        <f t="shared" si="487"/>
        <v>TIJ</v>
      </c>
    </row>
    <row r="1737" spans="18:33" x14ac:dyDescent="0.25">
      <c r="R1737">
        <v>1723</v>
      </c>
      <c r="S1737" s="36" t="str">
        <f t="shared" si="483"/>
        <v>BARATA Y MORADA</v>
      </c>
      <c r="T1737" s="36">
        <f t="shared" si="483"/>
        <v>424</v>
      </c>
      <c r="U1737" s="73">
        <v>0.52083333333333337</v>
      </c>
      <c r="V1737" s="74">
        <v>0.52777777777777779</v>
      </c>
      <c r="W1737" s="75">
        <v>6.9444444444444198E-3</v>
      </c>
      <c r="X1737" s="74">
        <v>0.53541666666666665</v>
      </c>
      <c r="Y1737" s="75">
        <v>7.6388888888888618E-3</v>
      </c>
      <c r="Z1737" s="76">
        <v>41737</v>
      </c>
      <c r="AA1737" s="36" t="str">
        <f t="shared" si="487"/>
        <v>Nacional</v>
      </c>
      <c r="AB1737" s="36">
        <f t="shared" si="487"/>
        <v>8.611111111111118E-3</v>
      </c>
      <c r="AC1737" s="36">
        <f t="shared" si="487"/>
        <v>9.4999999999999876E-3</v>
      </c>
      <c r="AD1737" s="36">
        <f t="shared" si="487"/>
        <v>1.8111111111111106E-2</v>
      </c>
      <c r="AE1737" s="36">
        <f t="shared" si="487"/>
        <v>320</v>
      </c>
      <c r="AF1737" s="36">
        <f t="shared" si="487"/>
        <v>179</v>
      </c>
      <c r="AG1737" s="36" t="str">
        <f t="shared" si="487"/>
        <v>TIJ</v>
      </c>
    </row>
    <row r="1738" spans="18:33" x14ac:dyDescent="0.25">
      <c r="R1738">
        <v>1724</v>
      </c>
      <c r="S1738" s="36" t="str">
        <f t="shared" si="483"/>
        <v>BARATA Y MORADA</v>
      </c>
      <c r="T1738" s="36">
        <f t="shared" si="483"/>
        <v>424</v>
      </c>
      <c r="U1738" s="73">
        <v>0.51041666666666663</v>
      </c>
      <c r="V1738" s="74">
        <v>0.51736111111111105</v>
      </c>
      <c r="W1738" s="75">
        <v>6.9444444444444198E-3</v>
      </c>
      <c r="X1738" s="74">
        <v>0.52777777777777779</v>
      </c>
      <c r="Y1738" s="75">
        <v>1.0416666666666741E-2</v>
      </c>
      <c r="Z1738" s="76">
        <v>41738</v>
      </c>
      <c r="AA1738" s="36" t="str">
        <f t="shared" si="487"/>
        <v>Nacional</v>
      </c>
      <c r="AB1738" s="36">
        <f t="shared" si="487"/>
        <v>8.611111111111118E-3</v>
      </c>
      <c r="AC1738" s="36">
        <f t="shared" si="487"/>
        <v>9.4999999999999876E-3</v>
      </c>
      <c r="AD1738" s="36">
        <f t="shared" si="487"/>
        <v>1.8111111111111106E-2</v>
      </c>
      <c r="AE1738" s="36">
        <f t="shared" si="487"/>
        <v>320</v>
      </c>
      <c r="AF1738" s="36">
        <f t="shared" si="487"/>
        <v>179</v>
      </c>
      <c r="AG1738" s="36" t="str">
        <f t="shared" si="487"/>
        <v>TIJ</v>
      </c>
    </row>
    <row r="1739" spans="18:33" x14ac:dyDescent="0.25">
      <c r="R1739">
        <v>1725</v>
      </c>
      <c r="S1739" s="36" t="str">
        <f t="shared" si="483"/>
        <v>BARATA Y MORADA</v>
      </c>
      <c r="T1739" s="36">
        <f t="shared" si="483"/>
        <v>424</v>
      </c>
      <c r="U1739" s="73">
        <v>0.53888888888888886</v>
      </c>
      <c r="V1739" s="74">
        <v>0.54722222222222217</v>
      </c>
      <c r="W1739" s="75">
        <v>8.3333333333333037E-3</v>
      </c>
      <c r="X1739" s="74">
        <v>0.55069444444444449</v>
      </c>
      <c r="Y1739" s="75">
        <v>3.4722222222223209E-3</v>
      </c>
      <c r="Z1739" s="76">
        <v>41739</v>
      </c>
      <c r="AA1739" s="36" t="str">
        <f t="shared" si="487"/>
        <v>Nacional</v>
      </c>
      <c r="AB1739" s="36">
        <f t="shared" si="487"/>
        <v>8.611111111111118E-3</v>
      </c>
      <c r="AC1739" s="36">
        <f t="shared" si="487"/>
        <v>9.4999999999999876E-3</v>
      </c>
      <c r="AD1739" s="36">
        <f t="shared" si="487"/>
        <v>1.8111111111111106E-2</v>
      </c>
      <c r="AE1739" s="36">
        <f t="shared" si="487"/>
        <v>320</v>
      </c>
      <c r="AF1739" s="36">
        <f t="shared" si="487"/>
        <v>179</v>
      </c>
      <c r="AG1739" s="36" t="str">
        <f t="shared" si="487"/>
        <v>TIJ</v>
      </c>
    </row>
    <row r="1740" spans="18:33" x14ac:dyDescent="0.25">
      <c r="R1740">
        <v>1726</v>
      </c>
      <c r="S1740" s="36" t="str">
        <f t="shared" si="483"/>
        <v>BARATA Y MORADA</v>
      </c>
      <c r="T1740" s="36">
        <f t="shared" si="483"/>
        <v>424</v>
      </c>
      <c r="U1740" s="73">
        <v>0.58333333333333337</v>
      </c>
      <c r="V1740" s="74">
        <v>0.59305555555555556</v>
      </c>
      <c r="W1740" s="75">
        <v>9.7222222222221877E-3</v>
      </c>
      <c r="X1740" s="74">
        <v>0.60625000000000007</v>
      </c>
      <c r="Y1740" s="75">
        <v>1.3194444444444509E-2</v>
      </c>
      <c r="Z1740" s="76">
        <v>41741</v>
      </c>
      <c r="AA1740" s="36" t="str">
        <f t="shared" si="487"/>
        <v>Nacional</v>
      </c>
      <c r="AB1740" s="36">
        <f t="shared" si="487"/>
        <v>8.611111111111118E-3</v>
      </c>
      <c r="AC1740" s="36">
        <f t="shared" si="487"/>
        <v>9.4999999999999876E-3</v>
      </c>
      <c r="AD1740" s="36">
        <f t="shared" si="487"/>
        <v>1.8111111111111106E-2</v>
      </c>
      <c r="AE1740" s="36">
        <f t="shared" si="487"/>
        <v>320</v>
      </c>
      <c r="AF1740" s="36">
        <f t="shared" si="487"/>
        <v>179</v>
      </c>
      <c r="AG1740" s="36" t="str">
        <f t="shared" si="487"/>
        <v>TIJ</v>
      </c>
    </row>
    <row r="1741" spans="18:33" x14ac:dyDescent="0.25">
      <c r="R1741">
        <v>1727</v>
      </c>
      <c r="S1741" s="36" t="str">
        <f t="shared" si="483"/>
        <v>BARATA Y MORADA</v>
      </c>
      <c r="T1741" s="36">
        <f t="shared" si="483"/>
        <v>424</v>
      </c>
      <c r="U1741" s="73">
        <v>0.52152777777777781</v>
      </c>
      <c r="V1741" s="74">
        <v>0.52916666666666667</v>
      </c>
      <c r="W1741" s="75">
        <v>7.6388888888888618E-3</v>
      </c>
      <c r="X1741" s="74">
        <v>0.53888888888888886</v>
      </c>
      <c r="Y1741" s="75">
        <v>9.7222222222221877E-3</v>
      </c>
      <c r="Z1741" s="76">
        <v>41742</v>
      </c>
      <c r="AA1741" s="36" t="str">
        <f t="shared" si="487"/>
        <v>Nacional</v>
      </c>
      <c r="AB1741" s="36">
        <f t="shared" si="487"/>
        <v>8.611111111111118E-3</v>
      </c>
      <c r="AC1741" s="36">
        <f t="shared" si="487"/>
        <v>9.4999999999999876E-3</v>
      </c>
      <c r="AD1741" s="36">
        <f t="shared" si="487"/>
        <v>1.8111111111111106E-2</v>
      </c>
      <c r="AE1741" s="36">
        <f t="shared" si="487"/>
        <v>320</v>
      </c>
      <c r="AF1741" s="36">
        <f t="shared" si="487"/>
        <v>179</v>
      </c>
      <c r="AG1741" s="36" t="str">
        <f t="shared" si="487"/>
        <v>TIJ</v>
      </c>
    </row>
    <row r="1742" spans="18:33" x14ac:dyDescent="0.25">
      <c r="R1742">
        <v>1728</v>
      </c>
      <c r="S1742" s="36" t="str">
        <f t="shared" si="483"/>
        <v>BARATA Y MORADA</v>
      </c>
      <c r="T1742" s="36">
        <f t="shared" si="483"/>
        <v>424</v>
      </c>
      <c r="U1742" s="73">
        <v>0.47361111111111115</v>
      </c>
      <c r="V1742" s="74">
        <v>0.52361111111111114</v>
      </c>
      <c r="W1742" s="75">
        <v>4.9999999999999989E-2</v>
      </c>
      <c r="X1742" s="74">
        <v>0.53333333333333333</v>
      </c>
      <c r="Y1742" s="75">
        <v>9.7222222222221877E-3</v>
      </c>
      <c r="Z1742" s="76">
        <v>41743</v>
      </c>
      <c r="AA1742" s="36" t="str">
        <f t="shared" si="487"/>
        <v>Nacional</v>
      </c>
      <c r="AB1742" s="36">
        <f t="shared" si="487"/>
        <v>8.611111111111118E-3</v>
      </c>
      <c r="AC1742" s="36">
        <f t="shared" si="487"/>
        <v>9.4999999999999876E-3</v>
      </c>
      <c r="AD1742" s="36">
        <f t="shared" si="487"/>
        <v>1.8111111111111106E-2</v>
      </c>
      <c r="AE1742" s="36">
        <f t="shared" si="487"/>
        <v>320</v>
      </c>
      <c r="AF1742" s="36">
        <f t="shared" si="487"/>
        <v>179</v>
      </c>
      <c r="AG1742" s="36" t="str">
        <f t="shared" si="487"/>
        <v>TIJ</v>
      </c>
    </row>
    <row r="1743" spans="18:33" x14ac:dyDescent="0.25">
      <c r="R1743">
        <v>1729</v>
      </c>
      <c r="S1743" s="36" t="str">
        <f t="shared" si="483"/>
        <v>BARATA Y MORADA</v>
      </c>
      <c r="T1743" s="36">
        <f t="shared" si="483"/>
        <v>424</v>
      </c>
      <c r="U1743" s="73">
        <v>0.50763888888888886</v>
      </c>
      <c r="V1743" s="74">
        <v>0.5131944444444444</v>
      </c>
      <c r="W1743" s="75">
        <v>5.5555555555555358E-3</v>
      </c>
      <c r="X1743" s="74">
        <v>0.52638888888888891</v>
      </c>
      <c r="Y1743" s="75">
        <v>1.3194444444444509E-2</v>
      </c>
      <c r="Z1743" s="76">
        <v>41744</v>
      </c>
      <c r="AA1743" s="36" t="str">
        <f t="shared" si="487"/>
        <v>Nacional</v>
      </c>
      <c r="AB1743" s="36">
        <f t="shared" si="487"/>
        <v>8.611111111111118E-3</v>
      </c>
      <c r="AC1743" s="36">
        <f t="shared" si="487"/>
        <v>9.4999999999999876E-3</v>
      </c>
      <c r="AD1743" s="36">
        <f t="shared" si="487"/>
        <v>1.8111111111111106E-2</v>
      </c>
      <c r="AE1743" s="36">
        <f t="shared" si="487"/>
        <v>320</v>
      </c>
      <c r="AF1743" s="36">
        <f t="shared" si="487"/>
        <v>179</v>
      </c>
      <c r="AG1743" s="36" t="str">
        <f t="shared" si="487"/>
        <v>TIJ</v>
      </c>
    </row>
    <row r="1744" spans="18:33" x14ac:dyDescent="0.25">
      <c r="R1744">
        <v>1730</v>
      </c>
      <c r="S1744" s="36" t="str">
        <f t="shared" si="483"/>
        <v>BARATA Y MORADA</v>
      </c>
      <c r="T1744" s="36">
        <f t="shared" si="483"/>
        <v>424</v>
      </c>
      <c r="U1744" s="73">
        <v>0.57847222222222217</v>
      </c>
      <c r="V1744" s="74">
        <v>0.58750000000000002</v>
      </c>
      <c r="W1744" s="75">
        <v>9.0277777777778567E-3</v>
      </c>
      <c r="X1744" s="74">
        <v>0.59305555555555556</v>
      </c>
      <c r="Y1744" s="75">
        <v>5.5555555555555358E-3</v>
      </c>
      <c r="Z1744" s="76">
        <v>41745</v>
      </c>
      <c r="AA1744" s="36" t="str">
        <f t="shared" si="487"/>
        <v>Nacional</v>
      </c>
      <c r="AB1744" s="36">
        <f t="shared" si="487"/>
        <v>8.611111111111118E-3</v>
      </c>
      <c r="AC1744" s="36">
        <f t="shared" si="487"/>
        <v>9.4999999999999876E-3</v>
      </c>
      <c r="AD1744" s="36">
        <f t="shared" si="487"/>
        <v>1.8111111111111106E-2</v>
      </c>
      <c r="AE1744" s="36">
        <f t="shared" si="487"/>
        <v>320</v>
      </c>
      <c r="AF1744" s="36">
        <f t="shared" si="487"/>
        <v>179</v>
      </c>
      <c r="AG1744" s="36" t="str">
        <f t="shared" si="487"/>
        <v>TIJ</v>
      </c>
    </row>
    <row r="1745" spans="18:33" x14ac:dyDescent="0.25">
      <c r="R1745">
        <v>1731</v>
      </c>
      <c r="S1745" s="36" t="str">
        <f t="shared" si="483"/>
        <v>BARATA Y MORADA</v>
      </c>
      <c r="T1745" s="36">
        <f t="shared" si="483"/>
        <v>424</v>
      </c>
      <c r="U1745" s="73">
        <v>0.50208333333333333</v>
      </c>
      <c r="V1745" s="74">
        <v>0.50763888888888886</v>
      </c>
      <c r="W1745" s="75">
        <v>5.5555555555555358E-3</v>
      </c>
      <c r="X1745" s="74">
        <v>0.51597222222222217</v>
      </c>
      <c r="Y1745" s="75">
        <v>8.3333333333333037E-3</v>
      </c>
      <c r="Z1745" s="76">
        <v>41745</v>
      </c>
      <c r="AA1745" s="36" t="str">
        <f t="shared" si="487"/>
        <v>Nacional</v>
      </c>
      <c r="AB1745" s="36">
        <f t="shared" si="487"/>
        <v>8.611111111111118E-3</v>
      </c>
      <c r="AC1745" s="36">
        <f t="shared" si="487"/>
        <v>9.4999999999999876E-3</v>
      </c>
      <c r="AD1745" s="36">
        <f t="shared" si="487"/>
        <v>1.8111111111111106E-2</v>
      </c>
      <c r="AE1745" s="36">
        <f t="shared" si="487"/>
        <v>320</v>
      </c>
      <c r="AF1745" s="36">
        <f t="shared" si="487"/>
        <v>179</v>
      </c>
      <c r="AG1745" s="36" t="str">
        <f t="shared" si="487"/>
        <v>TIJ</v>
      </c>
    </row>
    <row r="1746" spans="18:33" x14ac:dyDescent="0.25">
      <c r="R1746">
        <v>1732</v>
      </c>
      <c r="S1746" s="36" t="str">
        <f t="shared" si="483"/>
        <v>BARATA Y MORADA</v>
      </c>
      <c r="T1746" s="36">
        <f t="shared" si="483"/>
        <v>424</v>
      </c>
      <c r="U1746" s="73">
        <v>0.51041666666666663</v>
      </c>
      <c r="V1746" s="74">
        <v>0.52083333333333337</v>
      </c>
      <c r="W1746" s="75">
        <v>1.0416666666666741E-2</v>
      </c>
      <c r="X1746" s="74">
        <v>0.53125</v>
      </c>
      <c r="Y1746" s="75">
        <v>1.041666666666663E-2</v>
      </c>
      <c r="Z1746" s="76">
        <v>41746</v>
      </c>
      <c r="AA1746" s="36" t="str">
        <f t="shared" si="487"/>
        <v>Nacional</v>
      </c>
      <c r="AB1746" s="36">
        <f t="shared" si="487"/>
        <v>8.611111111111118E-3</v>
      </c>
      <c r="AC1746" s="36">
        <f t="shared" si="487"/>
        <v>9.4999999999999876E-3</v>
      </c>
      <c r="AD1746" s="36">
        <f t="shared" si="487"/>
        <v>1.8111111111111106E-2</v>
      </c>
      <c r="AE1746" s="36">
        <f t="shared" si="487"/>
        <v>320</v>
      </c>
      <c r="AF1746" s="36">
        <f t="shared" si="487"/>
        <v>179</v>
      </c>
      <c r="AG1746" s="36" t="str">
        <f t="shared" si="487"/>
        <v>TIJ</v>
      </c>
    </row>
    <row r="1747" spans="18:33" x14ac:dyDescent="0.25">
      <c r="R1747">
        <v>1733</v>
      </c>
      <c r="S1747" s="36" t="str">
        <f t="shared" si="483"/>
        <v>BARATA Y MORADA</v>
      </c>
      <c r="T1747" s="36">
        <f t="shared" si="483"/>
        <v>424</v>
      </c>
      <c r="U1747" s="73">
        <v>0.5</v>
      </c>
      <c r="V1747" s="74">
        <v>0.50416666666666665</v>
      </c>
      <c r="W1747" s="75">
        <v>4.1666666666666519E-3</v>
      </c>
      <c r="X1747" s="74">
        <v>0.5083333333333333</v>
      </c>
      <c r="Y1747" s="75">
        <v>4.1666666666666519E-3</v>
      </c>
      <c r="Z1747" s="76">
        <v>41747</v>
      </c>
      <c r="AA1747" s="36" t="str">
        <f t="shared" si="487"/>
        <v>Nacional</v>
      </c>
      <c r="AB1747" s="36">
        <f t="shared" si="487"/>
        <v>8.611111111111118E-3</v>
      </c>
      <c r="AC1747" s="36">
        <f t="shared" si="487"/>
        <v>9.4999999999999876E-3</v>
      </c>
      <c r="AD1747" s="36">
        <f t="shared" si="487"/>
        <v>1.8111111111111106E-2</v>
      </c>
      <c r="AE1747" s="36">
        <f t="shared" si="487"/>
        <v>320</v>
      </c>
      <c r="AF1747" s="36">
        <f t="shared" si="487"/>
        <v>179</v>
      </c>
      <c r="AG1747" s="36" t="str">
        <f t="shared" si="487"/>
        <v>TIJ</v>
      </c>
    </row>
    <row r="1748" spans="18:33" x14ac:dyDescent="0.25">
      <c r="R1748">
        <v>1734</v>
      </c>
      <c r="S1748" s="36" t="str">
        <f t="shared" si="483"/>
        <v>BARATA Y MORADA</v>
      </c>
      <c r="T1748" s="36">
        <f t="shared" si="483"/>
        <v>424</v>
      </c>
      <c r="U1748" s="73">
        <v>0.51250000000000007</v>
      </c>
      <c r="V1748" s="74">
        <v>0.52013888888888882</v>
      </c>
      <c r="W1748" s="75">
        <v>7.6388888888887507E-3</v>
      </c>
      <c r="X1748" s="74">
        <v>0.52777777777777779</v>
      </c>
      <c r="Y1748" s="75">
        <v>7.6388888888889728E-3</v>
      </c>
      <c r="Z1748" s="76">
        <v>41747</v>
      </c>
      <c r="AA1748" s="36" t="str">
        <f t="shared" si="487"/>
        <v>Nacional</v>
      </c>
      <c r="AB1748" s="36">
        <f t="shared" si="487"/>
        <v>8.611111111111118E-3</v>
      </c>
      <c r="AC1748" s="36">
        <f t="shared" si="487"/>
        <v>9.4999999999999876E-3</v>
      </c>
      <c r="AD1748" s="36">
        <f t="shared" si="487"/>
        <v>1.8111111111111106E-2</v>
      </c>
      <c r="AE1748" s="36">
        <f t="shared" si="487"/>
        <v>320</v>
      </c>
      <c r="AF1748" s="36">
        <f t="shared" si="487"/>
        <v>179</v>
      </c>
      <c r="AG1748" s="36" t="str">
        <f t="shared" si="487"/>
        <v>TIJ</v>
      </c>
    </row>
    <row r="1749" spans="18:33" x14ac:dyDescent="0.25">
      <c r="R1749">
        <v>1735</v>
      </c>
      <c r="S1749" s="36" t="str">
        <f t="shared" si="483"/>
        <v>BARATA Y MORADA</v>
      </c>
      <c r="T1749" s="36">
        <f t="shared" si="483"/>
        <v>424</v>
      </c>
      <c r="U1749" s="73">
        <v>0.52013888888888882</v>
      </c>
      <c r="V1749" s="74">
        <v>0.52847222222222223</v>
      </c>
      <c r="W1749" s="75">
        <v>8.3333333333334147E-3</v>
      </c>
      <c r="X1749" s="74">
        <v>0.53680555555555554</v>
      </c>
      <c r="Y1749" s="75">
        <v>8.3333333333333037E-3</v>
      </c>
      <c r="Z1749" s="76">
        <v>41748</v>
      </c>
      <c r="AA1749" s="36" t="str">
        <f t="shared" si="487"/>
        <v>Nacional</v>
      </c>
      <c r="AB1749" s="36">
        <f t="shared" si="487"/>
        <v>8.611111111111118E-3</v>
      </c>
      <c r="AC1749" s="36">
        <f t="shared" si="487"/>
        <v>9.4999999999999876E-3</v>
      </c>
      <c r="AD1749" s="36">
        <f t="shared" si="487"/>
        <v>1.8111111111111106E-2</v>
      </c>
      <c r="AE1749" s="36">
        <f t="shared" si="487"/>
        <v>320</v>
      </c>
      <c r="AF1749" s="36">
        <f t="shared" si="487"/>
        <v>179</v>
      </c>
      <c r="AG1749" s="36" t="str">
        <f t="shared" si="487"/>
        <v>TIJ</v>
      </c>
    </row>
    <row r="1750" spans="18:33" x14ac:dyDescent="0.25">
      <c r="R1750">
        <v>1736</v>
      </c>
      <c r="S1750" s="36" t="str">
        <f t="shared" si="483"/>
        <v>BARATA Y MORADA</v>
      </c>
      <c r="T1750" s="36">
        <f t="shared" si="483"/>
        <v>424</v>
      </c>
      <c r="U1750" s="73">
        <v>0.51180555555555551</v>
      </c>
      <c r="V1750" s="74">
        <v>0.51388888888888895</v>
      </c>
      <c r="W1750" s="75">
        <v>2.083333333333437E-3</v>
      </c>
      <c r="X1750" s="74">
        <v>0.52152777777777781</v>
      </c>
      <c r="Y1750" s="75">
        <v>7.6388888888888618E-3</v>
      </c>
      <c r="Z1750" s="76">
        <v>41749</v>
      </c>
      <c r="AA1750" s="36" t="str">
        <f t="shared" si="487"/>
        <v>Nacional</v>
      </c>
      <c r="AB1750" s="36">
        <f t="shared" si="487"/>
        <v>8.611111111111118E-3</v>
      </c>
      <c r="AC1750" s="36">
        <f t="shared" si="487"/>
        <v>9.4999999999999876E-3</v>
      </c>
      <c r="AD1750" s="36">
        <f t="shared" si="487"/>
        <v>1.8111111111111106E-2</v>
      </c>
      <c r="AE1750" s="36">
        <f t="shared" si="487"/>
        <v>320</v>
      </c>
      <c r="AF1750" s="36">
        <f t="shared" si="487"/>
        <v>179</v>
      </c>
      <c r="AG1750" s="36" t="str">
        <f t="shared" si="487"/>
        <v>TIJ</v>
      </c>
    </row>
    <row r="1751" spans="18:33" x14ac:dyDescent="0.25">
      <c r="R1751">
        <v>1737</v>
      </c>
      <c r="S1751" s="36" t="str">
        <f t="shared" si="483"/>
        <v>BARATA Y MORADA</v>
      </c>
      <c r="T1751" s="36">
        <f t="shared" si="483"/>
        <v>424</v>
      </c>
      <c r="U1751" s="73">
        <v>0.50347222222222221</v>
      </c>
      <c r="V1751" s="74">
        <v>0.51388888888888895</v>
      </c>
      <c r="W1751" s="75">
        <v>1.0416666666666741E-2</v>
      </c>
      <c r="X1751" s="74">
        <v>0.52083333333333337</v>
      </c>
      <c r="Y1751" s="75">
        <v>6.9444444444444198E-3</v>
      </c>
      <c r="Z1751" s="76">
        <v>41750</v>
      </c>
      <c r="AA1751" s="36" t="str">
        <f t="shared" si="487"/>
        <v>Nacional</v>
      </c>
      <c r="AB1751" s="36">
        <f t="shared" si="487"/>
        <v>8.611111111111118E-3</v>
      </c>
      <c r="AC1751" s="36">
        <f t="shared" si="487"/>
        <v>9.4999999999999876E-3</v>
      </c>
      <c r="AD1751" s="36">
        <f t="shared" si="487"/>
        <v>1.8111111111111106E-2</v>
      </c>
      <c r="AE1751" s="36">
        <f t="shared" si="487"/>
        <v>320</v>
      </c>
      <c r="AF1751" s="36">
        <f t="shared" si="487"/>
        <v>179</v>
      </c>
      <c r="AG1751" s="36" t="str">
        <f t="shared" si="487"/>
        <v>TIJ</v>
      </c>
    </row>
    <row r="1752" spans="18:33" x14ac:dyDescent="0.25">
      <c r="R1752">
        <v>1738</v>
      </c>
      <c r="S1752" s="36" t="str">
        <f t="shared" si="483"/>
        <v>BARATA Y MORADA</v>
      </c>
      <c r="T1752" s="36">
        <f t="shared" si="483"/>
        <v>424</v>
      </c>
      <c r="U1752" s="73">
        <v>0.51388888888888895</v>
      </c>
      <c r="V1752" s="74">
        <v>0.51944444444444449</v>
      </c>
      <c r="W1752" s="75">
        <v>5.5555555555555358E-3</v>
      </c>
      <c r="X1752" s="74">
        <v>0.52777777777777779</v>
      </c>
      <c r="Y1752" s="75">
        <v>8.3333333333333037E-3</v>
      </c>
      <c r="Z1752" s="76">
        <v>41751</v>
      </c>
      <c r="AA1752" s="36" t="str">
        <f t="shared" si="487"/>
        <v>Nacional</v>
      </c>
      <c r="AB1752" s="36">
        <f t="shared" si="487"/>
        <v>8.611111111111118E-3</v>
      </c>
      <c r="AC1752" s="36">
        <f t="shared" si="487"/>
        <v>9.4999999999999876E-3</v>
      </c>
      <c r="AD1752" s="36">
        <f t="shared" si="487"/>
        <v>1.8111111111111106E-2</v>
      </c>
      <c r="AE1752" s="36">
        <f t="shared" si="487"/>
        <v>320</v>
      </c>
      <c r="AF1752" s="36">
        <f t="shared" si="487"/>
        <v>179</v>
      </c>
      <c r="AG1752" s="36" t="str">
        <f t="shared" si="487"/>
        <v>TIJ</v>
      </c>
    </row>
    <row r="1753" spans="18:33" x14ac:dyDescent="0.25">
      <c r="R1753">
        <v>1739</v>
      </c>
      <c r="S1753" s="36" t="str">
        <f t="shared" si="483"/>
        <v>BARATA Y MORADA</v>
      </c>
      <c r="T1753" s="36">
        <f t="shared" si="483"/>
        <v>424</v>
      </c>
      <c r="U1753" s="73">
        <v>0.51874999999999993</v>
      </c>
      <c r="V1753" s="74">
        <v>0.52361111111111114</v>
      </c>
      <c r="W1753" s="75">
        <v>4.8611111111112049E-3</v>
      </c>
      <c r="X1753" s="74">
        <v>0.53402777777777777</v>
      </c>
      <c r="Y1753" s="75">
        <v>1.041666666666663E-2</v>
      </c>
      <c r="Z1753" s="76">
        <v>41753</v>
      </c>
      <c r="AA1753" s="36" t="str">
        <f t="shared" si="487"/>
        <v>Nacional</v>
      </c>
      <c r="AB1753" s="36">
        <f t="shared" si="487"/>
        <v>8.611111111111118E-3</v>
      </c>
      <c r="AC1753" s="36">
        <f t="shared" si="487"/>
        <v>9.4999999999999876E-3</v>
      </c>
      <c r="AD1753" s="36">
        <f t="shared" si="487"/>
        <v>1.8111111111111106E-2</v>
      </c>
      <c r="AE1753" s="36">
        <f t="shared" si="487"/>
        <v>320</v>
      </c>
      <c r="AF1753" s="36">
        <f t="shared" si="487"/>
        <v>179</v>
      </c>
      <c r="AG1753" s="36" t="str">
        <f t="shared" si="487"/>
        <v>TIJ</v>
      </c>
    </row>
    <row r="1754" spans="18:33" x14ac:dyDescent="0.25">
      <c r="R1754">
        <v>1740</v>
      </c>
      <c r="S1754" s="36" t="str">
        <f t="shared" si="483"/>
        <v>BARATA Y MORADA</v>
      </c>
      <c r="T1754" s="36">
        <f t="shared" si="483"/>
        <v>424</v>
      </c>
      <c r="U1754" s="73">
        <v>0.51874999999999993</v>
      </c>
      <c r="V1754" s="74">
        <v>0.52500000000000002</v>
      </c>
      <c r="W1754" s="75">
        <v>6.2500000000000888E-3</v>
      </c>
      <c r="X1754" s="74">
        <v>0.53611111111111109</v>
      </c>
      <c r="Y1754" s="75">
        <v>1.1111111111111072E-2</v>
      </c>
      <c r="Z1754" s="76">
        <v>41754</v>
      </c>
      <c r="AA1754" s="36" t="str">
        <f t="shared" si="487"/>
        <v>Nacional</v>
      </c>
      <c r="AB1754" s="36">
        <f t="shared" si="487"/>
        <v>8.611111111111118E-3</v>
      </c>
      <c r="AC1754" s="36">
        <f t="shared" si="487"/>
        <v>9.4999999999999876E-3</v>
      </c>
      <c r="AD1754" s="36">
        <f t="shared" si="487"/>
        <v>1.8111111111111106E-2</v>
      </c>
      <c r="AE1754" s="36">
        <f t="shared" si="487"/>
        <v>320</v>
      </c>
      <c r="AF1754" s="36">
        <f t="shared" si="487"/>
        <v>179</v>
      </c>
      <c r="AG1754" s="36" t="str">
        <f t="shared" si="487"/>
        <v>TIJ</v>
      </c>
    </row>
    <row r="1755" spans="18:33" x14ac:dyDescent="0.25">
      <c r="R1755">
        <v>1741</v>
      </c>
      <c r="S1755" s="36" t="str">
        <f t="shared" si="483"/>
        <v>BARATA Y MORADA</v>
      </c>
      <c r="T1755" s="36">
        <f t="shared" si="483"/>
        <v>424</v>
      </c>
      <c r="U1755" s="73">
        <v>0.51666666666666672</v>
      </c>
      <c r="V1755" s="74">
        <v>0.52083333333333337</v>
      </c>
      <c r="W1755" s="75">
        <v>4.1666666666666519E-3</v>
      </c>
      <c r="X1755" s="74">
        <v>0.53263888888888888</v>
      </c>
      <c r="Y1755" s="75">
        <v>1.1805555555555514E-2</v>
      </c>
      <c r="Z1755" s="76">
        <v>41756</v>
      </c>
      <c r="AA1755" s="36" t="str">
        <f t="shared" si="487"/>
        <v>Nacional</v>
      </c>
      <c r="AB1755" s="36">
        <f t="shared" si="487"/>
        <v>8.611111111111118E-3</v>
      </c>
      <c r="AC1755" s="36">
        <f t="shared" si="487"/>
        <v>9.4999999999999876E-3</v>
      </c>
      <c r="AD1755" s="36">
        <f t="shared" si="487"/>
        <v>1.8111111111111106E-2</v>
      </c>
      <c r="AE1755" s="36">
        <f t="shared" si="487"/>
        <v>320</v>
      </c>
      <c r="AF1755" s="36">
        <f t="shared" si="487"/>
        <v>179</v>
      </c>
      <c r="AG1755" s="36" t="str">
        <f t="shared" si="487"/>
        <v>TIJ</v>
      </c>
    </row>
    <row r="1756" spans="18:33" x14ac:dyDescent="0.25">
      <c r="R1756">
        <v>1742</v>
      </c>
      <c r="S1756" s="36" t="str">
        <f t="shared" si="483"/>
        <v>BARATA Y MORADA</v>
      </c>
      <c r="T1756" s="36">
        <f t="shared" si="483"/>
        <v>424</v>
      </c>
      <c r="U1756" s="73">
        <v>0.51666666666666672</v>
      </c>
      <c r="V1756" s="74">
        <v>0.52083333333333337</v>
      </c>
      <c r="W1756" s="75">
        <v>4.1666666666666519E-3</v>
      </c>
      <c r="X1756" s="74">
        <v>0.53263888888888888</v>
      </c>
      <c r="Y1756" s="75">
        <v>1.1805555555555514E-2</v>
      </c>
      <c r="Z1756" s="76">
        <v>41756</v>
      </c>
      <c r="AA1756" s="36" t="str">
        <f t="shared" si="487"/>
        <v>Nacional</v>
      </c>
      <c r="AB1756" s="36">
        <f t="shared" si="487"/>
        <v>8.611111111111118E-3</v>
      </c>
      <c r="AC1756" s="36">
        <f t="shared" si="487"/>
        <v>9.4999999999999876E-3</v>
      </c>
      <c r="AD1756" s="36">
        <f t="shared" si="487"/>
        <v>1.8111111111111106E-2</v>
      </c>
      <c r="AE1756" s="36">
        <f t="shared" si="487"/>
        <v>320</v>
      </c>
      <c r="AF1756" s="36">
        <f t="shared" si="487"/>
        <v>179</v>
      </c>
      <c r="AG1756" s="36" t="str">
        <f t="shared" si="487"/>
        <v>TIJ</v>
      </c>
    </row>
    <row r="1757" spans="18:33" x14ac:dyDescent="0.25">
      <c r="R1757">
        <v>1743</v>
      </c>
      <c r="S1757" s="36" t="str">
        <f t="shared" si="483"/>
        <v>BARATA Y MORADA</v>
      </c>
      <c r="T1757" s="36">
        <f t="shared" si="483"/>
        <v>424</v>
      </c>
      <c r="U1757" s="73">
        <v>0.50694444444444442</v>
      </c>
      <c r="V1757" s="74">
        <v>0.51527777777777783</v>
      </c>
      <c r="W1757" s="75">
        <v>8.3333333333334147E-3</v>
      </c>
      <c r="X1757" s="74">
        <v>0.52708333333333335</v>
      </c>
      <c r="Y1757" s="75">
        <v>1.1805555555555514E-2</v>
      </c>
      <c r="Z1757" s="76">
        <v>41757</v>
      </c>
      <c r="AA1757" s="36" t="str">
        <f t="shared" si="487"/>
        <v>Nacional</v>
      </c>
      <c r="AB1757" s="36">
        <f t="shared" si="487"/>
        <v>8.611111111111118E-3</v>
      </c>
      <c r="AC1757" s="36">
        <f t="shared" si="487"/>
        <v>9.4999999999999876E-3</v>
      </c>
      <c r="AD1757" s="36">
        <f t="shared" si="487"/>
        <v>1.8111111111111106E-2</v>
      </c>
      <c r="AE1757" s="36">
        <f t="shared" si="487"/>
        <v>320</v>
      </c>
      <c r="AF1757" s="36">
        <f t="shared" si="487"/>
        <v>179</v>
      </c>
      <c r="AG1757" s="36" t="str">
        <f t="shared" si="487"/>
        <v>TIJ</v>
      </c>
    </row>
    <row r="1758" spans="18:33" x14ac:dyDescent="0.25">
      <c r="R1758">
        <v>1744</v>
      </c>
      <c r="S1758" s="36" t="str">
        <f t="shared" si="483"/>
        <v>BARATA Y MORADA</v>
      </c>
      <c r="T1758" s="36">
        <f t="shared" si="483"/>
        <v>424</v>
      </c>
      <c r="U1758" s="73">
        <v>0.52083333333333337</v>
      </c>
      <c r="V1758" s="74">
        <v>0.52777777777777779</v>
      </c>
      <c r="W1758" s="75">
        <v>6.9444444444444198E-3</v>
      </c>
      <c r="X1758" s="74">
        <v>0.54166666666666663</v>
      </c>
      <c r="Y1758" s="75">
        <v>1.388888888888884E-2</v>
      </c>
      <c r="Z1758" s="76">
        <v>41758</v>
      </c>
      <c r="AA1758" s="36" t="str">
        <f t="shared" si="487"/>
        <v>Nacional</v>
      </c>
      <c r="AB1758" s="36">
        <f t="shared" si="487"/>
        <v>8.611111111111118E-3</v>
      </c>
      <c r="AC1758" s="36">
        <f t="shared" si="487"/>
        <v>9.4999999999999876E-3</v>
      </c>
      <c r="AD1758" s="36">
        <f t="shared" si="487"/>
        <v>1.8111111111111106E-2</v>
      </c>
      <c r="AE1758" s="36">
        <f t="shared" si="487"/>
        <v>320</v>
      </c>
      <c r="AF1758" s="36">
        <f t="shared" si="487"/>
        <v>179</v>
      </c>
      <c r="AG1758" s="36" t="str">
        <f t="shared" si="487"/>
        <v>TIJ</v>
      </c>
    </row>
    <row r="1759" spans="18:33" ht="15.75" thickBot="1" x14ac:dyDescent="0.3">
      <c r="R1759">
        <v>1745</v>
      </c>
      <c r="S1759" s="36" t="str">
        <f t="shared" si="483"/>
        <v>BARATA Y MORADA</v>
      </c>
      <c r="T1759" s="36">
        <f t="shared" si="483"/>
        <v>424</v>
      </c>
      <c r="U1759" s="83">
        <v>0.5180555555555556</v>
      </c>
      <c r="V1759" s="84">
        <v>0.52361111111111114</v>
      </c>
      <c r="W1759" s="85">
        <v>5.5555555555555358E-3</v>
      </c>
      <c r="X1759" s="84">
        <v>0.53402777777777777</v>
      </c>
      <c r="Y1759" s="85">
        <v>1.041666666666663E-2</v>
      </c>
      <c r="Z1759" s="86">
        <v>41759</v>
      </c>
      <c r="AA1759" s="36" t="str">
        <f t="shared" si="487"/>
        <v>Nacional</v>
      </c>
      <c r="AB1759" s="36">
        <f t="shared" si="487"/>
        <v>8.611111111111118E-3</v>
      </c>
      <c r="AC1759" s="36">
        <f t="shared" si="487"/>
        <v>9.4999999999999876E-3</v>
      </c>
      <c r="AD1759" s="36">
        <f t="shared" si="487"/>
        <v>1.8111111111111106E-2</v>
      </c>
      <c r="AE1759" s="36">
        <f t="shared" si="487"/>
        <v>320</v>
      </c>
      <c r="AF1759" s="36">
        <f t="shared" si="487"/>
        <v>179</v>
      </c>
      <c r="AG1759" s="36" t="str">
        <f t="shared" si="487"/>
        <v>TIJ</v>
      </c>
    </row>
    <row r="1760" spans="18:33" x14ac:dyDescent="0.25">
      <c r="R1760">
        <v>1746</v>
      </c>
      <c r="S1760" s="45" t="s">
        <v>77</v>
      </c>
      <c r="T1760" s="55">
        <v>426</v>
      </c>
      <c r="U1760" s="56">
        <v>0.5805555555555556</v>
      </c>
      <c r="V1760" s="57">
        <v>0.59166666666666667</v>
      </c>
      <c r="W1760" s="58">
        <v>1.1111111111111072E-2</v>
      </c>
      <c r="X1760" s="57">
        <v>0.59722222222222221</v>
      </c>
      <c r="Y1760" s="58">
        <v>5.5555555555555358E-3</v>
      </c>
      <c r="Z1760" s="59">
        <v>41731</v>
      </c>
      <c r="AA1760" s="60" t="s">
        <v>19</v>
      </c>
      <c r="AB1760" s="61">
        <v>7.7614379084967192E-3</v>
      </c>
      <c r="AC1760" s="61">
        <v>1.0008169934640548E-2</v>
      </c>
      <c r="AD1760" s="231">
        <v>1.7769607843137268E-2</v>
      </c>
      <c r="AE1760" s="132">
        <v>320</v>
      </c>
      <c r="AF1760" s="132">
        <v>179</v>
      </c>
      <c r="AG1760" s="132" t="s">
        <v>34</v>
      </c>
    </row>
    <row r="1761" spans="18:33" x14ac:dyDescent="0.25">
      <c r="R1761">
        <v>1747</v>
      </c>
      <c r="S1761" s="36" t="str">
        <f t="shared" ref="S1761:T1821" si="488">S1760</f>
        <v>BARATA Y MORADA</v>
      </c>
      <c r="T1761" s="36">
        <f t="shared" si="488"/>
        <v>426</v>
      </c>
      <c r="U1761" s="73">
        <v>7.1527777777777787E-2</v>
      </c>
      <c r="V1761" s="74">
        <v>8.1250000000000003E-2</v>
      </c>
      <c r="W1761" s="75">
        <v>9.7222222222222154E-3</v>
      </c>
      <c r="X1761" s="74">
        <v>9.0277777777777776E-2</v>
      </c>
      <c r="Y1761" s="75">
        <v>9.0277777777777735E-3</v>
      </c>
      <c r="Z1761" s="76">
        <v>41732</v>
      </c>
      <c r="AA1761" s="36" t="str">
        <f t="shared" ref="AA1761:AG1776" si="489">AA1760</f>
        <v>Nacional</v>
      </c>
      <c r="AB1761" s="36">
        <f t="shared" si="489"/>
        <v>7.7614379084967192E-3</v>
      </c>
      <c r="AC1761" s="36">
        <f t="shared" si="489"/>
        <v>1.0008169934640548E-2</v>
      </c>
      <c r="AD1761" s="36">
        <f t="shared" si="489"/>
        <v>1.7769607843137268E-2</v>
      </c>
      <c r="AE1761" s="36">
        <f t="shared" si="489"/>
        <v>320</v>
      </c>
      <c r="AF1761" s="36">
        <f t="shared" si="489"/>
        <v>179</v>
      </c>
      <c r="AG1761" s="36" t="str">
        <f t="shared" si="489"/>
        <v>TIJ</v>
      </c>
    </row>
    <row r="1762" spans="18:33" x14ac:dyDescent="0.25">
      <c r="R1762">
        <v>1748</v>
      </c>
      <c r="S1762" s="36" t="str">
        <f t="shared" si="488"/>
        <v>BARATA Y MORADA</v>
      </c>
      <c r="T1762" s="36">
        <f t="shared" si="488"/>
        <v>426</v>
      </c>
      <c r="U1762" s="73">
        <v>0.57430555555555551</v>
      </c>
      <c r="V1762" s="74">
        <v>0.57986111111111105</v>
      </c>
      <c r="W1762" s="75">
        <v>5.5555555555555358E-3</v>
      </c>
      <c r="X1762" s="74">
        <v>0.59444444444444444</v>
      </c>
      <c r="Y1762" s="75">
        <v>1.4583333333333393E-2</v>
      </c>
      <c r="Z1762" s="76">
        <v>41733</v>
      </c>
      <c r="AA1762" s="36" t="str">
        <f t="shared" si="489"/>
        <v>Nacional</v>
      </c>
      <c r="AB1762" s="36">
        <f t="shared" si="489"/>
        <v>7.7614379084967192E-3</v>
      </c>
      <c r="AC1762" s="36">
        <f t="shared" si="489"/>
        <v>1.0008169934640548E-2</v>
      </c>
      <c r="AD1762" s="36">
        <f t="shared" si="489"/>
        <v>1.7769607843137268E-2</v>
      </c>
      <c r="AE1762" s="36">
        <f t="shared" si="489"/>
        <v>320</v>
      </c>
      <c r="AF1762" s="36">
        <f t="shared" si="489"/>
        <v>179</v>
      </c>
      <c r="AG1762" s="36" t="str">
        <f t="shared" si="489"/>
        <v>TIJ</v>
      </c>
    </row>
    <row r="1763" spans="18:33" x14ac:dyDescent="0.25">
      <c r="R1763">
        <v>1749</v>
      </c>
      <c r="S1763" s="36" t="str">
        <f t="shared" si="488"/>
        <v>BARATA Y MORADA</v>
      </c>
      <c r="T1763" s="36">
        <f t="shared" si="488"/>
        <v>426</v>
      </c>
      <c r="U1763" s="73">
        <v>0.56666666666666665</v>
      </c>
      <c r="V1763" s="74">
        <v>0.57291666666666663</v>
      </c>
      <c r="W1763" s="75">
        <v>6.2499999999999778E-3</v>
      </c>
      <c r="X1763" s="74">
        <v>0.58472222222222225</v>
      </c>
      <c r="Y1763" s="75">
        <v>1.1805555555555625E-2</v>
      </c>
      <c r="Z1763" s="76">
        <v>41735</v>
      </c>
      <c r="AA1763" s="36" t="str">
        <f t="shared" si="489"/>
        <v>Nacional</v>
      </c>
      <c r="AB1763" s="36">
        <f t="shared" si="489"/>
        <v>7.7614379084967192E-3</v>
      </c>
      <c r="AC1763" s="36">
        <f t="shared" si="489"/>
        <v>1.0008169934640548E-2</v>
      </c>
      <c r="AD1763" s="36">
        <f t="shared" si="489"/>
        <v>1.7769607843137268E-2</v>
      </c>
      <c r="AE1763" s="36">
        <f t="shared" si="489"/>
        <v>320</v>
      </c>
      <c r="AF1763" s="36">
        <f t="shared" si="489"/>
        <v>179</v>
      </c>
      <c r="AG1763" s="36" t="str">
        <f t="shared" si="489"/>
        <v>TIJ</v>
      </c>
    </row>
    <row r="1764" spans="18:33" x14ac:dyDescent="0.25">
      <c r="R1764">
        <v>1750</v>
      </c>
      <c r="S1764" s="36" t="str">
        <f t="shared" si="488"/>
        <v>BARATA Y MORADA</v>
      </c>
      <c r="T1764" s="36">
        <f t="shared" si="488"/>
        <v>426</v>
      </c>
      <c r="U1764" s="73">
        <v>0.57500000000000007</v>
      </c>
      <c r="V1764" s="74">
        <v>0.58124999999999993</v>
      </c>
      <c r="W1764" s="75">
        <v>6.2499999999998668E-3</v>
      </c>
      <c r="X1764" s="74">
        <v>0.59027777777777779</v>
      </c>
      <c r="Y1764" s="75">
        <v>9.0277777777778567E-3</v>
      </c>
      <c r="Z1764" s="76">
        <v>41737</v>
      </c>
      <c r="AA1764" s="36" t="str">
        <f t="shared" si="489"/>
        <v>Nacional</v>
      </c>
      <c r="AB1764" s="36">
        <f t="shared" si="489"/>
        <v>7.7614379084967192E-3</v>
      </c>
      <c r="AC1764" s="36">
        <f t="shared" si="489"/>
        <v>1.0008169934640548E-2</v>
      </c>
      <c r="AD1764" s="36">
        <f t="shared" si="489"/>
        <v>1.7769607843137268E-2</v>
      </c>
      <c r="AE1764" s="36">
        <f t="shared" si="489"/>
        <v>320</v>
      </c>
      <c r="AF1764" s="36">
        <f t="shared" si="489"/>
        <v>179</v>
      </c>
      <c r="AG1764" s="36" t="str">
        <f t="shared" si="489"/>
        <v>TIJ</v>
      </c>
    </row>
    <row r="1765" spans="18:33" x14ac:dyDescent="0.25">
      <c r="R1765">
        <v>1751</v>
      </c>
      <c r="S1765" s="36" t="str">
        <f t="shared" si="488"/>
        <v>BARATA Y MORADA</v>
      </c>
      <c r="T1765" s="36">
        <f t="shared" si="488"/>
        <v>426</v>
      </c>
      <c r="U1765" s="73">
        <v>0.57291666666666663</v>
      </c>
      <c r="V1765" s="74">
        <v>0.57708333333333328</v>
      </c>
      <c r="W1765" s="75">
        <v>4.1666666666666519E-3</v>
      </c>
      <c r="X1765" s="74">
        <v>0.58402777777777781</v>
      </c>
      <c r="Y1765" s="75">
        <v>6.9444444444445308E-3</v>
      </c>
      <c r="Z1765" s="76">
        <v>41739</v>
      </c>
      <c r="AA1765" s="36" t="str">
        <f t="shared" si="489"/>
        <v>Nacional</v>
      </c>
      <c r="AB1765" s="36">
        <f t="shared" si="489"/>
        <v>7.7614379084967192E-3</v>
      </c>
      <c r="AC1765" s="36">
        <f t="shared" si="489"/>
        <v>1.0008169934640548E-2</v>
      </c>
      <c r="AD1765" s="36">
        <f t="shared" si="489"/>
        <v>1.7769607843137268E-2</v>
      </c>
      <c r="AE1765" s="36">
        <f t="shared" si="489"/>
        <v>320</v>
      </c>
      <c r="AF1765" s="36">
        <f t="shared" si="489"/>
        <v>179</v>
      </c>
      <c r="AG1765" s="36" t="str">
        <f t="shared" si="489"/>
        <v>TIJ</v>
      </c>
    </row>
    <row r="1766" spans="18:33" x14ac:dyDescent="0.25">
      <c r="R1766">
        <v>1752</v>
      </c>
      <c r="S1766" s="36" t="str">
        <f t="shared" si="488"/>
        <v>BARATA Y MORADA</v>
      </c>
      <c r="T1766" s="36">
        <f t="shared" si="488"/>
        <v>426</v>
      </c>
      <c r="U1766" s="73">
        <v>0.56944444444444442</v>
      </c>
      <c r="V1766" s="74">
        <v>0.57986111111111105</v>
      </c>
      <c r="W1766" s="75">
        <v>1.041666666666663E-2</v>
      </c>
      <c r="X1766" s="74">
        <v>0.5854166666666667</v>
      </c>
      <c r="Y1766" s="75">
        <v>5.5555555555556468E-3</v>
      </c>
      <c r="Z1766" s="76">
        <v>41743</v>
      </c>
      <c r="AA1766" s="36" t="str">
        <f t="shared" si="489"/>
        <v>Nacional</v>
      </c>
      <c r="AB1766" s="36">
        <f t="shared" si="489"/>
        <v>7.7614379084967192E-3</v>
      </c>
      <c r="AC1766" s="36">
        <f t="shared" si="489"/>
        <v>1.0008169934640548E-2</v>
      </c>
      <c r="AD1766" s="36">
        <f t="shared" si="489"/>
        <v>1.7769607843137268E-2</v>
      </c>
      <c r="AE1766" s="36">
        <f t="shared" si="489"/>
        <v>320</v>
      </c>
      <c r="AF1766" s="36">
        <f t="shared" si="489"/>
        <v>179</v>
      </c>
      <c r="AG1766" s="36" t="str">
        <f t="shared" si="489"/>
        <v>TIJ</v>
      </c>
    </row>
    <row r="1767" spans="18:33" x14ac:dyDescent="0.25">
      <c r="R1767">
        <v>1753</v>
      </c>
      <c r="S1767" s="36" t="str">
        <f t="shared" si="488"/>
        <v>BARATA Y MORADA</v>
      </c>
      <c r="T1767" s="36">
        <f t="shared" si="488"/>
        <v>426</v>
      </c>
      <c r="U1767" s="73">
        <v>0.56319444444444444</v>
      </c>
      <c r="V1767" s="74">
        <v>0.57152777777777775</v>
      </c>
      <c r="W1767" s="75">
        <v>8.3333333333333037E-3</v>
      </c>
      <c r="X1767" s="74">
        <v>0.57986111111111105</v>
      </c>
      <c r="Y1767" s="75">
        <v>8.3333333333333037E-3</v>
      </c>
      <c r="Z1767" s="76">
        <v>41744</v>
      </c>
      <c r="AA1767" s="36" t="str">
        <f t="shared" si="489"/>
        <v>Nacional</v>
      </c>
      <c r="AB1767" s="36">
        <f t="shared" si="489"/>
        <v>7.7614379084967192E-3</v>
      </c>
      <c r="AC1767" s="36">
        <f t="shared" si="489"/>
        <v>1.0008169934640548E-2</v>
      </c>
      <c r="AD1767" s="36">
        <f t="shared" si="489"/>
        <v>1.7769607843137268E-2</v>
      </c>
      <c r="AE1767" s="36">
        <f t="shared" si="489"/>
        <v>320</v>
      </c>
      <c r="AF1767" s="36">
        <f t="shared" si="489"/>
        <v>179</v>
      </c>
      <c r="AG1767" s="36" t="str">
        <f t="shared" si="489"/>
        <v>TIJ</v>
      </c>
    </row>
    <row r="1768" spans="18:33" x14ac:dyDescent="0.25">
      <c r="R1768">
        <v>1754</v>
      </c>
      <c r="S1768" s="36" t="str">
        <f t="shared" si="488"/>
        <v>BARATA Y MORADA</v>
      </c>
      <c r="T1768" s="36">
        <f t="shared" si="488"/>
        <v>426</v>
      </c>
      <c r="U1768" s="73">
        <v>0.56944444444444442</v>
      </c>
      <c r="V1768" s="74">
        <v>0.57708333333333328</v>
      </c>
      <c r="W1768" s="75">
        <v>7.6388888888888618E-3</v>
      </c>
      <c r="X1768" s="74">
        <v>0.58472222222222225</v>
      </c>
      <c r="Y1768" s="75">
        <v>7.6388888888889728E-3</v>
      </c>
      <c r="Z1768" s="76">
        <v>41746</v>
      </c>
      <c r="AA1768" s="36" t="str">
        <f t="shared" si="489"/>
        <v>Nacional</v>
      </c>
      <c r="AB1768" s="36">
        <f t="shared" si="489"/>
        <v>7.7614379084967192E-3</v>
      </c>
      <c r="AC1768" s="36">
        <f t="shared" si="489"/>
        <v>1.0008169934640548E-2</v>
      </c>
      <c r="AD1768" s="36">
        <f t="shared" si="489"/>
        <v>1.7769607843137268E-2</v>
      </c>
      <c r="AE1768" s="36">
        <f t="shared" si="489"/>
        <v>320</v>
      </c>
      <c r="AF1768" s="36">
        <f t="shared" si="489"/>
        <v>179</v>
      </c>
      <c r="AG1768" s="36" t="str">
        <f t="shared" si="489"/>
        <v>TIJ</v>
      </c>
    </row>
    <row r="1769" spans="18:33" x14ac:dyDescent="0.25">
      <c r="R1769">
        <v>1755</v>
      </c>
      <c r="S1769" s="36" t="str">
        <f t="shared" si="488"/>
        <v>BARATA Y MORADA</v>
      </c>
      <c r="T1769" s="36">
        <f t="shared" si="488"/>
        <v>426</v>
      </c>
      <c r="U1769" s="73">
        <v>0.57847222222222217</v>
      </c>
      <c r="V1769" s="74">
        <v>0.58333333333333337</v>
      </c>
      <c r="W1769" s="75">
        <v>4.8611111111112049E-3</v>
      </c>
      <c r="X1769" s="74">
        <v>0.59236111111111112</v>
      </c>
      <c r="Y1769" s="75">
        <v>9.0277777777777457E-3</v>
      </c>
      <c r="Z1769" s="76">
        <v>41748</v>
      </c>
      <c r="AA1769" s="36" t="str">
        <f t="shared" si="489"/>
        <v>Nacional</v>
      </c>
      <c r="AB1769" s="36">
        <f t="shared" si="489"/>
        <v>7.7614379084967192E-3</v>
      </c>
      <c r="AC1769" s="36">
        <f t="shared" si="489"/>
        <v>1.0008169934640548E-2</v>
      </c>
      <c r="AD1769" s="36">
        <f t="shared" si="489"/>
        <v>1.7769607843137268E-2</v>
      </c>
      <c r="AE1769" s="36">
        <f t="shared" si="489"/>
        <v>320</v>
      </c>
      <c r="AF1769" s="36">
        <f t="shared" si="489"/>
        <v>179</v>
      </c>
      <c r="AG1769" s="36" t="str">
        <f t="shared" si="489"/>
        <v>TIJ</v>
      </c>
    </row>
    <row r="1770" spans="18:33" x14ac:dyDescent="0.25">
      <c r="R1770">
        <v>1756</v>
      </c>
      <c r="S1770" s="36" t="str">
        <f t="shared" si="488"/>
        <v>BARATA Y MORADA</v>
      </c>
      <c r="T1770" s="36">
        <f t="shared" si="488"/>
        <v>426</v>
      </c>
      <c r="U1770" s="73">
        <v>0.62152777777777779</v>
      </c>
      <c r="V1770" s="74">
        <v>0.63055555555555554</v>
      </c>
      <c r="W1770" s="75">
        <v>9.0277777777777457E-3</v>
      </c>
      <c r="X1770" s="74">
        <v>0.64236111111111105</v>
      </c>
      <c r="Y1770" s="75">
        <v>1.1805555555555514E-2</v>
      </c>
      <c r="Z1770" s="76">
        <v>41749</v>
      </c>
      <c r="AA1770" s="36" t="str">
        <f t="shared" si="489"/>
        <v>Nacional</v>
      </c>
      <c r="AB1770" s="36">
        <f t="shared" si="489"/>
        <v>7.7614379084967192E-3</v>
      </c>
      <c r="AC1770" s="36">
        <f t="shared" si="489"/>
        <v>1.0008169934640548E-2</v>
      </c>
      <c r="AD1770" s="36">
        <f t="shared" si="489"/>
        <v>1.7769607843137268E-2</v>
      </c>
      <c r="AE1770" s="36">
        <f t="shared" si="489"/>
        <v>320</v>
      </c>
      <c r="AF1770" s="36">
        <f t="shared" si="489"/>
        <v>179</v>
      </c>
      <c r="AG1770" s="36" t="str">
        <f t="shared" si="489"/>
        <v>TIJ</v>
      </c>
    </row>
    <row r="1771" spans="18:33" x14ac:dyDescent="0.25">
      <c r="R1771">
        <v>1757</v>
      </c>
      <c r="S1771" s="36" t="str">
        <f t="shared" si="488"/>
        <v>BARATA Y MORADA</v>
      </c>
      <c r="T1771" s="36">
        <f t="shared" si="488"/>
        <v>426</v>
      </c>
      <c r="U1771" s="73">
        <v>0.58680555555555558</v>
      </c>
      <c r="V1771" s="74">
        <v>0.59722222222222221</v>
      </c>
      <c r="W1771" s="75">
        <v>1.041666666666663E-2</v>
      </c>
      <c r="X1771" s="74">
        <v>0.60763888888888895</v>
      </c>
      <c r="Y1771" s="75">
        <v>1.0416666666666741E-2</v>
      </c>
      <c r="Z1771" s="76">
        <v>41750</v>
      </c>
      <c r="AA1771" s="36" t="str">
        <f t="shared" si="489"/>
        <v>Nacional</v>
      </c>
      <c r="AB1771" s="36">
        <f t="shared" si="489"/>
        <v>7.7614379084967192E-3</v>
      </c>
      <c r="AC1771" s="36">
        <f t="shared" si="489"/>
        <v>1.0008169934640548E-2</v>
      </c>
      <c r="AD1771" s="36">
        <f t="shared" si="489"/>
        <v>1.7769607843137268E-2</v>
      </c>
      <c r="AE1771" s="36">
        <f t="shared" si="489"/>
        <v>320</v>
      </c>
      <c r="AF1771" s="36">
        <f t="shared" si="489"/>
        <v>179</v>
      </c>
      <c r="AG1771" s="36" t="str">
        <f t="shared" si="489"/>
        <v>TIJ</v>
      </c>
    </row>
    <row r="1772" spans="18:33" x14ac:dyDescent="0.25">
      <c r="R1772">
        <v>1758</v>
      </c>
      <c r="S1772" s="36" t="str">
        <f t="shared" si="488"/>
        <v>BARATA Y MORADA</v>
      </c>
      <c r="T1772" s="36">
        <f t="shared" si="488"/>
        <v>426</v>
      </c>
      <c r="U1772" s="73">
        <v>0.56458333333333333</v>
      </c>
      <c r="V1772" s="74">
        <v>0.57291666666666663</v>
      </c>
      <c r="W1772" s="75">
        <v>8.3333333333333037E-3</v>
      </c>
      <c r="X1772" s="74">
        <v>0.59027777777777779</v>
      </c>
      <c r="Y1772" s="75">
        <v>1.736111111111116E-2</v>
      </c>
      <c r="Z1772" s="76">
        <v>41753</v>
      </c>
      <c r="AA1772" s="36" t="str">
        <f t="shared" si="489"/>
        <v>Nacional</v>
      </c>
      <c r="AB1772" s="36">
        <f t="shared" si="489"/>
        <v>7.7614379084967192E-3</v>
      </c>
      <c r="AC1772" s="36">
        <f t="shared" si="489"/>
        <v>1.0008169934640548E-2</v>
      </c>
      <c r="AD1772" s="36">
        <f t="shared" si="489"/>
        <v>1.7769607843137268E-2</v>
      </c>
      <c r="AE1772" s="36">
        <f t="shared" si="489"/>
        <v>320</v>
      </c>
      <c r="AF1772" s="36">
        <f t="shared" si="489"/>
        <v>179</v>
      </c>
      <c r="AG1772" s="36" t="str">
        <f t="shared" si="489"/>
        <v>TIJ</v>
      </c>
    </row>
    <row r="1773" spans="18:33" x14ac:dyDescent="0.25">
      <c r="R1773">
        <v>1759</v>
      </c>
      <c r="S1773" s="36" t="str">
        <f t="shared" si="488"/>
        <v>BARATA Y MORADA</v>
      </c>
      <c r="T1773" s="36">
        <f t="shared" si="488"/>
        <v>426</v>
      </c>
      <c r="U1773" s="73">
        <v>0.57222222222222219</v>
      </c>
      <c r="V1773" s="74">
        <v>0.57638888888888895</v>
      </c>
      <c r="W1773" s="75">
        <v>4.1666666666667629E-3</v>
      </c>
      <c r="X1773" s="74">
        <v>0.59236111111111112</v>
      </c>
      <c r="Y1773" s="75">
        <v>1.5972222222222165E-2</v>
      </c>
      <c r="Z1773" s="76">
        <v>41756</v>
      </c>
      <c r="AA1773" s="36" t="str">
        <f t="shared" si="489"/>
        <v>Nacional</v>
      </c>
      <c r="AB1773" s="36">
        <f t="shared" si="489"/>
        <v>7.7614379084967192E-3</v>
      </c>
      <c r="AC1773" s="36">
        <f t="shared" si="489"/>
        <v>1.0008169934640548E-2</v>
      </c>
      <c r="AD1773" s="36">
        <f t="shared" si="489"/>
        <v>1.7769607843137268E-2</v>
      </c>
      <c r="AE1773" s="36">
        <f t="shared" si="489"/>
        <v>320</v>
      </c>
      <c r="AF1773" s="36">
        <f t="shared" si="489"/>
        <v>179</v>
      </c>
      <c r="AG1773" s="36" t="str">
        <f t="shared" si="489"/>
        <v>TIJ</v>
      </c>
    </row>
    <row r="1774" spans="18:33" x14ac:dyDescent="0.25">
      <c r="R1774">
        <v>1760</v>
      </c>
      <c r="S1774" s="36" t="str">
        <f t="shared" si="488"/>
        <v>BARATA Y MORADA</v>
      </c>
      <c r="T1774" s="36">
        <f t="shared" si="488"/>
        <v>426</v>
      </c>
      <c r="U1774" s="73">
        <v>0.57291666666666663</v>
      </c>
      <c r="V1774" s="74">
        <v>0.57916666666666672</v>
      </c>
      <c r="W1774" s="75">
        <v>6.2500000000000888E-3</v>
      </c>
      <c r="X1774" s="74">
        <v>0.59027777777777779</v>
      </c>
      <c r="Y1774" s="75">
        <v>1.1111111111111072E-2</v>
      </c>
      <c r="Z1774" s="76">
        <v>41757</v>
      </c>
      <c r="AA1774" s="36" t="str">
        <f t="shared" si="489"/>
        <v>Nacional</v>
      </c>
      <c r="AB1774" s="36">
        <f t="shared" si="489"/>
        <v>7.7614379084967192E-3</v>
      </c>
      <c r="AC1774" s="36">
        <f t="shared" si="489"/>
        <v>1.0008169934640548E-2</v>
      </c>
      <c r="AD1774" s="36">
        <f t="shared" si="489"/>
        <v>1.7769607843137268E-2</v>
      </c>
      <c r="AE1774" s="36">
        <f t="shared" si="489"/>
        <v>320</v>
      </c>
      <c r="AF1774" s="36">
        <f t="shared" si="489"/>
        <v>179</v>
      </c>
      <c r="AG1774" s="36" t="str">
        <f t="shared" si="489"/>
        <v>TIJ</v>
      </c>
    </row>
    <row r="1775" spans="18:33" x14ac:dyDescent="0.25">
      <c r="R1775">
        <v>1761</v>
      </c>
      <c r="S1775" s="36" t="str">
        <f t="shared" si="488"/>
        <v>BARATA Y MORADA</v>
      </c>
      <c r="T1775" s="36">
        <f t="shared" si="488"/>
        <v>426</v>
      </c>
      <c r="U1775" s="73">
        <v>0.56944444444444442</v>
      </c>
      <c r="V1775" s="74">
        <v>0.57986111111111105</v>
      </c>
      <c r="W1775" s="75">
        <v>1.041666666666663E-2</v>
      </c>
      <c r="X1775" s="74">
        <v>0.59027777777777779</v>
      </c>
      <c r="Y1775" s="75">
        <v>1.0416666666666741E-2</v>
      </c>
      <c r="Z1775" s="76">
        <v>41758</v>
      </c>
      <c r="AA1775" s="36" t="str">
        <f t="shared" si="489"/>
        <v>Nacional</v>
      </c>
      <c r="AB1775" s="36">
        <f t="shared" si="489"/>
        <v>7.7614379084967192E-3</v>
      </c>
      <c r="AC1775" s="36">
        <f t="shared" si="489"/>
        <v>1.0008169934640548E-2</v>
      </c>
      <c r="AD1775" s="36">
        <f t="shared" si="489"/>
        <v>1.7769607843137268E-2</v>
      </c>
      <c r="AE1775" s="36">
        <f t="shared" si="489"/>
        <v>320</v>
      </c>
      <c r="AF1775" s="36">
        <f t="shared" si="489"/>
        <v>179</v>
      </c>
      <c r="AG1775" s="36" t="str">
        <f t="shared" si="489"/>
        <v>TIJ</v>
      </c>
    </row>
    <row r="1776" spans="18:33" ht="15.75" thickBot="1" x14ac:dyDescent="0.3">
      <c r="R1776">
        <v>1762</v>
      </c>
      <c r="S1776" s="36" t="str">
        <f t="shared" si="488"/>
        <v>BARATA Y MORADA</v>
      </c>
      <c r="T1776" s="36">
        <f t="shared" si="488"/>
        <v>426</v>
      </c>
      <c r="U1776" s="83">
        <v>0.58194444444444449</v>
      </c>
      <c r="V1776" s="84">
        <v>0.59097222222222223</v>
      </c>
      <c r="W1776" s="85">
        <v>9.0277777777777457E-3</v>
      </c>
      <c r="X1776" s="84">
        <v>0.59652777777777777</v>
      </c>
      <c r="Y1776" s="85">
        <v>5.5555555555555358E-3</v>
      </c>
      <c r="Z1776" s="86">
        <v>41759</v>
      </c>
      <c r="AA1776" s="36" t="str">
        <f t="shared" si="489"/>
        <v>Nacional</v>
      </c>
      <c r="AB1776" s="36">
        <f t="shared" si="489"/>
        <v>7.7614379084967192E-3</v>
      </c>
      <c r="AC1776" s="36">
        <f t="shared" si="489"/>
        <v>1.0008169934640548E-2</v>
      </c>
      <c r="AD1776" s="36">
        <f t="shared" si="489"/>
        <v>1.7769607843137268E-2</v>
      </c>
      <c r="AE1776" s="36">
        <f t="shared" si="489"/>
        <v>320</v>
      </c>
      <c r="AF1776" s="36">
        <f t="shared" si="489"/>
        <v>179</v>
      </c>
      <c r="AG1776" s="36" t="str">
        <f t="shared" si="489"/>
        <v>TIJ</v>
      </c>
    </row>
    <row r="1777" spans="18:33" x14ac:dyDescent="0.25">
      <c r="R1777">
        <v>1763</v>
      </c>
      <c r="S1777" s="36" t="str">
        <f t="shared" si="488"/>
        <v>BARATA Y MORADA</v>
      </c>
      <c r="T1777" s="55">
        <v>428</v>
      </c>
      <c r="U1777" s="56">
        <v>0.66319444444444442</v>
      </c>
      <c r="V1777" s="57">
        <v>0.67152777777777783</v>
      </c>
      <c r="W1777" s="58">
        <v>8.3333333333334147E-3</v>
      </c>
      <c r="X1777" s="57">
        <v>0.67986111111111114</v>
      </c>
      <c r="Y1777" s="58">
        <v>8.3333333333333037E-3</v>
      </c>
      <c r="Z1777" s="59">
        <v>41730</v>
      </c>
      <c r="AA1777" s="60" t="s">
        <v>19</v>
      </c>
      <c r="AB1777" s="61">
        <v>6.3446969696969733E-3</v>
      </c>
      <c r="AC1777" s="61">
        <v>1.0574494949494953E-2</v>
      </c>
      <c r="AD1777" s="231">
        <v>1.6919191919191928E-2</v>
      </c>
      <c r="AE1777" s="132">
        <v>320</v>
      </c>
      <c r="AF1777" s="132">
        <v>179</v>
      </c>
      <c r="AG1777" s="132" t="s">
        <v>34</v>
      </c>
    </row>
    <row r="1778" spans="18:33" x14ac:dyDescent="0.25">
      <c r="R1778">
        <v>1764</v>
      </c>
      <c r="S1778" s="36" t="str">
        <f t="shared" si="488"/>
        <v>BARATA Y MORADA</v>
      </c>
      <c r="T1778" s="36">
        <f t="shared" si="488"/>
        <v>428</v>
      </c>
      <c r="U1778" s="73">
        <v>0.14583333333333334</v>
      </c>
      <c r="V1778" s="74">
        <v>0.15694444444444444</v>
      </c>
      <c r="W1778" s="75">
        <v>1.1111111111111099E-2</v>
      </c>
      <c r="X1778" s="74">
        <v>0.1673611111111111</v>
      </c>
      <c r="Y1778" s="75">
        <v>1.0416666666666657E-2</v>
      </c>
      <c r="Z1778" s="76">
        <v>41732</v>
      </c>
      <c r="AA1778" s="36" t="str">
        <f t="shared" ref="AA1778:AG1798" si="490">AA1777</f>
        <v>Nacional</v>
      </c>
      <c r="AB1778" s="36">
        <f t="shared" si="490"/>
        <v>6.3446969696969733E-3</v>
      </c>
      <c r="AC1778" s="36">
        <f t="shared" si="490"/>
        <v>1.0574494949494953E-2</v>
      </c>
      <c r="AD1778" s="36">
        <f t="shared" si="490"/>
        <v>1.6919191919191928E-2</v>
      </c>
      <c r="AE1778" s="36">
        <f t="shared" si="490"/>
        <v>320</v>
      </c>
      <c r="AF1778" s="36">
        <f t="shared" si="490"/>
        <v>179</v>
      </c>
      <c r="AG1778" s="36" t="str">
        <f t="shared" si="490"/>
        <v>TIJ</v>
      </c>
    </row>
    <row r="1779" spans="18:33" x14ac:dyDescent="0.25">
      <c r="R1779">
        <v>1765</v>
      </c>
      <c r="S1779" s="36" t="str">
        <f t="shared" si="488"/>
        <v>BARATA Y MORADA</v>
      </c>
      <c r="T1779" s="36">
        <f t="shared" si="488"/>
        <v>428</v>
      </c>
      <c r="U1779" s="73">
        <v>0.66875000000000007</v>
      </c>
      <c r="V1779" s="74">
        <v>0.67499999999999993</v>
      </c>
      <c r="W1779" s="75">
        <v>6.2499999999998668E-3</v>
      </c>
      <c r="X1779" s="74">
        <v>0.68680555555555556</v>
      </c>
      <c r="Y1779" s="75">
        <v>1.1805555555555625E-2</v>
      </c>
      <c r="Z1779" s="76">
        <v>41733</v>
      </c>
      <c r="AA1779" s="36" t="str">
        <f t="shared" si="490"/>
        <v>Nacional</v>
      </c>
      <c r="AB1779" s="36">
        <f t="shared" si="490"/>
        <v>6.3446969696969733E-3</v>
      </c>
      <c r="AC1779" s="36">
        <f t="shared" si="490"/>
        <v>1.0574494949494953E-2</v>
      </c>
      <c r="AD1779" s="36">
        <f t="shared" si="490"/>
        <v>1.6919191919191928E-2</v>
      </c>
      <c r="AE1779" s="36">
        <f t="shared" si="490"/>
        <v>320</v>
      </c>
      <c r="AF1779" s="36">
        <f t="shared" si="490"/>
        <v>179</v>
      </c>
      <c r="AG1779" s="36" t="str">
        <f t="shared" si="490"/>
        <v>TIJ</v>
      </c>
    </row>
    <row r="1780" spans="18:33" x14ac:dyDescent="0.25">
      <c r="R1780">
        <v>1766</v>
      </c>
      <c r="S1780" s="36" t="str">
        <f t="shared" si="488"/>
        <v>BARATA Y MORADA</v>
      </c>
      <c r="T1780" s="36">
        <f t="shared" si="488"/>
        <v>428</v>
      </c>
      <c r="U1780" s="73">
        <v>0.67361111111111116</v>
      </c>
      <c r="V1780" s="74">
        <v>0.67708333333333337</v>
      </c>
      <c r="W1780" s="75">
        <v>3.4722222222222099E-3</v>
      </c>
      <c r="X1780" s="74">
        <v>0.68819444444444444</v>
      </c>
      <c r="Y1780" s="75">
        <v>1.1111111111111072E-2</v>
      </c>
      <c r="Z1780" s="76">
        <v>41735</v>
      </c>
      <c r="AA1780" s="36" t="str">
        <f t="shared" si="490"/>
        <v>Nacional</v>
      </c>
      <c r="AB1780" s="36">
        <f t="shared" si="490"/>
        <v>6.3446969696969733E-3</v>
      </c>
      <c r="AC1780" s="36">
        <f t="shared" si="490"/>
        <v>1.0574494949494953E-2</v>
      </c>
      <c r="AD1780" s="36">
        <f t="shared" si="490"/>
        <v>1.6919191919191928E-2</v>
      </c>
      <c r="AE1780" s="36">
        <f t="shared" si="490"/>
        <v>320</v>
      </c>
      <c r="AF1780" s="36">
        <f t="shared" si="490"/>
        <v>179</v>
      </c>
      <c r="AG1780" s="36" t="str">
        <f t="shared" si="490"/>
        <v>TIJ</v>
      </c>
    </row>
    <row r="1781" spans="18:33" x14ac:dyDescent="0.25">
      <c r="R1781">
        <v>1767</v>
      </c>
      <c r="S1781" s="36" t="str">
        <f t="shared" si="488"/>
        <v>BARATA Y MORADA</v>
      </c>
      <c r="T1781" s="36">
        <f t="shared" si="488"/>
        <v>428</v>
      </c>
      <c r="U1781" s="73">
        <v>0.66527777777777775</v>
      </c>
      <c r="V1781" s="74">
        <v>0.67013888888888884</v>
      </c>
      <c r="W1781" s="75">
        <v>4.8611111111110938E-3</v>
      </c>
      <c r="X1781" s="74">
        <v>0.67638888888888893</v>
      </c>
      <c r="Y1781" s="75">
        <v>6.2500000000000888E-3</v>
      </c>
      <c r="Z1781" s="76">
        <v>41736</v>
      </c>
      <c r="AA1781" s="36" t="str">
        <f t="shared" si="490"/>
        <v>Nacional</v>
      </c>
      <c r="AB1781" s="36">
        <f t="shared" si="490"/>
        <v>6.3446969696969733E-3</v>
      </c>
      <c r="AC1781" s="36">
        <f t="shared" si="490"/>
        <v>1.0574494949494953E-2</v>
      </c>
      <c r="AD1781" s="36">
        <f t="shared" si="490"/>
        <v>1.6919191919191928E-2</v>
      </c>
      <c r="AE1781" s="36">
        <f t="shared" si="490"/>
        <v>320</v>
      </c>
      <c r="AF1781" s="36">
        <f t="shared" si="490"/>
        <v>179</v>
      </c>
      <c r="AG1781" s="36" t="str">
        <f t="shared" si="490"/>
        <v>TIJ</v>
      </c>
    </row>
    <row r="1782" spans="18:33" x14ac:dyDescent="0.25">
      <c r="R1782">
        <v>1768</v>
      </c>
      <c r="S1782" s="36" t="str">
        <f t="shared" si="488"/>
        <v>BARATA Y MORADA</v>
      </c>
      <c r="T1782" s="36">
        <f t="shared" si="488"/>
        <v>428</v>
      </c>
      <c r="U1782" s="73">
        <v>0.67708333333333337</v>
      </c>
      <c r="V1782" s="74">
        <v>0.67986111111111114</v>
      </c>
      <c r="W1782" s="75">
        <v>2.7777777777777679E-3</v>
      </c>
      <c r="X1782" s="74">
        <v>0.68125000000000002</v>
      </c>
      <c r="Y1782" s="75">
        <v>1.388888888888884E-3</v>
      </c>
      <c r="Z1782" s="76">
        <v>41737</v>
      </c>
      <c r="AA1782" s="36" t="str">
        <f t="shared" si="490"/>
        <v>Nacional</v>
      </c>
      <c r="AB1782" s="36">
        <f t="shared" si="490"/>
        <v>6.3446969696969733E-3</v>
      </c>
      <c r="AC1782" s="36">
        <f t="shared" si="490"/>
        <v>1.0574494949494953E-2</v>
      </c>
      <c r="AD1782" s="36">
        <f t="shared" si="490"/>
        <v>1.6919191919191928E-2</v>
      </c>
      <c r="AE1782" s="36">
        <f t="shared" si="490"/>
        <v>320</v>
      </c>
      <c r="AF1782" s="36">
        <f t="shared" si="490"/>
        <v>179</v>
      </c>
      <c r="AG1782" s="36" t="str">
        <f t="shared" si="490"/>
        <v>TIJ</v>
      </c>
    </row>
    <row r="1783" spans="18:33" x14ac:dyDescent="0.25">
      <c r="R1783">
        <v>1769</v>
      </c>
      <c r="S1783" s="36" t="str">
        <f t="shared" si="488"/>
        <v>BARATA Y MORADA</v>
      </c>
      <c r="T1783" s="36">
        <f t="shared" si="488"/>
        <v>428</v>
      </c>
      <c r="U1783" s="73">
        <v>0.67708333333333337</v>
      </c>
      <c r="V1783" s="74">
        <v>0.67847222222222225</v>
      </c>
      <c r="W1783" s="75">
        <v>1.388888888888884E-3</v>
      </c>
      <c r="X1783" s="74">
        <v>0.68194444444444446</v>
      </c>
      <c r="Y1783" s="75">
        <v>3.4722222222222099E-3</v>
      </c>
      <c r="Z1783" s="76">
        <v>41738</v>
      </c>
      <c r="AA1783" s="36" t="str">
        <f t="shared" si="490"/>
        <v>Nacional</v>
      </c>
      <c r="AB1783" s="36">
        <f t="shared" si="490"/>
        <v>6.3446969696969733E-3</v>
      </c>
      <c r="AC1783" s="36">
        <f t="shared" si="490"/>
        <v>1.0574494949494953E-2</v>
      </c>
      <c r="AD1783" s="36">
        <f t="shared" si="490"/>
        <v>1.6919191919191928E-2</v>
      </c>
      <c r="AE1783" s="36">
        <f t="shared" si="490"/>
        <v>320</v>
      </c>
      <c r="AF1783" s="36">
        <f t="shared" si="490"/>
        <v>179</v>
      </c>
      <c r="AG1783" s="36" t="str">
        <f t="shared" si="490"/>
        <v>TIJ</v>
      </c>
    </row>
    <row r="1784" spans="18:33" x14ac:dyDescent="0.25">
      <c r="R1784">
        <v>1770</v>
      </c>
      <c r="S1784" s="36" t="str">
        <f t="shared" si="488"/>
        <v>BARATA Y MORADA</v>
      </c>
      <c r="T1784" s="36">
        <f t="shared" si="488"/>
        <v>428</v>
      </c>
      <c r="U1784" s="73">
        <v>0.67847222222222225</v>
      </c>
      <c r="V1784" s="74">
        <v>0.67986111111111114</v>
      </c>
      <c r="W1784" s="75">
        <v>1.388888888888884E-3</v>
      </c>
      <c r="X1784" s="74">
        <v>0.69027777777777777</v>
      </c>
      <c r="Y1784" s="75">
        <v>1.041666666666663E-2</v>
      </c>
      <c r="Z1784" s="76">
        <v>41739</v>
      </c>
      <c r="AA1784" s="36" t="str">
        <f t="shared" si="490"/>
        <v>Nacional</v>
      </c>
      <c r="AB1784" s="36">
        <f t="shared" si="490"/>
        <v>6.3446969696969733E-3</v>
      </c>
      <c r="AC1784" s="36">
        <f t="shared" si="490"/>
        <v>1.0574494949494953E-2</v>
      </c>
      <c r="AD1784" s="36">
        <f t="shared" si="490"/>
        <v>1.6919191919191928E-2</v>
      </c>
      <c r="AE1784" s="36">
        <f t="shared" si="490"/>
        <v>320</v>
      </c>
      <c r="AF1784" s="36">
        <f t="shared" si="490"/>
        <v>179</v>
      </c>
      <c r="AG1784" s="36" t="str">
        <f t="shared" si="490"/>
        <v>TIJ</v>
      </c>
    </row>
    <row r="1785" spans="18:33" x14ac:dyDescent="0.25">
      <c r="R1785">
        <v>1771</v>
      </c>
      <c r="S1785" s="36" t="str">
        <f t="shared" si="488"/>
        <v>BARATA Y MORADA</v>
      </c>
      <c r="T1785" s="36">
        <f t="shared" si="488"/>
        <v>428</v>
      </c>
      <c r="U1785" s="73">
        <v>0.66319444444444442</v>
      </c>
      <c r="V1785" s="74">
        <v>0.67152777777777783</v>
      </c>
      <c r="W1785" s="75">
        <v>8.3333333333334147E-3</v>
      </c>
      <c r="X1785" s="74">
        <v>0.67986111111111114</v>
      </c>
      <c r="Y1785" s="75">
        <v>8.3333333333333037E-3</v>
      </c>
      <c r="Z1785" s="76">
        <v>41742</v>
      </c>
      <c r="AA1785" s="36" t="str">
        <f t="shared" si="490"/>
        <v>Nacional</v>
      </c>
      <c r="AB1785" s="36">
        <f t="shared" si="490"/>
        <v>6.3446969696969733E-3</v>
      </c>
      <c r="AC1785" s="36">
        <f t="shared" si="490"/>
        <v>1.0574494949494953E-2</v>
      </c>
      <c r="AD1785" s="36">
        <f t="shared" si="490"/>
        <v>1.6919191919191928E-2</v>
      </c>
      <c r="AE1785" s="36">
        <f t="shared" si="490"/>
        <v>320</v>
      </c>
      <c r="AF1785" s="36">
        <f t="shared" si="490"/>
        <v>179</v>
      </c>
      <c r="AG1785" s="36" t="str">
        <f t="shared" si="490"/>
        <v>TIJ</v>
      </c>
    </row>
    <row r="1786" spans="18:33" x14ac:dyDescent="0.25">
      <c r="R1786">
        <v>1772</v>
      </c>
      <c r="S1786" s="36" t="str">
        <f t="shared" si="488"/>
        <v>BARATA Y MORADA</v>
      </c>
      <c r="T1786" s="36">
        <f t="shared" si="488"/>
        <v>428</v>
      </c>
      <c r="U1786" s="73">
        <v>0.69513888888888886</v>
      </c>
      <c r="V1786" s="74">
        <v>0.70138888888888884</v>
      </c>
      <c r="W1786" s="75">
        <v>6.2499999999999778E-3</v>
      </c>
      <c r="X1786" s="74">
        <v>0.71250000000000002</v>
      </c>
      <c r="Y1786" s="75">
        <v>1.1111111111111183E-2</v>
      </c>
      <c r="Z1786" s="76">
        <v>41743</v>
      </c>
      <c r="AA1786" s="36" t="str">
        <f t="shared" si="490"/>
        <v>Nacional</v>
      </c>
      <c r="AB1786" s="36">
        <f t="shared" si="490"/>
        <v>6.3446969696969733E-3</v>
      </c>
      <c r="AC1786" s="36">
        <f t="shared" si="490"/>
        <v>1.0574494949494953E-2</v>
      </c>
      <c r="AD1786" s="36">
        <f t="shared" si="490"/>
        <v>1.6919191919191928E-2</v>
      </c>
      <c r="AE1786" s="36">
        <f t="shared" si="490"/>
        <v>320</v>
      </c>
      <c r="AF1786" s="36">
        <f t="shared" si="490"/>
        <v>179</v>
      </c>
      <c r="AG1786" s="36" t="str">
        <f t="shared" si="490"/>
        <v>TIJ</v>
      </c>
    </row>
    <row r="1787" spans="18:33" x14ac:dyDescent="0.25">
      <c r="R1787">
        <v>1773</v>
      </c>
      <c r="S1787" s="36" t="str">
        <f t="shared" si="488"/>
        <v>BARATA Y MORADA</v>
      </c>
      <c r="T1787" s="36">
        <f t="shared" si="488"/>
        <v>428</v>
      </c>
      <c r="U1787" s="73">
        <v>0.6645833333333333</v>
      </c>
      <c r="V1787" s="74">
        <v>0.67361111111111116</v>
      </c>
      <c r="W1787" s="75">
        <v>9.0277777777778567E-3</v>
      </c>
      <c r="X1787" s="74">
        <v>0.68333333333333324</v>
      </c>
      <c r="Y1787" s="75">
        <v>9.7222222222220767E-3</v>
      </c>
      <c r="Z1787" s="76">
        <v>41744</v>
      </c>
      <c r="AA1787" s="36" t="str">
        <f t="shared" si="490"/>
        <v>Nacional</v>
      </c>
      <c r="AB1787" s="36">
        <f t="shared" si="490"/>
        <v>6.3446969696969733E-3</v>
      </c>
      <c r="AC1787" s="36">
        <f t="shared" si="490"/>
        <v>1.0574494949494953E-2</v>
      </c>
      <c r="AD1787" s="36">
        <f t="shared" si="490"/>
        <v>1.6919191919191928E-2</v>
      </c>
      <c r="AE1787" s="36">
        <f t="shared" si="490"/>
        <v>320</v>
      </c>
      <c r="AF1787" s="36">
        <f t="shared" si="490"/>
        <v>179</v>
      </c>
      <c r="AG1787" s="36" t="str">
        <f t="shared" si="490"/>
        <v>TIJ</v>
      </c>
    </row>
    <row r="1788" spans="18:33" x14ac:dyDescent="0.25">
      <c r="R1788">
        <v>1774</v>
      </c>
      <c r="S1788" s="36" t="str">
        <f t="shared" si="488"/>
        <v>BARATA Y MORADA</v>
      </c>
      <c r="T1788" s="36">
        <f t="shared" si="488"/>
        <v>428</v>
      </c>
      <c r="U1788" s="73">
        <v>0.66597222222222219</v>
      </c>
      <c r="V1788" s="74">
        <v>0.66666666666666663</v>
      </c>
      <c r="W1788" s="75">
        <v>6.9444444444444198E-4</v>
      </c>
      <c r="X1788" s="74">
        <v>0.67638888888888893</v>
      </c>
      <c r="Y1788" s="75">
        <v>9.7222222222222987E-3</v>
      </c>
      <c r="Z1788" s="76">
        <v>41745</v>
      </c>
      <c r="AA1788" s="36" t="str">
        <f t="shared" si="490"/>
        <v>Nacional</v>
      </c>
      <c r="AB1788" s="36">
        <f t="shared" si="490"/>
        <v>6.3446969696969733E-3</v>
      </c>
      <c r="AC1788" s="36">
        <f t="shared" si="490"/>
        <v>1.0574494949494953E-2</v>
      </c>
      <c r="AD1788" s="36">
        <f t="shared" si="490"/>
        <v>1.6919191919191928E-2</v>
      </c>
      <c r="AE1788" s="36">
        <f t="shared" si="490"/>
        <v>320</v>
      </c>
      <c r="AF1788" s="36">
        <f t="shared" si="490"/>
        <v>179</v>
      </c>
      <c r="AG1788" s="36" t="str">
        <f t="shared" si="490"/>
        <v>TIJ</v>
      </c>
    </row>
    <row r="1789" spans="18:33" x14ac:dyDescent="0.25">
      <c r="R1789">
        <v>1775</v>
      </c>
      <c r="S1789" s="36" t="str">
        <f t="shared" si="488"/>
        <v>BARATA Y MORADA</v>
      </c>
      <c r="T1789" s="36">
        <f t="shared" si="488"/>
        <v>428</v>
      </c>
      <c r="U1789" s="73">
        <v>0.67013888888888884</v>
      </c>
      <c r="V1789" s="74">
        <v>0.67708333333333337</v>
      </c>
      <c r="W1789" s="75">
        <v>6.9444444444445308E-3</v>
      </c>
      <c r="X1789" s="74">
        <v>0.69027777777777777</v>
      </c>
      <c r="Y1789" s="75">
        <v>1.3194444444444398E-2</v>
      </c>
      <c r="Z1789" s="76">
        <v>41746</v>
      </c>
      <c r="AA1789" s="36" t="str">
        <f t="shared" si="490"/>
        <v>Nacional</v>
      </c>
      <c r="AB1789" s="36">
        <f t="shared" si="490"/>
        <v>6.3446969696969733E-3</v>
      </c>
      <c r="AC1789" s="36">
        <f t="shared" si="490"/>
        <v>1.0574494949494953E-2</v>
      </c>
      <c r="AD1789" s="36">
        <f t="shared" si="490"/>
        <v>1.6919191919191928E-2</v>
      </c>
      <c r="AE1789" s="36">
        <f t="shared" si="490"/>
        <v>320</v>
      </c>
      <c r="AF1789" s="36">
        <f t="shared" si="490"/>
        <v>179</v>
      </c>
      <c r="AG1789" s="36" t="str">
        <f t="shared" si="490"/>
        <v>TIJ</v>
      </c>
    </row>
    <row r="1790" spans="18:33" x14ac:dyDescent="0.25">
      <c r="R1790">
        <v>1776</v>
      </c>
      <c r="S1790" s="36" t="str">
        <f t="shared" si="488"/>
        <v>BARATA Y MORADA</v>
      </c>
      <c r="T1790" s="36">
        <f t="shared" si="488"/>
        <v>428</v>
      </c>
      <c r="U1790" s="73">
        <v>0.66319444444444442</v>
      </c>
      <c r="V1790" s="74">
        <v>0.6694444444444444</v>
      </c>
      <c r="W1790" s="75">
        <v>6.2499999999999778E-3</v>
      </c>
      <c r="X1790" s="74">
        <v>0.67986111111111114</v>
      </c>
      <c r="Y1790" s="75">
        <v>1.0416666666666741E-2</v>
      </c>
      <c r="Z1790" s="76">
        <v>41747</v>
      </c>
      <c r="AA1790" s="36" t="str">
        <f t="shared" si="490"/>
        <v>Nacional</v>
      </c>
      <c r="AB1790" s="36">
        <f t="shared" si="490"/>
        <v>6.3446969696969733E-3</v>
      </c>
      <c r="AC1790" s="36">
        <f t="shared" si="490"/>
        <v>1.0574494949494953E-2</v>
      </c>
      <c r="AD1790" s="36">
        <f t="shared" si="490"/>
        <v>1.6919191919191928E-2</v>
      </c>
      <c r="AE1790" s="36">
        <f t="shared" si="490"/>
        <v>320</v>
      </c>
      <c r="AF1790" s="36">
        <f t="shared" si="490"/>
        <v>179</v>
      </c>
      <c r="AG1790" s="36" t="str">
        <f t="shared" si="490"/>
        <v>TIJ</v>
      </c>
    </row>
    <row r="1791" spans="18:33" x14ac:dyDescent="0.25">
      <c r="R1791">
        <v>1777</v>
      </c>
      <c r="S1791" s="36" t="str">
        <f t="shared" si="488"/>
        <v>BARATA Y MORADA</v>
      </c>
      <c r="T1791" s="36">
        <f t="shared" si="488"/>
        <v>428</v>
      </c>
      <c r="U1791" s="73">
        <v>0.67083333333333339</v>
      </c>
      <c r="V1791" s="74">
        <v>0.67638888888888893</v>
      </c>
      <c r="W1791" s="75">
        <v>5.5555555555555358E-3</v>
      </c>
      <c r="X1791" s="74">
        <v>0.69166666666666676</v>
      </c>
      <c r="Y1791" s="75">
        <v>1.5277777777777835E-2</v>
      </c>
      <c r="Z1791" s="76">
        <v>41748</v>
      </c>
      <c r="AA1791" s="36" t="str">
        <f t="shared" si="490"/>
        <v>Nacional</v>
      </c>
      <c r="AB1791" s="36">
        <f t="shared" si="490"/>
        <v>6.3446969696969733E-3</v>
      </c>
      <c r="AC1791" s="36">
        <f t="shared" si="490"/>
        <v>1.0574494949494953E-2</v>
      </c>
      <c r="AD1791" s="36">
        <f t="shared" si="490"/>
        <v>1.6919191919191928E-2</v>
      </c>
      <c r="AE1791" s="36">
        <f t="shared" si="490"/>
        <v>320</v>
      </c>
      <c r="AF1791" s="36">
        <f t="shared" si="490"/>
        <v>179</v>
      </c>
      <c r="AG1791" s="36" t="str">
        <f t="shared" si="490"/>
        <v>TIJ</v>
      </c>
    </row>
    <row r="1792" spans="18:33" x14ac:dyDescent="0.25">
      <c r="R1792">
        <v>1778</v>
      </c>
      <c r="S1792" s="36" t="str">
        <f t="shared" si="488"/>
        <v>BARATA Y MORADA</v>
      </c>
      <c r="T1792" s="36">
        <f t="shared" si="488"/>
        <v>428</v>
      </c>
      <c r="U1792" s="73">
        <v>0.85555555555555562</v>
      </c>
      <c r="V1792" s="74">
        <v>0.8652777777777777</v>
      </c>
      <c r="W1792" s="75">
        <v>9.7222222222220767E-3</v>
      </c>
      <c r="X1792" s="74">
        <v>0.87430555555555556</v>
      </c>
      <c r="Y1792" s="75">
        <v>9.0277777777778567E-3</v>
      </c>
      <c r="Z1792" s="76">
        <v>41749</v>
      </c>
      <c r="AA1792" s="36" t="str">
        <f t="shared" si="490"/>
        <v>Nacional</v>
      </c>
      <c r="AB1792" s="36">
        <f t="shared" si="490"/>
        <v>6.3446969696969733E-3</v>
      </c>
      <c r="AC1792" s="36">
        <f t="shared" si="490"/>
        <v>1.0574494949494953E-2</v>
      </c>
      <c r="AD1792" s="36">
        <f t="shared" si="490"/>
        <v>1.6919191919191928E-2</v>
      </c>
      <c r="AE1792" s="36">
        <f t="shared" si="490"/>
        <v>320</v>
      </c>
      <c r="AF1792" s="36">
        <f t="shared" si="490"/>
        <v>179</v>
      </c>
      <c r="AG1792" s="36" t="str">
        <f t="shared" si="490"/>
        <v>TIJ</v>
      </c>
    </row>
    <row r="1793" spans="18:33" x14ac:dyDescent="0.25">
      <c r="R1793">
        <v>1779</v>
      </c>
      <c r="S1793" s="36" t="str">
        <f t="shared" si="488"/>
        <v>BARATA Y MORADA</v>
      </c>
      <c r="T1793" s="36">
        <f t="shared" si="488"/>
        <v>428</v>
      </c>
      <c r="U1793" s="73">
        <v>0.65972222222222221</v>
      </c>
      <c r="V1793" s="74">
        <v>0.67013888888888884</v>
      </c>
      <c r="W1793" s="75">
        <v>1.041666666666663E-2</v>
      </c>
      <c r="X1793" s="74">
        <v>0.67708333333333337</v>
      </c>
      <c r="Y1793" s="75">
        <v>6.9444444444445308E-3</v>
      </c>
      <c r="Z1793" s="76">
        <v>41750</v>
      </c>
      <c r="AA1793" s="36" t="str">
        <f t="shared" si="490"/>
        <v>Nacional</v>
      </c>
      <c r="AB1793" s="36">
        <f t="shared" si="490"/>
        <v>6.3446969696969733E-3</v>
      </c>
      <c r="AC1793" s="36">
        <f t="shared" si="490"/>
        <v>1.0574494949494953E-2</v>
      </c>
      <c r="AD1793" s="36">
        <f t="shared" si="490"/>
        <v>1.6919191919191928E-2</v>
      </c>
      <c r="AE1793" s="36">
        <f t="shared" si="490"/>
        <v>320</v>
      </c>
      <c r="AF1793" s="36">
        <f t="shared" si="490"/>
        <v>179</v>
      </c>
      <c r="AG1793" s="36" t="str">
        <f t="shared" si="490"/>
        <v>TIJ</v>
      </c>
    </row>
    <row r="1794" spans="18:33" x14ac:dyDescent="0.25">
      <c r="R1794">
        <v>1780</v>
      </c>
      <c r="S1794" s="36" t="str">
        <f t="shared" si="488"/>
        <v>BARATA Y MORADA</v>
      </c>
      <c r="T1794" s="36">
        <f t="shared" si="488"/>
        <v>428</v>
      </c>
      <c r="U1794" s="73">
        <v>0.65972222222222221</v>
      </c>
      <c r="V1794" s="74">
        <v>0.66666666666666663</v>
      </c>
      <c r="W1794" s="75">
        <v>6.9444444444444198E-3</v>
      </c>
      <c r="X1794" s="74">
        <v>0.68055555555555547</v>
      </c>
      <c r="Y1794" s="75">
        <v>1.388888888888884E-2</v>
      </c>
      <c r="Z1794" s="76">
        <v>41753</v>
      </c>
      <c r="AA1794" s="36" t="str">
        <f t="shared" si="490"/>
        <v>Nacional</v>
      </c>
      <c r="AB1794" s="36">
        <f t="shared" si="490"/>
        <v>6.3446969696969733E-3</v>
      </c>
      <c r="AC1794" s="36">
        <f t="shared" si="490"/>
        <v>1.0574494949494953E-2</v>
      </c>
      <c r="AD1794" s="36">
        <f t="shared" si="490"/>
        <v>1.6919191919191928E-2</v>
      </c>
      <c r="AE1794" s="36">
        <f t="shared" si="490"/>
        <v>320</v>
      </c>
      <c r="AF1794" s="36">
        <f t="shared" si="490"/>
        <v>179</v>
      </c>
      <c r="AG1794" s="36" t="str">
        <f t="shared" si="490"/>
        <v>TIJ</v>
      </c>
    </row>
    <row r="1795" spans="18:33" x14ac:dyDescent="0.25">
      <c r="R1795">
        <v>1781</v>
      </c>
      <c r="S1795" s="36" t="str">
        <f t="shared" si="488"/>
        <v>BARATA Y MORADA</v>
      </c>
      <c r="T1795" s="36">
        <f t="shared" si="488"/>
        <v>428</v>
      </c>
      <c r="U1795" s="73">
        <v>0.66180555555555554</v>
      </c>
      <c r="V1795" s="74">
        <v>0.66805555555555562</v>
      </c>
      <c r="W1795" s="75">
        <v>6.2500000000000888E-3</v>
      </c>
      <c r="X1795" s="74">
        <v>0.6791666666666667</v>
      </c>
      <c r="Y1795" s="75">
        <v>1.1111111111111072E-2</v>
      </c>
      <c r="Z1795" s="76">
        <v>41754</v>
      </c>
      <c r="AA1795" s="36" t="str">
        <f t="shared" si="490"/>
        <v>Nacional</v>
      </c>
      <c r="AB1795" s="36">
        <f t="shared" si="490"/>
        <v>6.3446969696969733E-3</v>
      </c>
      <c r="AC1795" s="36">
        <f t="shared" si="490"/>
        <v>1.0574494949494953E-2</v>
      </c>
      <c r="AD1795" s="36">
        <f t="shared" si="490"/>
        <v>1.6919191919191928E-2</v>
      </c>
      <c r="AE1795" s="36">
        <f t="shared" si="490"/>
        <v>320</v>
      </c>
      <c r="AF1795" s="36">
        <f t="shared" si="490"/>
        <v>179</v>
      </c>
      <c r="AG1795" s="36" t="str">
        <f t="shared" si="490"/>
        <v>TIJ</v>
      </c>
    </row>
    <row r="1796" spans="18:33" x14ac:dyDescent="0.25">
      <c r="R1796">
        <v>1782</v>
      </c>
      <c r="S1796" s="36" t="str">
        <f t="shared" si="488"/>
        <v>BARATA Y MORADA</v>
      </c>
      <c r="T1796" s="36">
        <f t="shared" si="488"/>
        <v>428</v>
      </c>
      <c r="U1796" s="73">
        <v>0.6743055555555556</v>
      </c>
      <c r="V1796" s="74">
        <v>0.68263888888888891</v>
      </c>
      <c r="W1796" s="75">
        <v>8.3333333333333037E-3</v>
      </c>
      <c r="X1796" s="74">
        <v>0.70000000000000007</v>
      </c>
      <c r="Y1796" s="75">
        <v>1.736111111111116E-2</v>
      </c>
      <c r="Z1796" s="76">
        <v>41756</v>
      </c>
      <c r="AA1796" s="36" t="str">
        <f t="shared" si="490"/>
        <v>Nacional</v>
      </c>
      <c r="AB1796" s="36">
        <f t="shared" si="490"/>
        <v>6.3446969696969733E-3</v>
      </c>
      <c r="AC1796" s="36">
        <f t="shared" si="490"/>
        <v>1.0574494949494953E-2</v>
      </c>
      <c r="AD1796" s="36">
        <f t="shared" si="490"/>
        <v>1.6919191919191928E-2</v>
      </c>
      <c r="AE1796" s="36">
        <f t="shared" si="490"/>
        <v>320</v>
      </c>
      <c r="AF1796" s="36">
        <f t="shared" si="490"/>
        <v>179</v>
      </c>
      <c r="AG1796" s="36" t="str">
        <f t="shared" si="490"/>
        <v>TIJ</v>
      </c>
    </row>
    <row r="1797" spans="18:33" x14ac:dyDescent="0.25">
      <c r="R1797">
        <v>1783</v>
      </c>
      <c r="S1797" s="36" t="str">
        <f t="shared" si="488"/>
        <v>BARATA Y MORADA</v>
      </c>
      <c r="T1797" s="36">
        <f t="shared" si="488"/>
        <v>428</v>
      </c>
      <c r="U1797" s="73">
        <v>0.6645833333333333</v>
      </c>
      <c r="V1797" s="74">
        <v>0.67361111111111116</v>
      </c>
      <c r="W1797" s="75">
        <v>9.0277777777778567E-3</v>
      </c>
      <c r="X1797" s="74">
        <v>0.68680555555555556</v>
      </c>
      <c r="Y1797" s="75">
        <v>1.3194444444444398E-2</v>
      </c>
      <c r="Z1797" s="76">
        <v>41757</v>
      </c>
      <c r="AA1797" s="36" t="str">
        <f t="shared" si="490"/>
        <v>Nacional</v>
      </c>
      <c r="AB1797" s="36">
        <f t="shared" si="490"/>
        <v>6.3446969696969733E-3</v>
      </c>
      <c r="AC1797" s="36">
        <f t="shared" si="490"/>
        <v>1.0574494949494953E-2</v>
      </c>
      <c r="AD1797" s="36">
        <f t="shared" si="490"/>
        <v>1.6919191919191928E-2</v>
      </c>
      <c r="AE1797" s="36">
        <f t="shared" si="490"/>
        <v>320</v>
      </c>
      <c r="AF1797" s="36">
        <f t="shared" si="490"/>
        <v>179</v>
      </c>
      <c r="AG1797" s="36" t="str">
        <f t="shared" si="490"/>
        <v>TIJ</v>
      </c>
    </row>
    <row r="1798" spans="18:33" ht="15.75" thickBot="1" x14ac:dyDescent="0.3">
      <c r="R1798">
        <v>1784</v>
      </c>
      <c r="S1798" s="36" t="str">
        <f t="shared" si="488"/>
        <v>BARATA Y MORADA</v>
      </c>
      <c r="T1798" s="36">
        <f t="shared" si="488"/>
        <v>428</v>
      </c>
      <c r="U1798" s="83">
        <v>0.6645833333333333</v>
      </c>
      <c r="V1798" s="84">
        <v>0.67083333333333339</v>
      </c>
      <c r="W1798" s="85">
        <v>6.2500000000000888E-3</v>
      </c>
      <c r="X1798" s="84">
        <v>0.69097222222222221</v>
      </c>
      <c r="Y1798" s="85">
        <v>2.0138888888888817E-2</v>
      </c>
      <c r="Z1798" s="86">
        <v>41758</v>
      </c>
      <c r="AA1798" s="36" t="str">
        <f t="shared" si="490"/>
        <v>Nacional</v>
      </c>
      <c r="AB1798" s="36">
        <f t="shared" si="490"/>
        <v>6.3446969696969733E-3</v>
      </c>
      <c r="AC1798" s="36">
        <f t="shared" si="490"/>
        <v>1.0574494949494953E-2</v>
      </c>
      <c r="AD1798" s="36">
        <f t="shared" si="490"/>
        <v>1.6919191919191928E-2</v>
      </c>
      <c r="AE1798" s="36">
        <f t="shared" si="490"/>
        <v>320</v>
      </c>
      <c r="AF1798" s="36">
        <f t="shared" si="490"/>
        <v>179</v>
      </c>
      <c r="AG1798" s="36" t="str">
        <f t="shared" si="490"/>
        <v>TIJ</v>
      </c>
    </row>
    <row r="1799" spans="18:33" x14ac:dyDescent="0.25">
      <c r="R1799">
        <v>1785</v>
      </c>
      <c r="S1799" s="36" t="str">
        <f t="shared" si="488"/>
        <v>BARATA Y MORADA</v>
      </c>
      <c r="T1799" s="55">
        <v>430</v>
      </c>
      <c r="U1799" s="56">
        <v>0.76527777777777783</v>
      </c>
      <c r="V1799" s="57">
        <v>0.77361111111111114</v>
      </c>
      <c r="W1799" s="58">
        <v>8.3333333333333037E-3</v>
      </c>
      <c r="X1799" s="57">
        <v>0.78194444444444444</v>
      </c>
      <c r="Y1799" s="58">
        <v>8.3333333333333037E-3</v>
      </c>
      <c r="Z1799" s="59">
        <v>41730</v>
      </c>
      <c r="AA1799" s="60" t="s">
        <v>19</v>
      </c>
      <c r="AB1799" s="61">
        <v>9.1485507246376729E-3</v>
      </c>
      <c r="AC1799" s="61">
        <v>9.9033816425120429E-3</v>
      </c>
      <c r="AD1799" s="231">
        <v>1.9051932367149714E-2</v>
      </c>
      <c r="AE1799" s="132">
        <v>320</v>
      </c>
      <c r="AF1799" s="132">
        <v>179</v>
      </c>
      <c r="AG1799" s="132" t="s">
        <v>34</v>
      </c>
    </row>
    <row r="1800" spans="18:33" x14ac:dyDescent="0.25">
      <c r="R1800">
        <v>1786</v>
      </c>
      <c r="S1800" s="36" t="str">
        <f t="shared" si="488"/>
        <v>BARATA Y MORADA</v>
      </c>
      <c r="T1800" s="36">
        <f t="shared" si="488"/>
        <v>430</v>
      </c>
      <c r="U1800" s="73">
        <v>0.75208333333333333</v>
      </c>
      <c r="V1800" s="74">
        <v>0.76180555555555562</v>
      </c>
      <c r="W1800" s="75">
        <v>9.7222222222222987E-3</v>
      </c>
      <c r="X1800" s="74">
        <v>0.77638888888888891</v>
      </c>
      <c r="Y1800" s="75">
        <v>1.4583333333333282E-2</v>
      </c>
      <c r="Z1800" s="76">
        <v>41731</v>
      </c>
      <c r="AA1800" s="36" t="str">
        <f t="shared" ref="AA1800:AG1821" si="491">AA1799</f>
        <v>Nacional</v>
      </c>
      <c r="AB1800" s="36">
        <f t="shared" si="491"/>
        <v>9.1485507246376729E-3</v>
      </c>
      <c r="AC1800" s="36">
        <f t="shared" si="491"/>
        <v>9.9033816425120429E-3</v>
      </c>
      <c r="AD1800" s="36">
        <f t="shared" si="491"/>
        <v>1.9051932367149714E-2</v>
      </c>
      <c r="AE1800" s="36">
        <f t="shared" si="491"/>
        <v>320</v>
      </c>
      <c r="AF1800" s="36">
        <f t="shared" si="491"/>
        <v>179</v>
      </c>
      <c r="AG1800" s="36" t="str">
        <f t="shared" si="491"/>
        <v>TIJ</v>
      </c>
    </row>
    <row r="1801" spans="18:33" x14ac:dyDescent="0.25">
      <c r="R1801">
        <v>1787</v>
      </c>
      <c r="S1801" s="36" t="str">
        <f t="shared" si="488"/>
        <v>BARATA Y MORADA</v>
      </c>
      <c r="T1801" s="36">
        <f t="shared" si="488"/>
        <v>430</v>
      </c>
      <c r="U1801" s="73">
        <v>0.75069444444444444</v>
      </c>
      <c r="V1801" s="74">
        <v>0.76111111111111107</v>
      </c>
      <c r="W1801" s="75">
        <v>1.041666666666663E-2</v>
      </c>
      <c r="X1801" s="74">
        <v>0.76874999999999993</v>
      </c>
      <c r="Y1801" s="75">
        <v>7.6388888888888618E-3</v>
      </c>
      <c r="Z1801" s="76">
        <v>41732</v>
      </c>
      <c r="AA1801" s="36" t="str">
        <f t="shared" si="491"/>
        <v>Nacional</v>
      </c>
      <c r="AB1801" s="36">
        <f t="shared" si="491"/>
        <v>9.1485507246376729E-3</v>
      </c>
      <c r="AC1801" s="36">
        <f t="shared" si="491"/>
        <v>9.9033816425120429E-3</v>
      </c>
      <c r="AD1801" s="36">
        <f t="shared" si="491"/>
        <v>1.9051932367149714E-2</v>
      </c>
      <c r="AE1801" s="36">
        <f t="shared" si="491"/>
        <v>320</v>
      </c>
      <c r="AF1801" s="36">
        <f t="shared" si="491"/>
        <v>179</v>
      </c>
      <c r="AG1801" s="36" t="str">
        <f t="shared" si="491"/>
        <v>TIJ</v>
      </c>
    </row>
    <row r="1802" spans="18:33" x14ac:dyDescent="0.25">
      <c r="R1802">
        <v>1788</v>
      </c>
      <c r="S1802" s="36" t="str">
        <f t="shared" si="488"/>
        <v>BARATA Y MORADA</v>
      </c>
      <c r="T1802" s="36">
        <f t="shared" si="488"/>
        <v>430</v>
      </c>
      <c r="U1802" s="73">
        <v>0.7597222222222223</v>
      </c>
      <c r="V1802" s="74">
        <v>0.76666666666666661</v>
      </c>
      <c r="W1802" s="75">
        <v>6.9444444444443088E-3</v>
      </c>
      <c r="X1802" s="74">
        <v>0.77847222222222223</v>
      </c>
      <c r="Y1802" s="75">
        <v>1.1805555555555625E-2</v>
      </c>
      <c r="Z1802" s="76">
        <v>41733</v>
      </c>
      <c r="AA1802" s="36" t="str">
        <f t="shared" si="491"/>
        <v>Nacional</v>
      </c>
      <c r="AB1802" s="36">
        <f t="shared" si="491"/>
        <v>9.1485507246376729E-3</v>
      </c>
      <c r="AC1802" s="36">
        <f t="shared" si="491"/>
        <v>9.9033816425120429E-3</v>
      </c>
      <c r="AD1802" s="36">
        <f t="shared" si="491"/>
        <v>1.9051932367149714E-2</v>
      </c>
      <c r="AE1802" s="36">
        <f t="shared" si="491"/>
        <v>320</v>
      </c>
      <c r="AF1802" s="36">
        <f t="shared" si="491"/>
        <v>179</v>
      </c>
      <c r="AG1802" s="36" t="str">
        <f t="shared" si="491"/>
        <v>TIJ</v>
      </c>
    </row>
    <row r="1803" spans="18:33" x14ac:dyDescent="0.25">
      <c r="R1803">
        <v>1789</v>
      </c>
      <c r="S1803" s="36" t="str">
        <f t="shared" si="488"/>
        <v>BARATA Y MORADA</v>
      </c>
      <c r="T1803" s="36">
        <f t="shared" si="488"/>
        <v>430</v>
      </c>
      <c r="U1803" s="73">
        <v>0.9277777777777777</v>
      </c>
      <c r="V1803" s="74">
        <v>0.93541666666666667</v>
      </c>
      <c r="W1803" s="75">
        <v>7.6388888888889728E-3</v>
      </c>
      <c r="X1803" s="74">
        <v>0.94791666666666663</v>
      </c>
      <c r="Y1803" s="75">
        <v>1.2499999999999956E-2</v>
      </c>
      <c r="Z1803" s="76">
        <v>41734</v>
      </c>
      <c r="AA1803" s="36" t="str">
        <f t="shared" si="491"/>
        <v>Nacional</v>
      </c>
      <c r="AB1803" s="36">
        <f t="shared" si="491"/>
        <v>9.1485507246376729E-3</v>
      </c>
      <c r="AC1803" s="36">
        <f t="shared" si="491"/>
        <v>9.9033816425120429E-3</v>
      </c>
      <c r="AD1803" s="36">
        <f t="shared" si="491"/>
        <v>1.9051932367149714E-2</v>
      </c>
      <c r="AE1803" s="36">
        <f t="shared" si="491"/>
        <v>320</v>
      </c>
      <c r="AF1803" s="36">
        <f t="shared" si="491"/>
        <v>179</v>
      </c>
      <c r="AG1803" s="36" t="str">
        <f t="shared" si="491"/>
        <v>TIJ</v>
      </c>
    </row>
    <row r="1804" spans="18:33" x14ac:dyDescent="0.25">
      <c r="R1804">
        <v>1790</v>
      </c>
      <c r="S1804" s="36" t="str">
        <f t="shared" si="488"/>
        <v>BARATA Y MORADA</v>
      </c>
      <c r="T1804" s="36">
        <f t="shared" si="488"/>
        <v>430</v>
      </c>
      <c r="U1804" s="73">
        <v>0.71527777777777779</v>
      </c>
      <c r="V1804" s="74">
        <v>0.72569444444444453</v>
      </c>
      <c r="W1804" s="75">
        <v>1.0416666666666741E-2</v>
      </c>
      <c r="X1804" s="74">
        <v>0.74583333333333324</v>
      </c>
      <c r="Y1804" s="75">
        <v>2.0138888888888706E-2</v>
      </c>
      <c r="Z1804" s="76">
        <v>41735</v>
      </c>
      <c r="AA1804" s="36" t="str">
        <f t="shared" si="491"/>
        <v>Nacional</v>
      </c>
      <c r="AB1804" s="36">
        <f t="shared" si="491"/>
        <v>9.1485507246376729E-3</v>
      </c>
      <c r="AC1804" s="36">
        <f t="shared" si="491"/>
        <v>9.9033816425120429E-3</v>
      </c>
      <c r="AD1804" s="36">
        <f t="shared" si="491"/>
        <v>1.9051932367149714E-2</v>
      </c>
      <c r="AE1804" s="36">
        <f t="shared" si="491"/>
        <v>320</v>
      </c>
      <c r="AF1804" s="36">
        <f t="shared" si="491"/>
        <v>179</v>
      </c>
      <c r="AG1804" s="36" t="str">
        <f t="shared" si="491"/>
        <v>TIJ</v>
      </c>
    </row>
    <row r="1805" spans="18:33" x14ac:dyDescent="0.25">
      <c r="R1805">
        <v>1791</v>
      </c>
      <c r="S1805" s="36" t="str">
        <f t="shared" si="488"/>
        <v>BARATA Y MORADA</v>
      </c>
      <c r="T1805" s="36">
        <f t="shared" si="488"/>
        <v>430</v>
      </c>
      <c r="U1805" s="73">
        <v>0.75555555555555554</v>
      </c>
      <c r="V1805" s="74">
        <v>0.76041666666666663</v>
      </c>
      <c r="W1805" s="75">
        <v>4.8611111111110938E-3</v>
      </c>
      <c r="X1805" s="74">
        <v>0.76944444444444438</v>
      </c>
      <c r="Y1805" s="75">
        <v>9.0277777777777457E-3</v>
      </c>
      <c r="Z1805" s="76">
        <v>41736</v>
      </c>
      <c r="AA1805" s="36" t="str">
        <f t="shared" si="491"/>
        <v>Nacional</v>
      </c>
      <c r="AB1805" s="36">
        <f t="shared" si="491"/>
        <v>9.1485507246376729E-3</v>
      </c>
      <c r="AC1805" s="36">
        <f t="shared" si="491"/>
        <v>9.9033816425120429E-3</v>
      </c>
      <c r="AD1805" s="36">
        <f t="shared" si="491"/>
        <v>1.9051932367149714E-2</v>
      </c>
      <c r="AE1805" s="36">
        <f t="shared" si="491"/>
        <v>320</v>
      </c>
      <c r="AF1805" s="36">
        <f t="shared" si="491"/>
        <v>179</v>
      </c>
      <c r="AG1805" s="36" t="str">
        <f t="shared" si="491"/>
        <v>TIJ</v>
      </c>
    </row>
    <row r="1806" spans="18:33" x14ac:dyDescent="0.25">
      <c r="R1806">
        <v>1792</v>
      </c>
      <c r="S1806" s="36" t="str">
        <f t="shared" si="488"/>
        <v>BARATA Y MORADA</v>
      </c>
      <c r="T1806" s="36">
        <f t="shared" si="488"/>
        <v>430</v>
      </c>
      <c r="U1806" s="73">
        <v>0.76041666666666663</v>
      </c>
      <c r="V1806" s="74">
        <v>0.7631944444444444</v>
      </c>
      <c r="W1806" s="75">
        <v>2.7777777777777679E-3</v>
      </c>
      <c r="X1806" s="74">
        <v>0.7715277777777777</v>
      </c>
      <c r="Y1806" s="75">
        <v>8.3333333333333037E-3</v>
      </c>
      <c r="Z1806" s="76">
        <v>41737</v>
      </c>
      <c r="AA1806" s="36" t="str">
        <f t="shared" si="491"/>
        <v>Nacional</v>
      </c>
      <c r="AB1806" s="36">
        <f t="shared" si="491"/>
        <v>9.1485507246376729E-3</v>
      </c>
      <c r="AC1806" s="36">
        <f t="shared" si="491"/>
        <v>9.9033816425120429E-3</v>
      </c>
      <c r="AD1806" s="36">
        <f t="shared" si="491"/>
        <v>1.9051932367149714E-2</v>
      </c>
      <c r="AE1806" s="36">
        <f t="shared" si="491"/>
        <v>320</v>
      </c>
      <c r="AF1806" s="36">
        <f t="shared" si="491"/>
        <v>179</v>
      </c>
      <c r="AG1806" s="36" t="str">
        <f t="shared" si="491"/>
        <v>TIJ</v>
      </c>
    </row>
    <row r="1807" spans="18:33" x14ac:dyDescent="0.25">
      <c r="R1807">
        <v>1793</v>
      </c>
      <c r="S1807" s="36" t="str">
        <f t="shared" si="488"/>
        <v>BARATA Y MORADA</v>
      </c>
      <c r="T1807" s="36">
        <f t="shared" si="488"/>
        <v>430</v>
      </c>
      <c r="U1807" s="73">
        <v>0.72916666666666663</v>
      </c>
      <c r="V1807" s="74">
        <v>0.75277777777777777</v>
      </c>
      <c r="W1807" s="75">
        <v>2.3611111111111138E-2</v>
      </c>
      <c r="X1807" s="74">
        <v>0.75902777777777775</v>
      </c>
      <c r="Y1807" s="75">
        <v>6.2499999999999778E-3</v>
      </c>
      <c r="Z1807" s="76">
        <v>41739</v>
      </c>
      <c r="AA1807" s="36" t="str">
        <f t="shared" si="491"/>
        <v>Nacional</v>
      </c>
      <c r="AB1807" s="36">
        <f t="shared" si="491"/>
        <v>9.1485507246376729E-3</v>
      </c>
      <c r="AC1807" s="36">
        <f t="shared" si="491"/>
        <v>9.9033816425120429E-3</v>
      </c>
      <c r="AD1807" s="36">
        <f t="shared" si="491"/>
        <v>1.9051932367149714E-2</v>
      </c>
      <c r="AE1807" s="36">
        <f t="shared" si="491"/>
        <v>320</v>
      </c>
      <c r="AF1807" s="36">
        <f t="shared" si="491"/>
        <v>179</v>
      </c>
      <c r="AG1807" s="36" t="str">
        <f t="shared" si="491"/>
        <v>TIJ</v>
      </c>
    </row>
    <row r="1808" spans="18:33" x14ac:dyDescent="0.25">
      <c r="R1808">
        <v>1794</v>
      </c>
      <c r="S1808" s="36" t="str">
        <f t="shared" si="488"/>
        <v>BARATA Y MORADA</v>
      </c>
      <c r="T1808" s="36">
        <f t="shared" si="488"/>
        <v>430</v>
      </c>
      <c r="U1808" s="73">
        <v>0.76527777777777783</v>
      </c>
      <c r="V1808" s="74">
        <v>0.77361111111111114</v>
      </c>
      <c r="W1808" s="75">
        <v>8.3333333333333037E-3</v>
      </c>
      <c r="X1808" s="74">
        <v>0.78194444444444444</v>
      </c>
      <c r="Y1808" s="75">
        <v>8.3333333333333037E-3</v>
      </c>
      <c r="Z1808" s="76">
        <v>41742</v>
      </c>
      <c r="AA1808" s="36" t="str">
        <f t="shared" si="491"/>
        <v>Nacional</v>
      </c>
      <c r="AB1808" s="36">
        <f t="shared" si="491"/>
        <v>9.1485507246376729E-3</v>
      </c>
      <c r="AC1808" s="36">
        <f t="shared" si="491"/>
        <v>9.9033816425120429E-3</v>
      </c>
      <c r="AD1808" s="36">
        <f t="shared" si="491"/>
        <v>1.9051932367149714E-2</v>
      </c>
      <c r="AE1808" s="36">
        <f t="shared" si="491"/>
        <v>320</v>
      </c>
      <c r="AF1808" s="36">
        <f t="shared" si="491"/>
        <v>179</v>
      </c>
      <c r="AG1808" s="36" t="str">
        <f t="shared" si="491"/>
        <v>TIJ</v>
      </c>
    </row>
    <row r="1809" spans="18:33" x14ac:dyDescent="0.25">
      <c r="R1809">
        <v>1795</v>
      </c>
      <c r="S1809" s="36" t="str">
        <f t="shared" si="488"/>
        <v>BARATA Y MORADA</v>
      </c>
      <c r="T1809" s="36">
        <f t="shared" si="488"/>
        <v>430</v>
      </c>
      <c r="U1809" s="73">
        <v>0.75277777777777777</v>
      </c>
      <c r="V1809" s="74">
        <v>0.76666666666666661</v>
      </c>
      <c r="W1809" s="75">
        <v>1.388888888888884E-2</v>
      </c>
      <c r="X1809" s="74">
        <v>0.77638888888888891</v>
      </c>
      <c r="Y1809" s="75">
        <v>9.7222222222222987E-3</v>
      </c>
      <c r="Z1809" s="76">
        <v>41743</v>
      </c>
      <c r="AA1809" s="36" t="str">
        <f t="shared" si="491"/>
        <v>Nacional</v>
      </c>
      <c r="AB1809" s="36">
        <f t="shared" si="491"/>
        <v>9.1485507246376729E-3</v>
      </c>
      <c r="AC1809" s="36">
        <f t="shared" si="491"/>
        <v>9.9033816425120429E-3</v>
      </c>
      <c r="AD1809" s="36">
        <f t="shared" si="491"/>
        <v>1.9051932367149714E-2</v>
      </c>
      <c r="AE1809" s="36">
        <f t="shared" si="491"/>
        <v>320</v>
      </c>
      <c r="AF1809" s="36">
        <f t="shared" si="491"/>
        <v>179</v>
      </c>
      <c r="AG1809" s="36" t="str">
        <f t="shared" si="491"/>
        <v>TIJ</v>
      </c>
    </row>
    <row r="1810" spans="18:33" x14ac:dyDescent="0.25">
      <c r="R1810">
        <v>1796</v>
      </c>
      <c r="S1810" s="36" t="str">
        <f t="shared" si="488"/>
        <v>BARATA Y MORADA</v>
      </c>
      <c r="T1810" s="36">
        <f t="shared" si="488"/>
        <v>430</v>
      </c>
      <c r="U1810" s="73">
        <v>0.75416666666666676</v>
      </c>
      <c r="V1810" s="74">
        <v>0.76250000000000007</v>
      </c>
      <c r="W1810" s="75">
        <v>8.3333333333333037E-3</v>
      </c>
      <c r="X1810" s="74">
        <v>0.7680555555555556</v>
      </c>
      <c r="Y1810" s="75">
        <v>5.5555555555555358E-3</v>
      </c>
      <c r="Z1810" s="76">
        <v>41744</v>
      </c>
      <c r="AA1810" s="36" t="str">
        <f t="shared" si="491"/>
        <v>Nacional</v>
      </c>
      <c r="AB1810" s="36">
        <f t="shared" si="491"/>
        <v>9.1485507246376729E-3</v>
      </c>
      <c r="AC1810" s="36">
        <f t="shared" si="491"/>
        <v>9.9033816425120429E-3</v>
      </c>
      <c r="AD1810" s="36">
        <f t="shared" si="491"/>
        <v>1.9051932367149714E-2</v>
      </c>
      <c r="AE1810" s="36">
        <f t="shared" si="491"/>
        <v>320</v>
      </c>
      <c r="AF1810" s="36">
        <f t="shared" si="491"/>
        <v>179</v>
      </c>
      <c r="AG1810" s="36" t="str">
        <f t="shared" si="491"/>
        <v>TIJ</v>
      </c>
    </row>
    <row r="1811" spans="18:33" x14ac:dyDescent="0.25">
      <c r="R1811">
        <v>1797</v>
      </c>
      <c r="S1811" s="36" t="str">
        <f t="shared" si="488"/>
        <v>BARATA Y MORADA</v>
      </c>
      <c r="T1811" s="36">
        <f t="shared" si="488"/>
        <v>430</v>
      </c>
      <c r="U1811" s="73">
        <v>0.75277777777777777</v>
      </c>
      <c r="V1811" s="74">
        <v>0.7597222222222223</v>
      </c>
      <c r="W1811" s="75">
        <v>6.9444444444445308E-3</v>
      </c>
      <c r="X1811" s="74">
        <v>0.76874999999999993</v>
      </c>
      <c r="Y1811" s="75">
        <v>9.0277777777776347E-3</v>
      </c>
      <c r="Z1811" s="76">
        <v>41745</v>
      </c>
      <c r="AA1811" s="36" t="str">
        <f t="shared" si="491"/>
        <v>Nacional</v>
      </c>
      <c r="AB1811" s="36">
        <f t="shared" si="491"/>
        <v>9.1485507246376729E-3</v>
      </c>
      <c r="AC1811" s="36">
        <f t="shared" si="491"/>
        <v>9.9033816425120429E-3</v>
      </c>
      <c r="AD1811" s="36">
        <f t="shared" si="491"/>
        <v>1.9051932367149714E-2</v>
      </c>
      <c r="AE1811" s="36">
        <f t="shared" si="491"/>
        <v>320</v>
      </c>
      <c r="AF1811" s="36">
        <f t="shared" si="491"/>
        <v>179</v>
      </c>
      <c r="AG1811" s="36" t="str">
        <f t="shared" si="491"/>
        <v>TIJ</v>
      </c>
    </row>
    <row r="1812" spans="18:33" x14ac:dyDescent="0.25">
      <c r="R1812">
        <v>1798</v>
      </c>
      <c r="S1812" s="36" t="str">
        <f t="shared" si="488"/>
        <v>BARATA Y MORADA</v>
      </c>
      <c r="T1812" s="36">
        <f t="shared" si="488"/>
        <v>430</v>
      </c>
      <c r="U1812" s="73">
        <v>0.74652777777777779</v>
      </c>
      <c r="V1812" s="74">
        <v>0.75624999999999998</v>
      </c>
      <c r="W1812" s="75">
        <v>9.7222222222221877E-3</v>
      </c>
      <c r="X1812" s="74">
        <v>0.76736111111111116</v>
      </c>
      <c r="Y1812" s="75">
        <v>1.1111111111111183E-2</v>
      </c>
      <c r="Z1812" s="76">
        <v>41746</v>
      </c>
      <c r="AA1812" s="36" t="str">
        <f t="shared" si="491"/>
        <v>Nacional</v>
      </c>
      <c r="AB1812" s="36">
        <f t="shared" si="491"/>
        <v>9.1485507246376729E-3</v>
      </c>
      <c r="AC1812" s="36">
        <f t="shared" si="491"/>
        <v>9.9033816425120429E-3</v>
      </c>
      <c r="AD1812" s="36">
        <f t="shared" si="491"/>
        <v>1.9051932367149714E-2</v>
      </c>
      <c r="AE1812" s="36">
        <f t="shared" si="491"/>
        <v>320</v>
      </c>
      <c r="AF1812" s="36">
        <f t="shared" si="491"/>
        <v>179</v>
      </c>
      <c r="AG1812" s="36" t="str">
        <f t="shared" si="491"/>
        <v>TIJ</v>
      </c>
    </row>
    <row r="1813" spans="18:33" x14ac:dyDescent="0.25">
      <c r="R1813">
        <v>1799</v>
      </c>
      <c r="S1813" s="36" t="str">
        <f t="shared" si="488"/>
        <v>BARATA Y MORADA</v>
      </c>
      <c r="T1813" s="36">
        <f t="shared" si="488"/>
        <v>430</v>
      </c>
      <c r="U1813" s="73">
        <v>0.26041666666666669</v>
      </c>
      <c r="V1813" s="74">
        <v>0.26944444444444443</v>
      </c>
      <c r="W1813" s="75">
        <v>9.0277777777777457E-3</v>
      </c>
      <c r="X1813" s="74">
        <v>0.27638888888888885</v>
      </c>
      <c r="Y1813" s="75">
        <v>6.9444444444444198E-3</v>
      </c>
      <c r="Z1813" s="76">
        <v>41747</v>
      </c>
      <c r="AA1813" s="36" t="str">
        <f t="shared" si="491"/>
        <v>Nacional</v>
      </c>
      <c r="AB1813" s="36">
        <f t="shared" si="491"/>
        <v>9.1485507246376729E-3</v>
      </c>
      <c r="AC1813" s="36">
        <f t="shared" si="491"/>
        <v>9.9033816425120429E-3</v>
      </c>
      <c r="AD1813" s="36">
        <f t="shared" si="491"/>
        <v>1.9051932367149714E-2</v>
      </c>
      <c r="AE1813" s="36">
        <f t="shared" si="491"/>
        <v>320</v>
      </c>
      <c r="AF1813" s="36">
        <f t="shared" si="491"/>
        <v>179</v>
      </c>
      <c r="AG1813" s="36" t="str">
        <f t="shared" si="491"/>
        <v>TIJ</v>
      </c>
    </row>
    <row r="1814" spans="18:33" x14ac:dyDescent="0.25">
      <c r="R1814">
        <v>1800</v>
      </c>
      <c r="S1814" s="36" t="str">
        <f t="shared" si="488"/>
        <v>BARATA Y MORADA</v>
      </c>
      <c r="T1814" s="36">
        <f t="shared" si="488"/>
        <v>430</v>
      </c>
      <c r="U1814" s="73">
        <v>0.75416666666666676</v>
      </c>
      <c r="V1814" s="74">
        <v>0.7631944444444444</v>
      </c>
      <c r="W1814" s="75">
        <v>9.0277777777776347E-3</v>
      </c>
      <c r="X1814" s="74">
        <v>0.77569444444444446</v>
      </c>
      <c r="Y1814" s="75">
        <v>1.2500000000000067E-2</v>
      </c>
      <c r="Z1814" s="76">
        <v>41748</v>
      </c>
      <c r="AA1814" s="36" t="str">
        <f t="shared" si="491"/>
        <v>Nacional</v>
      </c>
      <c r="AB1814" s="36">
        <f t="shared" si="491"/>
        <v>9.1485507246376729E-3</v>
      </c>
      <c r="AC1814" s="36">
        <f t="shared" si="491"/>
        <v>9.9033816425120429E-3</v>
      </c>
      <c r="AD1814" s="36">
        <f t="shared" si="491"/>
        <v>1.9051932367149714E-2</v>
      </c>
      <c r="AE1814" s="36">
        <f t="shared" si="491"/>
        <v>320</v>
      </c>
      <c r="AF1814" s="36">
        <f t="shared" si="491"/>
        <v>179</v>
      </c>
      <c r="AG1814" s="36" t="str">
        <f t="shared" si="491"/>
        <v>TIJ</v>
      </c>
    </row>
    <row r="1815" spans="18:33" x14ac:dyDescent="0.25">
      <c r="R1815">
        <v>1801</v>
      </c>
      <c r="S1815" s="36" t="str">
        <f t="shared" si="488"/>
        <v>BARATA Y MORADA</v>
      </c>
      <c r="T1815" s="36">
        <f t="shared" si="488"/>
        <v>430</v>
      </c>
      <c r="U1815" s="73">
        <v>0.75694444444444453</v>
      </c>
      <c r="V1815" s="74">
        <v>0.76041666666666663</v>
      </c>
      <c r="W1815" s="75">
        <v>3.4722222222220989E-3</v>
      </c>
      <c r="X1815" s="74">
        <v>0.76597222222222217</v>
      </c>
      <c r="Y1815" s="75">
        <v>5.5555555555555358E-3</v>
      </c>
      <c r="Z1815" s="76">
        <v>41749</v>
      </c>
      <c r="AA1815" s="36" t="str">
        <f t="shared" si="491"/>
        <v>Nacional</v>
      </c>
      <c r="AB1815" s="36">
        <f t="shared" si="491"/>
        <v>9.1485507246376729E-3</v>
      </c>
      <c r="AC1815" s="36">
        <f t="shared" si="491"/>
        <v>9.9033816425120429E-3</v>
      </c>
      <c r="AD1815" s="36">
        <f t="shared" si="491"/>
        <v>1.9051932367149714E-2</v>
      </c>
      <c r="AE1815" s="36">
        <f t="shared" si="491"/>
        <v>320</v>
      </c>
      <c r="AF1815" s="36">
        <f t="shared" si="491"/>
        <v>179</v>
      </c>
      <c r="AG1815" s="36" t="str">
        <f t="shared" si="491"/>
        <v>TIJ</v>
      </c>
    </row>
    <row r="1816" spans="18:33" x14ac:dyDescent="0.25">
      <c r="R1816">
        <v>1802</v>
      </c>
      <c r="S1816" s="36" t="str">
        <f t="shared" si="488"/>
        <v>BARATA Y MORADA</v>
      </c>
      <c r="T1816" s="36">
        <f t="shared" si="488"/>
        <v>430</v>
      </c>
      <c r="U1816" s="73">
        <v>0.75</v>
      </c>
      <c r="V1816" s="74">
        <v>0.76388888888888884</v>
      </c>
      <c r="W1816" s="75">
        <v>1.388888888888884E-2</v>
      </c>
      <c r="X1816" s="74">
        <v>0.77430555555555547</v>
      </c>
      <c r="Y1816" s="75">
        <v>1.041666666666663E-2</v>
      </c>
      <c r="Z1816" s="76">
        <v>41750</v>
      </c>
      <c r="AA1816" s="36" t="str">
        <f t="shared" si="491"/>
        <v>Nacional</v>
      </c>
      <c r="AB1816" s="36">
        <f t="shared" si="491"/>
        <v>9.1485507246376729E-3</v>
      </c>
      <c r="AC1816" s="36">
        <f t="shared" si="491"/>
        <v>9.9033816425120429E-3</v>
      </c>
      <c r="AD1816" s="36">
        <f t="shared" si="491"/>
        <v>1.9051932367149714E-2</v>
      </c>
      <c r="AE1816" s="36">
        <f t="shared" si="491"/>
        <v>320</v>
      </c>
      <c r="AF1816" s="36">
        <f t="shared" si="491"/>
        <v>179</v>
      </c>
      <c r="AG1816" s="36" t="str">
        <f t="shared" si="491"/>
        <v>TIJ</v>
      </c>
    </row>
    <row r="1817" spans="18:33" x14ac:dyDescent="0.25">
      <c r="R1817">
        <v>1803</v>
      </c>
      <c r="S1817" s="36" t="str">
        <f t="shared" si="488"/>
        <v>BARATA Y MORADA</v>
      </c>
      <c r="T1817" s="36">
        <f t="shared" si="488"/>
        <v>430</v>
      </c>
      <c r="U1817" s="73">
        <v>0.75</v>
      </c>
      <c r="V1817" s="74">
        <v>0.76180555555555562</v>
      </c>
      <c r="W1817" s="75">
        <v>1.1805555555555625E-2</v>
      </c>
      <c r="X1817" s="74">
        <v>0.77013888888888893</v>
      </c>
      <c r="Y1817" s="75">
        <v>8.3333333333333037E-3</v>
      </c>
      <c r="Z1817" s="76">
        <v>41754</v>
      </c>
      <c r="AA1817" s="36" t="str">
        <f t="shared" si="491"/>
        <v>Nacional</v>
      </c>
      <c r="AB1817" s="36">
        <f t="shared" si="491"/>
        <v>9.1485507246376729E-3</v>
      </c>
      <c r="AC1817" s="36">
        <f t="shared" si="491"/>
        <v>9.9033816425120429E-3</v>
      </c>
      <c r="AD1817" s="36">
        <f t="shared" si="491"/>
        <v>1.9051932367149714E-2</v>
      </c>
      <c r="AE1817" s="36">
        <f t="shared" si="491"/>
        <v>320</v>
      </c>
      <c r="AF1817" s="36">
        <f t="shared" si="491"/>
        <v>179</v>
      </c>
      <c r="AG1817" s="36" t="str">
        <f t="shared" si="491"/>
        <v>TIJ</v>
      </c>
    </row>
    <row r="1818" spans="18:33" x14ac:dyDescent="0.25">
      <c r="R1818">
        <v>1804</v>
      </c>
      <c r="S1818" s="36" t="str">
        <f t="shared" si="488"/>
        <v>BARATA Y MORADA</v>
      </c>
      <c r="T1818" s="36">
        <f t="shared" si="488"/>
        <v>430</v>
      </c>
      <c r="U1818" s="73">
        <v>0.75694444444444453</v>
      </c>
      <c r="V1818" s="74">
        <v>0.76250000000000007</v>
      </c>
      <c r="W1818" s="75">
        <v>5.5555555555555358E-3</v>
      </c>
      <c r="X1818" s="74">
        <v>0.77708333333333324</v>
      </c>
      <c r="Y1818" s="75">
        <v>1.4583333333333171E-2</v>
      </c>
      <c r="Z1818" s="76">
        <v>41756</v>
      </c>
      <c r="AA1818" s="36" t="str">
        <f t="shared" si="491"/>
        <v>Nacional</v>
      </c>
      <c r="AB1818" s="36">
        <f t="shared" si="491"/>
        <v>9.1485507246376729E-3</v>
      </c>
      <c r="AC1818" s="36">
        <f t="shared" si="491"/>
        <v>9.9033816425120429E-3</v>
      </c>
      <c r="AD1818" s="36">
        <f t="shared" si="491"/>
        <v>1.9051932367149714E-2</v>
      </c>
      <c r="AE1818" s="36">
        <f t="shared" si="491"/>
        <v>320</v>
      </c>
      <c r="AF1818" s="36">
        <f t="shared" si="491"/>
        <v>179</v>
      </c>
      <c r="AG1818" s="36" t="str">
        <f t="shared" si="491"/>
        <v>TIJ</v>
      </c>
    </row>
    <row r="1819" spans="18:33" x14ac:dyDescent="0.25">
      <c r="R1819">
        <v>1805</v>
      </c>
      <c r="S1819" s="36" t="str">
        <f t="shared" si="488"/>
        <v>BARATA Y MORADA</v>
      </c>
      <c r="T1819" s="36">
        <f t="shared" si="488"/>
        <v>430</v>
      </c>
      <c r="U1819" s="73">
        <v>0.76527777777777783</v>
      </c>
      <c r="V1819" s="74">
        <v>0.77361111111111114</v>
      </c>
      <c r="W1819" s="75">
        <v>8.3333333333333037E-3</v>
      </c>
      <c r="X1819" s="74">
        <v>0.78194444444444444</v>
      </c>
      <c r="Y1819" s="75">
        <v>8.3333333333333037E-3</v>
      </c>
      <c r="Z1819" s="76">
        <v>41757</v>
      </c>
      <c r="AA1819" s="36" t="str">
        <f t="shared" si="491"/>
        <v>Nacional</v>
      </c>
      <c r="AB1819" s="36">
        <f t="shared" si="491"/>
        <v>9.1485507246376729E-3</v>
      </c>
      <c r="AC1819" s="36">
        <f t="shared" si="491"/>
        <v>9.9033816425120429E-3</v>
      </c>
      <c r="AD1819" s="36">
        <f t="shared" si="491"/>
        <v>1.9051932367149714E-2</v>
      </c>
      <c r="AE1819" s="36">
        <f t="shared" si="491"/>
        <v>320</v>
      </c>
      <c r="AF1819" s="36">
        <f t="shared" si="491"/>
        <v>179</v>
      </c>
      <c r="AG1819" s="36" t="str">
        <f t="shared" si="491"/>
        <v>TIJ</v>
      </c>
    </row>
    <row r="1820" spans="18:33" x14ac:dyDescent="0.25">
      <c r="R1820">
        <v>1806</v>
      </c>
      <c r="S1820" s="36" t="str">
        <f t="shared" si="488"/>
        <v>BARATA Y MORADA</v>
      </c>
      <c r="T1820" s="36">
        <f t="shared" si="488"/>
        <v>430</v>
      </c>
      <c r="U1820" s="73">
        <v>0.75069444444444444</v>
      </c>
      <c r="V1820" s="74">
        <v>0.7597222222222223</v>
      </c>
      <c r="W1820" s="75">
        <v>9.0277777777778567E-3</v>
      </c>
      <c r="X1820" s="74">
        <v>0.76944444444444438</v>
      </c>
      <c r="Y1820" s="75">
        <v>9.7222222222220767E-3</v>
      </c>
      <c r="Z1820" s="76">
        <v>41758</v>
      </c>
      <c r="AA1820" s="36" t="str">
        <f t="shared" si="491"/>
        <v>Nacional</v>
      </c>
      <c r="AB1820" s="36">
        <f t="shared" si="491"/>
        <v>9.1485507246376729E-3</v>
      </c>
      <c r="AC1820" s="36">
        <f t="shared" si="491"/>
        <v>9.9033816425120429E-3</v>
      </c>
      <c r="AD1820" s="36">
        <f t="shared" si="491"/>
        <v>1.9051932367149714E-2</v>
      </c>
      <c r="AE1820" s="36">
        <f t="shared" si="491"/>
        <v>320</v>
      </c>
      <c r="AF1820" s="36">
        <f t="shared" si="491"/>
        <v>179</v>
      </c>
      <c r="AG1820" s="36" t="str">
        <f t="shared" si="491"/>
        <v>TIJ</v>
      </c>
    </row>
    <row r="1821" spans="18:33" ht="15.75" thickBot="1" x14ac:dyDescent="0.3">
      <c r="R1821">
        <v>1807</v>
      </c>
      <c r="S1821" s="36" t="str">
        <f t="shared" si="488"/>
        <v>BARATA Y MORADA</v>
      </c>
      <c r="T1821" s="36">
        <f t="shared" si="488"/>
        <v>430</v>
      </c>
      <c r="U1821" s="83">
        <v>0.76666666666666661</v>
      </c>
      <c r="V1821" s="84">
        <v>0.77500000000000002</v>
      </c>
      <c r="W1821" s="85">
        <v>8.3333333333334147E-3</v>
      </c>
      <c r="X1821" s="84">
        <v>0.78402777777777777</v>
      </c>
      <c r="Y1821" s="85">
        <v>9.0277777777777457E-3</v>
      </c>
      <c r="Z1821" s="86">
        <v>41759</v>
      </c>
      <c r="AA1821" s="36" t="str">
        <f t="shared" si="491"/>
        <v>Nacional</v>
      </c>
      <c r="AB1821" s="36">
        <f t="shared" si="491"/>
        <v>9.1485507246376729E-3</v>
      </c>
      <c r="AC1821" s="36">
        <f t="shared" si="491"/>
        <v>9.9033816425120429E-3</v>
      </c>
      <c r="AD1821" s="36">
        <f t="shared" si="491"/>
        <v>1.9051932367149714E-2</v>
      </c>
      <c r="AE1821" s="36">
        <f t="shared" si="491"/>
        <v>320</v>
      </c>
      <c r="AF1821" s="36">
        <f t="shared" si="491"/>
        <v>179</v>
      </c>
      <c r="AG1821" s="36" t="str">
        <f t="shared" si="491"/>
        <v>TIJ</v>
      </c>
    </row>
    <row r="1822" spans="18:33" x14ac:dyDescent="0.25">
      <c r="R1822">
        <v>1808</v>
      </c>
      <c r="S1822" s="45" t="s">
        <v>77</v>
      </c>
      <c r="T1822" s="55">
        <v>432</v>
      </c>
      <c r="U1822" s="56">
        <v>0.86944444444444446</v>
      </c>
      <c r="V1822" s="57">
        <v>0.87569444444444444</v>
      </c>
      <c r="W1822" s="58">
        <v>6.2499999999999778E-3</v>
      </c>
      <c r="X1822" s="57">
        <v>0.89722222222222225</v>
      </c>
      <c r="Y1822" s="58">
        <v>2.1527777777777812E-2</v>
      </c>
      <c r="Z1822" s="59">
        <v>41732</v>
      </c>
      <c r="AA1822" s="60" t="s">
        <v>19</v>
      </c>
      <c r="AB1822" s="61">
        <v>7.4074074074074103E-3</v>
      </c>
      <c r="AC1822" s="61">
        <v>1.1435185185185178E-2</v>
      </c>
      <c r="AD1822" s="231">
        <v>1.8842592592592588E-2</v>
      </c>
      <c r="AE1822" s="132">
        <v>320</v>
      </c>
      <c r="AF1822" s="132">
        <v>179</v>
      </c>
      <c r="AG1822" s="132" t="s">
        <v>34</v>
      </c>
    </row>
    <row r="1823" spans="18:33" x14ac:dyDescent="0.25">
      <c r="R1823">
        <v>1809</v>
      </c>
      <c r="S1823" s="36" t="str">
        <f t="shared" ref="S1823:T1886" si="492">S1822</f>
        <v>BARATA Y MORADA</v>
      </c>
      <c r="T1823" s="36">
        <f t="shared" si="492"/>
        <v>432</v>
      </c>
      <c r="U1823" s="73">
        <v>0.875</v>
      </c>
      <c r="V1823" s="74">
        <v>0.88541666666666663</v>
      </c>
      <c r="W1823" s="75">
        <v>1.041666666666663E-2</v>
      </c>
      <c r="X1823" s="74">
        <v>0.89374999999999993</v>
      </c>
      <c r="Y1823" s="75">
        <v>8.3333333333333037E-3</v>
      </c>
      <c r="Z1823" s="76">
        <v>41734</v>
      </c>
      <c r="AA1823" s="36" t="str">
        <f t="shared" ref="AA1823:AG1836" si="493">AA1822</f>
        <v>Nacional</v>
      </c>
      <c r="AB1823" s="36">
        <f t="shared" si="493"/>
        <v>7.4074074074074103E-3</v>
      </c>
      <c r="AC1823" s="36">
        <f t="shared" si="493"/>
        <v>1.1435185185185178E-2</v>
      </c>
      <c r="AD1823" s="36">
        <f t="shared" si="493"/>
        <v>1.8842592592592588E-2</v>
      </c>
      <c r="AE1823" s="36">
        <f t="shared" si="493"/>
        <v>320</v>
      </c>
      <c r="AF1823" s="36">
        <f t="shared" si="493"/>
        <v>179</v>
      </c>
      <c r="AG1823" s="36" t="str">
        <f t="shared" si="493"/>
        <v>TIJ</v>
      </c>
    </row>
    <row r="1824" spans="18:33" x14ac:dyDescent="0.25">
      <c r="R1824">
        <v>1810</v>
      </c>
      <c r="S1824" s="36" t="str">
        <f t="shared" si="492"/>
        <v>BARATA Y MORADA</v>
      </c>
      <c r="T1824" s="36">
        <f t="shared" si="492"/>
        <v>432</v>
      </c>
      <c r="U1824" s="73">
        <v>0.37708333333333338</v>
      </c>
      <c r="V1824" s="74">
        <v>0.37847222222222227</v>
      </c>
      <c r="W1824" s="75">
        <v>1.388888888888884E-3</v>
      </c>
      <c r="X1824" s="74">
        <v>0.38194444444444442</v>
      </c>
      <c r="Y1824" s="75">
        <v>3.4722222222221544E-3</v>
      </c>
      <c r="Z1824" s="76">
        <v>41735</v>
      </c>
      <c r="AA1824" s="36" t="str">
        <f t="shared" si="493"/>
        <v>Nacional</v>
      </c>
      <c r="AB1824" s="36">
        <f t="shared" si="493"/>
        <v>7.4074074074074103E-3</v>
      </c>
      <c r="AC1824" s="36">
        <f t="shared" si="493"/>
        <v>1.1435185185185178E-2</v>
      </c>
      <c r="AD1824" s="36">
        <f t="shared" si="493"/>
        <v>1.8842592592592588E-2</v>
      </c>
      <c r="AE1824" s="36">
        <f t="shared" si="493"/>
        <v>320</v>
      </c>
      <c r="AF1824" s="36">
        <f t="shared" si="493"/>
        <v>179</v>
      </c>
      <c r="AG1824" s="36" t="str">
        <f t="shared" si="493"/>
        <v>TIJ</v>
      </c>
    </row>
    <row r="1825" spans="18:33" x14ac:dyDescent="0.25">
      <c r="R1825">
        <v>1811</v>
      </c>
      <c r="S1825" s="36" t="str">
        <f t="shared" si="492"/>
        <v>BARATA Y MORADA</v>
      </c>
      <c r="T1825" s="36">
        <f t="shared" si="492"/>
        <v>432</v>
      </c>
      <c r="U1825" s="73">
        <v>0.87569444444444444</v>
      </c>
      <c r="V1825" s="74">
        <v>0.88194444444444453</v>
      </c>
      <c r="W1825" s="75">
        <v>6.2500000000000888E-3</v>
      </c>
      <c r="X1825" s="74">
        <v>0.89027777777777783</v>
      </c>
      <c r="Y1825" s="75">
        <v>8.3333333333333037E-3</v>
      </c>
      <c r="Z1825" s="76">
        <v>41736</v>
      </c>
      <c r="AA1825" s="36" t="str">
        <f t="shared" si="493"/>
        <v>Nacional</v>
      </c>
      <c r="AB1825" s="36">
        <f t="shared" si="493"/>
        <v>7.4074074074074103E-3</v>
      </c>
      <c r="AC1825" s="36">
        <f t="shared" si="493"/>
        <v>1.1435185185185178E-2</v>
      </c>
      <c r="AD1825" s="36">
        <f t="shared" si="493"/>
        <v>1.8842592592592588E-2</v>
      </c>
      <c r="AE1825" s="36">
        <f t="shared" si="493"/>
        <v>320</v>
      </c>
      <c r="AF1825" s="36">
        <f t="shared" si="493"/>
        <v>179</v>
      </c>
      <c r="AG1825" s="36" t="str">
        <f t="shared" si="493"/>
        <v>TIJ</v>
      </c>
    </row>
    <row r="1826" spans="18:33" x14ac:dyDescent="0.25">
      <c r="R1826">
        <v>1812</v>
      </c>
      <c r="S1826" s="36" t="str">
        <f t="shared" si="492"/>
        <v>BARATA Y MORADA</v>
      </c>
      <c r="T1826" s="36">
        <f t="shared" si="492"/>
        <v>432</v>
      </c>
      <c r="U1826" s="73">
        <v>0.86944444444444446</v>
      </c>
      <c r="V1826" s="74">
        <v>0.875</v>
      </c>
      <c r="W1826" s="75">
        <v>5.5555555555555358E-3</v>
      </c>
      <c r="X1826" s="74">
        <v>0.89444444444444438</v>
      </c>
      <c r="Y1826" s="75">
        <v>1.9444444444444375E-2</v>
      </c>
      <c r="Z1826" s="76">
        <v>41739</v>
      </c>
      <c r="AA1826" s="36" t="str">
        <f t="shared" si="493"/>
        <v>Nacional</v>
      </c>
      <c r="AB1826" s="36">
        <f t="shared" si="493"/>
        <v>7.4074074074074103E-3</v>
      </c>
      <c r="AC1826" s="36">
        <f t="shared" si="493"/>
        <v>1.1435185185185178E-2</v>
      </c>
      <c r="AD1826" s="36">
        <f t="shared" si="493"/>
        <v>1.8842592592592588E-2</v>
      </c>
      <c r="AE1826" s="36">
        <f t="shared" si="493"/>
        <v>320</v>
      </c>
      <c r="AF1826" s="36">
        <f t="shared" si="493"/>
        <v>179</v>
      </c>
      <c r="AG1826" s="36" t="str">
        <f t="shared" si="493"/>
        <v>TIJ</v>
      </c>
    </row>
    <row r="1827" spans="18:33" x14ac:dyDescent="0.25">
      <c r="R1827">
        <v>1813</v>
      </c>
      <c r="S1827" s="36" t="str">
        <f t="shared" si="492"/>
        <v>BARATA Y MORADA</v>
      </c>
      <c r="T1827" s="36">
        <f t="shared" si="492"/>
        <v>432</v>
      </c>
      <c r="U1827" s="73">
        <v>0.86597222222222225</v>
      </c>
      <c r="V1827" s="74">
        <v>0.86736111111111114</v>
      </c>
      <c r="W1827" s="75">
        <v>1.388888888888884E-3</v>
      </c>
      <c r="X1827" s="74">
        <v>0.88263888888888886</v>
      </c>
      <c r="Y1827" s="75">
        <v>1.5277777777777724E-2</v>
      </c>
      <c r="Z1827" s="76">
        <v>41740</v>
      </c>
      <c r="AA1827" s="36" t="str">
        <f t="shared" si="493"/>
        <v>Nacional</v>
      </c>
      <c r="AB1827" s="36">
        <f t="shared" si="493"/>
        <v>7.4074074074074103E-3</v>
      </c>
      <c r="AC1827" s="36">
        <f t="shared" si="493"/>
        <v>1.1435185185185178E-2</v>
      </c>
      <c r="AD1827" s="36">
        <f t="shared" si="493"/>
        <v>1.8842592592592588E-2</v>
      </c>
      <c r="AE1827" s="36">
        <f t="shared" si="493"/>
        <v>320</v>
      </c>
      <c r="AF1827" s="36">
        <f t="shared" si="493"/>
        <v>179</v>
      </c>
      <c r="AG1827" s="36" t="str">
        <f t="shared" si="493"/>
        <v>TIJ</v>
      </c>
    </row>
    <row r="1828" spans="18:33" x14ac:dyDescent="0.25">
      <c r="R1828">
        <v>1814</v>
      </c>
      <c r="S1828" s="36" t="str">
        <f t="shared" si="492"/>
        <v>BARATA Y MORADA</v>
      </c>
      <c r="T1828" s="36">
        <f t="shared" si="492"/>
        <v>432</v>
      </c>
      <c r="U1828" s="73">
        <v>0.87847222222222221</v>
      </c>
      <c r="V1828" s="74">
        <v>0.88541666666666663</v>
      </c>
      <c r="W1828" s="75">
        <v>6.9444444444444198E-3</v>
      </c>
      <c r="X1828" s="74">
        <v>0.89583333333333337</v>
      </c>
      <c r="Y1828" s="75">
        <v>1.0416666666666741E-2</v>
      </c>
      <c r="Z1828" s="76">
        <v>41741</v>
      </c>
      <c r="AA1828" s="36" t="str">
        <f t="shared" si="493"/>
        <v>Nacional</v>
      </c>
      <c r="AB1828" s="36">
        <f t="shared" si="493"/>
        <v>7.4074074074074103E-3</v>
      </c>
      <c r="AC1828" s="36">
        <f t="shared" si="493"/>
        <v>1.1435185185185178E-2</v>
      </c>
      <c r="AD1828" s="36">
        <f t="shared" si="493"/>
        <v>1.8842592592592588E-2</v>
      </c>
      <c r="AE1828" s="36">
        <f t="shared" si="493"/>
        <v>320</v>
      </c>
      <c r="AF1828" s="36">
        <f t="shared" si="493"/>
        <v>179</v>
      </c>
      <c r="AG1828" s="36" t="str">
        <f t="shared" si="493"/>
        <v>TIJ</v>
      </c>
    </row>
    <row r="1829" spans="18:33" x14ac:dyDescent="0.25">
      <c r="R1829">
        <v>1815</v>
      </c>
      <c r="S1829" s="36" t="str">
        <f t="shared" si="492"/>
        <v>BARATA Y MORADA</v>
      </c>
      <c r="T1829" s="36">
        <f t="shared" si="492"/>
        <v>432</v>
      </c>
      <c r="U1829" s="73">
        <v>0.86597222222222225</v>
      </c>
      <c r="V1829" s="74">
        <v>0.87569444444444444</v>
      </c>
      <c r="W1829" s="75">
        <v>9.7222222222221877E-3</v>
      </c>
      <c r="X1829" s="74">
        <v>0.87916666666666676</v>
      </c>
      <c r="Y1829" s="75">
        <v>3.4722222222223209E-3</v>
      </c>
      <c r="Z1829" s="76">
        <v>41743</v>
      </c>
      <c r="AA1829" s="36" t="str">
        <f t="shared" si="493"/>
        <v>Nacional</v>
      </c>
      <c r="AB1829" s="36">
        <f t="shared" si="493"/>
        <v>7.4074074074074103E-3</v>
      </c>
      <c r="AC1829" s="36">
        <f t="shared" si="493"/>
        <v>1.1435185185185178E-2</v>
      </c>
      <c r="AD1829" s="36">
        <f t="shared" si="493"/>
        <v>1.8842592592592588E-2</v>
      </c>
      <c r="AE1829" s="36">
        <f t="shared" si="493"/>
        <v>320</v>
      </c>
      <c r="AF1829" s="36">
        <f t="shared" si="493"/>
        <v>179</v>
      </c>
      <c r="AG1829" s="36" t="str">
        <f t="shared" si="493"/>
        <v>TIJ</v>
      </c>
    </row>
    <row r="1830" spans="18:33" x14ac:dyDescent="0.25">
      <c r="R1830">
        <v>1816</v>
      </c>
      <c r="S1830" s="36" t="str">
        <f t="shared" si="492"/>
        <v>BARATA Y MORADA</v>
      </c>
      <c r="T1830" s="36">
        <f t="shared" si="492"/>
        <v>432</v>
      </c>
      <c r="U1830" s="73">
        <v>0.87430555555555556</v>
      </c>
      <c r="V1830" s="74">
        <v>0.87986111111111109</v>
      </c>
      <c r="W1830" s="75">
        <v>5.5555555555555358E-3</v>
      </c>
      <c r="X1830" s="74">
        <v>0.8881944444444444</v>
      </c>
      <c r="Y1830" s="75">
        <v>8.3333333333333037E-3</v>
      </c>
      <c r="Z1830" s="76">
        <v>41744</v>
      </c>
      <c r="AA1830" s="36" t="str">
        <f t="shared" si="493"/>
        <v>Nacional</v>
      </c>
      <c r="AB1830" s="36">
        <f t="shared" si="493"/>
        <v>7.4074074074074103E-3</v>
      </c>
      <c r="AC1830" s="36">
        <f t="shared" si="493"/>
        <v>1.1435185185185178E-2</v>
      </c>
      <c r="AD1830" s="36">
        <f t="shared" si="493"/>
        <v>1.8842592592592588E-2</v>
      </c>
      <c r="AE1830" s="36">
        <f t="shared" si="493"/>
        <v>320</v>
      </c>
      <c r="AF1830" s="36">
        <f t="shared" si="493"/>
        <v>179</v>
      </c>
      <c r="AG1830" s="36" t="str">
        <f t="shared" si="493"/>
        <v>TIJ</v>
      </c>
    </row>
    <row r="1831" spans="18:33" x14ac:dyDescent="0.25">
      <c r="R1831">
        <v>1817</v>
      </c>
      <c r="S1831" s="36" t="str">
        <f t="shared" si="492"/>
        <v>BARATA Y MORADA</v>
      </c>
      <c r="T1831" s="36">
        <f t="shared" si="492"/>
        <v>432</v>
      </c>
      <c r="U1831" s="73">
        <v>0.90138888888888891</v>
      </c>
      <c r="V1831" s="74">
        <v>0.91041666666666676</v>
      </c>
      <c r="W1831" s="75">
        <v>9.0277777777778567E-3</v>
      </c>
      <c r="X1831" s="74">
        <v>0.92708333333333337</v>
      </c>
      <c r="Y1831" s="75">
        <v>1.6666666666666607E-2</v>
      </c>
      <c r="Z1831" s="76">
        <v>41749</v>
      </c>
      <c r="AA1831" s="36" t="str">
        <f t="shared" si="493"/>
        <v>Nacional</v>
      </c>
      <c r="AB1831" s="36">
        <f t="shared" si="493"/>
        <v>7.4074074074074103E-3</v>
      </c>
      <c r="AC1831" s="36">
        <f t="shared" si="493"/>
        <v>1.1435185185185178E-2</v>
      </c>
      <c r="AD1831" s="36">
        <f t="shared" si="493"/>
        <v>1.8842592592592588E-2</v>
      </c>
      <c r="AE1831" s="36">
        <f t="shared" si="493"/>
        <v>320</v>
      </c>
      <c r="AF1831" s="36">
        <f t="shared" si="493"/>
        <v>179</v>
      </c>
      <c r="AG1831" s="36" t="str">
        <f t="shared" si="493"/>
        <v>TIJ</v>
      </c>
    </row>
    <row r="1832" spans="18:33" x14ac:dyDescent="0.25">
      <c r="R1832">
        <v>1818</v>
      </c>
      <c r="S1832" s="36" t="str">
        <f t="shared" si="492"/>
        <v>BARATA Y MORADA</v>
      </c>
      <c r="T1832" s="36">
        <f t="shared" si="492"/>
        <v>432</v>
      </c>
      <c r="U1832" s="73">
        <v>0.87222222222222223</v>
      </c>
      <c r="V1832" s="74">
        <v>0.88124999999999998</v>
      </c>
      <c r="W1832" s="75">
        <v>9.0277777777777457E-3</v>
      </c>
      <c r="X1832" s="74">
        <v>0.89166666666666661</v>
      </c>
      <c r="Y1832" s="75">
        <v>1.041666666666663E-2</v>
      </c>
      <c r="Z1832" s="76">
        <v>41749</v>
      </c>
      <c r="AA1832" s="36" t="str">
        <f t="shared" si="493"/>
        <v>Nacional</v>
      </c>
      <c r="AB1832" s="36">
        <f t="shared" si="493"/>
        <v>7.4074074074074103E-3</v>
      </c>
      <c r="AC1832" s="36">
        <f t="shared" si="493"/>
        <v>1.1435185185185178E-2</v>
      </c>
      <c r="AD1832" s="36">
        <f t="shared" si="493"/>
        <v>1.8842592592592588E-2</v>
      </c>
      <c r="AE1832" s="36">
        <f t="shared" si="493"/>
        <v>320</v>
      </c>
      <c r="AF1832" s="36">
        <f t="shared" si="493"/>
        <v>179</v>
      </c>
      <c r="AG1832" s="36" t="str">
        <f t="shared" si="493"/>
        <v>TIJ</v>
      </c>
    </row>
    <row r="1833" spans="18:33" x14ac:dyDescent="0.25">
      <c r="R1833">
        <v>1819</v>
      </c>
      <c r="S1833" s="36" t="str">
        <f t="shared" si="492"/>
        <v>BARATA Y MORADA</v>
      </c>
      <c r="T1833" s="36">
        <f t="shared" si="492"/>
        <v>432</v>
      </c>
      <c r="U1833" s="73">
        <v>0.86944444444444446</v>
      </c>
      <c r="V1833" s="74">
        <v>0.88194444444444453</v>
      </c>
      <c r="W1833" s="75">
        <v>1.2500000000000067E-2</v>
      </c>
      <c r="X1833" s="74">
        <v>0.89236111111111116</v>
      </c>
      <c r="Y1833" s="75">
        <v>1.041666666666663E-2</v>
      </c>
      <c r="Z1833" s="76">
        <v>41751</v>
      </c>
      <c r="AA1833" s="36" t="str">
        <f t="shared" si="493"/>
        <v>Nacional</v>
      </c>
      <c r="AB1833" s="36">
        <f t="shared" si="493"/>
        <v>7.4074074074074103E-3</v>
      </c>
      <c r="AC1833" s="36">
        <f t="shared" si="493"/>
        <v>1.1435185185185178E-2</v>
      </c>
      <c r="AD1833" s="36">
        <f t="shared" si="493"/>
        <v>1.8842592592592588E-2</v>
      </c>
      <c r="AE1833" s="36">
        <f t="shared" si="493"/>
        <v>320</v>
      </c>
      <c r="AF1833" s="36">
        <f t="shared" si="493"/>
        <v>179</v>
      </c>
      <c r="AG1833" s="36" t="str">
        <f t="shared" si="493"/>
        <v>TIJ</v>
      </c>
    </row>
    <row r="1834" spans="18:33" x14ac:dyDescent="0.25">
      <c r="R1834">
        <v>1820</v>
      </c>
      <c r="S1834" s="36" t="str">
        <f t="shared" si="492"/>
        <v>BARATA Y MORADA</v>
      </c>
      <c r="T1834" s="36">
        <f t="shared" si="492"/>
        <v>432</v>
      </c>
      <c r="U1834" s="73">
        <v>0.87777777777777777</v>
      </c>
      <c r="V1834" s="74">
        <v>0.88541666666666663</v>
      </c>
      <c r="W1834" s="75">
        <v>7.6388888888888618E-3</v>
      </c>
      <c r="X1834" s="74">
        <v>0.89930555555555547</v>
      </c>
      <c r="Y1834" s="75">
        <v>1.388888888888884E-2</v>
      </c>
      <c r="Z1834" s="76">
        <v>41755</v>
      </c>
      <c r="AA1834" s="36" t="str">
        <f t="shared" si="493"/>
        <v>Nacional</v>
      </c>
      <c r="AB1834" s="36">
        <f t="shared" si="493"/>
        <v>7.4074074074074103E-3</v>
      </c>
      <c r="AC1834" s="36">
        <f t="shared" si="493"/>
        <v>1.1435185185185178E-2</v>
      </c>
      <c r="AD1834" s="36">
        <f t="shared" si="493"/>
        <v>1.8842592592592588E-2</v>
      </c>
      <c r="AE1834" s="36">
        <f t="shared" si="493"/>
        <v>320</v>
      </c>
      <c r="AF1834" s="36">
        <f t="shared" si="493"/>
        <v>179</v>
      </c>
      <c r="AG1834" s="36" t="str">
        <f t="shared" si="493"/>
        <v>TIJ</v>
      </c>
    </row>
    <row r="1835" spans="18:33" x14ac:dyDescent="0.25">
      <c r="R1835">
        <v>1821</v>
      </c>
      <c r="S1835" s="36" t="str">
        <f t="shared" si="492"/>
        <v>BARATA Y MORADA</v>
      </c>
      <c r="T1835" s="36">
        <f t="shared" si="492"/>
        <v>432</v>
      </c>
      <c r="U1835" s="73">
        <v>0.89374999999999993</v>
      </c>
      <c r="V1835" s="74">
        <v>0.90347222222222223</v>
      </c>
      <c r="W1835" s="75">
        <v>9.7222222222222987E-3</v>
      </c>
      <c r="X1835" s="74">
        <v>0.91805555555555562</v>
      </c>
      <c r="Y1835" s="75">
        <v>1.4583333333333393E-2</v>
      </c>
      <c r="Z1835" s="76">
        <v>41759</v>
      </c>
      <c r="AA1835" s="36" t="str">
        <f t="shared" si="493"/>
        <v>Nacional</v>
      </c>
      <c r="AB1835" s="36">
        <f t="shared" si="493"/>
        <v>7.4074074074074103E-3</v>
      </c>
      <c r="AC1835" s="36">
        <f t="shared" si="493"/>
        <v>1.1435185185185178E-2</v>
      </c>
      <c r="AD1835" s="36">
        <f t="shared" si="493"/>
        <v>1.8842592592592588E-2</v>
      </c>
      <c r="AE1835" s="36">
        <f t="shared" si="493"/>
        <v>320</v>
      </c>
      <c r="AF1835" s="36">
        <f t="shared" si="493"/>
        <v>179</v>
      </c>
      <c r="AG1835" s="36" t="str">
        <f t="shared" si="493"/>
        <v>TIJ</v>
      </c>
    </row>
    <row r="1836" spans="18:33" ht="15.75" thickBot="1" x14ac:dyDescent="0.3">
      <c r="R1836">
        <v>1822</v>
      </c>
      <c r="S1836" s="36" t="str">
        <f t="shared" si="492"/>
        <v>BARATA Y MORADA</v>
      </c>
      <c r="T1836" s="36">
        <f t="shared" si="492"/>
        <v>432</v>
      </c>
      <c r="U1836" s="83">
        <v>0.87569444444444444</v>
      </c>
      <c r="V1836" s="84">
        <v>0.88541666666666663</v>
      </c>
      <c r="W1836" s="85">
        <v>9.7222222222221877E-3</v>
      </c>
      <c r="X1836" s="84">
        <v>0.89236111111111116</v>
      </c>
      <c r="Y1836" s="85">
        <v>6.9444444444445308E-3</v>
      </c>
      <c r="Z1836" s="86">
        <v>41759</v>
      </c>
      <c r="AA1836" s="36" t="str">
        <f t="shared" si="493"/>
        <v>Nacional</v>
      </c>
      <c r="AB1836" s="36">
        <f t="shared" si="493"/>
        <v>7.4074074074074103E-3</v>
      </c>
      <c r="AC1836" s="36">
        <f t="shared" si="493"/>
        <v>1.1435185185185178E-2</v>
      </c>
      <c r="AD1836" s="36">
        <f t="shared" si="493"/>
        <v>1.8842592592592588E-2</v>
      </c>
      <c r="AE1836" s="36">
        <f t="shared" si="493"/>
        <v>320</v>
      </c>
      <c r="AF1836" s="36">
        <f t="shared" si="493"/>
        <v>179</v>
      </c>
      <c r="AG1836" s="36" t="str">
        <f t="shared" si="493"/>
        <v>TIJ</v>
      </c>
    </row>
    <row r="1837" spans="18:33" x14ac:dyDescent="0.25">
      <c r="R1837">
        <v>1823</v>
      </c>
      <c r="S1837" s="36" t="str">
        <f t="shared" si="492"/>
        <v>BARATA Y MORADA</v>
      </c>
      <c r="T1837" s="55">
        <v>436</v>
      </c>
      <c r="U1837" s="56">
        <v>0.9784722222222223</v>
      </c>
      <c r="V1837" s="57">
        <v>0.98263888888888884</v>
      </c>
      <c r="W1837" s="58">
        <v>4.1666666666665408E-3</v>
      </c>
      <c r="X1837" s="57">
        <v>0.98819444444444438</v>
      </c>
      <c r="Y1837" s="58">
        <v>5.5555555555555358E-3</v>
      </c>
      <c r="Z1837" s="59">
        <v>41736</v>
      </c>
      <c r="AA1837" s="60" t="s">
        <v>19</v>
      </c>
      <c r="AB1837" s="61">
        <v>7.8022875816993386E-3</v>
      </c>
      <c r="AC1837" s="61">
        <v>1.0253267973856192E-2</v>
      </c>
      <c r="AD1837" s="231">
        <v>1.805555555555553E-2</v>
      </c>
      <c r="AE1837" s="132">
        <v>320</v>
      </c>
      <c r="AF1837" s="132">
        <v>179</v>
      </c>
      <c r="AG1837" s="132" t="s">
        <v>34</v>
      </c>
    </row>
    <row r="1838" spans="18:33" x14ac:dyDescent="0.25">
      <c r="R1838">
        <v>1824</v>
      </c>
      <c r="S1838" s="36" t="str">
        <f t="shared" si="492"/>
        <v>BARATA Y MORADA</v>
      </c>
      <c r="T1838" s="36">
        <f t="shared" si="492"/>
        <v>436</v>
      </c>
      <c r="U1838" s="73">
        <v>0.99305555555555547</v>
      </c>
      <c r="V1838" s="74">
        <v>0.99652777777777779</v>
      </c>
      <c r="W1838" s="75">
        <v>3.4722222222223209E-3</v>
      </c>
      <c r="X1838" s="74">
        <v>1.0048611111111112</v>
      </c>
      <c r="Y1838" s="75">
        <v>8.3333333333334147E-3</v>
      </c>
      <c r="Z1838" s="76">
        <v>41736</v>
      </c>
      <c r="AA1838" s="36" t="str">
        <f t="shared" ref="AA1838:AG1853" si="494">AA1837</f>
        <v>Nacional</v>
      </c>
      <c r="AB1838" s="36">
        <f t="shared" si="494"/>
        <v>7.8022875816993386E-3</v>
      </c>
      <c r="AC1838" s="36">
        <f t="shared" si="494"/>
        <v>1.0253267973856192E-2</v>
      </c>
      <c r="AD1838" s="36">
        <f t="shared" si="494"/>
        <v>1.805555555555553E-2</v>
      </c>
      <c r="AE1838" s="36">
        <f t="shared" si="494"/>
        <v>320</v>
      </c>
      <c r="AF1838" s="36">
        <f t="shared" si="494"/>
        <v>179</v>
      </c>
      <c r="AG1838" s="36" t="str">
        <f t="shared" si="494"/>
        <v>TIJ</v>
      </c>
    </row>
    <row r="1839" spans="18:33" x14ac:dyDescent="0.25">
      <c r="R1839">
        <v>1825</v>
      </c>
      <c r="S1839" s="36" t="str">
        <f t="shared" si="492"/>
        <v>BARATA Y MORADA</v>
      </c>
      <c r="T1839" s="36">
        <f t="shared" si="492"/>
        <v>436</v>
      </c>
      <c r="U1839" s="73">
        <v>0.98263888888888884</v>
      </c>
      <c r="V1839" s="74">
        <v>0.9902777777777777</v>
      </c>
      <c r="W1839" s="75">
        <v>7.6388888888888618E-3</v>
      </c>
      <c r="X1839" s="74">
        <v>1.0034722222222221</v>
      </c>
      <c r="Y1839" s="75">
        <v>1.3194444444444398E-2</v>
      </c>
      <c r="Z1839" s="76">
        <v>41738</v>
      </c>
      <c r="AA1839" s="36" t="str">
        <f t="shared" si="494"/>
        <v>Nacional</v>
      </c>
      <c r="AB1839" s="36">
        <f t="shared" si="494"/>
        <v>7.8022875816993386E-3</v>
      </c>
      <c r="AC1839" s="36">
        <f t="shared" si="494"/>
        <v>1.0253267973856192E-2</v>
      </c>
      <c r="AD1839" s="36">
        <f t="shared" si="494"/>
        <v>1.805555555555553E-2</v>
      </c>
      <c r="AE1839" s="36">
        <f t="shared" si="494"/>
        <v>320</v>
      </c>
      <c r="AF1839" s="36">
        <f t="shared" si="494"/>
        <v>179</v>
      </c>
      <c r="AG1839" s="36" t="str">
        <f t="shared" si="494"/>
        <v>TIJ</v>
      </c>
    </row>
    <row r="1840" spans="18:33" x14ac:dyDescent="0.25">
      <c r="R1840">
        <v>1826</v>
      </c>
      <c r="S1840" s="36" t="str">
        <f t="shared" si="492"/>
        <v>BARATA Y MORADA</v>
      </c>
      <c r="T1840" s="36">
        <f t="shared" si="492"/>
        <v>436</v>
      </c>
      <c r="U1840" s="73">
        <v>0.99652777777777779</v>
      </c>
      <c r="V1840" s="74">
        <v>1.0034722222222221</v>
      </c>
      <c r="W1840" s="75">
        <v>6.9444444444443088E-3</v>
      </c>
      <c r="X1840" s="74">
        <v>1.0166666666666666</v>
      </c>
      <c r="Y1840" s="75">
        <v>1.3194444444444509E-2</v>
      </c>
      <c r="Z1840" s="76">
        <v>41739</v>
      </c>
      <c r="AA1840" s="36" t="str">
        <f t="shared" si="494"/>
        <v>Nacional</v>
      </c>
      <c r="AB1840" s="36">
        <f t="shared" si="494"/>
        <v>7.8022875816993386E-3</v>
      </c>
      <c r="AC1840" s="36">
        <f t="shared" si="494"/>
        <v>1.0253267973856192E-2</v>
      </c>
      <c r="AD1840" s="36">
        <f t="shared" si="494"/>
        <v>1.805555555555553E-2</v>
      </c>
      <c r="AE1840" s="36">
        <f t="shared" si="494"/>
        <v>320</v>
      </c>
      <c r="AF1840" s="36">
        <f t="shared" si="494"/>
        <v>179</v>
      </c>
      <c r="AG1840" s="36" t="str">
        <f t="shared" si="494"/>
        <v>TIJ</v>
      </c>
    </row>
    <row r="1841" spans="18:33" x14ac:dyDescent="0.25">
      <c r="R1841">
        <v>1827</v>
      </c>
      <c r="S1841" s="36" t="str">
        <f t="shared" si="492"/>
        <v>BARATA Y MORADA</v>
      </c>
      <c r="T1841" s="36">
        <f t="shared" si="492"/>
        <v>436</v>
      </c>
      <c r="U1841" s="73">
        <v>0.98958333333333337</v>
      </c>
      <c r="V1841" s="74">
        <v>0.99513888888888891</v>
      </c>
      <c r="W1841" s="75">
        <v>5.5555555555555358E-3</v>
      </c>
      <c r="X1841" s="74">
        <v>1.0034722222222221</v>
      </c>
      <c r="Y1841" s="75">
        <v>8.3333333333331927E-3</v>
      </c>
      <c r="Z1841" s="76">
        <v>41740</v>
      </c>
      <c r="AA1841" s="36" t="str">
        <f t="shared" si="494"/>
        <v>Nacional</v>
      </c>
      <c r="AB1841" s="36">
        <f t="shared" si="494"/>
        <v>7.8022875816993386E-3</v>
      </c>
      <c r="AC1841" s="36">
        <f t="shared" si="494"/>
        <v>1.0253267973856192E-2</v>
      </c>
      <c r="AD1841" s="36">
        <f t="shared" si="494"/>
        <v>1.805555555555553E-2</v>
      </c>
      <c r="AE1841" s="36">
        <f t="shared" si="494"/>
        <v>320</v>
      </c>
      <c r="AF1841" s="36">
        <f t="shared" si="494"/>
        <v>179</v>
      </c>
      <c r="AG1841" s="36" t="str">
        <f t="shared" si="494"/>
        <v>TIJ</v>
      </c>
    </row>
    <row r="1842" spans="18:33" x14ac:dyDescent="0.25">
      <c r="R1842">
        <v>1828</v>
      </c>
      <c r="S1842" s="36" t="str">
        <f t="shared" si="492"/>
        <v>BARATA Y MORADA</v>
      </c>
      <c r="T1842" s="36">
        <f t="shared" si="492"/>
        <v>436</v>
      </c>
      <c r="U1842" s="73">
        <v>0.97777777777777775</v>
      </c>
      <c r="V1842" s="74">
        <v>0.98819444444444438</v>
      </c>
      <c r="W1842" s="75">
        <v>1.041666666666663E-2</v>
      </c>
      <c r="X1842" s="74">
        <v>0.99722222222222223</v>
      </c>
      <c r="Y1842" s="75">
        <v>9.0277777777778567E-3</v>
      </c>
      <c r="Z1842" s="76">
        <v>41743</v>
      </c>
      <c r="AA1842" s="36" t="str">
        <f t="shared" si="494"/>
        <v>Nacional</v>
      </c>
      <c r="AB1842" s="36">
        <f t="shared" si="494"/>
        <v>7.8022875816993386E-3</v>
      </c>
      <c r="AC1842" s="36">
        <f t="shared" si="494"/>
        <v>1.0253267973856192E-2</v>
      </c>
      <c r="AD1842" s="36">
        <f t="shared" si="494"/>
        <v>1.805555555555553E-2</v>
      </c>
      <c r="AE1842" s="36">
        <f t="shared" si="494"/>
        <v>320</v>
      </c>
      <c r="AF1842" s="36">
        <f t="shared" si="494"/>
        <v>179</v>
      </c>
      <c r="AG1842" s="36" t="str">
        <f t="shared" si="494"/>
        <v>TIJ</v>
      </c>
    </row>
    <row r="1843" spans="18:33" x14ac:dyDescent="0.25">
      <c r="R1843">
        <v>1829</v>
      </c>
      <c r="S1843" s="36" t="str">
        <f t="shared" si="492"/>
        <v>BARATA Y MORADA</v>
      </c>
      <c r="T1843" s="36">
        <f t="shared" si="492"/>
        <v>436</v>
      </c>
      <c r="U1843" s="73">
        <v>0.97083333333333333</v>
      </c>
      <c r="V1843" s="74">
        <v>0.98263888888888884</v>
      </c>
      <c r="W1843" s="75">
        <v>1.1805555555555514E-2</v>
      </c>
      <c r="X1843" s="74">
        <v>0.98749999999999993</v>
      </c>
      <c r="Y1843" s="75">
        <v>4.8611111111110938E-3</v>
      </c>
      <c r="Z1843" s="76">
        <v>41745</v>
      </c>
      <c r="AA1843" s="36" t="str">
        <f t="shared" si="494"/>
        <v>Nacional</v>
      </c>
      <c r="AB1843" s="36">
        <f t="shared" si="494"/>
        <v>7.8022875816993386E-3</v>
      </c>
      <c r="AC1843" s="36">
        <f t="shared" si="494"/>
        <v>1.0253267973856192E-2</v>
      </c>
      <c r="AD1843" s="36">
        <f t="shared" si="494"/>
        <v>1.805555555555553E-2</v>
      </c>
      <c r="AE1843" s="36">
        <f t="shared" si="494"/>
        <v>320</v>
      </c>
      <c r="AF1843" s="36">
        <f t="shared" si="494"/>
        <v>179</v>
      </c>
      <c r="AG1843" s="36" t="str">
        <f t="shared" si="494"/>
        <v>TIJ</v>
      </c>
    </row>
    <row r="1844" spans="18:33" x14ac:dyDescent="0.25">
      <c r="R1844">
        <v>1830</v>
      </c>
      <c r="S1844" s="36" t="str">
        <f t="shared" si="492"/>
        <v>BARATA Y MORADA</v>
      </c>
      <c r="T1844" s="36">
        <f t="shared" si="492"/>
        <v>436</v>
      </c>
      <c r="U1844" s="73">
        <v>0.9784722222222223</v>
      </c>
      <c r="V1844" s="74">
        <v>0.98611111111111116</v>
      </c>
      <c r="W1844" s="75">
        <v>7.6388888888888618E-3</v>
      </c>
      <c r="X1844" s="74">
        <v>0.99583333333333324</v>
      </c>
      <c r="Y1844" s="75">
        <v>9.7222222222220767E-3</v>
      </c>
      <c r="Z1844" s="76">
        <v>41744</v>
      </c>
      <c r="AA1844" s="36" t="str">
        <f t="shared" si="494"/>
        <v>Nacional</v>
      </c>
      <c r="AB1844" s="36">
        <f t="shared" si="494"/>
        <v>7.8022875816993386E-3</v>
      </c>
      <c r="AC1844" s="36">
        <f t="shared" si="494"/>
        <v>1.0253267973856192E-2</v>
      </c>
      <c r="AD1844" s="36">
        <f t="shared" si="494"/>
        <v>1.805555555555553E-2</v>
      </c>
      <c r="AE1844" s="36">
        <f t="shared" si="494"/>
        <v>320</v>
      </c>
      <c r="AF1844" s="36">
        <f t="shared" si="494"/>
        <v>179</v>
      </c>
      <c r="AG1844" s="36" t="str">
        <f t="shared" si="494"/>
        <v>TIJ</v>
      </c>
    </row>
    <row r="1845" spans="18:33" x14ac:dyDescent="0.25">
      <c r="R1845">
        <v>1831</v>
      </c>
      <c r="S1845" s="36" t="str">
        <f t="shared" si="492"/>
        <v>BARATA Y MORADA</v>
      </c>
      <c r="T1845" s="36">
        <f t="shared" si="492"/>
        <v>436</v>
      </c>
      <c r="U1845" s="73">
        <v>0.97777777777777775</v>
      </c>
      <c r="V1845" s="74">
        <v>0.98611111111111116</v>
      </c>
      <c r="W1845" s="75">
        <v>8.3333333333334147E-3</v>
      </c>
      <c r="X1845" s="74">
        <v>0.99652777777777779</v>
      </c>
      <c r="Y1845" s="75">
        <v>1.041666666666663E-2</v>
      </c>
      <c r="Z1845" s="76">
        <v>41746</v>
      </c>
      <c r="AA1845" s="36" t="str">
        <f t="shared" si="494"/>
        <v>Nacional</v>
      </c>
      <c r="AB1845" s="36">
        <f t="shared" si="494"/>
        <v>7.8022875816993386E-3</v>
      </c>
      <c r="AC1845" s="36">
        <f t="shared" si="494"/>
        <v>1.0253267973856192E-2</v>
      </c>
      <c r="AD1845" s="36">
        <f t="shared" si="494"/>
        <v>1.805555555555553E-2</v>
      </c>
      <c r="AE1845" s="36">
        <f t="shared" si="494"/>
        <v>320</v>
      </c>
      <c r="AF1845" s="36">
        <f t="shared" si="494"/>
        <v>179</v>
      </c>
      <c r="AG1845" s="36" t="str">
        <f t="shared" si="494"/>
        <v>TIJ</v>
      </c>
    </row>
    <row r="1846" spans="18:33" x14ac:dyDescent="0.25">
      <c r="R1846">
        <v>1832</v>
      </c>
      <c r="S1846" s="36" t="str">
        <f t="shared" si="492"/>
        <v>BARATA Y MORADA</v>
      </c>
      <c r="T1846" s="36">
        <f t="shared" si="492"/>
        <v>436</v>
      </c>
      <c r="U1846" s="73">
        <v>0.97430555555555554</v>
      </c>
      <c r="V1846" s="74">
        <v>0.98402777777777783</v>
      </c>
      <c r="W1846" s="75">
        <v>9.7222222222222987E-3</v>
      </c>
      <c r="X1846" s="74">
        <v>0.99722222222222223</v>
      </c>
      <c r="Y1846" s="75">
        <v>1.3194444444444398E-2</v>
      </c>
      <c r="Z1846" s="76">
        <v>41749</v>
      </c>
      <c r="AA1846" s="36" t="str">
        <f t="shared" si="494"/>
        <v>Nacional</v>
      </c>
      <c r="AB1846" s="36">
        <f t="shared" si="494"/>
        <v>7.8022875816993386E-3</v>
      </c>
      <c r="AC1846" s="36">
        <f t="shared" si="494"/>
        <v>1.0253267973856192E-2</v>
      </c>
      <c r="AD1846" s="36">
        <f t="shared" si="494"/>
        <v>1.805555555555553E-2</v>
      </c>
      <c r="AE1846" s="36">
        <f t="shared" si="494"/>
        <v>320</v>
      </c>
      <c r="AF1846" s="36">
        <f t="shared" si="494"/>
        <v>179</v>
      </c>
      <c r="AG1846" s="36" t="str">
        <f t="shared" si="494"/>
        <v>TIJ</v>
      </c>
    </row>
    <row r="1847" spans="18:33" x14ac:dyDescent="0.25">
      <c r="R1847">
        <v>1833</v>
      </c>
      <c r="S1847" s="36" t="str">
        <f t="shared" si="492"/>
        <v>BARATA Y MORADA</v>
      </c>
      <c r="T1847" s="36">
        <f t="shared" si="492"/>
        <v>436</v>
      </c>
      <c r="U1847" s="73">
        <v>0.97638888888888886</v>
      </c>
      <c r="V1847" s="74">
        <v>0.9868055555555556</v>
      </c>
      <c r="W1847" s="75">
        <v>1.0416666666666741E-2</v>
      </c>
      <c r="X1847" s="74">
        <v>0.99444444444444446</v>
      </c>
      <c r="Y1847" s="75">
        <v>7.6388888888888618E-3</v>
      </c>
      <c r="Z1847" s="76">
        <v>41749</v>
      </c>
      <c r="AA1847" s="36" t="str">
        <f t="shared" si="494"/>
        <v>Nacional</v>
      </c>
      <c r="AB1847" s="36">
        <f t="shared" si="494"/>
        <v>7.8022875816993386E-3</v>
      </c>
      <c r="AC1847" s="36">
        <f t="shared" si="494"/>
        <v>1.0253267973856192E-2</v>
      </c>
      <c r="AD1847" s="36">
        <f t="shared" si="494"/>
        <v>1.805555555555553E-2</v>
      </c>
      <c r="AE1847" s="36">
        <f t="shared" si="494"/>
        <v>320</v>
      </c>
      <c r="AF1847" s="36">
        <f t="shared" si="494"/>
        <v>179</v>
      </c>
      <c r="AG1847" s="36" t="str">
        <f t="shared" si="494"/>
        <v>TIJ</v>
      </c>
    </row>
    <row r="1848" spans="18:33" x14ac:dyDescent="0.25">
      <c r="R1848">
        <v>1834</v>
      </c>
      <c r="S1848" s="36" t="str">
        <f t="shared" si="492"/>
        <v>BARATA Y MORADA</v>
      </c>
      <c r="T1848" s="36">
        <f t="shared" si="492"/>
        <v>436</v>
      </c>
      <c r="U1848" s="73">
        <v>0.89027777777777783</v>
      </c>
      <c r="V1848" s="74">
        <v>0.89513888888888893</v>
      </c>
      <c r="W1848" s="75">
        <v>4.8611111111110938E-3</v>
      </c>
      <c r="X1848" s="74">
        <v>0.90277777777777779</v>
      </c>
      <c r="Y1848" s="75">
        <v>7.6388888888888618E-3</v>
      </c>
      <c r="Z1848" s="76">
        <v>41751</v>
      </c>
      <c r="AA1848" s="36" t="str">
        <f t="shared" si="494"/>
        <v>Nacional</v>
      </c>
      <c r="AB1848" s="36">
        <f t="shared" si="494"/>
        <v>7.8022875816993386E-3</v>
      </c>
      <c r="AC1848" s="36">
        <f t="shared" si="494"/>
        <v>1.0253267973856192E-2</v>
      </c>
      <c r="AD1848" s="36">
        <f t="shared" si="494"/>
        <v>1.805555555555553E-2</v>
      </c>
      <c r="AE1848" s="36">
        <f t="shared" si="494"/>
        <v>320</v>
      </c>
      <c r="AF1848" s="36">
        <f t="shared" si="494"/>
        <v>179</v>
      </c>
      <c r="AG1848" s="36" t="str">
        <f t="shared" si="494"/>
        <v>TIJ</v>
      </c>
    </row>
    <row r="1849" spans="18:33" x14ac:dyDescent="0.25">
      <c r="R1849">
        <v>1835</v>
      </c>
      <c r="S1849" s="36" t="str">
        <f t="shared" si="492"/>
        <v>BARATA Y MORADA</v>
      </c>
      <c r="T1849" s="36">
        <f t="shared" si="492"/>
        <v>436</v>
      </c>
      <c r="U1849" s="73">
        <v>0.98958333333333337</v>
      </c>
      <c r="V1849" s="74">
        <v>0.99861111111111101</v>
      </c>
      <c r="W1849" s="75">
        <v>9.0277777777776347E-3</v>
      </c>
      <c r="X1849" s="74">
        <v>1.0125</v>
      </c>
      <c r="Y1849" s="75">
        <v>1.3888888888888951E-2</v>
      </c>
      <c r="Z1849" s="76">
        <v>41753</v>
      </c>
      <c r="AA1849" s="36" t="str">
        <f t="shared" si="494"/>
        <v>Nacional</v>
      </c>
      <c r="AB1849" s="36">
        <f t="shared" si="494"/>
        <v>7.8022875816993386E-3</v>
      </c>
      <c r="AC1849" s="36">
        <f t="shared" si="494"/>
        <v>1.0253267973856192E-2</v>
      </c>
      <c r="AD1849" s="36">
        <f t="shared" si="494"/>
        <v>1.805555555555553E-2</v>
      </c>
      <c r="AE1849" s="36">
        <f t="shared" si="494"/>
        <v>320</v>
      </c>
      <c r="AF1849" s="36">
        <f t="shared" si="494"/>
        <v>179</v>
      </c>
      <c r="AG1849" s="36" t="str">
        <f t="shared" si="494"/>
        <v>TIJ</v>
      </c>
    </row>
    <row r="1850" spans="18:33" x14ac:dyDescent="0.25">
      <c r="R1850">
        <v>1836</v>
      </c>
      <c r="S1850" s="36" t="str">
        <f t="shared" si="492"/>
        <v>BARATA Y MORADA</v>
      </c>
      <c r="T1850" s="36">
        <f t="shared" si="492"/>
        <v>436</v>
      </c>
      <c r="U1850" s="73">
        <v>0.9784722222222223</v>
      </c>
      <c r="V1850" s="74">
        <v>0.98888888888888893</v>
      </c>
      <c r="W1850" s="75">
        <v>1.041666666666663E-2</v>
      </c>
      <c r="X1850" s="74">
        <v>1.0048611111111112</v>
      </c>
      <c r="Y1850" s="75">
        <v>1.5972222222222276E-2</v>
      </c>
      <c r="Z1850" s="76">
        <v>41755</v>
      </c>
      <c r="AA1850" s="36" t="str">
        <f t="shared" si="494"/>
        <v>Nacional</v>
      </c>
      <c r="AB1850" s="36">
        <f t="shared" si="494"/>
        <v>7.8022875816993386E-3</v>
      </c>
      <c r="AC1850" s="36">
        <f t="shared" si="494"/>
        <v>1.0253267973856192E-2</v>
      </c>
      <c r="AD1850" s="36">
        <f t="shared" si="494"/>
        <v>1.805555555555553E-2</v>
      </c>
      <c r="AE1850" s="36">
        <f t="shared" si="494"/>
        <v>320</v>
      </c>
      <c r="AF1850" s="36">
        <f t="shared" si="494"/>
        <v>179</v>
      </c>
      <c r="AG1850" s="36" t="str">
        <f t="shared" si="494"/>
        <v>TIJ</v>
      </c>
    </row>
    <row r="1851" spans="18:33" x14ac:dyDescent="0.25">
      <c r="R1851">
        <v>1837</v>
      </c>
      <c r="S1851" s="36" t="str">
        <f t="shared" si="492"/>
        <v>BARATA Y MORADA</v>
      </c>
      <c r="T1851" s="36">
        <f t="shared" si="492"/>
        <v>436</v>
      </c>
      <c r="U1851" s="73">
        <v>0.98541666666666661</v>
      </c>
      <c r="V1851" s="74">
        <v>0.99375000000000002</v>
      </c>
      <c r="W1851" s="75">
        <v>8.3333333333334147E-3</v>
      </c>
      <c r="X1851" s="74">
        <v>1.0034722222222221</v>
      </c>
      <c r="Y1851" s="75">
        <v>9.7222222222220767E-3</v>
      </c>
      <c r="Z1851" s="76">
        <v>41757</v>
      </c>
      <c r="AA1851" s="36" t="str">
        <f t="shared" si="494"/>
        <v>Nacional</v>
      </c>
      <c r="AB1851" s="36">
        <f t="shared" si="494"/>
        <v>7.8022875816993386E-3</v>
      </c>
      <c r="AC1851" s="36">
        <f t="shared" si="494"/>
        <v>1.0253267973856192E-2</v>
      </c>
      <c r="AD1851" s="36">
        <f t="shared" si="494"/>
        <v>1.805555555555553E-2</v>
      </c>
      <c r="AE1851" s="36">
        <f t="shared" si="494"/>
        <v>320</v>
      </c>
      <c r="AF1851" s="36">
        <f t="shared" si="494"/>
        <v>179</v>
      </c>
      <c r="AG1851" s="36" t="str">
        <f t="shared" si="494"/>
        <v>TIJ</v>
      </c>
    </row>
    <row r="1852" spans="18:33" x14ac:dyDescent="0.25">
      <c r="R1852">
        <v>1838</v>
      </c>
      <c r="S1852" s="36" t="str">
        <f t="shared" si="492"/>
        <v>BARATA Y MORADA</v>
      </c>
      <c r="T1852" s="36">
        <f t="shared" si="492"/>
        <v>436</v>
      </c>
      <c r="U1852" s="73">
        <v>0.99236111111111114</v>
      </c>
      <c r="V1852" s="74">
        <v>0.99722222222222223</v>
      </c>
      <c r="W1852" s="75">
        <v>4.8611111111110938E-3</v>
      </c>
      <c r="X1852" s="74">
        <v>1.0104166666666667</v>
      </c>
      <c r="Y1852" s="75">
        <v>1.3194444444444509E-2</v>
      </c>
      <c r="Z1852" s="76">
        <v>41759</v>
      </c>
      <c r="AA1852" s="36" t="str">
        <f t="shared" si="494"/>
        <v>Nacional</v>
      </c>
      <c r="AB1852" s="36">
        <f t="shared" si="494"/>
        <v>7.8022875816993386E-3</v>
      </c>
      <c r="AC1852" s="36">
        <f t="shared" si="494"/>
        <v>1.0253267973856192E-2</v>
      </c>
      <c r="AD1852" s="36">
        <f t="shared" si="494"/>
        <v>1.805555555555553E-2</v>
      </c>
      <c r="AE1852" s="36">
        <f t="shared" si="494"/>
        <v>320</v>
      </c>
      <c r="AF1852" s="36">
        <f t="shared" si="494"/>
        <v>179</v>
      </c>
      <c r="AG1852" s="36" t="str">
        <f t="shared" si="494"/>
        <v>TIJ</v>
      </c>
    </row>
    <row r="1853" spans="18:33" ht="15.75" thickBot="1" x14ac:dyDescent="0.3">
      <c r="R1853">
        <v>1839</v>
      </c>
      <c r="S1853" s="36" t="str">
        <f t="shared" si="492"/>
        <v>BARATA Y MORADA</v>
      </c>
      <c r="T1853" s="36">
        <f t="shared" si="492"/>
        <v>436</v>
      </c>
      <c r="U1853" s="83">
        <v>0.9902777777777777</v>
      </c>
      <c r="V1853" s="84">
        <v>0.99930555555555556</v>
      </c>
      <c r="W1853" s="85">
        <v>9.0277777777778567E-3</v>
      </c>
      <c r="X1853" s="84">
        <v>1.0097222222222222</v>
      </c>
      <c r="Y1853" s="85">
        <v>1.041666666666663E-2</v>
      </c>
      <c r="Z1853" s="86">
        <v>41759</v>
      </c>
      <c r="AA1853" s="36" t="str">
        <f t="shared" si="494"/>
        <v>Nacional</v>
      </c>
      <c r="AB1853" s="36">
        <f t="shared" si="494"/>
        <v>7.8022875816993386E-3</v>
      </c>
      <c r="AC1853" s="36">
        <f t="shared" si="494"/>
        <v>1.0253267973856192E-2</v>
      </c>
      <c r="AD1853" s="36">
        <f t="shared" si="494"/>
        <v>1.805555555555553E-2</v>
      </c>
      <c r="AE1853" s="36">
        <f t="shared" si="494"/>
        <v>320</v>
      </c>
      <c r="AF1853" s="36">
        <f t="shared" si="494"/>
        <v>179</v>
      </c>
      <c r="AG1853" s="36" t="str">
        <f t="shared" si="494"/>
        <v>TIJ</v>
      </c>
    </row>
    <row r="1854" spans="18:33" x14ac:dyDescent="0.25">
      <c r="R1854">
        <v>1840</v>
      </c>
      <c r="S1854" s="36" t="str">
        <f t="shared" si="492"/>
        <v>BARATA Y MORADA</v>
      </c>
      <c r="T1854" s="55">
        <v>621</v>
      </c>
      <c r="U1854" s="56">
        <v>0.21249999999999999</v>
      </c>
      <c r="V1854" s="57">
        <v>0.22500000000000001</v>
      </c>
      <c r="W1854" s="58">
        <v>1.2500000000000011E-2</v>
      </c>
      <c r="X1854" s="57">
        <v>0.26041666666666669</v>
      </c>
      <c r="Y1854" s="58">
        <v>3.541666666666668E-2</v>
      </c>
      <c r="Z1854" s="59">
        <v>41733</v>
      </c>
      <c r="AA1854" s="60" t="s">
        <v>19</v>
      </c>
      <c r="AB1854" s="61">
        <v>1.1011904761904742E-2</v>
      </c>
      <c r="AC1854" s="61">
        <v>8.7301587301587599E-3</v>
      </c>
      <c r="AD1854" s="231">
        <v>1.9742063492063502E-2</v>
      </c>
      <c r="AE1854" s="132">
        <v>320</v>
      </c>
      <c r="AF1854" s="132">
        <v>179</v>
      </c>
      <c r="AG1854" s="132" t="s">
        <v>67</v>
      </c>
    </row>
    <row r="1855" spans="18:33" x14ac:dyDescent="0.25">
      <c r="R1855">
        <v>1841</v>
      </c>
      <c r="S1855" s="36" t="str">
        <f t="shared" si="492"/>
        <v>BARATA Y MORADA</v>
      </c>
      <c r="T1855" s="36">
        <f t="shared" si="492"/>
        <v>621</v>
      </c>
      <c r="U1855" s="73">
        <v>0.9458333333333333</v>
      </c>
      <c r="V1855" s="74">
        <v>0.95208333333333339</v>
      </c>
      <c r="W1855" s="75">
        <v>6.2500000000000888E-3</v>
      </c>
      <c r="X1855" s="74">
        <v>0.95763888888888893</v>
      </c>
      <c r="Y1855" s="75">
        <v>5.5555555555555358E-3</v>
      </c>
      <c r="Z1855" s="76">
        <v>41732</v>
      </c>
      <c r="AA1855" s="36" t="str">
        <f t="shared" ref="AA1855:AG1867" si="495">AA1854</f>
        <v>Nacional</v>
      </c>
      <c r="AB1855" s="36">
        <f t="shared" si="495"/>
        <v>1.1011904761904742E-2</v>
      </c>
      <c r="AC1855" s="36">
        <f t="shared" si="495"/>
        <v>8.7301587301587599E-3</v>
      </c>
      <c r="AD1855" s="36">
        <f t="shared" si="495"/>
        <v>1.9742063492063502E-2</v>
      </c>
      <c r="AE1855" s="36">
        <f t="shared" si="495"/>
        <v>320</v>
      </c>
      <c r="AF1855" s="36">
        <f t="shared" si="495"/>
        <v>179</v>
      </c>
      <c r="AG1855" s="36" t="str">
        <f t="shared" si="495"/>
        <v>MXL</v>
      </c>
    </row>
    <row r="1856" spans="18:33" x14ac:dyDescent="0.25">
      <c r="R1856">
        <v>1842</v>
      </c>
      <c r="S1856" s="36" t="str">
        <f t="shared" si="492"/>
        <v>BARATA Y MORADA</v>
      </c>
      <c r="T1856" s="36">
        <f t="shared" si="492"/>
        <v>621</v>
      </c>
      <c r="U1856" s="73">
        <v>0.95694444444444438</v>
      </c>
      <c r="V1856" s="74">
        <v>0.96180555555555547</v>
      </c>
      <c r="W1856" s="75">
        <v>4.8611111111110938E-3</v>
      </c>
      <c r="X1856" s="74">
        <v>0.96527777777777779</v>
      </c>
      <c r="Y1856" s="75">
        <v>3.4722222222223209E-3</v>
      </c>
      <c r="Z1856" s="76">
        <v>41734</v>
      </c>
      <c r="AA1856" s="36" t="str">
        <f t="shared" si="495"/>
        <v>Nacional</v>
      </c>
      <c r="AB1856" s="36">
        <f t="shared" si="495"/>
        <v>1.1011904761904742E-2</v>
      </c>
      <c r="AC1856" s="36">
        <f t="shared" si="495"/>
        <v>8.7301587301587599E-3</v>
      </c>
      <c r="AD1856" s="36">
        <f t="shared" si="495"/>
        <v>1.9742063492063502E-2</v>
      </c>
      <c r="AE1856" s="36">
        <f t="shared" si="495"/>
        <v>320</v>
      </c>
      <c r="AF1856" s="36">
        <f t="shared" si="495"/>
        <v>179</v>
      </c>
      <c r="AG1856" s="36" t="str">
        <f t="shared" si="495"/>
        <v>MXL</v>
      </c>
    </row>
    <row r="1857" spans="18:33" x14ac:dyDescent="0.25">
      <c r="R1857">
        <v>1843</v>
      </c>
      <c r="S1857" s="36" t="str">
        <f t="shared" si="492"/>
        <v>BARATA Y MORADA</v>
      </c>
      <c r="T1857" s="36">
        <f t="shared" si="492"/>
        <v>621</v>
      </c>
      <c r="U1857" s="73">
        <v>0.86944444444444446</v>
      </c>
      <c r="V1857" s="74">
        <v>0.91319444444444453</v>
      </c>
      <c r="W1857" s="75">
        <v>4.3750000000000067E-2</v>
      </c>
      <c r="X1857" s="74">
        <v>0.91527777777777775</v>
      </c>
      <c r="Y1857" s="75">
        <v>2.0833333333332149E-3</v>
      </c>
      <c r="Z1857" s="76">
        <v>41734</v>
      </c>
      <c r="AA1857" s="36" t="str">
        <f t="shared" si="495"/>
        <v>Nacional</v>
      </c>
      <c r="AB1857" s="36">
        <f t="shared" si="495"/>
        <v>1.1011904761904742E-2</v>
      </c>
      <c r="AC1857" s="36">
        <f t="shared" si="495"/>
        <v>8.7301587301587599E-3</v>
      </c>
      <c r="AD1857" s="36">
        <f t="shared" si="495"/>
        <v>1.9742063492063502E-2</v>
      </c>
      <c r="AE1857" s="36">
        <f t="shared" si="495"/>
        <v>320</v>
      </c>
      <c r="AF1857" s="36">
        <f t="shared" si="495"/>
        <v>179</v>
      </c>
      <c r="AG1857" s="36" t="str">
        <f t="shared" si="495"/>
        <v>MXL</v>
      </c>
    </row>
    <row r="1858" spans="18:33" x14ac:dyDescent="0.25">
      <c r="R1858">
        <v>1844</v>
      </c>
      <c r="S1858" s="36" t="str">
        <f t="shared" si="492"/>
        <v>BARATA Y MORADA</v>
      </c>
      <c r="T1858" s="36">
        <f t="shared" si="492"/>
        <v>621</v>
      </c>
      <c r="U1858" s="73">
        <v>0.94374999999999998</v>
      </c>
      <c r="V1858" s="74">
        <v>0.95416666666666661</v>
      </c>
      <c r="W1858" s="75">
        <v>1.041666666666663E-2</v>
      </c>
      <c r="X1858" s="74">
        <v>0.96180555555555547</v>
      </c>
      <c r="Y1858" s="75">
        <v>7.6388888888888618E-3</v>
      </c>
      <c r="Z1858" s="76">
        <v>41736</v>
      </c>
      <c r="AA1858" s="36" t="str">
        <f t="shared" si="495"/>
        <v>Nacional</v>
      </c>
      <c r="AB1858" s="36">
        <f t="shared" si="495"/>
        <v>1.1011904761904742E-2</v>
      </c>
      <c r="AC1858" s="36">
        <f t="shared" si="495"/>
        <v>8.7301587301587599E-3</v>
      </c>
      <c r="AD1858" s="36">
        <f t="shared" si="495"/>
        <v>1.9742063492063502E-2</v>
      </c>
      <c r="AE1858" s="36">
        <f t="shared" si="495"/>
        <v>320</v>
      </c>
      <c r="AF1858" s="36">
        <f t="shared" si="495"/>
        <v>179</v>
      </c>
      <c r="AG1858" s="36" t="str">
        <f t="shared" si="495"/>
        <v>MXL</v>
      </c>
    </row>
    <row r="1859" spans="18:33" x14ac:dyDescent="0.25">
      <c r="R1859">
        <v>1845</v>
      </c>
      <c r="S1859" s="36" t="str">
        <f t="shared" si="492"/>
        <v>BARATA Y MORADA</v>
      </c>
      <c r="T1859" s="36">
        <f t="shared" si="492"/>
        <v>621</v>
      </c>
      <c r="U1859" s="73">
        <v>0.94791666666666663</v>
      </c>
      <c r="V1859" s="74">
        <v>0.9555555555555556</v>
      </c>
      <c r="W1859" s="75">
        <v>7.6388888888889728E-3</v>
      </c>
      <c r="X1859" s="74">
        <v>0.96527777777777779</v>
      </c>
      <c r="Y1859" s="75">
        <v>9.7222222222221877E-3</v>
      </c>
      <c r="Z1859" s="76">
        <v>41739</v>
      </c>
      <c r="AA1859" s="36" t="str">
        <f t="shared" si="495"/>
        <v>Nacional</v>
      </c>
      <c r="AB1859" s="36">
        <f t="shared" si="495"/>
        <v>1.1011904761904742E-2</v>
      </c>
      <c r="AC1859" s="36">
        <f t="shared" si="495"/>
        <v>8.7301587301587599E-3</v>
      </c>
      <c r="AD1859" s="36">
        <f t="shared" si="495"/>
        <v>1.9742063492063502E-2</v>
      </c>
      <c r="AE1859" s="36">
        <f t="shared" si="495"/>
        <v>320</v>
      </c>
      <c r="AF1859" s="36">
        <f t="shared" si="495"/>
        <v>179</v>
      </c>
      <c r="AG1859" s="36" t="str">
        <f t="shared" si="495"/>
        <v>MXL</v>
      </c>
    </row>
    <row r="1860" spans="18:33" x14ac:dyDescent="0.25">
      <c r="R1860">
        <v>1846</v>
      </c>
      <c r="S1860" s="36" t="str">
        <f t="shared" si="492"/>
        <v>BARATA Y MORADA</v>
      </c>
      <c r="T1860" s="36">
        <f t="shared" si="492"/>
        <v>621</v>
      </c>
      <c r="U1860" s="73">
        <v>0.94097222222222221</v>
      </c>
      <c r="V1860" s="74">
        <v>0.94861111111111107</v>
      </c>
      <c r="W1860" s="75">
        <v>7.6388888888888618E-3</v>
      </c>
      <c r="X1860" s="74">
        <v>0.95763888888888893</v>
      </c>
      <c r="Y1860" s="75">
        <v>9.0277777777778567E-3</v>
      </c>
      <c r="Z1860" s="76">
        <v>41740</v>
      </c>
      <c r="AA1860" s="36" t="str">
        <f t="shared" si="495"/>
        <v>Nacional</v>
      </c>
      <c r="AB1860" s="36">
        <f t="shared" si="495"/>
        <v>1.1011904761904742E-2</v>
      </c>
      <c r="AC1860" s="36">
        <f t="shared" si="495"/>
        <v>8.7301587301587599E-3</v>
      </c>
      <c r="AD1860" s="36">
        <f t="shared" si="495"/>
        <v>1.9742063492063502E-2</v>
      </c>
      <c r="AE1860" s="36">
        <f t="shared" si="495"/>
        <v>320</v>
      </c>
      <c r="AF1860" s="36">
        <f t="shared" si="495"/>
        <v>179</v>
      </c>
      <c r="AG1860" s="36" t="str">
        <f t="shared" si="495"/>
        <v>MXL</v>
      </c>
    </row>
    <row r="1861" spans="18:33" x14ac:dyDescent="0.25">
      <c r="R1861">
        <v>1847</v>
      </c>
      <c r="S1861" s="36" t="str">
        <f t="shared" si="492"/>
        <v>BARATA Y MORADA</v>
      </c>
      <c r="T1861" s="36">
        <f t="shared" si="492"/>
        <v>621</v>
      </c>
      <c r="U1861" s="73">
        <v>0.45208333333333334</v>
      </c>
      <c r="V1861" s="74">
        <v>0.46180555555555558</v>
      </c>
      <c r="W1861" s="75">
        <v>9.7222222222222432E-3</v>
      </c>
      <c r="X1861" s="74">
        <v>0.47222222222222227</v>
      </c>
      <c r="Y1861" s="75">
        <v>1.0416666666666685E-2</v>
      </c>
      <c r="Z1861" s="76">
        <v>41741</v>
      </c>
      <c r="AA1861" s="36" t="str">
        <f t="shared" si="495"/>
        <v>Nacional</v>
      </c>
      <c r="AB1861" s="36">
        <f t="shared" si="495"/>
        <v>1.1011904761904742E-2</v>
      </c>
      <c r="AC1861" s="36">
        <f t="shared" si="495"/>
        <v>8.7301587301587599E-3</v>
      </c>
      <c r="AD1861" s="36">
        <f t="shared" si="495"/>
        <v>1.9742063492063502E-2</v>
      </c>
      <c r="AE1861" s="36">
        <f t="shared" si="495"/>
        <v>320</v>
      </c>
      <c r="AF1861" s="36">
        <f t="shared" si="495"/>
        <v>179</v>
      </c>
      <c r="AG1861" s="36" t="str">
        <f t="shared" si="495"/>
        <v>MXL</v>
      </c>
    </row>
    <row r="1862" spans="18:33" x14ac:dyDescent="0.25">
      <c r="R1862">
        <v>1848</v>
      </c>
      <c r="S1862" s="36" t="str">
        <f t="shared" si="492"/>
        <v>BARATA Y MORADA</v>
      </c>
      <c r="T1862" s="36">
        <f t="shared" si="492"/>
        <v>621</v>
      </c>
      <c r="U1862" s="73">
        <v>0.44444444444444442</v>
      </c>
      <c r="V1862" s="74">
        <v>0.44930555555555557</v>
      </c>
      <c r="W1862" s="75">
        <v>4.8611111111111494E-3</v>
      </c>
      <c r="X1862" s="74">
        <v>0.45</v>
      </c>
      <c r="Y1862" s="75">
        <v>6.9444444444444198E-4</v>
      </c>
      <c r="Z1862" s="76">
        <v>41747</v>
      </c>
      <c r="AA1862" s="36" t="str">
        <f t="shared" si="495"/>
        <v>Nacional</v>
      </c>
      <c r="AB1862" s="36">
        <f t="shared" si="495"/>
        <v>1.1011904761904742E-2</v>
      </c>
      <c r="AC1862" s="36">
        <f t="shared" si="495"/>
        <v>8.7301587301587599E-3</v>
      </c>
      <c r="AD1862" s="36">
        <f t="shared" si="495"/>
        <v>1.9742063492063502E-2</v>
      </c>
      <c r="AE1862" s="36">
        <f t="shared" si="495"/>
        <v>320</v>
      </c>
      <c r="AF1862" s="36">
        <f t="shared" si="495"/>
        <v>179</v>
      </c>
      <c r="AG1862" s="36" t="str">
        <f t="shared" si="495"/>
        <v>MXL</v>
      </c>
    </row>
    <row r="1863" spans="18:33" x14ac:dyDescent="0.25">
      <c r="R1863">
        <v>1849</v>
      </c>
      <c r="S1863" s="36" t="str">
        <f t="shared" si="492"/>
        <v>BARATA Y MORADA</v>
      </c>
      <c r="T1863" s="36">
        <f t="shared" si="492"/>
        <v>621</v>
      </c>
      <c r="U1863" s="73">
        <v>0.95000000000000007</v>
      </c>
      <c r="V1863" s="74">
        <v>0.96180555555555547</v>
      </c>
      <c r="W1863" s="75">
        <v>1.1805555555555403E-2</v>
      </c>
      <c r="X1863" s="74">
        <v>0.97013888888888899</v>
      </c>
      <c r="Y1863" s="75">
        <v>8.3333333333335258E-3</v>
      </c>
      <c r="Z1863" s="76">
        <v>41749</v>
      </c>
      <c r="AA1863" s="36" t="str">
        <f t="shared" si="495"/>
        <v>Nacional</v>
      </c>
      <c r="AB1863" s="36">
        <f t="shared" si="495"/>
        <v>1.1011904761904742E-2</v>
      </c>
      <c r="AC1863" s="36">
        <f t="shared" si="495"/>
        <v>8.7301587301587599E-3</v>
      </c>
      <c r="AD1863" s="36">
        <f t="shared" si="495"/>
        <v>1.9742063492063502E-2</v>
      </c>
      <c r="AE1863" s="36">
        <f t="shared" si="495"/>
        <v>320</v>
      </c>
      <c r="AF1863" s="36">
        <f t="shared" si="495"/>
        <v>179</v>
      </c>
      <c r="AG1863" s="36" t="str">
        <f t="shared" si="495"/>
        <v>MXL</v>
      </c>
    </row>
    <row r="1864" spans="18:33" x14ac:dyDescent="0.25">
      <c r="R1864">
        <v>1850</v>
      </c>
      <c r="S1864" s="36" t="str">
        <f t="shared" si="492"/>
        <v>BARATA Y MORADA</v>
      </c>
      <c r="T1864" s="36">
        <f t="shared" si="492"/>
        <v>621</v>
      </c>
      <c r="U1864" s="73">
        <v>0.94444444444444453</v>
      </c>
      <c r="V1864" s="74">
        <v>0.95624999999999993</v>
      </c>
      <c r="W1864" s="75">
        <v>1.1805555555555403E-2</v>
      </c>
      <c r="X1864" s="74">
        <v>0.96250000000000002</v>
      </c>
      <c r="Y1864" s="75">
        <v>6.2500000000000888E-3</v>
      </c>
      <c r="Z1864" s="76">
        <v>41749</v>
      </c>
      <c r="AA1864" s="36" t="str">
        <f t="shared" si="495"/>
        <v>Nacional</v>
      </c>
      <c r="AB1864" s="36">
        <f t="shared" si="495"/>
        <v>1.1011904761904742E-2</v>
      </c>
      <c r="AC1864" s="36">
        <f t="shared" si="495"/>
        <v>8.7301587301587599E-3</v>
      </c>
      <c r="AD1864" s="36">
        <f t="shared" si="495"/>
        <v>1.9742063492063502E-2</v>
      </c>
      <c r="AE1864" s="36">
        <f t="shared" si="495"/>
        <v>320</v>
      </c>
      <c r="AF1864" s="36">
        <f t="shared" si="495"/>
        <v>179</v>
      </c>
      <c r="AG1864" s="36" t="str">
        <f t="shared" si="495"/>
        <v>MXL</v>
      </c>
    </row>
    <row r="1865" spans="18:33" x14ac:dyDescent="0.25">
      <c r="R1865">
        <v>1851</v>
      </c>
      <c r="S1865" s="36" t="str">
        <f t="shared" si="492"/>
        <v>BARATA Y MORADA</v>
      </c>
      <c r="T1865" s="36">
        <f t="shared" si="492"/>
        <v>621</v>
      </c>
      <c r="U1865" s="73">
        <v>0.94236111111111109</v>
      </c>
      <c r="V1865" s="74">
        <v>0.94791666666666663</v>
      </c>
      <c r="W1865" s="75">
        <v>5.5555555555555358E-3</v>
      </c>
      <c r="X1865" s="74">
        <v>0.9555555555555556</v>
      </c>
      <c r="Y1865" s="75">
        <v>7.6388888888889728E-3</v>
      </c>
      <c r="Z1865" s="76">
        <v>41753</v>
      </c>
      <c r="AA1865" s="36" t="str">
        <f t="shared" si="495"/>
        <v>Nacional</v>
      </c>
      <c r="AB1865" s="36">
        <f t="shared" si="495"/>
        <v>1.1011904761904742E-2</v>
      </c>
      <c r="AC1865" s="36">
        <f t="shared" si="495"/>
        <v>8.7301587301587599E-3</v>
      </c>
      <c r="AD1865" s="36">
        <f t="shared" si="495"/>
        <v>1.9742063492063502E-2</v>
      </c>
      <c r="AE1865" s="36">
        <f t="shared" si="495"/>
        <v>320</v>
      </c>
      <c r="AF1865" s="36">
        <f t="shared" si="495"/>
        <v>179</v>
      </c>
      <c r="AG1865" s="36" t="str">
        <f t="shared" si="495"/>
        <v>MXL</v>
      </c>
    </row>
    <row r="1866" spans="18:33" x14ac:dyDescent="0.25">
      <c r="R1866">
        <v>1852</v>
      </c>
      <c r="S1866" s="36" t="str">
        <f t="shared" si="492"/>
        <v>BARATA Y MORADA</v>
      </c>
      <c r="T1866" s="36">
        <f t="shared" si="492"/>
        <v>621</v>
      </c>
      <c r="U1866" s="73">
        <v>0.93888888888888899</v>
      </c>
      <c r="V1866" s="74">
        <v>0.94652777777777775</v>
      </c>
      <c r="W1866" s="75">
        <v>7.6388888888887507E-3</v>
      </c>
      <c r="X1866" s="74">
        <v>0.95347222222222217</v>
      </c>
      <c r="Y1866" s="75">
        <v>6.9444444444444198E-3</v>
      </c>
      <c r="Z1866" s="76">
        <v>41755</v>
      </c>
      <c r="AA1866" s="36" t="str">
        <f t="shared" si="495"/>
        <v>Nacional</v>
      </c>
      <c r="AB1866" s="36">
        <f t="shared" si="495"/>
        <v>1.1011904761904742E-2</v>
      </c>
      <c r="AC1866" s="36">
        <f t="shared" si="495"/>
        <v>8.7301587301587599E-3</v>
      </c>
      <c r="AD1866" s="36">
        <f t="shared" si="495"/>
        <v>1.9742063492063502E-2</v>
      </c>
      <c r="AE1866" s="36">
        <f t="shared" si="495"/>
        <v>320</v>
      </c>
      <c r="AF1866" s="36">
        <f t="shared" si="495"/>
        <v>179</v>
      </c>
      <c r="AG1866" s="36" t="str">
        <f t="shared" si="495"/>
        <v>MXL</v>
      </c>
    </row>
    <row r="1867" spans="18:33" ht="15.75" thickBot="1" x14ac:dyDescent="0.3">
      <c r="R1867">
        <v>1853</v>
      </c>
      <c r="S1867" s="36" t="str">
        <f t="shared" si="492"/>
        <v>BARATA Y MORADA</v>
      </c>
      <c r="T1867" s="36">
        <f t="shared" si="492"/>
        <v>621</v>
      </c>
      <c r="U1867" s="83">
        <v>0.94097222222222221</v>
      </c>
      <c r="V1867" s="84">
        <v>0.9506944444444444</v>
      </c>
      <c r="W1867" s="85">
        <v>9.7222222222221877E-3</v>
      </c>
      <c r="X1867" s="84">
        <v>0.95972222222222225</v>
      </c>
      <c r="Y1867" s="85">
        <v>9.0277777777778567E-3</v>
      </c>
      <c r="Z1867" s="86">
        <v>41757</v>
      </c>
      <c r="AA1867" s="36" t="str">
        <f t="shared" si="495"/>
        <v>Nacional</v>
      </c>
      <c r="AB1867" s="36">
        <f t="shared" si="495"/>
        <v>1.1011904761904742E-2</v>
      </c>
      <c r="AC1867" s="36">
        <f t="shared" si="495"/>
        <v>8.7301587301587599E-3</v>
      </c>
      <c r="AD1867" s="36">
        <f t="shared" si="495"/>
        <v>1.9742063492063502E-2</v>
      </c>
      <c r="AE1867" s="36">
        <f t="shared" si="495"/>
        <v>320</v>
      </c>
      <c r="AF1867" s="36">
        <f t="shared" si="495"/>
        <v>179</v>
      </c>
      <c r="AG1867" s="36" t="str">
        <f t="shared" si="495"/>
        <v>MXL</v>
      </c>
    </row>
    <row r="1868" spans="18:33" x14ac:dyDescent="0.25">
      <c r="R1868">
        <v>1854</v>
      </c>
      <c r="S1868" s="36" t="str">
        <f t="shared" si="492"/>
        <v>BARATA Y MORADA</v>
      </c>
      <c r="T1868" s="55">
        <v>623</v>
      </c>
      <c r="U1868" s="56">
        <v>0.54652777777777783</v>
      </c>
      <c r="V1868" s="57">
        <v>0.55208333333333337</v>
      </c>
      <c r="W1868" s="58">
        <v>5.5555555555555358E-3</v>
      </c>
      <c r="X1868" s="57">
        <v>0.55833333333333335</v>
      </c>
      <c r="Y1868" s="58">
        <v>6.2499999999999778E-3</v>
      </c>
      <c r="Z1868" s="59">
        <v>41730</v>
      </c>
      <c r="AA1868" s="60" t="s">
        <v>19</v>
      </c>
      <c r="AB1868" s="61">
        <v>1.0034722222222226E-2</v>
      </c>
      <c r="AC1868" s="61">
        <v>9.583333333333317E-3</v>
      </c>
      <c r="AD1868" s="231">
        <v>1.9618055555555541E-2</v>
      </c>
      <c r="AE1868" s="132">
        <v>320</v>
      </c>
      <c r="AF1868" s="132">
        <v>179</v>
      </c>
      <c r="AG1868" s="132" t="s">
        <v>67</v>
      </c>
    </row>
    <row r="1869" spans="18:33" x14ac:dyDescent="0.25">
      <c r="R1869">
        <v>1855</v>
      </c>
      <c r="S1869" s="36" t="str">
        <f t="shared" si="492"/>
        <v>BARATA Y MORADA</v>
      </c>
      <c r="T1869" s="36">
        <f t="shared" si="492"/>
        <v>623</v>
      </c>
      <c r="U1869" s="73">
        <v>0.54236111111111118</v>
      </c>
      <c r="V1869" s="74">
        <v>0.55902777777777779</v>
      </c>
      <c r="W1869" s="75">
        <v>1.6666666666666607E-2</v>
      </c>
      <c r="X1869" s="74">
        <v>0.56597222222222221</v>
      </c>
      <c r="Y1869" s="75">
        <v>6.9444444444444198E-3</v>
      </c>
      <c r="Z1869" s="76">
        <v>41731</v>
      </c>
      <c r="AA1869" s="36" t="str">
        <f t="shared" ref="AA1869:AG1887" si="496">AA1868</f>
        <v>Nacional</v>
      </c>
      <c r="AB1869" s="36">
        <f t="shared" si="496"/>
        <v>1.0034722222222226E-2</v>
      </c>
      <c r="AC1869" s="36">
        <f t="shared" si="496"/>
        <v>9.583333333333317E-3</v>
      </c>
      <c r="AD1869" s="36">
        <f t="shared" si="496"/>
        <v>1.9618055555555541E-2</v>
      </c>
      <c r="AE1869" s="36">
        <f t="shared" si="496"/>
        <v>320</v>
      </c>
      <c r="AF1869" s="36">
        <f t="shared" si="496"/>
        <v>179</v>
      </c>
      <c r="AG1869" s="36" t="str">
        <f t="shared" si="496"/>
        <v>MXL</v>
      </c>
    </row>
    <row r="1870" spans="18:33" x14ac:dyDescent="0.25">
      <c r="R1870">
        <v>1856</v>
      </c>
      <c r="S1870" s="36" t="str">
        <f t="shared" si="492"/>
        <v>BARATA Y MORADA</v>
      </c>
      <c r="T1870" s="36">
        <f t="shared" si="492"/>
        <v>623</v>
      </c>
      <c r="U1870" s="73">
        <v>4.7222222222222221E-2</v>
      </c>
      <c r="V1870" s="74">
        <v>5.347222222222222E-2</v>
      </c>
      <c r="W1870" s="75">
        <v>6.2499999999999986E-3</v>
      </c>
      <c r="X1870" s="74">
        <v>6.25E-2</v>
      </c>
      <c r="Y1870" s="75">
        <v>9.0277777777777804E-3</v>
      </c>
      <c r="Z1870" s="76">
        <v>41732</v>
      </c>
      <c r="AA1870" s="36" t="str">
        <f t="shared" si="496"/>
        <v>Nacional</v>
      </c>
      <c r="AB1870" s="36">
        <f t="shared" si="496"/>
        <v>1.0034722222222226E-2</v>
      </c>
      <c r="AC1870" s="36">
        <f t="shared" si="496"/>
        <v>9.583333333333317E-3</v>
      </c>
      <c r="AD1870" s="36">
        <f t="shared" si="496"/>
        <v>1.9618055555555541E-2</v>
      </c>
      <c r="AE1870" s="36">
        <f t="shared" si="496"/>
        <v>320</v>
      </c>
      <c r="AF1870" s="36">
        <f t="shared" si="496"/>
        <v>179</v>
      </c>
      <c r="AG1870" s="36" t="str">
        <f t="shared" si="496"/>
        <v>MXL</v>
      </c>
    </row>
    <row r="1871" spans="18:33" x14ac:dyDescent="0.25">
      <c r="R1871">
        <v>1857</v>
      </c>
      <c r="S1871" s="36" t="str">
        <f t="shared" si="492"/>
        <v>BARATA Y MORADA</v>
      </c>
      <c r="T1871" s="36">
        <f t="shared" si="492"/>
        <v>623</v>
      </c>
      <c r="U1871" s="73">
        <v>0.56458333333333333</v>
      </c>
      <c r="V1871" s="74">
        <v>0.57222222222222219</v>
      </c>
      <c r="W1871" s="75">
        <v>7.6388888888888618E-3</v>
      </c>
      <c r="X1871" s="74">
        <v>0.57708333333333328</v>
      </c>
      <c r="Y1871" s="75">
        <v>4.8611111111110938E-3</v>
      </c>
      <c r="Z1871" s="76">
        <v>41733</v>
      </c>
      <c r="AA1871" s="36" t="str">
        <f t="shared" si="496"/>
        <v>Nacional</v>
      </c>
      <c r="AB1871" s="36">
        <f t="shared" si="496"/>
        <v>1.0034722222222226E-2</v>
      </c>
      <c r="AC1871" s="36">
        <f t="shared" si="496"/>
        <v>9.583333333333317E-3</v>
      </c>
      <c r="AD1871" s="36">
        <f t="shared" si="496"/>
        <v>1.9618055555555541E-2</v>
      </c>
      <c r="AE1871" s="36">
        <f t="shared" si="496"/>
        <v>320</v>
      </c>
      <c r="AF1871" s="36">
        <f t="shared" si="496"/>
        <v>179</v>
      </c>
      <c r="AG1871" s="36" t="str">
        <f t="shared" si="496"/>
        <v>MXL</v>
      </c>
    </row>
    <row r="1872" spans="18:33" x14ac:dyDescent="0.25">
      <c r="R1872">
        <v>1858</v>
      </c>
      <c r="S1872" s="36" t="str">
        <f t="shared" si="492"/>
        <v>BARATA Y MORADA</v>
      </c>
      <c r="T1872" s="36">
        <f t="shared" si="492"/>
        <v>623</v>
      </c>
      <c r="U1872" s="73">
        <v>0.55625000000000002</v>
      </c>
      <c r="V1872" s="74">
        <v>0.56319444444444444</v>
      </c>
      <c r="W1872" s="75">
        <v>6.9444444444444198E-3</v>
      </c>
      <c r="X1872" s="74">
        <v>0.57638888888888895</v>
      </c>
      <c r="Y1872" s="75">
        <v>1.3194444444444509E-2</v>
      </c>
      <c r="Z1872" s="76">
        <v>41735</v>
      </c>
      <c r="AA1872" s="36" t="str">
        <f t="shared" si="496"/>
        <v>Nacional</v>
      </c>
      <c r="AB1872" s="36">
        <f t="shared" si="496"/>
        <v>1.0034722222222226E-2</v>
      </c>
      <c r="AC1872" s="36">
        <f t="shared" si="496"/>
        <v>9.583333333333317E-3</v>
      </c>
      <c r="AD1872" s="36">
        <f t="shared" si="496"/>
        <v>1.9618055555555541E-2</v>
      </c>
      <c r="AE1872" s="36">
        <f t="shared" si="496"/>
        <v>320</v>
      </c>
      <c r="AF1872" s="36">
        <f t="shared" si="496"/>
        <v>179</v>
      </c>
      <c r="AG1872" s="36" t="str">
        <f t="shared" si="496"/>
        <v>MXL</v>
      </c>
    </row>
    <row r="1873" spans="18:33" x14ac:dyDescent="0.25">
      <c r="R1873">
        <v>1859</v>
      </c>
      <c r="S1873" s="36" t="str">
        <f t="shared" si="492"/>
        <v>BARATA Y MORADA</v>
      </c>
      <c r="T1873" s="36">
        <f t="shared" si="492"/>
        <v>623</v>
      </c>
      <c r="U1873" s="73">
        <v>0.52777777777777779</v>
      </c>
      <c r="V1873" s="74">
        <v>0.53680555555555554</v>
      </c>
      <c r="W1873" s="75">
        <v>9.0277777777777457E-3</v>
      </c>
      <c r="X1873" s="74">
        <v>0.5395833333333333</v>
      </c>
      <c r="Y1873" s="75">
        <v>2.7777777777777679E-3</v>
      </c>
      <c r="Z1873" s="76">
        <v>41737</v>
      </c>
      <c r="AA1873" s="36" t="str">
        <f t="shared" si="496"/>
        <v>Nacional</v>
      </c>
      <c r="AB1873" s="36">
        <f t="shared" si="496"/>
        <v>1.0034722222222226E-2</v>
      </c>
      <c r="AC1873" s="36">
        <f t="shared" si="496"/>
        <v>9.583333333333317E-3</v>
      </c>
      <c r="AD1873" s="36">
        <f t="shared" si="496"/>
        <v>1.9618055555555541E-2</v>
      </c>
      <c r="AE1873" s="36">
        <f t="shared" si="496"/>
        <v>320</v>
      </c>
      <c r="AF1873" s="36">
        <f t="shared" si="496"/>
        <v>179</v>
      </c>
      <c r="AG1873" s="36" t="str">
        <f t="shared" si="496"/>
        <v>MXL</v>
      </c>
    </row>
    <row r="1874" spans="18:33" x14ac:dyDescent="0.25">
      <c r="R1874">
        <v>1860</v>
      </c>
      <c r="S1874" s="36" t="str">
        <f t="shared" si="492"/>
        <v>BARATA Y MORADA</v>
      </c>
      <c r="T1874" s="36">
        <f t="shared" si="492"/>
        <v>623</v>
      </c>
      <c r="U1874" s="73">
        <v>0.54166666666666663</v>
      </c>
      <c r="V1874" s="74">
        <v>0.54513888888888895</v>
      </c>
      <c r="W1874" s="75">
        <v>3.4722222222223209E-3</v>
      </c>
      <c r="X1874" s="74">
        <v>0.55902777777777779</v>
      </c>
      <c r="Y1874" s="75">
        <v>1.388888888888884E-2</v>
      </c>
      <c r="Z1874" s="76">
        <v>41738</v>
      </c>
      <c r="AA1874" s="36" t="str">
        <f t="shared" si="496"/>
        <v>Nacional</v>
      </c>
      <c r="AB1874" s="36">
        <f t="shared" si="496"/>
        <v>1.0034722222222226E-2</v>
      </c>
      <c r="AC1874" s="36">
        <f t="shared" si="496"/>
        <v>9.583333333333317E-3</v>
      </c>
      <c r="AD1874" s="36">
        <f t="shared" si="496"/>
        <v>1.9618055555555541E-2</v>
      </c>
      <c r="AE1874" s="36">
        <f t="shared" si="496"/>
        <v>320</v>
      </c>
      <c r="AF1874" s="36">
        <f t="shared" si="496"/>
        <v>179</v>
      </c>
      <c r="AG1874" s="36" t="str">
        <f t="shared" si="496"/>
        <v>MXL</v>
      </c>
    </row>
    <row r="1875" spans="18:33" x14ac:dyDescent="0.25">
      <c r="R1875">
        <v>1861</v>
      </c>
      <c r="S1875" s="36" t="str">
        <f t="shared" si="492"/>
        <v>BARATA Y MORADA</v>
      </c>
      <c r="T1875" s="36">
        <f t="shared" si="492"/>
        <v>623</v>
      </c>
      <c r="U1875" s="73">
        <v>0.93819444444444444</v>
      </c>
      <c r="V1875" s="74">
        <v>0.9472222222222223</v>
      </c>
      <c r="W1875" s="75">
        <v>9.0277777777778567E-3</v>
      </c>
      <c r="X1875" s="74">
        <v>0.95416666666666661</v>
      </c>
      <c r="Y1875" s="75">
        <v>6.9444444444443088E-3</v>
      </c>
      <c r="Z1875" s="76">
        <v>41738</v>
      </c>
      <c r="AA1875" s="36" t="str">
        <f t="shared" si="496"/>
        <v>Nacional</v>
      </c>
      <c r="AB1875" s="36">
        <f t="shared" si="496"/>
        <v>1.0034722222222226E-2</v>
      </c>
      <c r="AC1875" s="36">
        <f t="shared" si="496"/>
        <v>9.583333333333317E-3</v>
      </c>
      <c r="AD1875" s="36">
        <f t="shared" si="496"/>
        <v>1.9618055555555541E-2</v>
      </c>
      <c r="AE1875" s="36">
        <f t="shared" si="496"/>
        <v>320</v>
      </c>
      <c r="AF1875" s="36">
        <f t="shared" si="496"/>
        <v>179</v>
      </c>
      <c r="AG1875" s="36" t="str">
        <f t="shared" si="496"/>
        <v>MXL</v>
      </c>
    </row>
    <row r="1876" spans="18:33" x14ac:dyDescent="0.25">
      <c r="R1876">
        <v>1862</v>
      </c>
      <c r="S1876" s="36" t="str">
        <f t="shared" si="492"/>
        <v>BARATA Y MORADA</v>
      </c>
      <c r="T1876" s="36">
        <f t="shared" si="492"/>
        <v>623</v>
      </c>
      <c r="U1876" s="73">
        <v>0.55208333333333337</v>
      </c>
      <c r="V1876" s="74">
        <v>0.55694444444444446</v>
      </c>
      <c r="W1876" s="75">
        <v>4.8611111111110938E-3</v>
      </c>
      <c r="X1876" s="74">
        <v>0.56319444444444444</v>
      </c>
      <c r="Y1876" s="75">
        <v>6.2499999999999778E-3</v>
      </c>
      <c r="Z1876" s="76">
        <v>41739</v>
      </c>
      <c r="AA1876" s="36" t="str">
        <f t="shared" si="496"/>
        <v>Nacional</v>
      </c>
      <c r="AB1876" s="36">
        <f t="shared" si="496"/>
        <v>1.0034722222222226E-2</v>
      </c>
      <c r="AC1876" s="36">
        <f t="shared" si="496"/>
        <v>9.583333333333317E-3</v>
      </c>
      <c r="AD1876" s="36">
        <f t="shared" si="496"/>
        <v>1.9618055555555541E-2</v>
      </c>
      <c r="AE1876" s="36">
        <f t="shared" si="496"/>
        <v>320</v>
      </c>
      <c r="AF1876" s="36">
        <f t="shared" si="496"/>
        <v>179</v>
      </c>
      <c r="AG1876" s="36" t="str">
        <f t="shared" si="496"/>
        <v>MXL</v>
      </c>
    </row>
    <row r="1877" spans="18:33" x14ac:dyDescent="0.25">
      <c r="R1877">
        <v>1863</v>
      </c>
      <c r="S1877" s="36" t="str">
        <f t="shared" si="492"/>
        <v>BARATA Y MORADA</v>
      </c>
      <c r="T1877" s="36">
        <f t="shared" si="492"/>
        <v>623</v>
      </c>
      <c r="U1877" s="73">
        <v>0.54861111111111105</v>
      </c>
      <c r="V1877" s="74">
        <v>0.5541666666666667</v>
      </c>
      <c r="W1877" s="75">
        <v>5.5555555555556468E-3</v>
      </c>
      <c r="X1877" s="74">
        <v>0.60277777777777775</v>
      </c>
      <c r="Y1877" s="75">
        <v>4.8611111111111049E-2</v>
      </c>
      <c r="Z1877" s="76">
        <v>41741</v>
      </c>
      <c r="AA1877" s="36" t="str">
        <f t="shared" si="496"/>
        <v>Nacional</v>
      </c>
      <c r="AB1877" s="36">
        <f t="shared" si="496"/>
        <v>1.0034722222222226E-2</v>
      </c>
      <c r="AC1877" s="36">
        <f t="shared" si="496"/>
        <v>9.583333333333317E-3</v>
      </c>
      <c r="AD1877" s="36">
        <f t="shared" si="496"/>
        <v>1.9618055555555541E-2</v>
      </c>
      <c r="AE1877" s="36">
        <f t="shared" si="496"/>
        <v>320</v>
      </c>
      <c r="AF1877" s="36">
        <f t="shared" si="496"/>
        <v>179</v>
      </c>
      <c r="AG1877" s="36" t="str">
        <f t="shared" si="496"/>
        <v>MXL</v>
      </c>
    </row>
    <row r="1878" spans="18:33" x14ac:dyDescent="0.25">
      <c r="R1878">
        <v>1864</v>
      </c>
      <c r="S1878" s="36" t="str">
        <f t="shared" si="492"/>
        <v>BARATA Y MORADA</v>
      </c>
      <c r="T1878" s="36">
        <f t="shared" si="492"/>
        <v>623</v>
      </c>
      <c r="U1878" s="73">
        <v>0.54652777777777783</v>
      </c>
      <c r="V1878" s="74">
        <v>0.55208333333333337</v>
      </c>
      <c r="W1878" s="75">
        <v>5.5555555555555358E-3</v>
      </c>
      <c r="X1878" s="74">
        <v>0.55833333333333335</v>
      </c>
      <c r="Y1878" s="75">
        <v>6.2499999999999778E-3</v>
      </c>
      <c r="Z1878" s="76">
        <v>41742</v>
      </c>
      <c r="AA1878" s="36" t="str">
        <f t="shared" si="496"/>
        <v>Nacional</v>
      </c>
      <c r="AB1878" s="36">
        <f t="shared" si="496"/>
        <v>1.0034722222222226E-2</v>
      </c>
      <c r="AC1878" s="36">
        <f t="shared" si="496"/>
        <v>9.583333333333317E-3</v>
      </c>
      <c r="AD1878" s="36">
        <f t="shared" si="496"/>
        <v>1.9618055555555541E-2</v>
      </c>
      <c r="AE1878" s="36">
        <f t="shared" si="496"/>
        <v>320</v>
      </c>
      <c r="AF1878" s="36">
        <f t="shared" si="496"/>
        <v>179</v>
      </c>
      <c r="AG1878" s="36" t="str">
        <f t="shared" si="496"/>
        <v>MXL</v>
      </c>
    </row>
    <row r="1879" spans="18:33" x14ac:dyDescent="0.25">
      <c r="R1879">
        <v>1865</v>
      </c>
      <c r="S1879" s="36" t="str">
        <f t="shared" si="492"/>
        <v>BARATA Y MORADA</v>
      </c>
      <c r="T1879" s="36">
        <f t="shared" si="492"/>
        <v>623</v>
      </c>
      <c r="U1879" s="73">
        <v>0.53611111111111109</v>
      </c>
      <c r="V1879" s="74">
        <v>0.5444444444444444</v>
      </c>
      <c r="W1879" s="75">
        <v>8.3333333333333037E-3</v>
      </c>
      <c r="X1879" s="74">
        <v>0.55069444444444449</v>
      </c>
      <c r="Y1879" s="75">
        <v>6.2500000000000888E-3</v>
      </c>
      <c r="Z1879" s="76">
        <v>41743</v>
      </c>
      <c r="AA1879" s="36" t="str">
        <f t="shared" si="496"/>
        <v>Nacional</v>
      </c>
      <c r="AB1879" s="36">
        <f t="shared" si="496"/>
        <v>1.0034722222222226E-2</v>
      </c>
      <c r="AC1879" s="36">
        <f t="shared" si="496"/>
        <v>9.583333333333317E-3</v>
      </c>
      <c r="AD1879" s="36">
        <f t="shared" si="496"/>
        <v>1.9618055555555541E-2</v>
      </c>
      <c r="AE1879" s="36">
        <f t="shared" si="496"/>
        <v>320</v>
      </c>
      <c r="AF1879" s="36">
        <f t="shared" si="496"/>
        <v>179</v>
      </c>
      <c r="AG1879" s="36" t="str">
        <f t="shared" si="496"/>
        <v>MXL</v>
      </c>
    </row>
    <row r="1880" spans="18:33" x14ac:dyDescent="0.25">
      <c r="R1880">
        <v>1866</v>
      </c>
      <c r="S1880" s="36" t="str">
        <f t="shared" si="492"/>
        <v>BARATA Y MORADA</v>
      </c>
      <c r="T1880" s="36">
        <f t="shared" si="492"/>
        <v>623</v>
      </c>
      <c r="U1880" s="73">
        <v>0.55694444444444446</v>
      </c>
      <c r="V1880" s="74">
        <v>0.56944444444444442</v>
      </c>
      <c r="W1880" s="75">
        <v>1.2499999999999956E-2</v>
      </c>
      <c r="X1880" s="74">
        <v>0.57638888888888895</v>
      </c>
      <c r="Y1880" s="75">
        <v>6.9444444444445308E-3</v>
      </c>
      <c r="Z1880" s="76">
        <v>41744</v>
      </c>
      <c r="AA1880" s="36" t="str">
        <f t="shared" si="496"/>
        <v>Nacional</v>
      </c>
      <c r="AB1880" s="36">
        <f t="shared" si="496"/>
        <v>1.0034722222222226E-2</v>
      </c>
      <c r="AC1880" s="36">
        <f t="shared" si="496"/>
        <v>9.583333333333317E-3</v>
      </c>
      <c r="AD1880" s="36">
        <f t="shared" si="496"/>
        <v>1.9618055555555541E-2</v>
      </c>
      <c r="AE1880" s="36">
        <f t="shared" si="496"/>
        <v>320</v>
      </c>
      <c r="AF1880" s="36">
        <f t="shared" si="496"/>
        <v>179</v>
      </c>
      <c r="AG1880" s="36" t="str">
        <f t="shared" si="496"/>
        <v>MXL</v>
      </c>
    </row>
    <row r="1881" spans="18:33" x14ac:dyDescent="0.25">
      <c r="R1881">
        <v>1867</v>
      </c>
      <c r="S1881" s="36" t="str">
        <f t="shared" si="492"/>
        <v>BARATA Y MORADA</v>
      </c>
      <c r="T1881" s="36">
        <f t="shared" si="492"/>
        <v>623</v>
      </c>
      <c r="U1881" s="73">
        <v>0.51736111111111105</v>
      </c>
      <c r="V1881" s="74">
        <v>0.57361111111111118</v>
      </c>
      <c r="W1881" s="75">
        <v>5.6250000000000133E-2</v>
      </c>
      <c r="X1881" s="74">
        <v>0.57777777777777783</v>
      </c>
      <c r="Y1881" s="75">
        <v>4.1666666666666519E-3</v>
      </c>
      <c r="Z1881" s="76">
        <v>41745</v>
      </c>
      <c r="AA1881" s="36" t="str">
        <f t="shared" si="496"/>
        <v>Nacional</v>
      </c>
      <c r="AB1881" s="36">
        <f t="shared" si="496"/>
        <v>1.0034722222222226E-2</v>
      </c>
      <c r="AC1881" s="36">
        <f t="shared" si="496"/>
        <v>9.583333333333317E-3</v>
      </c>
      <c r="AD1881" s="36">
        <f t="shared" si="496"/>
        <v>1.9618055555555541E-2</v>
      </c>
      <c r="AE1881" s="36">
        <f t="shared" si="496"/>
        <v>320</v>
      </c>
      <c r="AF1881" s="36">
        <f t="shared" si="496"/>
        <v>179</v>
      </c>
      <c r="AG1881" s="36" t="str">
        <f t="shared" si="496"/>
        <v>MXL</v>
      </c>
    </row>
    <row r="1882" spans="18:33" x14ac:dyDescent="0.25">
      <c r="R1882">
        <v>1868</v>
      </c>
      <c r="S1882" s="36" t="str">
        <f t="shared" si="492"/>
        <v>BARATA Y MORADA</v>
      </c>
      <c r="T1882" s="36">
        <f t="shared" si="492"/>
        <v>623</v>
      </c>
      <c r="U1882" s="73">
        <v>0.55625000000000002</v>
      </c>
      <c r="V1882" s="74">
        <v>0.56041666666666667</v>
      </c>
      <c r="W1882" s="75">
        <v>4.1666666666666519E-3</v>
      </c>
      <c r="X1882" s="74">
        <v>0.56805555555555554</v>
      </c>
      <c r="Y1882" s="75">
        <v>7.6388888888888618E-3</v>
      </c>
      <c r="Z1882" s="76">
        <v>41749</v>
      </c>
      <c r="AA1882" s="36" t="str">
        <f t="shared" si="496"/>
        <v>Nacional</v>
      </c>
      <c r="AB1882" s="36">
        <f t="shared" si="496"/>
        <v>1.0034722222222226E-2</v>
      </c>
      <c r="AC1882" s="36">
        <f t="shared" si="496"/>
        <v>9.583333333333317E-3</v>
      </c>
      <c r="AD1882" s="36">
        <f t="shared" si="496"/>
        <v>1.9618055555555541E-2</v>
      </c>
      <c r="AE1882" s="36">
        <f t="shared" si="496"/>
        <v>320</v>
      </c>
      <c r="AF1882" s="36">
        <f t="shared" si="496"/>
        <v>179</v>
      </c>
      <c r="AG1882" s="36" t="str">
        <f t="shared" si="496"/>
        <v>MXL</v>
      </c>
    </row>
    <row r="1883" spans="18:33" x14ac:dyDescent="0.25">
      <c r="R1883">
        <v>1869</v>
      </c>
      <c r="S1883" s="36" t="str">
        <f t="shared" si="492"/>
        <v>BARATA Y MORADA</v>
      </c>
      <c r="T1883" s="36">
        <f t="shared" si="492"/>
        <v>623</v>
      </c>
      <c r="U1883" s="73">
        <v>0.53472222222222221</v>
      </c>
      <c r="V1883" s="74">
        <v>0.54513888888888895</v>
      </c>
      <c r="W1883" s="75">
        <v>1.0416666666666741E-2</v>
      </c>
      <c r="X1883" s="74">
        <v>0.55208333333333337</v>
      </c>
      <c r="Y1883" s="75">
        <v>6.9444444444444198E-3</v>
      </c>
      <c r="Z1883" s="76">
        <v>41750</v>
      </c>
      <c r="AA1883" s="36" t="str">
        <f t="shared" si="496"/>
        <v>Nacional</v>
      </c>
      <c r="AB1883" s="36">
        <f t="shared" si="496"/>
        <v>1.0034722222222226E-2</v>
      </c>
      <c r="AC1883" s="36">
        <f t="shared" si="496"/>
        <v>9.583333333333317E-3</v>
      </c>
      <c r="AD1883" s="36">
        <f t="shared" si="496"/>
        <v>1.9618055555555541E-2</v>
      </c>
      <c r="AE1883" s="36">
        <f t="shared" si="496"/>
        <v>320</v>
      </c>
      <c r="AF1883" s="36">
        <f t="shared" si="496"/>
        <v>179</v>
      </c>
      <c r="AG1883" s="36" t="str">
        <f t="shared" si="496"/>
        <v>MXL</v>
      </c>
    </row>
    <row r="1884" spans="18:33" x14ac:dyDescent="0.25">
      <c r="R1884">
        <v>1870</v>
      </c>
      <c r="S1884" s="36" t="str">
        <f t="shared" si="492"/>
        <v>BARATA Y MORADA</v>
      </c>
      <c r="T1884" s="36">
        <f t="shared" si="492"/>
        <v>623</v>
      </c>
      <c r="U1884" s="73">
        <v>0.55069444444444449</v>
      </c>
      <c r="V1884" s="74">
        <v>0.55625000000000002</v>
      </c>
      <c r="W1884" s="75">
        <v>5.5555555555555358E-3</v>
      </c>
      <c r="X1884" s="74">
        <v>0.56666666666666665</v>
      </c>
      <c r="Y1884" s="75">
        <v>1.041666666666663E-2</v>
      </c>
      <c r="Z1884" s="76">
        <v>41753</v>
      </c>
      <c r="AA1884" s="36" t="str">
        <f t="shared" si="496"/>
        <v>Nacional</v>
      </c>
      <c r="AB1884" s="36">
        <f t="shared" si="496"/>
        <v>1.0034722222222226E-2</v>
      </c>
      <c r="AC1884" s="36">
        <f t="shared" si="496"/>
        <v>9.583333333333317E-3</v>
      </c>
      <c r="AD1884" s="36">
        <f t="shared" si="496"/>
        <v>1.9618055555555541E-2</v>
      </c>
      <c r="AE1884" s="36">
        <f t="shared" si="496"/>
        <v>320</v>
      </c>
      <c r="AF1884" s="36">
        <f t="shared" si="496"/>
        <v>179</v>
      </c>
      <c r="AG1884" s="36" t="str">
        <f t="shared" si="496"/>
        <v>MXL</v>
      </c>
    </row>
    <row r="1885" spans="18:33" x14ac:dyDescent="0.25">
      <c r="R1885">
        <v>1871</v>
      </c>
      <c r="S1885" s="36" t="str">
        <f t="shared" si="492"/>
        <v>BARATA Y MORADA</v>
      </c>
      <c r="T1885" s="36">
        <f t="shared" si="492"/>
        <v>623</v>
      </c>
      <c r="U1885" s="73">
        <v>0.55555555555555558</v>
      </c>
      <c r="V1885" s="74">
        <v>0.5625</v>
      </c>
      <c r="W1885" s="75">
        <v>6.9444444444444198E-3</v>
      </c>
      <c r="X1885" s="74">
        <v>0.57291666666666663</v>
      </c>
      <c r="Y1885" s="75">
        <v>1.041666666666663E-2</v>
      </c>
      <c r="Z1885" s="76">
        <v>41756</v>
      </c>
      <c r="AA1885" s="36" t="str">
        <f t="shared" si="496"/>
        <v>Nacional</v>
      </c>
      <c r="AB1885" s="36">
        <f t="shared" si="496"/>
        <v>1.0034722222222226E-2</v>
      </c>
      <c r="AC1885" s="36">
        <f t="shared" si="496"/>
        <v>9.583333333333317E-3</v>
      </c>
      <c r="AD1885" s="36">
        <f t="shared" si="496"/>
        <v>1.9618055555555541E-2</v>
      </c>
      <c r="AE1885" s="36">
        <f t="shared" si="496"/>
        <v>320</v>
      </c>
      <c r="AF1885" s="36">
        <f t="shared" si="496"/>
        <v>179</v>
      </c>
      <c r="AG1885" s="36" t="str">
        <f t="shared" si="496"/>
        <v>MXL</v>
      </c>
    </row>
    <row r="1886" spans="18:33" x14ac:dyDescent="0.25">
      <c r="R1886">
        <v>1872</v>
      </c>
      <c r="S1886" s="36" t="str">
        <f t="shared" si="492"/>
        <v>BARATA Y MORADA</v>
      </c>
      <c r="T1886" s="36">
        <f t="shared" si="492"/>
        <v>623</v>
      </c>
      <c r="U1886" s="73">
        <v>0.54791666666666672</v>
      </c>
      <c r="V1886" s="74">
        <v>0.55486111111111114</v>
      </c>
      <c r="W1886" s="75">
        <v>6.9444444444444198E-3</v>
      </c>
      <c r="X1886" s="134">
        <v>0.5625</v>
      </c>
      <c r="Y1886" s="75">
        <v>7.6388888888888618E-3</v>
      </c>
      <c r="Z1886" s="76">
        <v>41758</v>
      </c>
      <c r="AA1886" s="36" t="str">
        <f t="shared" si="496"/>
        <v>Nacional</v>
      </c>
      <c r="AB1886" s="36">
        <f t="shared" si="496"/>
        <v>1.0034722222222226E-2</v>
      </c>
      <c r="AC1886" s="36">
        <f t="shared" si="496"/>
        <v>9.583333333333317E-3</v>
      </c>
      <c r="AD1886" s="36">
        <f t="shared" si="496"/>
        <v>1.9618055555555541E-2</v>
      </c>
      <c r="AE1886" s="36">
        <f t="shared" si="496"/>
        <v>320</v>
      </c>
      <c r="AF1886" s="36">
        <f t="shared" si="496"/>
        <v>179</v>
      </c>
      <c r="AG1886" s="36" t="str">
        <f t="shared" si="496"/>
        <v>MXL</v>
      </c>
    </row>
    <row r="1887" spans="18:33" ht="15.75" thickBot="1" x14ac:dyDescent="0.3">
      <c r="R1887">
        <v>1873</v>
      </c>
      <c r="S1887" s="36" t="str">
        <f t="shared" ref="S1887:T1887" si="497">S1886</f>
        <v>BARATA Y MORADA</v>
      </c>
      <c r="T1887" s="36">
        <f t="shared" si="497"/>
        <v>623</v>
      </c>
      <c r="U1887" s="83">
        <v>0.54791666666666672</v>
      </c>
      <c r="V1887" s="84">
        <v>0.55694444444444446</v>
      </c>
      <c r="W1887" s="85">
        <v>9.0277777777777457E-3</v>
      </c>
      <c r="X1887" s="84">
        <v>0.56319444444444444</v>
      </c>
      <c r="Y1887" s="85">
        <v>6.2499999999999778E-3</v>
      </c>
      <c r="Z1887" s="86">
        <v>41759</v>
      </c>
      <c r="AA1887" s="36" t="str">
        <f t="shared" si="496"/>
        <v>Nacional</v>
      </c>
      <c r="AB1887" s="36">
        <f t="shared" si="496"/>
        <v>1.0034722222222226E-2</v>
      </c>
      <c r="AC1887" s="36">
        <f t="shared" si="496"/>
        <v>9.583333333333317E-3</v>
      </c>
      <c r="AD1887" s="36">
        <f t="shared" si="496"/>
        <v>1.9618055555555541E-2</v>
      </c>
      <c r="AE1887" s="36">
        <f t="shared" si="496"/>
        <v>320</v>
      </c>
      <c r="AF1887" s="36">
        <f t="shared" si="496"/>
        <v>179</v>
      </c>
      <c r="AG1887" s="36" t="str">
        <f t="shared" si="496"/>
        <v>MXL</v>
      </c>
    </row>
    <row r="1888" spans="18:33" x14ac:dyDescent="0.25">
      <c r="R1888">
        <v>1874</v>
      </c>
      <c r="S1888" s="45" t="s">
        <v>77</v>
      </c>
      <c r="T1888" s="55">
        <v>627</v>
      </c>
      <c r="U1888" s="56">
        <v>0.54999999999999993</v>
      </c>
      <c r="V1888" s="57">
        <v>0.55833333333333335</v>
      </c>
      <c r="W1888" s="58">
        <v>8.3333333333334147E-3</v>
      </c>
      <c r="X1888" s="57">
        <v>0.56597222222222221</v>
      </c>
      <c r="Y1888" s="58">
        <v>7.6388888888888618E-3</v>
      </c>
      <c r="Z1888" s="59">
        <v>41730</v>
      </c>
      <c r="AA1888" s="60" t="s">
        <v>19</v>
      </c>
      <c r="AB1888" s="61">
        <v>7.4074074074074086E-3</v>
      </c>
      <c r="AC1888" s="61">
        <v>8.3333333333333332E-3</v>
      </c>
      <c r="AD1888" s="231">
        <v>1.5740740740740743E-2</v>
      </c>
      <c r="AE1888" s="132" t="s">
        <v>57</v>
      </c>
      <c r="AF1888" s="132">
        <v>142</v>
      </c>
      <c r="AG1888" s="132" t="s">
        <v>36</v>
      </c>
    </row>
    <row r="1889" spans="18:33" x14ac:dyDescent="0.25">
      <c r="R1889">
        <v>1875</v>
      </c>
      <c r="S1889" s="36" t="str">
        <f t="shared" ref="S1889:T1944" si="498">S1888</f>
        <v>BARATA Y MORADA</v>
      </c>
      <c r="T1889" s="36">
        <f t="shared" si="498"/>
        <v>627</v>
      </c>
      <c r="U1889" s="73">
        <v>7.4999999999999997E-2</v>
      </c>
      <c r="V1889" s="74">
        <v>8.4027777777777771E-2</v>
      </c>
      <c r="W1889" s="75">
        <v>9.0277777777777735E-3</v>
      </c>
      <c r="X1889" s="74">
        <v>9.375E-2</v>
      </c>
      <c r="Y1889" s="75">
        <v>9.7222222222222293E-3</v>
      </c>
      <c r="Z1889" s="76">
        <v>41732</v>
      </c>
      <c r="AA1889" s="36" t="str">
        <f t="shared" ref="AA1889:AG1896" si="499">AA1888</f>
        <v>Nacional</v>
      </c>
      <c r="AB1889" s="36">
        <f t="shared" si="499"/>
        <v>7.4074074074074086E-3</v>
      </c>
      <c r="AC1889" s="36">
        <f t="shared" si="499"/>
        <v>8.3333333333333332E-3</v>
      </c>
      <c r="AD1889" s="36">
        <f t="shared" si="499"/>
        <v>1.5740740740740743E-2</v>
      </c>
      <c r="AE1889" s="36" t="str">
        <f t="shared" si="499"/>
        <v>A319</v>
      </c>
      <c r="AF1889" s="36">
        <f t="shared" si="499"/>
        <v>142</v>
      </c>
      <c r="AG1889" s="36" t="str">
        <f t="shared" si="499"/>
        <v>CJS</v>
      </c>
    </row>
    <row r="1890" spans="18:33" x14ac:dyDescent="0.25">
      <c r="R1890">
        <v>1876</v>
      </c>
      <c r="S1890" s="36" t="str">
        <f t="shared" si="498"/>
        <v>BARATA Y MORADA</v>
      </c>
      <c r="T1890" s="36">
        <f t="shared" si="498"/>
        <v>627</v>
      </c>
      <c r="U1890" s="73">
        <v>0.54513888888888895</v>
      </c>
      <c r="V1890" s="74">
        <v>0.54861111111111105</v>
      </c>
      <c r="W1890" s="75">
        <v>3.4722222222220989E-3</v>
      </c>
      <c r="X1890" s="74">
        <v>0.5625</v>
      </c>
      <c r="Y1890" s="75">
        <v>1.3888888888888951E-2</v>
      </c>
      <c r="Z1890" s="76">
        <v>41737</v>
      </c>
      <c r="AA1890" s="36" t="str">
        <f t="shared" si="499"/>
        <v>Nacional</v>
      </c>
      <c r="AB1890" s="36">
        <f t="shared" si="499"/>
        <v>7.4074074074074086E-3</v>
      </c>
      <c r="AC1890" s="36">
        <f t="shared" si="499"/>
        <v>8.3333333333333332E-3</v>
      </c>
      <c r="AD1890" s="36">
        <f t="shared" si="499"/>
        <v>1.5740740740740743E-2</v>
      </c>
      <c r="AE1890" s="36" t="str">
        <f t="shared" si="499"/>
        <v>A319</v>
      </c>
      <c r="AF1890" s="36">
        <f t="shared" si="499"/>
        <v>142</v>
      </c>
      <c r="AG1890" s="36" t="str">
        <f t="shared" si="499"/>
        <v>CJS</v>
      </c>
    </row>
    <row r="1891" spans="18:33" x14ac:dyDescent="0.25">
      <c r="R1891">
        <v>1877</v>
      </c>
      <c r="S1891" s="36" t="str">
        <f t="shared" si="498"/>
        <v>BARATA Y MORADA</v>
      </c>
      <c r="T1891" s="36">
        <f t="shared" si="498"/>
        <v>627</v>
      </c>
      <c r="U1891" s="73">
        <v>0.55694444444444446</v>
      </c>
      <c r="V1891" s="74">
        <v>0.56111111111111112</v>
      </c>
      <c r="W1891" s="75">
        <v>4.1666666666666519E-3</v>
      </c>
      <c r="X1891" s="74">
        <v>0.56597222222222221</v>
      </c>
      <c r="Y1891" s="75">
        <v>4.8611111111110938E-3</v>
      </c>
      <c r="Z1891" s="76">
        <v>41739</v>
      </c>
      <c r="AA1891" s="36" t="str">
        <f t="shared" si="499"/>
        <v>Nacional</v>
      </c>
      <c r="AB1891" s="36">
        <f t="shared" si="499"/>
        <v>7.4074074074074086E-3</v>
      </c>
      <c r="AC1891" s="36">
        <f t="shared" si="499"/>
        <v>8.3333333333333332E-3</v>
      </c>
      <c r="AD1891" s="36">
        <f t="shared" si="499"/>
        <v>1.5740740740740743E-2</v>
      </c>
      <c r="AE1891" s="36" t="str">
        <f t="shared" si="499"/>
        <v>A319</v>
      </c>
      <c r="AF1891" s="36">
        <f t="shared" si="499"/>
        <v>142</v>
      </c>
      <c r="AG1891" s="36" t="str">
        <f t="shared" si="499"/>
        <v>CJS</v>
      </c>
    </row>
    <row r="1892" spans="18:33" x14ac:dyDescent="0.25">
      <c r="R1892">
        <v>1878</v>
      </c>
      <c r="S1892" s="36" t="str">
        <f t="shared" si="498"/>
        <v>BARATA Y MORADA</v>
      </c>
      <c r="T1892" s="36">
        <f t="shared" si="498"/>
        <v>627</v>
      </c>
      <c r="U1892" s="73">
        <v>0.54999999999999993</v>
      </c>
      <c r="V1892" s="74">
        <v>0.55833333333333335</v>
      </c>
      <c r="W1892" s="75">
        <v>8.3333333333334147E-3</v>
      </c>
      <c r="X1892" s="74">
        <v>0.56597222222222221</v>
      </c>
      <c r="Y1892" s="75">
        <v>7.6388888888888618E-3</v>
      </c>
      <c r="Z1892" s="76">
        <v>41742</v>
      </c>
      <c r="AA1892" s="36" t="str">
        <f t="shared" si="499"/>
        <v>Nacional</v>
      </c>
      <c r="AB1892" s="36">
        <f t="shared" si="499"/>
        <v>7.4074074074074086E-3</v>
      </c>
      <c r="AC1892" s="36">
        <f t="shared" si="499"/>
        <v>8.3333333333333332E-3</v>
      </c>
      <c r="AD1892" s="36">
        <f t="shared" si="499"/>
        <v>1.5740740740740743E-2</v>
      </c>
      <c r="AE1892" s="36" t="str">
        <f t="shared" si="499"/>
        <v>A319</v>
      </c>
      <c r="AF1892" s="36">
        <f t="shared" si="499"/>
        <v>142</v>
      </c>
      <c r="AG1892" s="36" t="str">
        <f t="shared" si="499"/>
        <v>CJS</v>
      </c>
    </row>
    <row r="1893" spans="18:33" x14ac:dyDescent="0.25">
      <c r="R1893">
        <v>1879</v>
      </c>
      <c r="S1893" s="36" t="str">
        <f t="shared" si="498"/>
        <v>BARATA Y MORADA</v>
      </c>
      <c r="T1893" s="36">
        <f t="shared" si="498"/>
        <v>627</v>
      </c>
      <c r="U1893" s="73">
        <v>0.55208333333333337</v>
      </c>
      <c r="V1893" s="74">
        <v>0.55902777777777779</v>
      </c>
      <c r="W1893" s="75">
        <v>6.9444444444444198E-3</v>
      </c>
      <c r="X1893" s="74">
        <v>0.56527777777777777</v>
      </c>
      <c r="Y1893" s="75">
        <v>6.2499999999999778E-3</v>
      </c>
      <c r="Z1893" s="76">
        <v>41746</v>
      </c>
      <c r="AA1893" s="36" t="str">
        <f t="shared" si="499"/>
        <v>Nacional</v>
      </c>
      <c r="AB1893" s="36">
        <f t="shared" si="499"/>
        <v>7.4074074074074086E-3</v>
      </c>
      <c r="AC1893" s="36">
        <f t="shared" si="499"/>
        <v>8.3333333333333332E-3</v>
      </c>
      <c r="AD1893" s="36">
        <f t="shared" si="499"/>
        <v>1.5740740740740743E-2</v>
      </c>
      <c r="AE1893" s="36" t="str">
        <f t="shared" si="499"/>
        <v>A319</v>
      </c>
      <c r="AF1893" s="36">
        <f t="shared" si="499"/>
        <v>142</v>
      </c>
      <c r="AG1893" s="36" t="str">
        <f t="shared" si="499"/>
        <v>CJS</v>
      </c>
    </row>
    <row r="1894" spans="18:33" x14ac:dyDescent="0.25">
      <c r="R1894">
        <v>1880</v>
      </c>
      <c r="S1894" s="36" t="str">
        <f t="shared" si="498"/>
        <v>BARATA Y MORADA</v>
      </c>
      <c r="T1894" s="36">
        <f t="shared" si="498"/>
        <v>627</v>
      </c>
      <c r="U1894" s="73">
        <v>0.54861111111111105</v>
      </c>
      <c r="V1894" s="74">
        <v>0.55347222222222225</v>
      </c>
      <c r="W1894" s="75">
        <v>4.8611111111112049E-3</v>
      </c>
      <c r="X1894" s="74">
        <v>0.56111111111111112</v>
      </c>
      <c r="Y1894" s="75">
        <v>7.6388888888888618E-3</v>
      </c>
      <c r="Z1894" s="76">
        <v>41748</v>
      </c>
      <c r="AA1894" s="36" t="str">
        <f t="shared" si="499"/>
        <v>Nacional</v>
      </c>
      <c r="AB1894" s="36">
        <f t="shared" si="499"/>
        <v>7.4074074074074086E-3</v>
      </c>
      <c r="AC1894" s="36">
        <f t="shared" si="499"/>
        <v>8.3333333333333332E-3</v>
      </c>
      <c r="AD1894" s="36">
        <f t="shared" si="499"/>
        <v>1.5740740740740743E-2</v>
      </c>
      <c r="AE1894" s="36" t="str">
        <f t="shared" si="499"/>
        <v>A319</v>
      </c>
      <c r="AF1894" s="36">
        <f t="shared" si="499"/>
        <v>142</v>
      </c>
      <c r="AG1894" s="36" t="str">
        <f t="shared" si="499"/>
        <v>CJS</v>
      </c>
    </row>
    <row r="1895" spans="18:33" x14ac:dyDescent="0.25">
      <c r="R1895">
        <v>1881</v>
      </c>
      <c r="S1895" s="36" t="str">
        <f t="shared" si="498"/>
        <v>BARATA Y MORADA</v>
      </c>
      <c r="T1895" s="36">
        <f t="shared" si="498"/>
        <v>627</v>
      </c>
      <c r="U1895" s="73">
        <v>0.94027777777777777</v>
      </c>
      <c r="V1895" s="74">
        <v>0.94861111111111107</v>
      </c>
      <c r="W1895" s="75">
        <v>8.3333333333333037E-3</v>
      </c>
      <c r="X1895" s="74">
        <v>0.96111111111111114</v>
      </c>
      <c r="Y1895" s="75">
        <v>1.2500000000000067E-2</v>
      </c>
      <c r="Z1895" s="76">
        <v>41749</v>
      </c>
      <c r="AA1895" s="36" t="str">
        <f t="shared" si="499"/>
        <v>Nacional</v>
      </c>
      <c r="AB1895" s="36">
        <f t="shared" si="499"/>
        <v>7.4074074074074086E-3</v>
      </c>
      <c r="AC1895" s="36">
        <f t="shared" si="499"/>
        <v>8.3333333333333332E-3</v>
      </c>
      <c r="AD1895" s="36">
        <f t="shared" si="499"/>
        <v>1.5740740740740743E-2</v>
      </c>
      <c r="AE1895" s="36" t="str">
        <f t="shared" si="499"/>
        <v>A319</v>
      </c>
      <c r="AF1895" s="36">
        <f t="shared" si="499"/>
        <v>142</v>
      </c>
      <c r="AG1895" s="36" t="str">
        <f t="shared" si="499"/>
        <v>CJS</v>
      </c>
    </row>
    <row r="1896" spans="18:33" ht="15.75" thickBot="1" x14ac:dyDescent="0.3">
      <c r="R1896">
        <v>1882</v>
      </c>
      <c r="S1896" s="36" t="str">
        <f t="shared" si="498"/>
        <v>BARATA Y MORADA</v>
      </c>
      <c r="T1896" s="36">
        <f t="shared" si="498"/>
        <v>627</v>
      </c>
      <c r="U1896" s="83">
        <v>0.55277777777777781</v>
      </c>
      <c r="V1896" s="84">
        <v>0.56597222222222221</v>
      </c>
      <c r="W1896" s="85">
        <v>1.3194444444444398E-2</v>
      </c>
      <c r="X1896" s="84">
        <v>0.5708333333333333</v>
      </c>
      <c r="Y1896" s="85">
        <v>4.8611111111110938E-3</v>
      </c>
      <c r="Z1896" s="86">
        <v>41753</v>
      </c>
      <c r="AA1896" s="36" t="str">
        <f t="shared" si="499"/>
        <v>Nacional</v>
      </c>
      <c r="AB1896" s="36">
        <f t="shared" si="499"/>
        <v>7.4074074074074086E-3</v>
      </c>
      <c r="AC1896" s="36">
        <f t="shared" si="499"/>
        <v>8.3333333333333332E-3</v>
      </c>
      <c r="AD1896" s="36">
        <f t="shared" si="499"/>
        <v>1.5740740740740743E-2</v>
      </c>
      <c r="AE1896" s="36" t="str">
        <f t="shared" si="499"/>
        <v>A319</v>
      </c>
      <c r="AF1896" s="36">
        <f t="shared" si="499"/>
        <v>142</v>
      </c>
      <c r="AG1896" s="36" t="str">
        <f t="shared" si="499"/>
        <v>CJS</v>
      </c>
    </row>
    <row r="1897" spans="18:33" x14ac:dyDescent="0.25">
      <c r="R1897">
        <v>1883</v>
      </c>
      <c r="S1897" s="36" t="str">
        <f t="shared" si="498"/>
        <v>BARATA Y MORADA</v>
      </c>
      <c r="T1897" s="55">
        <v>631</v>
      </c>
      <c r="U1897" s="56">
        <v>0.84097222222222223</v>
      </c>
      <c r="V1897" s="57">
        <v>0.85416666666666663</v>
      </c>
      <c r="W1897" s="58">
        <v>1.3194444444444398E-2</v>
      </c>
      <c r="X1897" s="57">
        <v>0.86249999999999993</v>
      </c>
      <c r="Y1897" s="58">
        <v>8.3333333333333037E-3</v>
      </c>
      <c r="Z1897" s="59">
        <v>41730</v>
      </c>
      <c r="AA1897" s="60" t="s">
        <v>19</v>
      </c>
      <c r="AB1897" s="61">
        <v>1.1413043478260856E-2</v>
      </c>
      <c r="AC1897" s="61">
        <v>1.1612318840579694E-2</v>
      </c>
      <c r="AD1897" s="231">
        <v>2.3025362318840552E-2</v>
      </c>
      <c r="AE1897" s="132">
        <v>320</v>
      </c>
      <c r="AF1897" s="132">
        <v>179</v>
      </c>
      <c r="AG1897" s="132">
        <v>620</v>
      </c>
    </row>
    <row r="1898" spans="18:33" x14ac:dyDescent="0.25">
      <c r="R1898">
        <v>1884</v>
      </c>
      <c r="S1898" s="36" t="str">
        <f t="shared" si="498"/>
        <v>BARATA Y MORADA</v>
      </c>
      <c r="T1898" s="36">
        <f t="shared" si="498"/>
        <v>631</v>
      </c>
      <c r="U1898" s="73">
        <v>0.84027777777777779</v>
      </c>
      <c r="V1898" s="74">
        <v>0.85</v>
      </c>
      <c r="W1898" s="75">
        <v>9.7222222222221877E-3</v>
      </c>
      <c r="X1898" s="74">
        <v>0.85416666666666663</v>
      </c>
      <c r="Y1898" s="75">
        <v>4.1666666666666519E-3</v>
      </c>
      <c r="Z1898" s="76">
        <v>41731</v>
      </c>
      <c r="AA1898" s="36" t="str">
        <f t="shared" ref="AA1898:AG1919" si="500">AA1897</f>
        <v>Nacional</v>
      </c>
      <c r="AB1898" s="36">
        <f t="shared" si="500"/>
        <v>1.1413043478260856E-2</v>
      </c>
      <c r="AC1898" s="36">
        <f t="shared" si="500"/>
        <v>1.1612318840579694E-2</v>
      </c>
      <c r="AD1898" s="36">
        <f t="shared" si="500"/>
        <v>2.3025362318840552E-2</v>
      </c>
      <c r="AE1898" s="36">
        <f t="shared" si="500"/>
        <v>320</v>
      </c>
      <c r="AF1898" s="36">
        <f t="shared" si="500"/>
        <v>179</v>
      </c>
      <c r="AG1898" s="36">
        <f t="shared" si="500"/>
        <v>620</v>
      </c>
    </row>
    <row r="1899" spans="18:33" x14ac:dyDescent="0.25">
      <c r="R1899">
        <v>1885</v>
      </c>
      <c r="S1899" s="36" t="str">
        <f t="shared" si="498"/>
        <v>BARATA Y MORADA</v>
      </c>
      <c r="T1899" s="36">
        <f t="shared" si="498"/>
        <v>631</v>
      </c>
      <c r="U1899" s="73">
        <v>0.84513888888888899</v>
      </c>
      <c r="V1899" s="74">
        <v>0.85486111111111107</v>
      </c>
      <c r="W1899" s="75">
        <v>9.7222222222220767E-3</v>
      </c>
      <c r="X1899" s="74">
        <v>0.86041666666666661</v>
      </c>
      <c r="Y1899" s="75">
        <v>5.5555555555555358E-3</v>
      </c>
      <c r="Z1899" s="76">
        <v>41732</v>
      </c>
      <c r="AA1899" s="36" t="str">
        <f t="shared" si="500"/>
        <v>Nacional</v>
      </c>
      <c r="AB1899" s="36">
        <f t="shared" si="500"/>
        <v>1.1413043478260856E-2</v>
      </c>
      <c r="AC1899" s="36">
        <f t="shared" si="500"/>
        <v>1.1612318840579694E-2</v>
      </c>
      <c r="AD1899" s="36">
        <f t="shared" si="500"/>
        <v>2.3025362318840552E-2</v>
      </c>
      <c r="AE1899" s="36">
        <f t="shared" si="500"/>
        <v>320</v>
      </c>
      <c r="AF1899" s="36">
        <f t="shared" si="500"/>
        <v>179</v>
      </c>
      <c r="AG1899" s="36">
        <f t="shared" si="500"/>
        <v>620</v>
      </c>
    </row>
    <row r="1900" spans="18:33" x14ac:dyDescent="0.25">
      <c r="R1900">
        <v>1886</v>
      </c>
      <c r="S1900" s="36" t="str">
        <f t="shared" si="498"/>
        <v>BARATA Y MORADA</v>
      </c>
      <c r="T1900" s="36">
        <f t="shared" si="498"/>
        <v>631</v>
      </c>
      <c r="U1900" s="73">
        <v>0.88124999999999998</v>
      </c>
      <c r="V1900" s="74">
        <v>0.89027777777777783</v>
      </c>
      <c r="W1900" s="75">
        <v>9.0277777777778567E-3</v>
      </c>
      <c r="X1900" s="74">
        <v>0.90138888888888891</v>
      </c>
      <c r="Y1900" s="75">
        <v>1.1111111111111072E-2</v>
      </c>
      <c r="Z1900" s="76">
        <v>41734</v>
      </c>
      <c r="AA1900" s="36" t="str">
        <f t="shared" si="500"/>
        <v>Nacional</v>
      </c>
      <c r="AB1900" s="36">
        <f t="shared" si="500"/>
        <v>1.1413043478260856E-2</v>
      </c>
      <c r="AC1900" s="36">
        <f t="shared" si="500"/>
        <v>1.1612318840579694E-2</v>
      </c>
      <c r="AD1900" s="36">
        <f t="shared" si="500"/>
        <v>2.3025362318840552E-2</v>
      </c>
      <c r="AE1900" s="36">
        <f t="shared" si="500"/>
        <v>320</v>
      </c>
      <c r="AF1900" s="36">
        <f t="shared" si="500"/>
        <v>179</v>
      </c>
      <c r="AG1900" s="36">
        <f t="shared" si="500"/>
        <v>620</v>
      </c>
    </row>
    <row r="1901" spans="18:33" x14ac:dyDescent="0.25">
      <c r="R1901">
        <v>1887</v>
      </c>
      <c r="S1901" s="36" t="str">
        <f t="shared" si="498"/>
        <v>BARATA Y MORADA</v>
      </c>
      <c r="T1901" s="36">
        <f t="shared" si="498"/>
        <v>631</v>
      </c>
      <c r="U1901" s="73">
        <v>0.34027777777777773</v>
      </c>
      <c r="V1901" s="74">
        <v>0.34375</v>
      </c>
      <c r="W1901" s="75">
        <v>3.4722222222222654E-3</v>
      </c>
      <c r="X1901" s="74">
        <v>0.3888888888888889</v>
      </c>
      <c r="Y1901" s="75">
        <v>4.5138888888888895E-2</v>
      </c>
      <c r="Z1901" s="76">
        <v>41735</v>
      </c>
      <c r="AA1901" s="36" t="str">
        <f t="shared" si="500"/>
        <v>Nacional</v>
      </c>
      <c r="AB1901" s="36">
        <f t="shared" si="500"/>
        <v>1.1413043478260856E-2</v>
      </c>
      <c r="AC1901" s="36">
        <f t="shared" si="500"/>
        <v>1.1612318840579694E-2</v>
      </c>
      <c r="AD1901" s="36">
        <f t="shared" si="500"/>
        <v>2.3025362318840552E-2</v>
      </c>
      <c r="AE1901" s="36">
        <f t="shared" si="500"/>
        <v>320</v>
      </c>
      <c r="AF1901" s="36">
        <f t="shared" si="500"/>
        <v>179</v>
      </c>
      <c r="AG1901" s="36">
        <f t="shared" si="500"/>
        <v>620</v>
      </c>
    </row>
    <row r="1902" spans="18:33" x14ac:dyDescent="0.25">
      <c r="R1902">
        <v>1888</v>
      </c>
      <c r="S1902" s="36" t="str">
        <f t="shared" si="498"/>
        <v>BARATA Y MORADA</v>
      </c>
      <c r="T1902" s="36">
        <f t="shared" si="498"/>
        <v>631</v>
      </c>
      <c r="U1902" s="73">
        <v>0.83333333333333337</v>
      </c>
      <c r="V1902" s="74">
        <v>0.84166666666666667</v>
      </c>
      <c r="W1902" s="75">
        <v>8.3333333333333037E-3</v>
      </c>
      <c r="X1902" s="74">
        <v>0.84722222222222221</v>
      </c>
      <c r="Y1902" s="75">
        <v>5.5555555555555358E-3</v>
      </c>
      <c r="Z1902" s="76">
        <v>41736</v>
      </c>
      <c r="AA1902" s="36" t="str">
        <f t="shared" si="500"/>
        <v>Nacional</v>
      </c>
      <c r="AB1902" s="36">
        <f t="shared" si="500"/>
        <v>1.1413043478260856E-2</v>
      </c>
      <c r="AC1902" s="36">
        <f t="shared" si="500"/>
        <v>1.1612318840579694E-2</v>
      </c>
      <c r="AD1902" s="36">
        <f t="shared" si="500"/>
        <v>2.3025362318840552E-2</v>
      </c>
      <c r="AE1902" s="36">
        <f t="shared" si="500"/>
        <v>320</v>
      </c>
      <c r="AF1902" s="36">
        <f t="shared" si="500"/>
        <v>179</v>
      </c>
      <c r="AG1902" s="36">
        <f t="shared" si="500"/>
        <v>620</v>
      </c>
    </row>
    <row r="1903" spans="18:33" x14ac:dyDescent="0.25">
      <c r="R1903">
        <v>1889</v>
      </c>
      <c r="S1903" s="36" t="str">
        <f t="shared" si="498"/>
        <v>BARATA Y MORADA</v>
      </c>
      <c r="T1903" s="36">
        <f t="shared" si="498"/>
        <v>631</v>
      </c>
      <c r="U1903" s="73">
        <v>0.84652777777777777</v>
      </c>
      <c r="V1903" s="74">
        <v>0.86041666666666661</v>
      </c>
      <c r="W1903" s="75">
        <v>1.388888888888884E-2</v>
      </c>
      <c r="X1903" s="74">
        <v>0.86388888888888893</v>
      </c>
      <c r="Y1903" s="75">
        <v>3.4722222222223209E-3</v>
      </c>
      <c r="Z1903" s="76">
        <v>41736</v>
      </c>
      <c r="AA1903" s="36" t="str">
        <f t="shared" si="500"/>
        <v>Nacional</v>
      </c>
      <c r="AB1903" s="36">
        <f t="shared" si="500"/>
        <v>1.1413043478260856E-2</v>
      </c>
      <c r="AC1903" s="36">
        <f t="shared" si="500"/>
        <v>1.1612318840579694E-2</v>
      </c>
      <c r="AD1903" s="36">
        <f t="shared" si="500"/>
        <v>2.3025362318840552E-2</v>
      </c>
      <c r="AE1903" s="36">
        <f t="shared" si="500"/>
        <v>320</v>
      </c>
      <c r="AF1903" s="36">
        <f t="shared" si="500"/>
        <v>179</v>
      </c>
      <c r="AG1903" s="36">
        <f t="shared" si="500"/>
        <v>620</v>
      </c>
    </row>
    <row r="1904" spans="18:33" x14ac:dyDescent="0.25">
      <c r="R1904">
        <v>1890</v>
      </c>
      <c r="S1904" s="36" t="str">
        <f t="shared" si="498"/>
        <v>BARATA Y MORADA</v>
      </c>
      <c r="T1904" s="36">
        <f t="shared" si="498"/>
        <v>631</v>
      </c>
      <c r="U1904" s="73">
        <v>0.83472222222222225</v>
      </c>
      <c r="V1904" s="74">
        <v>0.84444444444444444</v>
      </c>
      <c r="W1904" s="75">
        <v>9.7222222222221877E-3</v>
      </c>
      <c r="X1904" s="74">
        <v>0.84930555555555554</v>
      </c>
      <c r="Y1904" s="75">
        <v>4.8611111111110938E-3</v>
      </c>
      <c r="Z1904" s="76">
        <v>41738</v>
      </c>
      <c r="AA1904" s="36" t="str">
        <f t="shared" si="500"/>
        <v>Nacional</v>
      </c>
      <c r="AB1904" s="36">
        <f t="shared" si="500"/>
        <v>1.1413043478260856E-2</v>
      </c>
      <c r="AC1904" s="36">
        <f t="shared" si="500"/>
        <v>1.1612318840579694E-2</v>
      </c>
      <c r="AD1904" s="36">
        <f t="shared" si="500"/>
        <v>2.3025362318840552E-2</v>
      </c>
      <c r="AE1904" s="36">
        <f t="shared" si="500"/>
        <v>320</v>
      </c>
      <c r="AF1904" s="36">
        <f t="shared" si="500"/>
        <v>179</v>
      </c>
      <c r="AG1904" s="36">
        <f t="shared" si="500"/>
        <v>620</v>
      </c>
    </row>
    <row r="1905" spans="18:33" x14ac:dyDescent="0.25">
      <c r="R1905">
        <v>1891</v>
      </c>
      <c r="S1905" s="36" t="str">
        <f t="shared" si="498"/>
        <v>BARATA Y MORADA</v>
      </c>
      <c r="T1905" s="36">
        <f t="shared" si="498"/>
        <v>631</v>
      </c>
      <c r="U1905" s="73">
        <v>0.83472222222222225</v>
      </c>
      <c r="V1905" s="74">
        <v>0.84027777777777779</v>
      </c>
      <c r="W1905" s="75">
        <v>5.5555555555555358E-3</v>
      </c>
      <c r="X1905" s="74">
        <v>0.85</v>
      </c>
      <c r="Y1905" s="75">
        <v>9.7222222222221877E-3</v>
      </c>
      <c r="Z1905" s="76">
        <v>41740</v>
      </c>
      <c r="AA1905" s="36" t="str">
        <f t="shared" si="500"/>
        <v>Nacional</v>
      </c>
      <c r="AB1905" s="36">
        <f t="shared" si="500"/>
        <v>1.1413043478260856E-2</v>
      </c>
      <c r="AC1905" s="36">
        <f t="shared" si="500"/>
        <v>1.1612318840579694E-2</v>
      </c>
      <c r="AD1905" s="36">
        <f t="shared" si="500"/>
        <v>2.3025362318840552E-2</v>
      </c>
      <c r="AE1905" s="36">
        <f t="shared" si="500"/>
        <v>320</v>
      </c>
      <c r="AF1905" s="36">
        <f t="shared" si="500"/>
        <v>179</v>
      </c>
      <c r="AG1905" s="36">
        <f t="shared" si="500"/>
        <v>620</v>
      </c>
    </row>
    <row r="1906" spans="18:33" x14ac:dyDescent="0.25">
      <c r="R1906">
        <v>1892</v>
      </c>
      <c r="S1906" s="36" t="str">
        <f t="shared" si="498"/>
        <v>BARATA Y MORADA</v>
      </c>
      <c r="T1906" s="36">
        <f t="shared" si="498"/>
        <v>631</v>
      </c>
      <c r="U1906" s="73">
        <v>0.84375</v>
      </c>
      <c r="V1906" s="74">
        <v>0.85416666666666663</v>
      </c>
      <c r="W1906" s="75">
        <v>1.041666666666663E-2</v>
      </c>
      <c r="X1906" s="74">
        <v>0.8652777777777777</v>
      </c>
      <c r="Y1906" s="75">
        <v>1.1111111111111072E-2</v>
      </c>
      <c r="Z1906" s="76">
        <v>41741</v>
      </c>
      <c r="AA1906" s="36" t="str">
        <f t="shared" si="500"/>
        <v>Nacional</v>
      </c>
      <c r="AB1906" s="36">
        <f t="shared" si="500"/>
        <v>1.1413043478260856E-2</v>
      </c>
      <c r="AC1906" s="36">
        <f t="shared" si="500"/>
        <v>1.1612318840579694E-2</v>
      </c>
      <c r="AD1906" s="36">
        <f t="shared" si="500"/>
        <v>2.3025362318840552E-2</v>
      </c>
      <c r="AE1906" s="36">
        <f t="shared" si="500"/>
        <v>320</v>
      </c>
      <c r="AF1906" s="36">
        <f t="shared" si="500"/>
        <v>179</v>
      </c>
      <c r="AG1906" s="36">
        <f t="shared" si="500"/>
        <v>620</v>
      </c>
    </row>
    <row r="1907" spans="18:33" x14ac:dyDescent="0.25">
      <c r="R1907">
        <v>1893</v>
      </c>
      <c r="S1907" s="36" t="str">
        <f t="shared" si="498"/>
        <v>BARATA Y MORADA</v>
      </c>
      <c r="T1907" s="36">
        <f t="shared" si="498"/>
        <v>631</v>
      </c>
      <c r="U1907" s="73">
        <v>0.84097222222222223</v>
      </c>
      <c r="V1907" s="74">
        <v>0.85416666666666663</v>
      </c>
      <c r="W1907" s="75">
        <v>1.3194444444444398E-2</v>
      </c>
      <c r="X1907" s="74">
        <v>0.86249999999999993</v>
      </c>
      <c r="Y1907" s="75">
        <v>8.3333333333333037E-3</v>
      </c>
      <c r="Z1907" s="76">
        <v>41742</v>
      </c>
      <c r="AA1907" s="36" t="str">
        <f t="shared" si="500"/>
        <v>Nacional</v>
      </c>
      <c r="AB1907" s="36">
        <f t="shared" si="500"/>
        <v>1.1413043478260856E-2</v>
      </c>
      <c r="AC1907" s="36">
        <f t="shared" si="500"/>
        <v>1.1612318840579694E-2</v>
      </c>
      <c r="AD1907" s="36">
        <f t="shared" si="500"/>
        <v>2.3025362318840552E-2</v>
      </c>
      <c r="AE1907" s="36">
        <f t="shared" si="500"/>
        <v>320</v>
      </c>
      <c r="AF1907" s="36">
        <f t="shared" si="500"/>
        <v>179</v>
      </c>
      <c r="AG1907" s="36">
        <f t="shared" si="500"/>
        <v>620</v>
      </c>
    </row>
    <row r="1908" spans="18:33" x14ac:dyDescent="0.25">
      <c r="R1908">
        <v>1894</v>
      </c>
      <c r="S1908" s="36" t="str">
        <f t="shared" si="498"/>
        <v>BARATA Y MORADA</v>
      </c>
      <c r="T1908" s="36">
        <f t="shared" si="498"/>
        <v>631</v>
      </c>
      <c r="U1908" s="73">
        <v>0.82916666666666661</v>
      </c>
      <c r="V1908" s="74">
        <v>0.84027777777777779</v>
      </c>
      <c r="W1908" s="75">
        <v>1.1111111111111183E-2</v>
      </c>
      <c r="X1908" s="74">
        <v>0.85</v>
      </c>
      <c r="Y1908" s="75">
        <v>9.7222222222221877E-3</v>
      </c>
      <c r="Z1908" s="76">
        <v>41743</v>
      </c>
      <c r="AA1908" s="36" t="str">
        <f t="shared" si="500"/>
        <v>Nacional</v>
      </c>
      <c r="AB1908" s="36">
        <f t="shared" si="500"/>
        <v>1.1413043478260856E-2</v>
      </c>
      <c r="AC1908" s="36">
        <f t="shared" si="500"/>
        <v>1.1612318840579694E-2</v>
      </c>
      <c r="AD1908" s="36">
        <f t="shared" si="500"/>
        <v>2.3025362318840552E-2</v>
      </c>
      <c r="AE1908" s="36">
        <f t="shared" si="500"/>
        <v>320</v>
      </c>
      <c r="AF1908" s="36">
        <f t="shared" si="500"/>
        <v>179</v>
      </c>
      <c r="AG1908" s="36">
        <f t="shared" si="500"/>
        <v>620</v>
      </c>
    </row>
    <row r="1909" spans="18:33" x14ac:dyDescent="0.25">
      <c r="R1909">
        <v>1895</v>
      </c>
      <c r="S1909" s="36" t="str">
        <f t="shared" si="498"/>
        <v>BARATA Y MORADA</v>
      </c>
      <c r="T1909" s="36">
        <f t="shared" si="498"/>
        <v>631</v>
      </c>
      <c r="U1909" s="73">
        <v>0.84305555555555556</v>
      </c>
      <c r="V1909" s="74">
        <v>0.8666666666666667</v>
      </c>
      <c r="W1909" s="75">
        <v>2.3611111111111138E-2</v>
      </c>
      <c r="X1909" s="74">
        <v>0.86875000000000002</v>
      </c>
      <c r="Y1909" s="75">
        <v>2.0833333333333259E-3</v>
      </c>
      <c r="Z1909" s="76">
        <v>41745</v>
      </c>
      <c r="AA1909" s="36" t="str">
        <f t="shared" si="500"/>
        <v>Nacional</v>
      </c>
      <c r="AB1909" s="36">
        <f t="shared" si="500"/>
        <v>1.1413043478260856E-2</v>
      </c>
      <c r="AC1909" s="36">
        <f t="shared" si="500"/>
        <v>1.1612318840579694E-2</v>
      </c>
      <c r="AD1909" s="36">
        <f t="shared" si="500"/>
        <v>2.3025362318840552E-2</v>
      </c>
      <c r="AE1909" s="36">
        <f t="shared" si="500"/>
        <v>320</v>
      </c>
      <c r="AF1909" s="36">
        <f t="shared" si="500"/>
        <v>179</v>
      </c>
      <c r="AG1909" s="36">
        <f t="shared" si="500"/>
        <v>620</v>
      </c>
    </row>
    <row r="1910" spans="18:33" x14ac:dyDescent="0.25">
      <c r="R1910">
        <v>1896</v>
      </c>
      <c r="S1910" s="36" t="str">
        <f t="shared" si="498"/>
        <v>BARATA Y MORADA</v>
      </c>
      <c r="T1910" s="36">
        <f t="shared" si="498"/>
        <v>631</v>
      </c>
      <c r="U1910" s="73">
        <v>0.85277777777777775</v>
      </c>
      <c r="V1910" s="74">
        <v>0.86111111111111116</v>
      </c>
      <c r="W1910" s="75">
        <v>8.3333333333334147E-3</v>
      </c>
      <c r="X1910" s="74">
        <v>0.87152777777777779</v>
      </c>
      <c r="Y1910" s="75">
        <v>1.041666666666663E-2</v>
      </c>
      <c r="Z1910" s="76">
        <v>41744</v>
      </c>
      <c r="AA1910" s="36" t="str">
        <f t="shared" si="500"/>
        <v>Nacional</v>
      </c>
      <c r="AB1910" s="36">
        <f t="shared" si="500"/>
        <v>1.1413043478260856E-2</v>
      </c>
      <c r="AC1910" s="36">
        <f t="shared" si="500"/>
        <v>1.1612318840579694E-2</v>
      </c>
      <c r="AD1910" s="36">
        <f t="shared" si="500"/>
        <v>2.3025362318840552E-2</v>
      </c>
      <c r="AE1910" s="36">
        <f t="shared" si="500"/>
        <v>320</v>
      </c>
      <c r="AF1910" s="36">
        <f t="shared" si="500"/>
        <v>179</v>
      </c>
      <c r="AG1910" s="36">
        <f t="shared" si="500"/>
        <v>620</v>
      </c>
    </row>
    <row r="1911" spans="18:33" x14ac:dyDescent="0.25">
      <c r="R1911">
        <v>1897</v>
      </c>
      <c r="S1911" s="36" t="str">
        <f t="shared" si="498"/>
        <v>BARATA Y MORADA</v>
      </c>
      <c r="T1911" s="36">
        <f t="shared" si="498"/>
        <v>631</v>
      </c>
      <c r="U1911" s="73">
        <v>0.84027777777777779</v>
      </c>
      <c r="V1911" s="74">
        <v>0.85555555555555562</v>
      </c>
      <c r="W1911" s="75">
        <v>1.5277777777777835E-2</v>
      </c>
      <c r="X1911" s="74">
        <v>0.86805555555555547</v>
      </c>
      <c r="Y1911" s="75">
        <v>1.2499999999999845E-2</v>
      </c>
      <c r="Z1911" s="76">
        <v>41746</v>
      </c>
      <c r="AA1911" s="36" t="str">
        <f t="shared" si="500"/>
        <v>Nacional</v>
      </c>
      <c r="AB1911" s="36">
        <f t="shared" si="500"/>
        <v>1.1413043478260856E-2</v>
      </c>
      <c r="AC1911" s="36">
        <f t="shared" si="500"/>
        <v>1.1612318840579694E-2</v>
      </c>
      <c r="AD1911" s="36">
        <f t="shared" si="500"/>
        <v>2.3025362318840552E-2</v>
      </c>
      <c r="AE1911" s="36">
        <f t="shared" si="500"/>
        <v>320</v>
      </c>
      <c r="AF1911" s="36">
        <f t="shared" si="500"/>
        <v>179</v>
      </c>
      <c r="AG1911" s="36">
        <f t="shared" si="500"/>
        <v>620</v>
      </c>
    </row>
    <row r="1912" spans="18:33" x14ac:dyDescent="0.25">
      <c r="R1912">
        <v>1898</v>
      </c>
      <c r="S1912" s="36" t="str">
        <f t="shared" si="498"/>
        <v>BARATA Y MORADA</v>
      </c>
      <c r="T1912" s="36">
        <f t="shared" si="498"/>
        <v>631</v>
      </c>
      <c r="U1912" s="73">
        <v>0.82777777777777783</v>
      </c>
      <c r="V1912" s="74">
        <v>0.83888888888888891</v>
      </c>
      <c r="W1912" s="75">
        <v>1.1111111111111072E-2</v>
      </c>
      <c r="X1912" s="74">
        <v>0.85625000000000007</v>
      </c>
      <c r="Y1912" s="75">
        <v>1.736111111111116E-2</v>
      </c>
      <c r="Z1912" s="76">
        <v>41749</v>
      </c>
      <c r="AA1912" s="36" t="str">
        <f t="shared" si="500"/>
        <v>Nacional</v>
      </c>
      <c r="AB1912" s="36">
        <f t="shared" si="500"/>
        <v>1.1413043478260856E-2</v>
      </c>
      <c r="AC1912" s="36">
        <f t="shared" si="500"/>
        <v>1.1612318840579694E-2</v>
      </c>
      <c r="AD1912" s="36">
        <f t="shared" si="500"/>
        <v>2.3025362318840552E-2</v>
      </c>
      <c r="AE1912" s="36">
        <f t="shared" si="500"/>
        <v>320</v>
      </c>
      <c r="AF1912" s="36">
        <f t="shared" si="500"/>
        <v>179</v>
      </c>
      <c r="AG1912" s="36">
        <f t="shared" si="500"/>
        <v>620</v>
      </c>
    </row>
    <row r="1913" spans="18:33" x14ac:dyDescent="0.25">
      <c r="R1913">
        <v>1899</v>
      </c>
      <c r="S1913" s="36" t="str">
        <f t="shared" si="498"/>
        <v>BARATA Y MORADA</v>
      </c>
      <c r="T1913" s="36">
        <f t="shared" si="498"/>
        <v>631</v>
      </c>
      <c r="U1913" s="73">
        <v>0.84027777777777779</v>
      </c>
      <c r="V1913" s="74">
        <v>0.84861111111111109</v>
      </c>
      <c r="W1913" s="75">
        <v>8.3333333333333037E-3</v>
      </c>
      <c r="X1913" s="74">
        <v>0.86458333333333337</v>
      </c>
      <c r="Y1913" s="75">
        <v>1.5972222222222276E-2</v>
      </c>
      <c r="Z1913" s="76">
        <v>41749</v>
      </c>
      <c r="AA1913" s="36" t="str">
        <f t="shared" si="500"/>
        <v>Nacional</v>
      </c>
      <c r="AB1913" s="36">
        <f t="shared" si="500"/>
        <v>1.1413043478260856E-2</v>
      </c>
      <c r="AC1913" s="36">
        <f t="shared" si="500"/>
        <v>1.1612318840579694E-2</v>
      </c>
      <c r="AD1913" s="36">
        <f t="shared" si="500"/>
        <v>2.3025362318840552E-2</v>
      </c>
      <c r="AE1913" s="36">
        <f t="shared" si="500"/>
        <v>320</v>
      </c>
      <c r="AF1913" s="36">
        <f t="shared" si="500"/>
        <v>179</v>
      </c>
      <c r="AG1913" s="36">
        <f t="shared" si="500"/>
        <v>620</v>
      </c>
    </row>
    <row r="1914" spans="18:33" x14ac:dyDescent="0.25">
      <c r="R1914">
        <v>1900</v>
      </c>
      <c r="S1914" s="36" t="str">
        <f t="shared" si="498"/>
        <v>BARATA Y MORADA</v>
      </c>
      <c r="T1914" s="36">
        <f t="shared" si="498"/>
        <v>631</v>
      </c>
      <c r="U1914" s="73">
        <v>0.83333333333333337</v>
      </c>
      <c r="V1914" s="74">
        <v>0.83680555555555547</v>
      </c>
      <c r="W1914" s="75">
        <v>3.4722222222220989E-3</v>
      </c>
      <c r="X1914" s="74">
        <v>0.84930555555555554</v>
      </c>
      <c r="Y1914" s="75">
        <v>1.2500000000000067E-2</v>
      </c>
      <c r="Z1914" s="76">
        <v>41751</v>
      </c>
      <c r="AA1914" s="36" t="str">
        <f t="shared" si="500"/>
        <v>Nacional</v>
      </c>
      <c r="AB1914" s="36">
        <f t="shared" si="500"/>
        <v>1.1413043478260856E-2</v>
      </c>
      <c r="AC1914" s="36">
        <f t="shared" si="500"/>
        <v>1.1612318840579694E-2</v>
      </c>
      <c r="AD1914" s="36">
        <f t="shared" si="500"/>
        <v>2.3025362318840552E-2</v>
      </c>
      <c r="AE1914" s="36">
        <f t="shared" si="500"/>
        <v>320</v>
      </c>
      <c r="AF1914" s="36">
        <f t="shared" si="500"/>
        <v>179</v>
      </c>
      <c r="AG1914" s="36">
        <f t="shared" si="500"/>
        <v>620</v>
      </c>
    </row>
    <row r="1915" spans="18:33" x14ac:dyDescent="0.25">
      <c r="R1915">
        <v>1901</v>
      </c>
      <c r="S1915" s="36" t="str">
        <f t="shared" si="498"/>
        <v>BARATA Y MORADA</v>
      </c>
      <c r="T1915" s="36">
        <f t="shared" si="498"/>
        <v>631</v>
      </c>
      <c r="U1915" s="73">
        <v>0.83819444444444446</v>
      </c>
      <c r="V1915" s="74">
        <v>0.84861111111111109</v>
      </c>
      <c r="W1915" s="75">
        <v>1.041666666666663E-2</v>
      </c>
      <c r="X1915" s="74">
        <v>0.85625000000000007</v>
      </c>
      <c r="Y1915" s="75">
        <v>7.6388888888889728E-3</v>
      </c>
      <c r="Z1915" s="76">
        <v>41753</v>
      </c>
      <c r="AA1915" s="36" t="str">
        <f t="shared" si="500"/>
        <v>Nacional</v>
      </c>
      <c r="AB1915" s="36">
        <f t="shared" si="500"/>
        <v>1.1413043478260856E-2</v>
      </c>
      <c r="AC1915" s="36">
        <f t="shared" si="500"/>
        <v>1.1612318840579694E-2</v>
      </c>
      <c r="AD1915" s="36">
        <f t="shared" si="500"/>
        <v>2.3025362318840552E-2</v>
      </c>
      <c r="AE1915" s="36">
        <f t="shared" si="500"/>
        <v>320</v>
      </c>
      <c r="AF1915" s="36">
        <f t="shared" si="500"/>
        <v>179</v>
      </c>
      <c r="AG1915" s="36">
        <f t="shared" si="500"/>
        <v>620</v>
      </c>
    </row>
    <row r="1916" spans="18:33" x14ac:dyDescent="0.25">
      <c r="R1916">
        <v>1902</v>
      </c>
      <c r="S1916" s="36" t="str">
        <f t="shared" si="498"/>
        <v>BARATA Y MORADA</v>
      </c>
      <c r="T1916" s="36">
        <f t="shared" si="498"/>
        <v>631</v>
      </c>
      <c r="U1916" s="73">
        <v>0.87847222222222221</v>
      </c>
      <c r="V1916" s="74">
        <v>0.90833333333333333</v>
      </c>
      <c r="W1916" s="75">
        <v>2.9861111111111116E-2</v>
      </c>
      <c r="X1916" s="74">
        <v>0.93166666666666664</v>
      </c>
      <c r="Y1916" s="75">
        <v>2.3333333333333317E-2</v>
      </c>
      <c r="Z1916" s="76">
        <v>41755</v>
      </c>
      <c r="AA1916" s="36" t="str">
        <f t="shared" si="500"/>
        <v>Nacional</v>
      </c>
      <c r="AB1916" s="36">
        <f t="shared" si="500"/>
        <v>1.1413043478260856E-2</v>
      </c>
      <c r="AC1916" s="36">
        <f t="shared" si="500"/>
        <v>1.1612318840579694E-2</v>
      </c>
      <c r="AD1916" s="36">
        <f t="shared" si="500"/>
        <v>2.3025362318840552E-2</v>
      </c>
      <c r="AE1916" s="36">
        <f t="shared" si="500"/>
        <v>320</v>
      </c>
      <c r="AF1916" s="36">
        <f t="shared" si="500"/>
        <v>179</v>
      </c>
      <c r="AG1916" s="36">
        <f t="shared" si="500"/>
        <v>620</v>
      </c>
    </row>
    <row r="1917" spans="18:33" x14ac:dyDescent="0.25">
      <c r="R1917">
        <v>1903</v>
      </c>
      <c r="S1917" s="36" t="str">
        <f t="shared" si="498"/>
        <v>BARATA Y MORADA</v>
      </c>
      <c r="T1917" s="36">
        <f t="shared" si="498"/>
        <v>631</v>
      </c>
      <c r="U1917" s="73">
        <v>0.83888888888888891</v>
      </c>
      <c r="V1917" s="74">
        <v>0.8520833333333333</v>
      </c>
      <c r="W1917" s="75">
        <v>1.3194444444444398E-2</v>
      </c>
      <c r="X1917" s="74">
        <v>0.8652777777777777</v>
      </c>
      <c r="Y1917" s="75">
        <v>1.3194444444444398E-2</v>
      </c>
      <c r="Z1917" s="76">
        <v>41757</v>
      </c>
      <c r="AA1917" s="36" t="str">
        <f t="shared" si="500"/>
        <v>Nacional</v>
      </c>
      <c r="AB1917" s="36">
        <f t="shared" si="500"/>
        <v>1.1413043478260856E-2</v>
      </c>
      <c r="AC1917" s="36">
        <f t="shared" si="500"/>
        <v>1.1612318840579694E-2</v>
      </c>
      <c r="AD1917" s="36">
        <f t="shared" si="500"/>
        <v>2.3025362318840552E-2</v>
      </c>
      <c r="AE1917" s="36">
        <f t="shared" si="500"/>
        <v>320</v>
      </c>
      <c r="AF1917" s="36">
        <f t="shared" si="500"/>
        <v>179</v>
      </c>
      <c r="AG1917" s="36">
        <f t="shared" si="500"/>
        <v>620</v>
      </c>
    </row>
    <row r="1918" spans="18:33" x14ac:dyDescent="0.25">
      <c r="R1918">
        <v>1904</v>
      </c>
      <c r="S1918" s="36" t="str">
        <f t="shared" si="498"/>
        <v>BARATA Y MORADA</v>
      </c>
      <c r="T1918" s="36">
        <f t="shared" si="498"/>
        <v>631</v>
      </c>
      <c r="U1918" s="73">
        <v>0.83263888888888893</v>
      </c>
      <c r="V1918" s="74">
        <v>0.84166666666666667</v>
      </c>
      <c r="W1918" s="75">
        <v>9.0277777777777457E-3</v>
      </c>
      <c r="X1918" s="74">
        <v>0.85416666666666663</v>
      </c>
      <c r="Y1918" s="75">
        <v>1.2499999999999956E-2</v>
      </c>
      <c r="Z1918" s="76">
        <v>41759</v>
      </c>
      <c r="AA1918" s="36" t="str">
        <f t="shared" si="500"/>
        <v>Nacional</v>
      </c>
      <c r="AB1918" s="36">
        <f t="shared" si="500"/>
        <v>1.1413043478260856E-2</v>
      </c>
      <c r="AC1918" s="36">
        <f t="shared" si="500"/>
        <v>1.1612318840579694E-2</v>
      </c>
      <c r="AD1918" s="36">
        <f t="shared" si="500"/>
        <v>2.3025362318840552E-2</v>
      </c>
      <c r="AE1918" s="36">
        <f t="shared" si="500"/>
        <v>320</v>
      </c>
      <c r="AF1918" s="36">
        <f t="shared" si="500"/>
        <v>179</v>
      </c>
      <c r="AG1918" s="36">
        <f t="shared" si="500"/>
        <v>620</v>
      </c>
    </row>
    <row r="1919" spans="18:33" ht="15.75" thickBot="1" x14ac:dyDescent="0.3">
      <c r="R1919">
        <v>1905</v>
      </c>
      <c r="S1919" s="36" t="str">
        <f t="shared" si="498"/>
        <v>BARATA Y MORADA</v>
      </c>
      <c r="T1919" s="36">
        <f t="shared" si="498"/>
        <v>631</v>
      </c>
      <c r="U1919" s="83">
        <v>0.83819444444444446</v>
      </c>
      <c r="V1919" s="84">
        <v>0.85069444444444453</v>
      </c>
      <c r="W1919" s="85">
        <v>1.2500000000000067E-2</v>
      </c>
      <c r="X1919" s="84">
        <v>0.86319444444444438</v>
      </c>
      <c r="Y1919" s="85">
        <v>1.2499999999999845E-2</v>
      </c>
      <c r="Z1919" s="86">
        <v>41759</v>
      </c>
      <c r="AA1919" s="36" t="str">
        <f t="shared" si="500"/>
        <v>Nacional</v>
      </c>
      <c r="AB1919" s="36">
        <f t="shared" si="500"/>
        <v>1.1413043478260856E-2</v>
      </c>
      <c r="AC1919" s="36">
        <f t="shared" si="500"/>
        <v>1.1612318840579694E-2</v>
      </c>
      <c r="AD1919" s="36">
        <f t="shared" si="500"/>
        <v>2.3025362318840552E-2</v>
      </c>
      <c r="AE1919" s="36">
        <f t="shared" si="500"/>
        <v>320</v>
      </c>
      <c r="AF1919" s="36">
        <f t="shared" si="500"/>
        <v>179</v>
      </c>
      <c r="AG1919" s="36">
        <f t="shared" si="500"/>
        <v>620</v>
      </c>
    </row>
    <row r="1920" spans="18:33" x14ac:dyDescent="0.25">
      <c r="R1920">
        <v>1906</v>
      </c>
      <c r="S1920" s="36" t="str">
        <f t="shared" si="498"/>
        <v>BARATA Y MORADA</v>
      </c>
      <c r="T1920" s="55">
        <v>633</v>
      </c>
      <c r="U1920" s="56">
        <v>0.67708333333333337</v>
      </c>
      <c r="V1920" s="57">
        <v>0.68680555555555556</v>
      </c>
      <c r="W1920" s="58">
        <v>9.7222222222221877E-3</v>
      </c>
      <c r="X1920" s="57">
        <v>0.70347222222222217</v>
      </c>
      <c r="Y1920" s="58">
        <v>1.6666666666666607E-2</v>
      </c>
      <c r="Z1920" s="59">
        <v>41730</v>
      </c>
      <c r="AA1920" s="60" t="s">
        <v>19</v>
      </c>
      <c r="AB1920" s="61">
        <v>7.8888888888889019E-3</v>
      </c>
      <c r="AC1920" s="61">
        <v>9.9166666666666639E-3</v>
      </c>
      <c r="AD1920" s="231">
        <v>1.7805555555555568E-2</v>
      </c>
      <c r="AE1920" s="132" t="s">
        <v>57</v>
      </c>
      <c r="AF1920" s="132">
        <v>142</v>
      </c>
      <c r="AG1920" s="132" t="s">
        <v>46</v>
      </c>
    </row>
    <row r="1921" spans="18:33" x14ac:dyDescent="0.25">
      <c r="R1921">
        <v>1907</v>
      </c>
      <c r="S1921" s="36" t="str">
        <f t="shared" si="498"/>
        <v>BARATA Y MORADA</v>
      </c>
      <c r="T1921" s="36">
        <f t="shared" si="498"/>
        <v>633</v>
      </c>
      <c r="U1921" s="73">
        <v>0.67499999999999993</v>
      </c>
      <c r="V1921" s="74">
        <v>0.68402777777777779</v>
      </c>
      <c r="W1921" s="75">
        <v>9.0277777777778567E-3</v>
      </c>
      <c r="X1921" s="74">
        <v>0.69444444444444453</v>
      </c>
      <c r="Y1921" s="75">
        <v>1.0416666666666741E-2</v>
      </c>
      <c r="Z1921" s="76">
        <v>41731</v>
      </c>
      <c r="AA1921" s="36" t="str">
        <f t="shared" ref="AA1921:AG1944" si="501">AA1920</f>
        <v>Nacional</v>
      </c>
      <c r="AB1921" s="36">
        <f t="shared" si="501"/>
        <v>7.8888888888889019E-3</v>
      </c>
      <c r="AC1921" s="36">
        <f t="shared" si="501"/>
        <v>9.9166666666666639E-3</v>
      </c>
      <c r="AD1921" s="36">
        <f t="shared" si="501"/>
        <v>1.7805555555555568E-2</v>
      </c>
      <c r="AE1921" s="36" t="str">
        <f t="shared" si="501"/>
        <v>A319</v>
      </c>
      <c r="AF1921" s="36">
        <f t="shared" si="501"/>
        <v>142</v>
      </c>
      <c r="AG1921" s="36" t="str">
        <f t="shared" si="501"/>
        <v>CUN</v>
      </c>
    </row>
    <row r="1922" spans="18:33" x14ac:dyDescent="0.25">
      <c r="R1922">
        <v>1908</v>
      </c>
      <c r="S1922" s="36" t="str">
        <f t="shared" si="498"/>
        <v>BARATA Y MORADA</v>
      </c>
      <c r="T1922" s="36">
        <f t="shared" si="498"/>
        <v>633</v>
      </c>
      <c r="U1922" s="73">
        <v>0.68055555555555547</v>
      </c>
      <c r="V1922" s="74">
        <v>0.68680555555555556</v>
      </c>
      <c r="W1922" s="75">
        <v>6.2500000000000888E-3</v>
      </c>
      <c r="X1922" s="74">
        <v>0.69513888888888886</v>
      </c>
      <c r="Y1922" s="75">
        <v>8.3333333333333037E-3</v>
      </c>
      <c r="Z1922" s="76">
        <v>41732</v>
      </c>
      <c r="AA1922" s="36" t="str">
        <f t="shared" si="501"/>
        <v>Nacional</v>
      </c>
      <c r="AB1922" s="36">
        <f t="shared" si="501"/>
        <v>7.8888888888889019E-3</v>
      </c>
      <c r="AC1922" s="36">
        <f t="shared" si="501"/>
        <v>9.9166666666666639E-3</v>
      </c>
      <c r="AD1922" s="36">
        <f t="shared" si="501"/>
        <v>1.7805555555555568E-2</v>
      </c>
      <c r="AE1922" s="36" t="str">
        <f t="shared" si="501"/>
        <v>A319</v>
      </c>
      <c r="AF1922" s="36">
        <f t="shared" si="501"/>
        <v>142</v>
      </c>
      <c r="AG1922" s="36" t="str">
        <f t="shared" si="501"/>
        <v>CUN</v>
      </c>
    </row>
    <row r="1923" spans="18:33" x14ac:dyDescent="0.25">
      <c r="R1923">
        <v>1909</v>
      </c>
      <c r="S1923" s="36" t="str">
        <f t="shared" si="498"/>
        <v>BARATA Y MORADA</v>
      </c>
      <c r="T1923" s="36">
        <f t="shared" si="498"/>
        <v>633</v>
      </c>
      <c r="U1923" s="73">
        <v>0.68055555555555547</v>
      </c>
      <c r="V1923" s="74">
        <v>0.6875</v>
      </c>
      <c r="W1923" s="75">
        <v>6.9444444444445308E-3</v>
      </c>
      <c r="X1923" s="74">
        <v>0.70138888888888884</v>
      </c>
      <c r="Y1923" s="75">
        <v>1.388888888888884E-2</v>
      </c>
      <c r="Z1923" s="76">
        <v>41733</v>
      </c>
      <c r="AA1923" s="36" t="str">
        <f t="shared" si="501"/>
        <v>Nacional</v>
      </c>
      <c r="AB1923" s="36">
        <f t="shared" si="501"/>
        <v>7.8888888888889019E-3</v>
      </c>
      <c r="AC1923" s="36">
        <f t="shared" si="501"/>
        <v>9.9166666666666639E-3</v>
      </c>
      <c r="AD1923" s="36">
        <f t="shared" si="501"/>
        <v>1.7805555555555568E-2</v>
      </c>
      <c r="AE1923" s="36" t="str">
        <f t="shared" si="501"/>
        <v>A319</v>
      </c>
      <c r="AF1923" s="36">
        <f t="shared" si="501"/>
        <v>142</v>
      </c>
      <c r="AG1923" s="36" t="str">
        <f t="shared" si="501"/>
        <v>CUN</v>
      </c>
    </row>
    <row r="1924" spans="18:33" x14ac:dyDescent="0.25">
      <c r="R1924">
        <v>1910</v>
      </c>
      <c r="S1924" s="36" t="str">
        <f t="shared" si="498"/>
        <v>BARATA Y MORADA</v>
      </c>
      <c r="T1924" s="36">
        <f t="shared" si="498"/>
        <v>633</v>
      </c>
      <c r="U1924" s="73">
        <v>0.6743055555555556</v>
      </c>
      <c r="V1924" s="74">
        <v>0.68055555555555547</v>
      </c>
      <c r="W1924" s="75">
        <v>6.2499999999998668E-3</v>
      </c>
      <c r="X1924" s="74">
        <v>0.69791666666666663</v>
      </c>
      <c r="Y1924" s="75">
        <v>1.736111111111116E-2</v>
      </c>
      <c r="Z1924" s="76">
        <v>41735</v>
      </c>
      <c r="AA1924" s="36" t="str">
        <f t="shared" si="501"/>
        <v>Nacional</v>
      </c>
      <c r="AB1924" s="36">
        <f t="shared" si="501"/>
        <v>7.8888888888889019E-3</v>
      </c>
      <c r="AC1924" s="36">
        <f t="shared" si="501"/>
        <v>9.9166666666666639E-3</v>
      </c>
      <c r="AD1924" s="36">
        <f t="shared" si="501"/>
        <v>1.7805555555555568E-2</v>
      </c>
      <c r="AE1924" s="36" t="str">
        <f t="shared" si="501"/>
        <v>A319</v>
      </c>
      <c r="AF1924" s="36">
        <f t="shared" si="501"/>
        <v>142</v>
      </c>
      <c r="AG1924" s="36" t="str">
        <f t="shared" si="501"/>
        <v>CUN</v>
      </c>
    </row>
    <row r="1925" spans="18:33" x14ac:dyDescent="0.25">
      <c r="R1925">
        <v>1911</v>
      </c>
      <c r="S1925" s="36" t="str">
        <f t="shared" si="498"/>
        <v>BARATA Y MORADA</v>
      </c>
      <c r="T1925" s="36">
        <f t="shared" si="498"/>
        <v>633</v>
      </c>
      <c r="U1925" s="73">
        <v>0.93541666666666667</v>
      </c>
      <c r="V1925" s="74">
        <v>0.94444444444444453</v>
      </c>
      <c r="W1925" s="75">
        <v>9.0277777777778567E-3</v>
      </c>
      <c r="X1925" s="74">
        <v>0.95208333333333339</v>
      </c>
      <c r="Y1925" s="75">
        <v>7.6388888888888618E-3</v>
      </c>
      <c r="Z1925" s="76">
        <v>41736</v>
      </c>
      <c r="AA1925" s="36" t="str">
        <f t="shared" si="501"/>
        <v>Nacional</v>
      </c>
      <c r="AB1925" s="36">
        <f t="shared" si="501"/>
        <v>7.8888888888889019E-3</v>
      </c>
      <c r="AC1925" s="36">
        <f t="shared" si="501"/>
        <v>9.9166666666666639E-3</v>
      </c>
      <c r="AD1925" s="36">
        <f t="shared" si="501"/>
        <v>1.7805555555555568E-2</v>
      </c>
      <c r="AE1925" s="36" t="str">
        <f t="shared" si="501"/>
        <v>A319</v>
      </c>
      <c r="AF1925" s="36">
        <f t="shared" si="501"/>
        <v>142</v>
      </c>
      <c r="AG1925" s="36" t="str">
        <f t="shared" si="501"/>
        <v>CUN</v>
      </c>
    </row>
    <row r="1926" spans="18:33" x14ac:dyDescent="0.25">
      <c r="R1926">
        <v>1912</v>
      </c>
      <c r="S1926" s="36" t="str">
        <f t="shared" si="498"/>
        <v>BARATA Y MORADA</v>
      </c>
      <c r="T1926" s="36">
        <f t="shared" si="498"/>
        <v>633</v>
      </c>
      <c r="U1926" s="73">
        <v>0.68125000000000002</v>
      </c>
      <c r="V1926" s="74">
        <v>0.68194444444444446</v>
      </c>
      <c r="W1926" s="75">
        <v>6.9444444444444198E-4</v>
      </c>
      <c r="X1926" s="74">
        <v>0.6875</v>
      </c>
      <c r="Y1926" s="75">
        <v>5.5555555555555358E-3</v>
      </c>
      <c r="Z1926" s="76">
        <v>41737</v>
      </c>
      <c r="AA1926" s="36" t="str">
        <f t="shared" si="501"/>
        <v>Nacional</v>
      </c>
      <c r="AB1926" s="36">
        <f t="shared" si="501"/>
        <v>7.8888888888889019E-3</v>
      </c>
      <c r="AC1926" s="36">
        <f t="shared" si="501"/>
        <v>9.9166666666666639E-3</v>
      </c>
      <c r="AD1926" s="36">
        <f t="shared" si="501"/>
        <v>1.7805555555555568E-2</v>
      </c>
      <c r="AE1926" s="36" t="str">
        <f t="shared" si="501"/>
        <v>A319</v>
      </c>
      <c r="AF1926" s="36">
        <f t="shared" si="501"/>
        <v>142</v>
      </c>
      <c r="AG1926" s="36" t="str">
        <f t="shared" si="501"/>
        <v>CUN</v>
      </c>
    </row>
    <row r="1927" spans="18:33" x14ac:dyDescent="0.25">
      <c r="R1927">
        <v>1913</v>
      </c>
      <c r="S1927" s="36" t="str">
        <f t="shared" si="498"/>
        <v>BARATA Y MORADA</v>
      </c>
      <c r="T1927" s="36">
        <f t="shared" si="498"/>
        <v>633</v>
      </c>
      <c r="U1927" s="73">
        <v>0.68333333333333324</v>
      </c>
      <c r="V1927" s="74">
        <v>0.68611111111111101</v>
      </c>
      <c r="W1927" s="75">
        <v>2.7777777777777679E-3</v>
      </c>
      <c r="X1927" s="74">
        <v>0.69166666666666676</v>
      </c>
      <c r="Y1927" s="75">
        <v>5.5555555555557579E-3</v>
      </c>
      <c r="Z1927" s="76">
        <v>41738</v>
      </c>
      <c r="AA1927" s="36" t="str">
        <f t="shared" si="501"/>
        <v>Nacional</v>
      </c>
      <c r="AB1927" s="36">
        <f t="shared" si="501"/>
        <v>7.8888888888889019E-3</v>
      </c>
      <c r="AC1927" s="36">
        <f t="shared" si="501"/>
        <v>9.9166666666666639E-3</v>
      </c>
      <c r="AD1927" s="36">
        <f t="shared" si="501"/>
        <v>1.7805555555555568E-2</v>
      </c>
      <c r="AE1927" s="36" t="str">
        <f t="shared" si="501"/>
        <v>A319</v>
      </c>
      <c r="AF1927" s="36">
        <f t="shared" si="501"/>
        <v>142</v>
      </c>
      <c r="AG1927" s="36" t="str">
        <f t="shared" si="501"/>
        <v>CUN</v>
      </c>
    </row>
    <row r="1928" spans="18:33" x14ac:dyDescent="0.25">
      <c r="R1928">
        <v>1914</v>
      </c>
      <c r="S1928" s="36" t="str">
        <f t="shared" si="498"/>
        <v>BARATA Y MORADA</v>
      </c>
      <c r="T1928" s="36">
        <f t="shared" si="498"/>
        <v>633</v>
      </c>
      <c r="U1928" s="73">
        <v>0.68680555555555556</v>
      </c>
      <c r="V1928" s="74">
        <v>0.69097222222222221</v>
      </c>
      <c r="W1928" s="75">
        <v>4.1666666666666519E-3</v>
      </c>
      <c r="X1928" s="74">
        <v>0.69791666666666663</v>
      </c>
      <c r="Y1928" s="75">
        <v>6.9444444444444198E-3</v>
      </c>
      <c r="Z1928" s="76">
        <v>41739</v>
      </c>
      <c r="AA1928" s="36" t="str">
        <f t="shared" si="501"/>
        <v>Nacional</v>
      </c>
      <c r="AB1928" s="36">
        <f t="shared" si="501"/>
        <v>7.8888888888889019E-3</v>
      </c>
      <c r="AC1928" s="36">
        <f t="shared" si="501"/>
        <v>9.9166666666666639E-3</v>
      </c>
      <c r="AD1928" s="36">
        <f t="shared" si="501"/>
        <v>1.7805555555555568E-2</v>
      </c>
      <c r="AE1928" s="36" t="str">
        <f t="shared" si="501"/>
        <v>A319</v>
      </c>
      <c r="AF1928" s="36">
        <f t="shared" si="501"/>
        <v>142</v>
      </c>
      <c r="AG1928" s="36" t="str">
        <f t="shared" si="501"/>
        <v>CUN</v>
      </c>
    </row>
    <row r="1929" spans="18:33" x14ac:dyDescent="0.25">
      <c r="R1929">
        <v>1915</v>
      </c>
      <c r="S1929" s="36" t="str">
        <f t="shared" si="498"/>
        <v>BARATA Y MORADA</v>
      </c>
      <c r="T1929" s="36">
        <f t="shared" si="498"/>
        <v>633</v>
      </c>
      <c r="U1929" s="73">
        <v>0.58680555555555558</v>
      </c>
      <c r="V1929" s="74">
        <v>0.59722222222222221</v>
      </c>
      <c r="W1929" s="75">
        <v>1.041666666666663E-2</v>
      </c>
      <c r="X1929" s="74">
        <v>0.60416666666666663</v>
      </c>
      <c r="Y1929" s="75">
        <v>6.9444444444444198E-3</v>
      </c>
      <c r="Z1929" s="76">
        <v>41741</v>
      </c>
      <c r="AA1929" s="36" t="str">
        <f t="shared" si="501"/>
        <v>Nacional</v>
      </c>
      <c r="AB1929" s="36">
        <f t="shared" si="501"/>
        <v>7.8888888888889019E-3</v>
      </c>
      <c r="AC1929" s="36">
        <f t="shared" si="501"/>
        <v>9.9166666666666639E-3</v>
      </c>
      <c r="AD1929" s="36">
        <f t="shared" si="501"/>
        <v>1.7805555555555568E-2</v>
      </c>
      <c r="AE1929" s="36" t="str">
        <f t="shared" si="501"/>
        <v>A319</v>
      </c>
      <c r="AF1929" s="36">
        <f t="shared" si="501"/>
        <v>142</v>
      </c>
      <c r="AG1929" s="36" t="str">
        <f t="shared" si="501"/>
        <v>CUN</v>
      </c>
    </row>
    <row r="1930" spans="18:33" x14ac:dyDescent="0.25">
      <c r="R1930">
        <v>1916</v>
      </c>
      <c r="S1930" s="36" t="str">
        <f t="shared" si="498"/>
        <v>BARATA Y MORADA</v>
      </c>
      <c r="T1930" s="36">
        <f t="shared" si="498"/>
        <v>633</v>
      </c>
      <c r="U1930" s="73">
        <v>0.67708333333333337</v>
      </c>
      <c r="V1930" s="74">
        <v>0.68680555555555556</v>
      </c>
      <c r="W1930" s="75">
        <v>9.7222222222221877E-3</v>
      </c>
      <c r="X1930" s="74">
        <v>0.70347222222222217</v>
      </c>
      <c r="Y1930" s="75">
        <v>1.6666666666666607E-2</v>
      </c>
      <c r="Z1930" s="76">
        <v>41742</v>
      </c>
      <c r="AA1930" s="36" t="str">
        <f t="shared" si="501"/>
        <v>Nacional</v>
      </c>
      <c r="AB1930" s="36">
        <f t="shared" si="501"/>
        <v>7.8888888888889019E-3</v>
      </c>
      <c r="AC1930" s="36">
        <f t="shared" si="501"/>
        <v>9.9166666666666639E-3</v>
      </c>
      <c r="AD1930" s="36">
        <f t="shared" si="501"/>
        <v>1.7805555555555568E-2</v>
      </c>
      <c r="AE1930" s="36" t="str">
        <f t="shared" si="501"/>
        <v>A319</v>
      </c>
      <c r="AF1930" s="36">
        <f t="shared" si="501"/>
        <v>142</v>
      </c>
      <c r="AG1930" s="36" t="str">
        <f t="shared" si="501"/>
        <v>CUN</v>
      </c>
    </row>
    <row r="1931" spans="18:33" x14ac:dyDescent="0.25">
      <c r="R1931">
        <v>1917</v>
      </c>
      <c r="S1931" s="36" t="str">
        <f t="shared" si="498"/>
        <v>BARATA Y MORADA</v>
      </c>
      <c r="T1931" s="36">
        <f t="shared" si="498"/>
        <v>633</v>
      </c>
      <c r="U1931" s="73">
        <v>0.86805555555555547</v>
      </c>
      <c r="V1931" s="74">
        <v>0.88541666666666663</v>
      </c>
      <c r="W1931" s="75">
        <v>1.736111111111116E-2</v>
      </c>
      <c r="X1931" s="74">
        <v>0.8881944444444444</v>
      </c>
      <c r="Y1931" s="75">
        <v>2.7777777777777679E-3</v>
      </c>
      <c r="Z1931" s="76">
        <v>41743</v>
      </c>
      <c r="AA1931" s="36" t="str">
        <f t="shared" si="501"/>
        <v>Nacional</v>
      </c>
      <c r="AB1931" s="36">
        <f t="shared" si="501"/>
        <v>7.8888888888889019E-3</v>
      </c>
      <c r="AC1931" s="36">
        <f t="shared" si="501"/>
        <v>9.9166666666666639E-3</v>
      </c>
      <c r="AD1931" s="36">
        <f t="shared" si="501"/>
        <v>1.7805555555555568E-2</v>
      </c>
      <c r="AE1931" s="36" t="str">
        <f t="shared" si="501"/>
        <v>A319</v>
      </c>
      <c r="AF1931" s="36">
        <f t="shared" si="501"/>
        <v>142</v>
      </c>
      <c r="AG1931" s="36" t="str">
        <f t="shared" si="501"/>
        <v>CUN</v>
      </c>
    </row>
    <row r="1932" spans="18:33" x14ac:dyDescent="0.25">
      <c r="R1932">
        <v>1918</v>
      </c>
      <c r="S1932" s="36" t="str">
        <f t="shared" si="498"/>
        <v>BARATA Y MORADA</v>
      </c>
      <c r="T1932" s="36">
        <f t="shared" si="498"/>
        <v>633</v>
      </c>
      <c r="U1932" s="73">
        <v>0.67986111111111114</v>
      </c>
      <c r="V1932" s="74">
        <v>0.6875</v>
      </c>
      <c r="W1932" s="75">
        <v>7.6388888888888618E-3</v>
      </c>
      <c r="X1932" s="74">
        <v>0.69236111111111109</v>
      </c>
      <c r="Y1932" s="75">
        <v>4.8611111111110938E-3</v>
      </c>
      <c r="Z1932" s="76">
        <v>41744</v>
      </c>
      <c r="AA1932" s="36" t="str">
        <f t="shared" si="501"/>
        <v>Nacional</v>
      </c>
      <c r="AB1932" s="36">
        <f t="shared" si="501"/>
        <v>7.8888888888889019E-3</v>
      </c>
      <c r="AC1932" s="36">
        <f t="shared" si="501"/>
        <v>9.9166666666666639E-3</v>
      </c>
      <c r="AD1932" s="36">
        <f t="shared" si="501"/>
        <v>1.7805555555555568E-2</v>
      </c>
      <c r="AE1932" s="36" t="str">
        <f t="shared" si="501"/>
        <v>A319</v>
      </c>
      <c r="AF1932" s="36">
        <f t="shared" si="501"/>
        <v>142</v>
      </c>
      <c r="AG1932" s="36" t="str">
        <f t="shared" si="501"/>
        <v>CUN</v>
      </c>
    </row>
    <row r="1933" spans="18:33" x14ac:dyDescent="0.25">
      <c r="R1933">
        <v>1919</v>
      </c>
      <c r="S1933" s="36" t="str">
        <f t="shared" si="498"/>
        <v>BARATA Y MORADA</v>
      </c>
      <c r="T1933" s="36">
        <f t="shared" si="498"/>
        <v>633</v>
      </c>
      <c r="U1933" s="73">
        <v>0.68055555555555547</v>
      </c>
      <c r="V1933" s="74">
        <v>0.6958333333333333</v>
      </c>
      <c r="W1933" s="75">
        <v>1.5277777777777835E-2</v>
      </c>
      <c r="X1933" s="74">
        <v>0.70138888888888884</v>
      </c>
      <c r="Y1933" s="75">
        <v>5.5555555555555358E-3</v>
      </c>
      <c r="Z1933" s="76">
        <v>41745</v>
      </c>
      <c r="AA1933" s="36" t="str">
        <f t="shared" si="501"/>
        <v>Nacional</v>
      </c>
      <c r="AB1933" s="36">
        <f t="shared" si="501"/>
        <v>7.8888888888889019E-3</v>
      </c>
      <c r="AC1933" s="36">
        <f t="shared" si="501"/>
        <v>9.9166666666666639E-3</v>
      </c>
      <c r="AD1933" s="36">
        <f t="shared" si="501"/>
        <v>1.7805555555555568E-2</v>
      </c>
      <c r="AE1933" s="36" t="str">
        <f t="shared" si="501"/>
        <v>A319</v>
      </c>
      <c r="AF1933" s="36">
        <f t="shared" si="501"/>
        <v>142</v>
      </c>
      <c r="AG1933" s="36" t="str">
        <f t="shared" si="501"/>
        <v>CUN</v>
      </c>
    </row>
    <row r="1934" spans="18:33" x14ac:dyDescent="0.25">
      <c r="R1934">
        <v>1920</v>
      </c>
      <c r="S1934" s="36" t="str">
        <f t="shared" si="498"/>
        <v>BARATA Y MORADA</v>
      </c>
      <c r="T1934" s="36">
        <f t="shared" si="498"/>
        <v>633</v>
      </c>
      <c r="U1934" s="73">
        <v>0.68402777777777779</v>
      </c>
      <c r="V1934" s="74">
        <v>0.69652777777777775</v>
      </c>
      <c r="W1934" s="75">
        <v>1.2499999999999956E-2</v>
      </c>
      <c r="X1934" s="74">
        <v>0.70138888888888884</v>
      </c>
      <c r="Y1934" s="75">
        <v>4.8611111111110938E-3</v>
      </c>
      <c r="Z1934" s="76">
        <v>41746</v>
      </c>
      <c r="AA1934" s="36" t="str">
        <f t="shared" si="501"/>
        <v>Nacional</v>
      </c>
      <c r="AB1934" s="36">
        <f t="shared" si="501"/>
        <v>7.8888888888889019E-3</v>
      </c>
      <c r="AC1934" s="36">
        <f t="shared" si="501"/>
        <v>9.9166666666666639E-3</v>
      </c>
      <c r="AD1934" s="36">
        <f t="shared" si="501"/>
        <v>1.7805555555555568E-2</v>
      </c>
      <c r="AE1934" s="36" t="str">
        <f t="shared" si="501"/>
        <v>A319</v>
      </c>
      <c r="AF1934" s="36">
        <f t="shared" si="501"/>
        <v>142</v>
      </c>
      <c r="AG1934" s="36" t="str">
        <f t="shared" si="501"/>
        <v>CUN</v>
      </c>
    </row>
    <row r="1935" spans="18:33" x14ac:dyDescent="0.25">
      <c r="R1935">
        <v>1921</v>
      </c>
      <c r="S1935" s="36" t="str">
        <f t="shared" si="498"/>
        <v>BARATA Y MORADA</v>
      </c>
      <c r="T1935" s="36">
        <f t="shared" si="498"/>
        <v>633</v>
      </c>
      <c r="U1935" s="73">
        <v>0.1875</v>
      </c>
      <c r="V1935" s="74">
        <v>0.19375000000000001</v>
      </c>
      <c r="W1935" s="75">
        <v>6.2500000000000056E-3</v>
      </c>
      <c r="X1935" s="74">
        <v>0.20625000000000002</v>
      </c>
      <c r="Y1935" s="75">
        <v>1.2500000000000011E-2</v>
      </c>
      <c r="Z1935" s="76">
        <v>41747</v>
      </c>
      <c r="AA1935" s="36" t="str">
        <f t="shared" si="501"/>
        <v>Nacional</v>
      </c>
      <c r="AB1935" s="36">
        <f t="shared" si="501"/>
        <v>7.8888888888889019E-3</v>
      </c>
      <c r="AC1935" s="36">
        <f t="shared" si="501"/>
        <v>9.9166666666666639E-3</v>
      </c>
      <c r="AD1935" s="36">
        <f t="shared" si="501"/>
        <v>1.7805555555555568E-2</v>
      </c>
      <c r="AE1935" s="36" t="str">
        <f t="shared" si="501"/>
        <v>A319</v>
      </c>
      <c r="AF1935" s="36">
        <f t="shared" si="501"/>
        <v>142</v>
      </c>
      <c r="AG1935" s="36" t="str">
        <f t="shared" si="501"/>
        <v>CUN</v>
      </c>
    </row>
    <row r="1936" spans="18:33" x14ac:dyDescent="0.25">
      <c r="R1936">
        <v>1922</v>
      </c>
      <c r="S1936" s="36" t="str">
        <f t="shared" si="498"/>
        <v>BARATA Y MORADA</v>
      </c>
      <c r="T1936" s="36">
        <f t="shared" si="498"/>
        <v>633</v>
      </c>
      <c r="U1936" s="73">
        <v>0.67291666666666661</v>
      </c>
      <c r="V1936" s="74">
        <v>0.68263888888888891</v>
      </c>
      <c r="W1936" s="75">
        <v>9.7222222222222987E-3</v>
      </c>
      <c r="X1936" s="74">
        <v>0.69305555555555554</v>
      </c>
      <c r="Y1936" s="75">
        <v>1.041666666666663E-2</v>
      </c>
      <c r="Z1936" s="76">
        <v>41748</v>
      </c>
      <c r="AA1936" s="36" t="str">
        <f t="shared" si="501"/>
        <v>Nacional</v>
      </c>
      <c r="AB1936" s="36">
        <f t="shared" si="501"/>
        <v>7.8888888888889019E-3</v>
      </c>
      <c r="AC1936" s="36">
        <f t="shared" si="501"/>
        <v>9.9166666666666639E-3</v>
      </c>
      <c r="AD1936" s="36">
        <f t="shared" si="501"/>
        <v>1.7805555555555568E-2</v>
      </c>
      <c r="AE1936" s="36" t="str">
        <f t="shared" si="501"/>
        <v>A319</v>
      </c>
      <c r="AF1936" s="36">
        <f t="shared" si="501"/>
        <v>142</v>
      </c>
      <c r="AG1936" s="36" t="str">
        <f t="shared" si="501"/>
        <v>CUN</v>
      </c>
    </row>
    <row r="1937" spans="18:33" x14ac:dyDescent="0.25">
      <c r="R1937">
        <v>1923</v>
      </c>
      <c r="S1937" s="36" t="str">
        <f t="shared" si="498"/>
        <v>BARATA Y MORADA</v>
      </c>
      <c r="T1937" s="36">
        <f t="shared" si="498"/>
        <v>633</v>
      </c>
      <c r="U1937" s="73">
        <v>0.55486111111111114</v>
      </c>
      <c r="V1937" s="74">
        <v>0.55763888888888891</v>
      </c>
      <c r="W1937" s="75">
        <v>2.7777777777777679E-3</v>
      </c>
      <c r="X1937" s="74">
        <v>0.56736111111111109</v>
      </c>
      <c r="Y1937" s="75">
        <v>9.7222222222221877E-3</v>
      </c>
      <c r="Z1937" s="76">
        <v>41748</v>
      </c>
      <c r="AA1937" s="36" t="str">
        <f t="shared" si="501"/>
        <v>Nacional</v>
      </c>
      <c r="AB1937" s="36">
        <f t="shared" si="501"/>
        <v>7.8888888888889019E-3</v>
      </c>
      <c r="AC1937" s="36">
        <f t="shared" si="501"/>
        <v>9.9166666666666639E-3</v>
      </c>
      <c r="AD1937" s="36">
        <f t="shared" si="501"/>
        <v>1.7805555555555568E-2</v>
      </c>
      <c r="AE1937" s="36" t="str">
        <f t="shared" si="501"/>
        <v>A319</v>
      </c>
      <c r="AF1937" s="36">
        <f t="shared" si="501"/>
        <v>142</v>
      </c>
      <c r="AG1937" s="36" t="str">
        <f t="shared" si="501"/>
        <v>CUN</v>
      </c>
    </row>
    <row r="1938" spans="18:33" x14ac:dyDescent="0.25">
      <c r="R1938">
        <v>1924</v>
      </c>
      <c r="S1938" s="36" t="str">
        <f t="shared" si="498"/>
        <v>BARATA Y MORADA</v>
      </c>
      <c r="T1938" s="36">
        <f t="shared" si="498"/>
        <v>633</v>
      </c>
      <c r="U1938" s="73">
        <v>0.67569444444444438</v>
      </c>
      <c r="V1938" s="74">
        <v>0.68055555555555547</v>
      </c>
      <c r="W1938" s="75">
        <v>4.8611111111110938E-3</v>
      </c>
      <c r="X1938" s="74">
        <v>0.68680555555555556</v>
      </c>
      <c r="Y1938" s="75">
        <v>6.2500000000000888E-3</v>
      </c>
      <c r="Z1938" s="76">
        <v>41749</v>
      </c>
      <c r="AA1938" s="36" t="str">
        <f t="shared" si="501"/>
        <v>Nacional</v>
      </c>
      <c r="AB1938" s="36">
        <f t="shared" si="501"/>
        <v>7.8888888888889019E-3</v>
      </c>
      <c r="AC1938" s="36">
        <f t="shared" si="501"/>
        <v>9.9166666666666639E-3</v>
      </c>
      <c r="AD1938" s="36">
        <f t="shared" si="501"/>
        <v>1.7805555555555568E-2</v>
      </c>
      <c r="AE1938" s="36" t="str">
        <f t="shared" si="501"/>
        <v>A319</v>
      </c>
      <c r="AF1938" s="36">
        <f t="shared" si="501"/>
        <v>142</v>
      </c>
      <c r="AG1938" s="36" t="str">
        <f t="shared" si="501"/>
        <v>CUN</v>
      </c>
    </row>
    <row r="1939" spans="18:33" x14ac:dyDescent="0.25">
      <c r="R1939">
        <v>1925</v>
      </c>
      <c r="S1939" s="36" t="str">
        <f t="shared" si="498"/>
        <v>BARATA Y MORADA</v>
      </c>
      <c r="T1939" s="36">
        <f t="shared" si="498"/>
        <v>633</v>
      </c>
      <c r="U1939" s="73">
        <v>0.69027777777777777</v>
      </c>
      <c r="V1939" s="74">
        <v>0.69652777777777775</v>
      </c>
      <c r="W1939" s="75">
        <v>6.2499999999999778E-3</v>
      </c>
      <c r="X1939" s="74">
        <v>0.70486111111111116</v>
      </c>
      <c r="Y1939" s="75">
        <v>8.3333333333334147E-3</v>
      </c>
      <c r="Z1939" s="76">
        <v>41753</v>
      </c>
      <c r="AA1939" s="36" t="str">
        <f t="shared" si="501"/>
        <v>Nacional</v>
      </c>
      <c r="AB1939" s="36">
        <f t="shared" si="501"/>
        <v>7.8888888888889019E-3</v>
      </c>
      <c r="AC1939" s="36">
        <f t="shared" si="501"/>
        <v>9.9166666666666639E-3</v>
      </c>
      <c r="AD1939" s="36">
        <f t="shared" si="501"/>
        <v>1.7805555555555568E-2</v>
      </c>
      <c r="AE1939" s="36" t="str">
        <f t="shared" si="501"/>
        <v>A319</v>
      </c>
      <c r="AF1939" s="36">
        <f t="shared" si="501"/>
        <v>142</v>
      </c>
      <c r="AG1939" s="36" t="str">
        <f t="shared" si="501"/>
        <v>CUN</v>
      </c>
    </row>
    <row r="1940" spans="18:33" x14ac:dyDescent="0.25">
      <c r="R1940">
        <v>1926</v>
      </c>
      <c r="S1940" s="36" t="str">
        <f t="shared" si="498"/>
        <v>BARATA Y MORADA</v>
      </c>
      <c r="T1940" s="36">
        <f t="shared" si="498"/>
        <v>633</v>
      </c>
      <c r="U1940" s="73">
        <v>0.68402777777777779</v>
      </c>
      <c r="V1940" s="74">
        <v>0.69027777777777777</v>
      </c>
      <c r="W1940" s="75">
        <v>6.2499999999999778E-3</v>
      </c>
      <c r="X1940" s="74">
        <v>0.7055555555555556</v>
      </c>
      <c r="Y1940" s="75">
        <v>1.5277777777777835E-2</v>
      </c>
      <c r="Z1940" s="76">
        <v>41754</v>
      </c>
      <c r="AA1940" s="36" t="str">
        <f t="shared" si="501"/>
        <v>Nacional</v>
      </c>
      <c r="AB1940" s="36">
        <f t="shared" si="501"/>
        <v>7.8888888888889019E-3</v>
      </c>
      <c r="AC1940" s="36">
        <f t="shared" si="501"/>
        <v>9.9166666666666639E-3</v>
      </c>
      <c r="AD1940" s="36">
        <f t="shared" si="501"/>
        <v>1.7805555555555568E-2</v>
      </c>
      <c r="AE1940" s="36" t="str">
        <f t="shared" si="501"/>
        <v>A319</v>
      </c>
      <c r="AF1940" s="36">
        <f t="shared" si="501"/>
        <v>142</v>
      </c>
      <c r="AG1940" s="36" t="str">
        <f t="shared" si="501"/>
        <v>CUN</v>
      </c>
    </row>
    <row r="1941" spans="18:33" x14ac:dyDescent="0.25">
      <c r="R1941">
        <v>1927</v>
      </c>
      <c r="S1941" s="36" t="str">
        <f t="shared" si="498"/>
        <v>BARATA Y MORADA</v>
      </c>
      <c r="T1941" s="36">
        <f t="shared" si="498"/>
        <v>633</v>
      </c>
      <c r="U1941" s="73">
        <v>0.68055555555555547</v>
      </c>
      <c r="V1941" s="74">
        <v>0.6875</v>
      </c>
      <c r="W1941" s="75">
        <v>6.9444444444445308E-3</v>
      </c>
      <c r="X1941" s="74">
        <v>0.69791666666666663</v>
      </c>
      <c r="Y1941" s="75">
        <v>1.041666666666663E-2</v>
      </c>
      <c r="Z1941" s="76">
        <v>41756</v>
      </c>
      <c r="AA1941" s="36" t="str">
        <f t="shared" si="501"/>
        <v>Nacional</v>
      </c>
      <c r="AB1941" s="36">
        <f t="shared" si="501"/>
        <v>7.8888888888889019E-3</v>
      </c>
      <c r="AC1941" s="36">
        <f t="shared" si="501"/>
        <v>9.9166666666666639E-3</v>
      </c>
      <c r="AD1941" s="36">
        <f t="shared" si="501"/>
        <v>1.7805555555555568E-2</v>
      </c>
      <c r="AE1941" s="36" t="str">
        <f t="shared" si="501"/>
        <v>A319</v>
      </c>
      <c r="AF1941" s="36">
        <f t="shared" si="501"/>
        <v>142</v>
      </c>
      <c r="AG1941" s="36" t="str">
        <f t="shared" si="501"/>
        <v>CUN</v>
      </c>
    </row>
    <row r="1942" spans="18:33" x14ac:dyDescent="0.25">
      <c r="R1942">
        <v>1928</v>
      </c>
      <c r="S1942" s="36" t="str">
        <f t="shared" si="498"/>
        <v>BARATA Y MORADA</v>
      </c>
      <c r="T1942" s="36">
        <f t="shared" si="498"/>
        <v>633</v>
      </c>
      <c r="U1942" s="73">
        <v>0.69097222222222221</v>
      </c>
      <c r="V1942" s="74">
        <v>0.70208333333333339</v>
      </c>
      <c r="W1942" s="75">
        <v>1.1111111111111183E-2</v>
      </c>
      <c r="X1942" s="74">
        <v>0.71805555555555556</v>
      </c>
      <c r="Y1942" s="75">
        <v>1.5972222222222165E-2</v>
      </c>
      <c r="Z1942" s="76">
        <v>41757</v>
      </c>
      <c r="AA1942" s="36" t="str">
        <f t="shared" si="501"/>
        <v>Nacional</v>
      </c>
      <c r="AB1942" s="36">
        <f t="shared" si="501"/>
        <v>7.8888888888889019E-3</v>
      </c>
      <c r="AC1942" s="36">
        <f t="shared" si="501"/>
        <v>9.9166666666666639E-3</v>
      </c>
      <c r="AD1942" s="36">
        <f t="shared" si="501"/>
        <v>1.7805555555555568E-2</v>
      </c>
      <c r="AE1942" s="36" t="str">
        <f t="shared" si="501"/>
        <v>A319</v>
      </c>
      <c r="AF1942" s="36">
        <f t="shared" si="501"/>
        <v>142</v>
      </c>
      <c r="AG1942" s="36" t="str">
        <f t="shared" si="501"/>
        <v>CUN</v>
      </c>
    </row>
    <row r="1943" spans="18:33" x14ac:dyDescent="0.25">
      <c r="R1943">
        <v>1929</v>
      </c>
      <c r="S1943" s="36" t="str">
        <f t="shared" si="498"/>
        <v>BARATA Y MORADA</v>
      </c>
      <c r="T1943" s="36">
        <f t="shared" si="498"/>
        <v>633</v>
      </c>
      <c r="U1943" s="73">
        <v>0.68055555555555547</v>
      </c>
      <c r="V1943" s="74">
        <v>0.6875</v>
      </c>
      <c r="W1943" s="75">
        <v>6.9444444444445308E-3</v>
      </c>
      <c r="X1943" s="74">
        <v>0.70624999999999993</v>
      </c>
      <c r="Y1943" s="75">
        <v>1.8749999999999933E-2</v>
      </c>
      <c r="Z1943" s="76">
        <v>41758</v>
      </c>
      <c r="AA1943" s="36" t="str">
        <f t="shared" si="501"/>
        <v>Nacional</v>
      </c>
      <c r="AB1943" s="36">
        <f t="shared" si="501"/>
        <v>7.8888888888889019E-3</v>
      </c>
      <c r="AC1943" s="36">
        <f t="shared" si="501"/>
        <v>9.9166666666666639E-3</v>
      </c>
      <c r="AD1943" s="36">
        <f t="shared" si="501"/>
        <v>1.7805555555555568E-2</v>
      </c>
      <c r="AE1943" s="36" t="str">
        <f t="shared" si="501"/>
        <v>A319</v>
      </c>
      <c r="AF1943" s="36">
        <f t="shared" si="501"/>
        <v>142</v>
      </c>
      <c r="AG1943" s="36" t="str">
        <f t="shared" si="501"/>
        <v>CUN</v>
      </c>
    </row>
    <row r="1944" spans="18:33" ht="15.75" thickBot="1" x14ac:dyDescent="0.3">
      <c r="R1944">
        <v>1930</v>
      </c>
      <c r="S1944" s="36" t="str">
        <f t="shared" si="498"/>
        <v>BARATA Y MORADA</v>
      </c>
      <c r="T1944" s="36">
        <f t="shared" si="498"/>
        <v>633</v>
      </c>
      <c r="U1944" s="83">
        <v>0.6791666666666667</v>
      </c>
      <c r="V1944" s="233">
        <v>0.6875</v>
      </c>
      <c r="W1944" s="85">
        <v>8.3333333333333037E-3</v>
      </c>
      <c r="X1944" s="84">
        <v>0.69374999999999998</v>
      </c>
      <c r="Y1944" s="85">
        <v>6.2499999999999778E-3</v>
      </c>
      <c r="Z1944" s="86">
        <v>41759</v>
      </c>
      <c r="AA1944" s="36" t="str">
        <f t="shared" si="501"/>
        <v>Nacional</v>
      </c>
      <c r="AB1944" s="36">
        <f t="shared" si="501"/>
        <v>7.8888888888889019E-3</v>
      </c>
      <c r="AC1944" s="36">
        <f t="shared" si="501"/>
        <v>9.9166666666666639E-3</v>
      </c>
      <c r="AD1944" s="36">
        <f t="shared" si="501"/>
        <v>1.7805555555555568E-2</v>
      </c>
      <c r="AE1944" s="36" t="str">
        <f t="shared" si="501"/>
        <v>A319</v>
      </c>
      <c r="AF1944" s="36">
        <f t="shared" si="501"/>
        <v>142</v>
      </c>
      <c r="AG1944" s="36" t="str">
        <f t="shared" si="501"/>
        <v>CUN</v>
      </c>
    </row>
    <row r="1945" spans="18:33" x14ac:dyDescent="0.25">
      <c r="R1945">
        <v>1931</v>
      </c>
      <c r="S1945" s="45" t="s">
        <v>77</v>
      </c>
      <c r="T1945" s="55">
        <v>635</v>
      </c>
      <c r="U1945" s="56">
        <v>0.8534722222222223</v>
      </c>
      <c r="V1945" s="57">
        <v>0.86111111111111116</v>
      </c>
      <c r="W1945" s="58">
        <v>7.6388888888888618E-3</v>
      </c>
      <c r="X1945" s="57">
        <v>0.8666666666666667</v>
      </c>
      <c r="Y1945" s="58">
        <v>5.5555555555555358E-3</v>
      </c>
      <c r="Z1945" s="59">
        <v>41732</v>
      </c>
      <c r="AA1945" s="60" t="s">
        <v>19</v>
      </c>
      <c r="AB1945" s="61">
        <v>6.805555555555576E-3</v>
      </c>
      <c r="AC1945" s="61">
        <v>6.6666666666666541E-3</v>
      </c>
      <c r="AD1945" s="231">
        <v>1.3472222222222229E-2</v>
      </c>
      <c r="AE1945" s="132" t="s">
        <v>57</v>
      </c>
      <c r="AF1945" s="132">
        <v>142</v>
      </c>
      <c r="AG1945" s="132" t="s">
        <v>46</v>
      </c>
    </row>
    <row r="1946" spans="18:33" x14ac:dyDescent="0.25">
      <c r="R1946">
        <v>1932</v>
      </c>
      <c r="S1946" s="36" t="str">
        <f t="shared" ref="S1946:T2006" si="502">S1945</f>
        <v>BARATA Y MORADA</v>
      </c>
      <c r="T1946" s="36">
        <f t="shared" si="502"/>
        <v>635</v>
      </c>
      <c r="U1946" s="73">
        <v>0.6333333333333333</v>
      </c>
      <c r="V1946" s="74">
        <v>0.63888888888888895</v>
      </c>
      <c r="W1946" s="75">
        <v>5.5555555555556468E-3</v>
      </c>
      <c r="X1946" s="74">
        <v>0.6479166666666667</v>
      </c>
      <c r="Y1946" s="75">
        <v>9.0277777777777457E-3</v>
      </c>
      <c r="Z1946" s="76">
        <v>41735</v>
      </c>
      <c r="AA1946" s="36" t="str">
        <f t="shared" ref="AA1946:AG1954" si="503">AA1945</f>
        <v>Nacional</v>
      </c>
      <c r="AB1946" s="36">
        <f t="shared" si="503"/>
        <v>6.805555555555576E-3</v>
      </c>
      <c r="AC1946" s="36">
        <f t="shared" si="503"/>
        <v>6.6666666666666541E-3</v>
      </c>
      <c r="AD1946" s="36">
        <f t="shared" si="503"/>
        <v>1.3472222222222229E-2</v>
      </c>
      <c r="AE1946" s="36" t="str">
        <f t="shared" si="503"/>
        <v>A319</v>
      </c>
      <c r="AF1946" s="36">
        <f t="shared" si="503"/>
        <v>142</v>
      </c>
      <c r="AG1946" s="36" t="str">
        <f t="shared" si="503"/>
        <v>CUN</v>
      </c>
    </row>
    <row r="1947" spans="18:33" x14ac:dyDescent="0.25">
      <c r="R1947">
        <v>1933</v>
      </c>
      <c r="S1947" s="36" t="str">
        <f t="shared" si="502"/>
        <v>BARATA Y MORADA</v>
      </c>
      <c r="T1947" s="36">
        <f t="shared" si="502"/>
        <v>635</v>
      </c>
      <c r="U1947" s="73">
        <v>0.64583333333333337</v>
      </c>
      <c r="V1947" s="74">
        <v>0.65</v>
      </c>
      <c r="W1947" s="75">
        <v>4.1666666666666519E-3</v>
      </c>
      <c r="X1947" s="74">
        <v>0.65694444444444444</v>
      </c>
      <c r="Y1947" s="75">
        <v>6.9444444444444198E-3</v>
      </c>
      <c r="Z1947" s="76">
        <v>41739</v>
      </c>
      <c r="AA1947" s="36" t="str">
        <f t="shared" si="503"/>
        <v>Nacional</v>
      </c>
      <c r="AB1947" s="36">
        <f t="shared" si="503"/>
        <v>6.805555555555576E-3</v>
      </c>
      <c r="AC1947" s="36">
        <f t="shared" si="503"/>
        <v>6.6666666666666541E-3</v>
      </c>
      <c r="AD1947" s="36">
        <f t="shared" si="503"/>
        <v>1.3472222222222229E-2</v>
      </c>
      <c r="AE1947" s="36" t="str">
        <f t="shared" si="503"/>
        <v>A319</v>
      </c>
      <c r="AF1947" s="36">
        <f t="shared" si="503"/>
        <v>142</v>
      </c>
      <c r="AG1947" s="36" t="str">
        <f t="shared" si="503"/>
        <v>CUN</v>
      </c>
    </row>
    <row r="1948" spans="18:33" x14ac:dyDescent="0.25">
      <c r="R1948">
        <v>1934</v>
      </c>
      <c r="S1948" s="36" t="str">
        <f t="shared" si="502"/>
        <v>BARATA Y MORADA</v>
      </c>
      <c r="T1948" s="36">
        <f t="shared" si="502"/>
        <v>635</v>
      </c>
      <c r="U1948" s="73">
        <v>0.63888888888888895</v>
      </c>
      <c r="V1948" s="74">
        <v>0.6430555555555556</v>
      </c>
      <c r="W1948" s="75">
        <v>4.1666666666666519E-3</v>
      </c>
      <c r="X1948" s="74">
        <v>0.6479166666666667</v>
      </c>
      <c r="Y1948" s="75">
        <v>4.8611111111110938E-3</v>
      </c>
      <c r="Z1948" s="76">
        <v>41743</v>
      </c>
      <c r="AA1948" s="36" t="str">
        <f t="shared" si="503"/>
        <v>Nacional</v>
      </c>
      <c r="AB1948" s="36">
        <f t="shared" si="503"/>
        <v>6.805555555555576E-3</v>
      </c>
      <c r="AC1948" s="36">
        <f t="shared" si="503"/>
        <v>6.6666666666666541E-3</v>
      </c>
      <c r="AD1948" s="36">
        <f t="shared" si="503"/>
        <v>1.3472222222222229E-2</v>
      </c>
      <c r="AE1948" s="36" t="str">
        <f t="shared" si="503"/>
        <v>A319</v>
      </c>
      <c r="AF1948" s="36">
        <f t="shared" si="503"/>
        <v>142</v>
      </c>
      <c r="AG1948" s="36" t="str">
        <f t="shared" si="503"/>
        <v>CUN</v>
      </c>
    </row>
    <row r="1949" spans="18:33" x14ac:dyDescent="0.25">
      <c r="R1949">
        <v>1935</v>
      </c>
      <c r="S1949" s="36" t="str">
        <f t="shared" si="502"/>
        <v>BARATA Y MORADA</v>
      </c>
      <c r="T1949" s="36">
        <f t="shared" si="502"/>
        <v>635</v>
      </c>
      <c r="U1949" s="73">
        <v>0.61944444444444446</v>
      </c>
      <c r="V1949" s="74">
        <v>0.62777777777777777</v>
      </c>
      <c r="W1949" s="75">
        <v>8.3333333333333037E-3</v>
      </c>
      <c r="X1949" s="74">
        <v>0.63194444444444442</v>
      </c>
      <c r="Y1949" s="75">
        <v>4.1666666666666519E-3</v>
      </c>
      <c r="Z1949" s="76">
        <v>41744</v>
      </c>
      <c r="AA1949" s="36" t="str">
        <f t="shared" si="503"/>
        <v>Nacional</v>
      </c>
      <c r="AB1949" s="36">
        <f t="shared" si="503"/>
        <v>6.805555555555576E-3</v>
      </c>
      <c r="AC1949" s="36">
        <f t="shared" si="503"/>
        <v>6.6666666666666541E-3</v>
      </c>
      <c r="AD1949" s="36">
        <f t="shared" si="503"/>
        <v>1.3472222222222229E-2</v>
      </c>
      <c r="AE1949" s="36" t="str">
        <f t="shared" si="503"/>
        <v>A319</v>
      </c>
      <c r="AF1949" s="36">
        <f t="shared" si="503"/>
        <v>142</v>
      </c>
      <c r="AG1949" s="36" t="str">
        <f t="shared" si="503"/>
        <v>CUN</v>
      </c>
    </row>
    <row r="1950" spans="18:33" x14ac:dyDescent="0.25">
      <c r="R1950">
        <v>1936</v>
      </c>
      <c r="S1950" s="36" t="str">
        <f t="shared" si="502"/>
        <v>BARATA Y MORADA</v>
      </c>
      <c r="T1950" s="36">
        <f t="shared" si="502"/>
        <v>635</v>
      </c>
      <c r="U1950" s="73">
        <v>0.62986111111111109</v>
      </c>
      <c r="V1950" s="74">
        <v>0.63750000000000007</v>
      </c>
      <c r="W1950" s="75">
        <v>7.6388888888889728E-3</v>
      </c>
      <c r="X1950" s="74">
        <v>0.6430555555555556</v>
      </c>
      <c r="Y1950" s="75">
        <v>5.5555555555555358E-3</v>
      </c>
      <c r="Z1950" s="76">
        <v>41745</v>
      </c>
      <c r="AA1950" s="36" t="str">
        <f t="shared" si="503"/>
        <v>Nacional</v>
      </c>
      <c r="AB1950" s="36">
        <f t="shared" si="503"/>
        <v>6.805555555555576E-3</v>
      </c>
      <c r="AC1950" s="36">
        <f t="shared" si="503"/>
        <v>6.6666666666666541E-3</v>
      </c>
      <c r="AD1950" s="36">
        <f t="shared" si="503"/>
        <v>1.3472222222222229E-2</v>
      </c>
      <c r="AE1950" s="36" t="str">
        <f t="shared" si="503"/>
        <v>A319</v>
      </c>
      <c r="AF1950" s="36">
        <f t="shared" si="503"/>
        <v>142</v>
      </c>
      <c r="AG1950" s="36" t="str">
        <f t="shared" si="503"/>
        <v>CUN</v>
      </c>
    </row>
    <row r="1951" spans="18:33" x14ac:dyDescent="0.25">
      <c r="R1951">
        <v>1937</v>
      </c>
      <c r="S1951" s="36" t="str">
        <f t="shared" si="502"/>
        <v>BARATA Y MORADA</v>
      </c>
      <c r="T1951" s="36">
        <f t="shared" si="502"/>
        <v>635</v>
      </c>
      <c r="U1951" s="73">
        <v>0.62708333333333333</v>
      </c>
      <c r="V1951" s="74">
        <v>0.63888888888888895</v>
      </c>
      <c r="W1951" s="75">
        <v>1.1805555555555625E-2</v>
      </c>
      <c r="X1951" s="74">
        <v>0.6430555555555556</v>
      </c>
      <c r="Y1951" s="75">
        <v>4.1666666666666519E-3</v>
      </c>
      <c r="Z1951" s="76">
        <v>41746</v>
      </c>
      <c r="AA1951" s="36" t="str">
        <f t="shared" si="503"/>
        <v>Nacional</v>
      </c>
      <c r="AB1951" s="36">
        <f t="shared" si="503"/>
        <v>6.805555555555576E-3</v>
      </c>
      <c r="AC1951" s="36">
        <f t="shared" si="503"/>
        <v>6.6666666666666541E-3</v>
      </c>
      <c r="AD1951" s="36">
        <f t="shared" si="503"/>
        <v>1.3472222222222229E-2</v>
      </c>
      <c r="AE1951" s="36" t="str">
        <f t="shared" si="503"/>
        <v>A319</v>
      </c>
      <c r="AF1951" s="36">
        <f t="shared" si="503"/>
        <v>142</v>
      </c>
      <c r="AG1951" s="36" t="str">
        <f t="shared" si="503"/>
        <v>CUN</v>
      </c>
    </row>
    <row r="1952" spans="18:33" x14ac:dyDescent="0.25">
      <c r="R1952">
        <v>1938</v>
      </c>
      <c r="S1952" s="36" t="str">
        <f t="shared" si="502"/>
        <v>BARATA Y MORADA</v>
      </c>
      <c r="T1952" s="36">
        <f t="shared" si="502"/>
        <v>635</v>
      </c>
      <c r="U1952" s="73">
        <v>0.625</v>
      </c>
      <c r="V1952" s="74">
        <v>0.63194444444444442</v>
      </c>
      <c r="W1952" s="75">
        <v>6.9444444444444198E-3</v>
      </c>
      <c r="X1952" s="74">
        <v>0.63888888888888895</v>
      </c>
      <c r="Y1952" s="75">
        <v>6.9444444444445308E-3</v>
      </c>
      <c r="Z1952" s="76">
        <v>41750</v>
      </c>
      <c r="AA1952" s="36" t="str">
        <f t="shared" si="503"/>
        <v>Nacional</v>
      </c>
      <c r="AB1952" s="36">
        <f t="shared" si="503"/>
        <v>6.805555555555576E-3</v>
      </c>
      <c r="AC1952" s="36">
        <f t="shared" si="503"/>
        <v>6.6666666666666541E-3</v>
      </c>
      <c r="AD1952" s="36">
        <f t="shared" si="503"/>
        <v>1.3472222222222229E-2</v>
      </c>
      <c r="AE1952" s="36" t="str">
        <f t="shared" si="503"/>
        <v>A319</v>
      </c>
      <c r="AF1952" s="36">
        <f t="shared" si="503"/>
        <v>142</v>
      </c>
      <c r="AG1952" s="36" t="str">
        <f t="shared" si="503"/>
        <v>CUN</v>
      </c>
    </row>
    <row r="1953" spans="18:33" x14ac:dyDescent="0.25">
      <c r="R1953">
        <v>1939</v>
      </c>
      <c r="S1953" s="36" t="str">
        <f t="shared" si="502"/>
        <v>BARATA Y MORADA</v>
      </c>
      <c r="T1953" s="36">
        <f t="shared" si="502"/>
        <v>635</v>
      </c>
      <c r="U1953" s="73">
        <v>0.64583333333333337</v>
      </c>
      <c r="V1953" s="74">
        <v>0.6479166666666667</v>
      </c>
      <c r="W1953" s="75">
        <v>2.0833333333333259E-3</v>
      </c>
      <c r="X1953" s="74">
        <v>0.65486111111111112</v>
      </c>
      <c r="Y1953" s="75">
        <v>6.9444444444444198E-3</v>
      </c>
      <c r="Z1953" s="76">
        <v>41753</v>
      </c>
      <c r="AA1953" s="36" t="str">
        <f t="shared" si="503"/>
        <v>Nacional</v>
      </c>
      <c r="AB1953" s="36">
        <f t="shared" si="503"/>
        <v>6.805555555555576E-3</v>
      </c>
      <c r="AC1953" s="36">
        <f t="shared" si="503"/>
        <v>6.6666666666666541E-3</v>
      </c>
      <c r="AD1953" s="36">
        <f t="shared" si="503"/>
        <v>1.3472222222222229E-2</v>
      </c>
      <c r="AE1953" s="36" t="str">
        <f t="shared" si="503"/>
        <v>A319</v>
      </c>
      <c r="AF1953" s="36">
        <f t="shared" si="503"/>
        <v>142</v>
      </c>
      <c r="AG1953" s="36" t="str">
        <f t="shared" si="503"/>
        <v>CUN</v>
      </c>
    </row>
    <row r="1954" spans="18:33" ht="15.75" thickBot="1" x14ac:dyDescent="0.3">
      <c r="R1954">
        <v>1940</v>
      </c>
      <c r="S1954" s="36" t="str">
        <f t="shared" si="502"/>
        <v>BARATA Y MORADA</v>
      </c>
      <c r="T1954" s="36">
        <f t="shared" si="502"/>
        <v>635</v>
      </c>
      <c r="U1954" s="83">
        <v>0.62916666666666665</v>
      </c>
      <c r="V1954" s="84">
        <v>0.63888888888888895</v>
      </c>
      <c r="W1954" s="85">
        <v>9.7222222222222987E-3</v>
      </c>
      <c r="X1954" s="84">
        <v>0.65138888888888891</v>
      </c>
      <c r="Y1954" s="85">
        <v>1.2499999999999956E-2</v>
      </c>
      <c r="Z1954" s="86">
        <v>41757</v>
      </c>
      <c r="AA1954" s="36" t="str">
        <f t="shared" si="503"/>
        <v>Nacional</v>
      </c>
      <c r="AB1954" s="36">
        <f t="shared" si="503"/>
        <v>6.805555555555576E-3</v>
      </c>
      <c r="AC1954" s="36">
        <f t="shared" si="503"/>
        <v>6.6666666666666541E-3</v>
      </c>
      <c r="AD1954" s="36">
        <f t="shared" si="503"/>
        <v>1.3472222222222229E-2</v>
      </c>
      <c r="AE1954" s="36" t="str">
        <f t="shared" si="503"/>
        <v>A319</v>
      </c>
      <c r="AF1954" s="36">
        <f t="shared" si="503"/>
        <v>142</v>
      </c>
      <c r="AG1954" s="36" t="str">
        <f t="shared" si="503"/>
        <v>CUN</v>
      </c>
    </row>
    <row r="1955" spans="18:33" x14ac:dyDescent="0.25">
      <c r="R1955">
        <v>1941</v>
      </c>
      <c r="S1955" s="36" t="str">
        <f t="shared" si="502"/>
        <v>BARATA Y MORADA</v>
      </c>
      <c r="T1955" s="55">
        <v>671</v>
      </c>
      <c r="U1955" s="56">
        <v>0.89513888888888893</v>
      </c>
      <c r="V1955" s="57">
        <v>0.90625</v>
      </c>
      <c r="W1955" s="58">
        <v>1.1111111111111072E-2</v>
      </c>
      <c r="X1955" s="57">
        <v>0.91041666666666676</v>
      </c>
      <c r="Y1955" s="58">
        <v>4.1666666666667629E-3</v>
      </c>
      <c r="Z1955" s="59">
        <v>41732</v>
      </c>
      <c r="AA1955" s="60" t="s">
        <v>19</v>
      </c>
      <c r="AB1955" s="61">
        <v>8.0808080808081034E-3</v>
      </c>
      <c r="AC1955" s="61">
        <v>7.222222222222208E-3</v>
      </c>
      <c r="AD1955" s="231">
        <v>1.5303030303030311E-2</v>
      </c>
      <c r="AE1955" s="132" t="s">
        <v>57</v>
      </c>
      <c r="AF1955" s="132">
        <v>142</v>
      </c>
      <c r="AG1955" s="132" t="s">
        <v>35</v>
      </c>
    </row>
    <row r="1956" spans="18:33" x14ac:dyDescent="0.25">
      <c r="R1956">
        <v>1942</v>
      </c>
      <c r="S1956" s="36" t="str">
        <f t="shared" si="502"/>
        <v>BARATA Y MORADA</v>
      </c>
      <c r="T1956" s="36">
        <f t="shared" si="502"/>
        <v>671</v>
      </c>
      <c r="U1956" s="73">
        <v>0.4375</v>
      </c>
      <c r="V1956" s="74">
        <v>0.43958333333333338</v>
      </c>
      <c r="W1956" s="75">
        <v>2.0833333333333814E-3</v>
      </c>
      <c r="X1956" s="74">
        <v>0.44375000000000003</v>
      </c>
      <c r="Y1956" s="75">
        <v>4.1666666666666519E-3</v>
      </c>
      <c r="Z1956" s="76">
        <v>41733</v>
      </c>
      <c r="AA1956" s="36" t="str">
        <f t="shared" ref="AA1956:AG1965" si="504">AA1955</f>
        <v>Nacional</v>
      </c>
      <c r="AB1956" s="36">
        <f t="shared" si="504"/>
        <v>8.0808080808081034E-3</v>
      </c>
      <c r="AC1956" s="36">
        <f t="shared" si="504"/>
        <v>7.222222222222208E-3</v>
      </c>
      <c r="AD1956" s="36">
        <f t="shared" si="504"/>
        <v>1.5303030303030311E-2</v>
      </c>
      <c r="AE1956" s="36" t="str">
        <f t="shared" si="504"/>
        <v>A319</v>
      </c>
      <c r="AF1956" s="36">
        <f t="shared" si="504"/>
        <v>142</v>
      </c>
      <c r="AG1956" s="36" t="str">
        <f t="shared" si="504"/>
        <v>CUL</v>
      </c>
    </row>
    <row r="1957" spans="18:33" x14ac:dyDescent="0.25">
      <c r="R1957">
        <v>1943</v>
      </c>
      <c r="S1957" s="36" t="str">
        <f t="shared" si="502"/>
        <v>BARATA Y MORADA</v>
      </c>
      <c r="T1957" s="36">
        <f t="shared" si="502"/>
        <v>671</v>
      </c>
      <c r="U1957" s="73">
        <v>0.39583333333333331</v>
      </c>
      <c r="V1957" s="74">
        <v>0.39652777777777781</v>
      </c>
      <c r="W1957" s="75">
        <v>6.9444444444449749E-4</v>
      </c>
      <c r="X1957" s="74">
        <v>0.3979166666666667</v>
      </c>
      <c r="Y1957" s="75">
        <v>1.388888888888884E-3</v>
      </c>
      <c r="Z1957" s="76">
        <v>41735</v>
      </c>
      <c r="AA1957" s="36" t="str">
        <f t="shared" si="504"/>
        <v>Nacional</v>
      </c>
      <c r="AB1957" s="36">
        <f t="shared" si="504"/>
        <v>8.0808080808081034E-3</v>
      </c>
      <c r="AC1957" s="36">
        <f t="shared" si="504"/>
        <v>7.222222222222208E-3</v>
      </c>
      <c r="AD1957" s="36">
        <f t="shared" si="504"/>
        <v>1.5303030303030311E-2</v>
      </c>
      <c r="AE1957" s="36" t="str">
        <f t="shared" si="504"/>
        <v>A319</v>
      </c>
      <c r="AF1957" s="36">
        <f t="shared" si="504"/>
        <v>142</v>
      </c>
      <c r="AG1957" s="36" t="str">
        <f t="shared" si="504"/>
        <v>CUL</v>
      </c>
    </row>
    <row r="1958" spans="18:33" x14ac:dyDescent="0.25">
      <c r="R1958">
        <v>1944</v>
      </c>
      <c r="S1958" s="36" t="str">
        <f t="shared" si="502"/>
        <v>BARATA Y MORADA</v>
      </c>
      <c r="T1958" s="36">
        <f t="shared" si="502"/>
        <v>671</v>
      </c>
      <c r="U1958" s="73">
        <v>0.88541666666666663</v>
      </c>
      <c r="V1958" s="74">
        <v>0.8965277777777777</v>
      </c>
      <c r="W1958" s="75">
        <v>1.1111111111111072E-2</v>
      </c>
      <c r="X1958" s="74">
        <v>0.90069444444444446</v>
      </c>
      <c r="Y1958" s="75">
        <v>4.1666666666667629E-3</v>
      </c>
      <c r="Z1958" s="76">
        <v>41738</v>
      </c>
      <c r="AA1958" s="36" t="str">
        <f t="shared" si="504"/>
        <v>Nacional</v>
      </c>
      <c r="AB1958" s="36">
        <f t="shared" si="504"/>
        <v>8.0808080808081034E-3</v>
      </c>
      <c r="AC1958" s="36">
        <f t="shared" si="504"/>
        <v>7.222222222222208E-3</v>
      </c>
      <c r="AD1958" s="36">
        <f t="shared" si="504"/>
        <v>1.5303030303030311E-2</v>
      </c>
      <c r="AE1958" s="36" t="str">
        <f t="shared" si="504"/>
        <v>A319</v>
      </c>
      <c r="AF1958" s="36">
        <f t="shared" si="504"/>
        <v>142</v>
      </c>
      <c r="AG1958" s="36" t="str">
        <f t="shared" si="504"/>
        <v>CUL</v>
      </c>
    </row>
    <row r="1959" spans="18:33" x14ac:dyDescent="0.25">
      <c r="R1959">
        <v>1945</v>
      </c>
      <c r="S1959" s="36" t="str">
        <f t="shared" si="502"/>
        <v>BARATA Y MORADA</v>
      </c>
      <c r="T1959" s="36">
        <f t="shared" si="502"/>
        <v>671</v>
      </c>
      <c r="U1959" s="73">
        <v>0.88055555555555554</v>
      </c>
      <c r="V1959" s="74">
        <v>0.89027777777777783</v>
      </c>
      <c r="W1959" s="75">
        <v>9.7222222222222987E-3</v>
      </c>
      <c r="X1959" s="74">
        <v>0.89722222222222225</v>
      </c>
      <c r="Y1959" s="75">
        <v>6.9444444444444198E-3</v>
      </c>
      <c r="Z1959" s="76">
        <v>41739</v>
      </c>
      <c r="AA1959" s="36" t="str">
        <f t="shared" si="504"/>
        <v>Nacional</v>
      </c>
      <c r="AB1959" s="36">
        <f t="shared" si="504"/>
        <v>8.0808080808081034E-3</v>
      </c>
      <c r="AC1959" s="36">
        <f t="shared" si="504"/>
        <v>7.222222222222208E-3</v>
      </c>
      <c r="AD1959" s="36">
        <f t="shared" si="504"/>
        <v>1.5303030303030311E-2</v>
      </c>
      <c r="AE1959" s="36" t="str">
        <f t="shared" si="504"/>
        <v>A319</v>
      </c>
      <c r="AF1959" s="36">
        <f t="shared" si="504"/>
        <v>142</v>
      </c>
      <c r="AG1959" s="36" t="str">
        <f t="shared" si="504"/>
        <v>CUL</v>
      </c>
    </row>
    <row r="1960" spans="18:33" x14ac:dyDescent="0.25">
      <c r="R1960">
        <v>1946</v>
      </c>
      <c r="S1960" s="36" t="str">
        <f t="shared" si="502"/>
        <v>BARATA Y MORADA</v>
      </c>
      <c r="T1960" s="36">
        <f t="shared" si="502"/>
        <v>671</v>
      </c>
      <c r="U1960" s="73">
        <v>0.43402777777777773</v>
      </c>
      <c r="V1960" s="74">
        <v>0.44513888888888892</v>
      </c>
      <c r="W1960" s="75">
        <v>1.1111111111111183E-2</v>
      </c>
      <c r="X1960" s="74">
        <v>0.45833333333333331</v>
      </c>
      <c r="Y1960" s="75">
        <v>1.3194444444444398E-2</v>
      </c>
      <c r="Z1960" s="76">
        <v>41744</v>
      </c>
      <c r="AA1960" s="36" t="str">
        <f t="shared" si="504"/>
        <v>Nacional</v>
      </c>
      <c r="AB1960" s="36">
        <f t="shared" si="504"/>
        <v>8.0808080808081034E-3</v>
      </c>
      <c r="AC1960" s="36">
        <f t="shared" si="504"/>
        <v>7.222222222222208E-3</v>
      </c>
      <c r="AD1960" s="36">
        <f t="shared" si="504"/>
        <v>1.5303030303030311E-2</v>
      </c>
      <c r="AE1960" s="36" t="str">
        <f t="shared" si="504"/>
        <v>A319</v>
      </c>
      <c r="AF1960" s="36">
        <f t="shared" si="504"/>
        <v>142</v>
      </c>
      <c r="AG1960" s="36" t="str">
        <f t="shared" si="504"/>
        <v>CUL</v>
      </c>
    </row>
    <row r="1961" spans="18:33" x14ac:dyDescent="0.25">
      <c r="R1961">
        <v>1947</v>
      </c>
      <c r="S1961" s="36" t="str">
        <f t="shared" si="502"/>
        <v>BARATA Y MORADA</v>
      </c>
      <c r="T1961" s="36">
        <f t="shared" si="502"/>
        <v>671</v>
      </c>
      <c r="U1961" s="73">
        <v>0.43055555555555558</v>
      </c>
      <c r="V1961" s="74">
        <v>0.4381944444444445</v>
      </c>
      <c r="W1961" s="75">
        <v>7.6388888888889173E-3</v>
      </c>
      <c r="X1961" s="74">
        <v>0.44444444444444442</v>
      </c>
      <c r="Y1961" s="75">
        <v>6.2499999999999223E-3</v>
      </c>
      <c r="Z1961" s="76">
        <v>41745</v>
      </c>
      <c r="AA1961" s="36" t="str">
        <f t="shared" si="504"/>
        <v>Nacional</v>
      </c>
      <c r="AB1961" s="36">
        <f t="shared" si="504"/>
        <v>8.0808080808081034E-3</v>
      </c>
      <c r="AC1961" s="36">
        <f t="shared" si="504"/>
        <v>7.222222222222208E-3</v>
      </c>
      <c r="AD1961" s="36">
        <f t="shared" si="504"/>
        <v>1.5303030303030311E-2</v>
      </c>
      <c r="AE1961" s="36" t="str">
        <f t="shared" si="504"/>
        <v>A319</v>
      </c>
      <c r="AF1961" s="36">
        <f t="shared" si="504"/>
        <v>142</v>
      </c>
      <c r="AG1961" s="36" t="str">
        <f t="shared" si="504"/>
        <v>CUL</v>
      </c>
    </row>
    <row r="1962" spans="18:33" x14ac:dyDescent="0.25">
      <c r="R1962">
        <v>1948</v>
      </c>
      <c r="S1962" s="36" t="str">
        <f t="shared" si="502"/>
        <v>BARATA Y MORADA</v>
      </c>
      <c r="T1962" s="36">
        <f t="shared" si="502"/>
        <v>671</v>
      </c>
      <c r="U1962" s="73">
        <v>0.87986111111111109</v>
      </c>
      <c r="V1962" s="74">
        <v>0.89097222222222217</v>
      </c>
      <c r="W1962" s="75">
        <v>1.1111111111111072E-2</v>
      </c>
      <c r="X1962" s="74">
        <v>0.90347222222222223</v>
      </c>
      <c r="Y1962" s="75">
        <v>1.2500000000000067E-2</v>
      </c>
      <c r="Z1962" s="76">
        <v>41749</v>
      </c>
      <c r="AA1962" s="36" t="str">
        <f t="shared" si="504"/>
        <v>Nacional</v>
      </c>
      <c r="AB1962" s="36">
        <f t="shared" si="504"/>
        <v>8.0808080808081034E-3</v>
      </c>
      <c r="AC1962" s="36">
        <f t="shared" si="504"/>
        <v>7.222222222222208E-3</v>
      </c>
      <c r="AD1962" s="36">
        <f t="shared" si="504"/>
        <v>1.5303030303030311E-2</v>
      </c>
      <c r="AE1962" s="36" t="str">
        <f t="shared" si="504"/>
        <v>A319</v>
      </c>
      <c r="AF1962" s="36">
        <f t="shared" si="504"/>
        <v>142</v>
      </c>
      <c r="AG1962" s="36" t="str">
        <f t="shared" si="504"/>
        <v>CUL</v>
      </c>
    </row>
    <row r="1963" spans="18:33" x14ac:dyDescent="0.25">
      <c r="R1963">
        <v>1949</v>
      </c>
      <c r="S1963" s="36" t="str">
        <f t="shared" si="502"/>
        <v>BARATA Y MORADA</v>
      </c>
      <c r="T1963" s="36">
        <f t="shared" si="502"/>
        <v>671</v>
      </c>
      <c r="U1963" s="73">
        <v>0.4375</v>
      </c>
      <c r="V1963" s="74">
        <v>0.44444444444444442</v>
      </c>
      <c r="W1963" s="75">
        <v>6.9444444444444198E-3</v>
      </c>
      <c r="X1963" s="74">
        <v>0.4513888888888889</v>
      </c>
      <c r="Y1963" s="75">
        <v>6.9444444444444753E-3</v>
      </c>
      <c r="Z1963" s="76">
        <v>41750</v>
      </c>
      <c r="AA1963" s="36" t="str">
        <f t="shared" si="504"/>
        <v>Nacional</v>
      </c>
      <c r="AB1963" s="36">
        <f t="shared" si="504"/>
        <v>8.0808080808081034E-3</v>
      </c>
      <c r="AC1963" s="36">
        <f t="shared" si="504"/>
        <v>7.222222222222208E-3</v>
      </c>
      <c r="AD1963" s="36">
        <f t="shared" si="504"/>
        <v>1.5303030303030311E-2</v>
      </c>
      <c r="AE1963" s="36" t="str">
        <f t="shared" si="504"/>
        <v>A319</v>
      </c>
      <c r="AF1963" s="36">
        <f t="shared" si="504"/>
        <v>142</v>
      </c>
      <c r="AG1963" s="36" t="str">
        <f t="shared" si="504"/>
        <v>CUL</v>
      </c>
    </row>
    <row r="1964" spans="18:33" x14ac:dyDescent="0.25">
      <c r="R1964">
        <v>1950</v>
      </c>
      <c r="S1964" s="36" t="str">
        <f t="shared" si="502"/>
        <v>BARATA Y MORADA</v>
      </c>
      <c r="T1964" s="36">
        <f t="shared" si="502"/>
        <v>671</v>
      </c>
      <c r="U1964" s="73">
        <v>0.44027777777777777</v>
      </c>
      <c r="V1964" s="74">
        <v>0.44791666666666669</v>
      </c>
      <c r="W1964" s="75">
        <v>7.6388888888889173E-3</v>
      </c>
      <c r="X1964" s="74">
        <v>0.45555555555555555</v>
      </c>
      <c r="Y1964" s="75">
        <v>7.6388888888888618E-3</v>
      </c>
      <c r="Z1964" s="76">
        <v>41757</v>
      </c>
      <c r="AA1964" s="36" t="str">
        <f t="shared" si="504"/>
        <v>Nacional</v>
      </c>
      <c r="AB1964" s="36">
        <f t="shared" si="504"/>
        <v>8.0808080808081034E-3</v>
      </c>
      <c r="AC1964" s="36">
        <f t="shared" si="504"/>
        <v>7.222222222222208E-3</v>
      </c>
      <c r="AD1964" s="36">
        <f t="shared" si="504"/>
        <v>1.5303030303030311E-2</v>
      </c>
      <c r="AE1964" s="36" t="str">
        <f t="shared" si="504"/>
        <v>A319</v>
      </c>
      <c r="AF1964" s="36">
        <f t="shared" si="504"/>
        <v>142</v>
      </c>
      <c r="AG1964" s="36" t="str">
        <f t="shared" si="504"/>
        <v>CUL</v>
      </c>
    </row>
    <row r="1965" spans="18:33" ht="15.75" thickBot="1" x14ac:dyDescent="0.3">
      <c r="R1965">
        <v>1951</v>
      </c>
      <c r="S1965" s="36" t="str">
        <f t="shared" si="502"/>
        <v>BARATA Y MORADA</v>
      </c>
      <c r="T1965" s="36">
        <f t="shared" si="502"/>
        <v>671</v>
      </c>
      <c r="U1965" s="83">
        <v>0.88611111111111107</v>
      </c>
      <c r="V1965" s="84">
        <v>0.89583333333333337</v>
      </c>
      <c r="W1965" s="85">
        <v>9.7222222222222987E-3</v>
      </c>
      <c r="X1965" s="84">
        <v>0.90486111111111101</v>
      </c>
      <c r="Y1965" s="85">
        <v>9.0277777777776347E-3</v>
      </c>
      <c r="Z1965" s="86">
        <v>41759</v>
      </c>
      <c r="AA1965" s="36" t="str">
        <f t="shared" si="504"/>
        <v>Nacional</v>
      </c>
      <c r="AB1965" s="36">
        <f t="shared" si="504"/>
        <v>8.0808080808081034E-3</v>
      </c>
      <c r="AC1965" s="36">
        <f t="shared" si="504"/>
        <v>7.222222222222208E-3</v>
      </c>
      <c r="AD1965" s="36">
        <f t="shared" si="504"/>
        <v>1.5303030303030311E-2</v>
      </c>
      <c r="AE1965" s="36" t="str">
        <f t="shared" si="504"/>
        <v>A319</v>
      </c>
      <c r="AF1965" s="36">
        <f t="shared" si="504"/>
        <v>142</v>
      </c>
      <c r="AG1965" s="36" t="str">
        <f t="shared" si="504"/>
        <v>CUL</v>
      </c>
    </row>
    <row r="1966" spans="18:33" x14ac:dyDescent="0.25">
      <c r="R1966">
        <v>1952</v>
      </c>
      <c r="S1966" s="36" t="str">
        <f t="shared" si="502"/>
        <v>BARATA Y MORADA</v>
      </c>
      <c r="T1966" s="55">
        <v>673</v>
      </c>
      <c r="U1966" s="56">
        <v>0.56805555555555554</v>
      </c>
      <c r="V1966" s="57">
        <v>0.58333333333333337</v>
      </c>
      <c r="W1966" s="58">
        <v>1.5277777777777835E-2</v>
      </c>
      <c r="X1966" s="57">
        <v>0.59375</v>
      </c>
      <c r="Y1966" s="58">
        <v>1.041666666666663E-2</v>
      </c>
      <c r="Z1966" s="59">
        <v>41733</v>
      </c>
      <c r="AA1966" s="60" t="s">
        <v>19</v>
      </c>
      <c r="AB1966" s="61">
        <v>1.0243055555555549E-2</v>
      </c>
      <c r="AC1966" s="61">
        <v>6.5104166666667155E-3</v>
      </c>
      <c r="AD1966" s="231">
        <v>1.6753472222222263E-2</v>
      </c>
      <c r="AE1966" s="132" t="s">
        <v>57</v>
      </c>
      <c r="AF1966" s="132">
        <v>142</v>
      </c>
      <c r="AG1966" s="132" t="s">
        <v>86</v>
      </c>
    </row>
    <row r="1967" spans="18:33" x14ac:dyDescent="0.25">
      <c r="R1967">
        <v>1953</v>
      </c>
      <c r="S1967" s="36" t="str">
        <f t="shared" si="502"/>
        <v>BARATA Y MORADA</v>
      </c>
      <c r="T1967" s="36">
        <f t="shared" si="502"/>
        <v>673</v>
      </c>
      <c r="U1967" s="73">
        <v>0.5625</v>
      </c>
      <c r="V1967" s="74">
        <v>0.56944444444444442</v>
      </c>
      <c r="W1967" s="75">
        <v>6.9444444444444198E-3</v>
      </c>
      <c r="X1967" s="74">
        <v>0.57500000000000007</v>
      </c>
      <c r="Y1967" s="75">
        <v>5.5555555555556468E-3</v>
      </c>
      <c r="Z1967" s="76">
        <v>41736</v>
      </c>
      <c r="AA1967" s="36" t="str">
        <f t="shared" ref="AA1967:AG1973" si="505">AA1966</f>
        <v>Nacional</v>
      </c>
      <c r="AB1967" s="36">
        <f t="shared" si="505"/>
        <v>1.0243055555555549E-2</v>
      </c>
      <c r="AC1967" s="36">
        <f t="shared" si="505"/>
        <v>6.5104166666667155E-3</v>
      </c>
      <c r="AD1967" s="36">
        <f t="shared" si="505"/>
        <v>1.6753472222222263E-2</v>
      </c>
      <c r="AE1967" s="36" t="str">
        <f t="shared" si="505"/>
        <v>A319</v>
      </c>
      <c r="AF1967" s="36">
        <f t="shared" si="505"/>
        <v>142</v>
      </c>
      <c r="AG1967" s="36" t="str">
        <f t="shared" si="505"/>
        <v>LMM</v>
      </c>
    </row>
    <row r="1968" spans="18:33" x14ac:dyDescent="0.25">
      <c r="R1968">
        <v>1954</v>
      </c>
      <c r="S1968" s="36" t="str">
        <f t="shared" si="502"/>
        <v>BARATA Y MORADA</v>
      </c>
      <c r="T1968" s="36">
        <f t="shared" si="502"/>
        <v>673</v>
      </c>
      <c r="U1968" s="73">
        <v>0.56180555555555556</v>
      </c>
      <c r="V1968" s="74">
        <v>0.57291666666666663</v>
      </c>
      <c r="W1968" s="75">
        <v>1.1111111111111072E-2</v>
      </c>
      <c r="X1968" s="74">
        <v>0.57638888888888895</v>
      </c>
      <c r="Y1968" s="75">
        <v>3.4722222222223209E-3</v>
      </c>
      <c r="Z1968" s="76">
        <v>41743</v>
      </c>
      <c r="AA1968" s="36" t="str">
        <f t="shared" si="505"/>
        <v>Nacional</v>
      </c>
      <c r="AB1968" s="36">
        <f t="shared" si="505"/>
        <v>1.0243055555555549E-2</v>
      </c>
      <c r="AC1968" s="36">
        <f t="shared" si="505"/>
        <v>6.5104166666667155E-3</v>
      </c>
      <c r="AD1968" s="36">
        <f t="shared" si="505"/>
        <v>1.6753472222222263E-2</v>
      </c>
      <c r="AE1968" s="36" t="str">
        <f t="shared" si="505"/>
        <v>A319</v>
      </c>
      <c r="AF1968" s="36">
        <f t="shared" si="505"/>
        <v>142</v>
      </c>
      <c r="AG1968" s="36" t="str">
        <f t="shared" si="505"/>
        <v>LMM</v>
      </c>
    </row>
    <row r="1969" spans="18:33" x14ac:dyDescent="0.25">
      <c r="R1969">
        <v>1955</v>
      </c>
      <c r="S1969" s="36" t="str">
        <f t="shared" si="502"/>
        <v>BARATA Y MORADA</v>
      </c>
      <c r="T1969" s="36">
        <f t="shared" si="502"/>
        <v>673</v>
      </c>
      <c r="U1969" s="73">
        <v>0.56180555555555556</v>
      </c>
      <c r="V1969" s="74">
        <v>0.57291666666666663</v>
      </c>
      <c r="W1969" s="75">
        <v>1.1111111111111072E-2</v>
      </c>
      <c r="X1969" s="74">
        <v>0.57638888888888895</v>
      </c>
      <c r="Y1969" s="75">
        <v>3.4722222222223209E-3</v>
      </c>
      <c r="Z1969" s="76">
        <v>41743</v>
      </c>
      <c r="AA1969" s="36" t="str">
        <f t="shared" si="505"/>
        <v>Nacional</v>
      </c>
      <c r="AB1969" s="36">
        <f t="shared" si="505"/>
        <v>1.0243055555555549E-2</v>
      </c>
      <c r="AC1969" s="36">
        <f t="shared" si="505"/>
        <v>6.5104166666667155E-3</v>
      </c>
      <c r="AD1969" s="36">
        <f t="shared" si="505"/>
        <v>1.6753472222222263E-2</v>
      </c>
      <c r="AE1969" s="36" t="str">
        <f t="shared" si="505"/>
        <v>A319</v>
      </c>
      <c r="AF1969" s="36">
        <f t="shared" si="505"/>
        <v>142</v>
      </c>
      <c r="AG1969" s="36" t="str">
        <f t="shared" si="505"/>
        <v>LMM</v>
      </c>
    </row>
    <row r="1970" spans="18:33" x14ac:dyDescent="0.25">
      <c r="R1970">
        <v>1956</v>
      </c>
      <c r="S1970" s="36" t="str">
        <f t="shared" si="502"/>
        <v>BARATA Y MORADA</v>
      </c>
      <c r="T1970" s="36">
        <f t="shared" si="502"/>
        <v>673</v>
      </c>
      <c r="U1970" s="73">
        <v>5.2083333333333336E-2</v>
      </c>
      <c r="V1970" s="74">
        <v>5.6944444444444443E-2</v>
      </c>
      <c r="W1970" s="75">
        <v>4.8611111111111077E-3</v>
      </c>
      <c r="X1970" s="74">
        <v>6.3888888888888884E-2</v>
      </c>
      <c r="Y1970" s="75">
        <v>6.9444444444444406E-3</v>
      </c>
      <c r="Z1970" s="76">
        <v>41747</v>
      </c>
      <c r="AA1970" s="36" t="str">
        <f t="shared" si="505"/>
        <v>Nacional</v>
      </c>
      <c r="AB1970" s="36">
        <f t="shared" si="505"/>
        <v>1.0243055555555549E-2</v>
      </c>
      <c r="AC1970" s="36">
        <f t="shared" si="505"/>
        <v>6.5104166666667155E-3</v>
      </c>
      <c r="AD1970" s="36">
        <f t="shared" si="505"/>
        <v>1.6753472222222263E-2</v>
      </c>
      <c r="AE1970" s="36" t="str">
        <f t="shared" si="505"/>
        <v>A319</v>
      </c>
      <c r="AF1970" s="36">
        <f t="shared" si="505"/>
        <v>142</v>
      </c>
      <c r="AG1970" s="36" t="str">
        <f t="shared" si="505"/>
        <v>LMM</v>
      </c>
    </row>
    <row r="1971" spans="18:33" x14ac:dyDescent="0.25">
      <c r="R1971">
        <v>1957</v>
      </c>
      <c r="S1971" s="36" t="str">
        <f t="shared" si="502"/>
        <v>BARATA Y MORADA</v>
      </c>
      <c r="T1971" s="36">
        <f t="shared" si="502"/>
        <v>673</v>
      </c>
      <c r="U1971" s="73">
        <v>0.55902777777777779</v>
      </c>
      <c r="V1971" s="74">
        <v>0.56944444444444442</v>
      </c>
      <c r="W1971" s="75">
        <v>1.041666666666663E-2</v>
      </c>
      <c r="X1971" s="74">
        <v>0.57638888888888895</v>
      </c>
      <c r="Y1971" s="75">
        <v>6.9444444444445308E-3</v>
      </c>
      <c r="Z1971" s="76">
        <v>41750</v>
      </c>
      <c r="AA1971" s="36" t="str">
        <f t="shared" si="505"/>
        <v>Nacional</v>
      </c>
      <c r="AB1971" s="36">
        <f t="shared" si="505"/>
        <v>1.0243055555555549E-2</v>
      </c>
      <c r="AC1971" s="36">
        <f t="shared" si="505"/>
        <v>6.5104166666667155E-3</v>
      </c>
      <c r="AD1971" s="36">
        <f t="shared" si="505"/>
        <v>1.6753472222222263E-2</v>
      </c>
      <c r="AE1971" s="36" t="str">
        <f t="shared" si="505"/>
        <v>A319</v>
      </c>
      <c r="AF1971" s="36">
        <f t="shared" si="505"/>
        <v>142</v>
      </c>
      <c r="AG1971" s="36" t="str">
        <f t="shared" si="505"/>
        <v>LMM</v>
      </c>
    </row>
    <row r="1972" spans="18:33" x14ac:dyDescent="0.25">
      <c r="R1972">
        <v>1958</v>
      </c>
      <c r="S1972" s="36" t="str">
        <f t="shared" si="502"/>
        <v>BARATA Y MORADA</v>
      </c>
      <c r="T1972" s="36">
        <f t="shared" si="502"/>
        <v>673</v>
      </c>
      <c r="U1972" s="73">
        <v>0.56666666666666665</v>
      </c>
      <c r="V1972" s="74">
        <v>0.57777777777777783</v>
      </c>
      <c r="W1972" s="75">
        <v>1.1111111111111183E-2</v>
      </c>
      <c r="X1972" s="74">
        <v>0.58402777777777781</v>
      </c>
      <c r="Y1972" s="75">
        <v>6.2499999999999778E-3</v>
      </c>
      <c r="Z1972" s="76">
        <v>41754</v>
      </c>
      <c r="AA1972" s="36" t="str">
        <f t="shared" si="505"/>
        <v>Nacional</v>
      </c>
      <c r="AB1972" s="36">
        <f t="shared" si="505"/>
        <v>1.0243055555555549E-2</v>
      </c>
      <c r="AC1972" s="36">
        <f t="shared" si="505"/>
        <v>6.5104166666667155E-3</v>
      </c>
      <c r="AD1972" s="36">
        <f t="shared" si="505"/>
        <v>1.6753472222222263E-2</v>
      </c>
      <c r="AE1972" s="36" t="str">
        <f t="shared" si="505"/>
        <v>A319</v>
      </c>
      <c r="AF1972" s="36">
        <f t="shared" si="505"/>
        <v>142</v>
      </c>
      <c r="AG1972" s="36" t="str">
        <f t="shared" si="505"/>
        <v>LMM</v>
      </c>
    </row>
    <row r="1973" spans="18:33" ht="15.75" thickBot="1" x14ac:dyDescent="0.3">
      <c r="R1973">
        <v>1959</v>
      </c>
      <c r="S1973" s="36" t="str">
        <f t="shared" si="502"/>
        <v>BARATA Y MORADA</v>
      </c>
      <c r="T1973" s="36">
        <f t="shared" si="502"/>
        <v>673</v>
      </c>
      <c r="U1973" s="83">
        <v>0.56319444444444444</v>
      </c>
      <c r="V1973" s="84">
        <v>0.57430555555555551</v>
      </c>
      <c r="W1973" s="85">
        <v>1.1111111111111072E-2</v>
      </c>
      <c r="X1973" s="84">
        <v>0.58333333333333337</v>
      </c>
      <c r="Y1973" s="85">
        <v>9.0277777777778567E-3</v>
      </c>
      <c r="Z1973" s="86">
        <v>41757</v>
      </c>
      <c r="AA1973" s="36" t="str">
        <f t="shared" si="505"/>
        <v>Nacional</v>
      </c>
      <c r="AB1973" s="36">
        <f t="shared" si="505"/>
        <v>1.0243055555555549E-2</v>
      </c>
      <c r="AC1973" s="36">
        <f t="shared" si="505"/>
        <v>6.5104166666667155E-3</v>
      </c>
      <c r="AD1973" s="36">
        <f t="shared" si="505"/>
        <v>1.6753472222222263E-2</v>
      </c>
      <c r="AE1973" s="36" t="str">
        <f t="shared" si="505"/>
        <v>A319</v>
      </c>
      <c r="AF1973" s="36">
        <f t="shared" si="505"/>
        <v>142</v>
      </c>
      <c r="AG1973" s="36" t="str">
        <f t="shared" si="505"/>
        <v>LMM</v>
      </c>
    </row>
    <row r="1974" spans="18:33" x14ac:dyDescent="0.25">
      <c r="R1974">
        <v>1960</v>
      </c>
      <c r="S1974" s="36" t="str">
        <f t="shared" si="502"/>
        <v>BARATA Y MORADA</v>
      </c>
      <c r="T1974" s="55">
        <v>675</v>
      </c>
      <c r="U1974" s="56">
        <v>0.70347222222222217</v>
      </c>
      <c r="V1974" s="57">
        <v>0.71180555555555547</v>
      </c>
      <c r="W1974" s="58">
        <v>8.3333333333333037E-3</v>
      </c>
      <c r="X1974" s="57">
        <v>0.71805555555555556</v>
      </c>
      <c r="Y1974" s="58">
        <v>6.2500000000000888E-3</v>
      </c>
      <c r="Z1974" s="59">
        <v>41731</v>
      </c>
      <c r="AA1974" s="60" t="s">
        <v>19</v>
      </c>
      <c r="AB1974" s="61">
        <v>5.9027777777777291E-3</v>
      </c>
      <c r="AC1974" s="61">
        <v>1.1631944444444542E-2</v>
      </c>
      <c r="AD1974" s="231">
        <v>1.7534722222222271E-2</v>
      </c>
      <c r="AE1974" s="132" t="s">
        <v>57</v>
      </c>
      <c r="AF1974" s="132">
        <v>142</v>
      </c>
      <c r="AG1974" s="132" t="s">
        <v>85</v>
      </c>
    </row>
    <row r="1975" spans="18:33" x14ac:dyDescent="0.25">
      <c r="R1975">
        <v>1961</v>
      </c>
      <c r="S1975" s="36" t="str">
        <f t="shared" si="502"/>
        <v>BARATA Y MORADA</v>
      </c>
      <c r="T1975" s="36">
        <f t="shared" si="502"/>
        <v>675</v>
      </c>
      <c r="U1975" s="73">
        <v>0.69513888888888886</v>
      </c>
      <c r="V1975" s="74">
        <v>0.70624999999999993</v>
      </c>
      <c r="W1975" s="75">
        <v>1.1111111111111072E-2</v>
      </c>
      <c r="X1975" s="74">
        <v>0.7104166666666667</v>
      </c>
      <c r="Y1975" s="75">
        <v>4.1666666666667629E-3</v>
      </c>
      <c r="Z1975" s="76">
        <v>41736</v>
      </c>
      <c r="AA1975" s="36" t="str">
        <f t="shared" ref="AA1975:AG1977" si="506">AA1974</f>
        <v>Nacional</v>
      </c>
      <c r="AB1975" s="36">
        <f t="shared" si="506"/>
        <v>5.9027777777777291E-3</v>
      </c>
      <c r="AC1975" s="36">
        <f t="shared" si="506"/>
        <v>1.1631944444444542E-2</v>
      </c>
      <c r="AD1975" s="36">
        <f t="shared" si="506"/>
        <v>1.7534722222222271E-2</v>
      </c>
      <c r="AE1975" s="36" t="str">
        <f t="shared" si="506"/>
        <v>A319</v>
      </c>
      <c r="AF1975" s="36">
        <f t="shared" si="506"/>
        <v>142</v>
      </c>
      <c r="AG1975" s="36" t="str">
        <f t="shared" si="506"/>
        <v>PBC</v>
      </c>
    </row>
    <row r="1976" spans="18:33" x14ac:dyDescent="0.25">
      <c r="R1976">
        <v>1962</v>
      </c>
      <c r="S1976" s="36" t="str">
        <f t="shared" si="502"/>
        <v>BARATA Y MORADA</v>
      </c>
      <c r="T1976" s="36">
        <f t="shared" si="502"/>
        <v>675</v>
      </c>
      <c r="U1976" s="73">
        <v>0.70486111111111116</v>
      </c>
      <c r="V1976" s="74">
        <v>0.70694444444444438</v>
      </c>
      <c r="W1976" s="75">
        <v>2.0833333333332149E-3</v>
      </c>
      <c r="X1976" s="74">
        <v>0.71111111111111114</v>
      </c>
      <c r="Y1976" s="75">
        <v>4.1666666666667629E-3</v>
      </c>
      <c r="Z1976" s="76">
        <v>41738</v>
      </c>
      <c r="AA1976" s="36" t="str">
        <f t="shared" si="506"/>
        <v>Nacional</v>
      </c>
      <c r="AB1976" s="36">
        <f t="shared" si="506"/>
        <v>5.9027777777777291E-3</v>
      </c>
      <c r="AC1976" s="36">
        <f t="shared" si="506"/>
        <v>1.1631944444444542E-2</v>
      </c>
      <c r="AD1976" s="36">
        <f t="shared" si="506"/>
        <v>1.7534722222222271E-2</v>
      </c>
      <c r="AE1976" s="36" t="str">
        <f t="shared" si="506"/>
        <v>A319</v>
      </c>
      <c r="AF1976" s="36">
        <f t="shared" si="506"/>
        <v>142</v>
      </c>
      <c r="AG1976" s="36" t="str">
        <f t="shared" si="506"/>
        <v>PBC</v>
      </c>
    </row>
    <row r="1977" spans="18:33" ht="15.75" thickBot="1" x14ac:dyDescent="0.3">
      <c r="R1977">
        <v>1963</v>
      </c>
      <c r="S1977" s="36" t="str">
        <f t="shared" si="502"/>
        <v>BARATA Y MORADA</v>
      </c>
      <c r="T1977" s="36">
        <f t="shared" si="502"/>
        <v>675</v>
      </c>
      <c r="U1977" s="83">
        <v>0.67569444444444438</v>
      </c>
      <c r="V1977" s="84">
        <v>0.6777777777777777</v>
      </c>
      <c r="W1977" s="85">
        <v>2.0833333333333259E-3</v>
      </c>
      <c r="X1977" s="84">
        <v>0.70972222222222225</v>
      </c>
      <c r="Y1977" s="85">
        <v>3.1944444444444553E-2</v>
      </c>
      <c r="Z1977" s="86">
        <v>41745</v>
      </c>
      <c r="AA1977" s="36" t="str">
        <f t="shared" si="506"/>
        <v>Nacional</v>
      </c>
      <c r="AB1977" s="36">
        <f t="shared" si="506"/>
        <v>5.9027777777777291E-3</v>
      </c>
      <c r="AC1977" s="36">
        <f t="shared" si="506"/>
        <v>1.1631944444444542E-2</v>
      </c>
      <c r="AD1977" s="36">
        <f t="shared" si="506"/>
        <v>1.7534722222222271E-2</v>
      </c>
      <c r="AE1977" s="36" t="str">
        <f t="shared" si="506"/>
        <v>A319</v>
      </c>
      <c r="AF1977" s="36">
        <f t="shared" si="506"/>
        <v>142</v>
      </c>
      <c r="AG1977" s="36" t="str">
        <f t="shared" si="506"/>
        <v>PBC</v>
      </c>
    </row>
    <row r="1978" spans="18:33" x14ac:dyDescent="0.25">
      <c r="R1978">
        <v>1964</v>
      </c>
      <c r="S1978" s="36" t="str">
        <f t="shared" si="502"/>
        <v>BARATA Y MORADA</v>
      </c>
      <c r="T1978" s="55">
        <v>677</v>
      </c>
      <c r="U1978" s="56">
        <v>0.90208333333333324</v>
      </c>
      <c r="V1978" s="57">
        <v>0.9145833333333333</v>
      </c>
      <c r="W1978" s="58">
        <v>1.2500000000000067E-2</v>
      </c>
      <c r="X1978" s="57">
        <v>0.92361111111111116</v>
      </c>
      <c r="Y1978" s="58">
        <v>9.0277777777778567E-3</v>
      </c>
      <c r="Z1978" s="59">
        <v>41731</v>
      </c>
      <c r="AA1978" s="60" t="s">
        <v>19</v>
      </c>
      <c r="AB1978" s="61">
        <v>8.9962121212121549E-3</v>
      </c>
      <c r="AC1978" s="61">
        <v>7.039141414141417E-3</v>
      </c>
      <c r="AD1978" s="231">
        <v>1.6035353535353573E-2</v>
      </c>
      <c r="AE1978" s="132">
        <v>320</v>
      </c>
      <c r="AF1978" s="132">
        <v>179</v>
      </c>
      <c r="AG1978" s="132" t="s">
        <v>28</v>
      </c>
    </row>
    <row r="1979" spans="18:33" x14ac:dyDescent="0.25">
      <c r="R1979">
        <v>1965</v>
      </c>
      <c r="S1979" s="36" t="str">
        <f t="shared" si="502"/>
        <v>BARATA Y MORADA</v>
      </c>
      <c r="T1979" s="36">
        <f t="shared" si="502"/>
        <v>677</v>
      </c>
      <c r="U1979" s="73">
        <v>0.90208333333333324</v>
      </c>
      <c r="V1979" s="74">
        <v>0.91736111111111107</v>
      </c>
      <c r="W1979" s="75">
        <v>1.5277777777777835E-2</v>
      </c>
      <c r="X1979" s="74">
        <v>0.92291666666666661</v>
      </c>
      <c r="Y1979" s="75">
        <v>5.5555555555555358E-3</v>
      </c>
      <c r="Z1979" s="76">
        <v>41731</v>
      </c>
      <c r="AA1979" s="36" t="str">
        <f t="shared" ref="AA1979:AG1999" si="507">AA1978</f>
        <v>Nacional</v>
      </c>
      <c r="AB1979" s="36">
        <f t="shared" si="507"/>
        <v>8.9962121212121549E-3</v>
      </c>
      <c r="AC1979" s="36">
        <f t="shared" si="507"/>
        <v>7.039141414141417E-3</v>
      </c>
      <c r="AD1979" s="36">
        <f t="shared" si="507"/>
        <v>1.6035353535353573E-2</v>
      </c>
      <c r="AE1979" s="36">
        <f t="shared" si="507"/>
        <v>320</v>
      </c>
      <c r="AF1979" s="36">
        <f t="shared" si="507"/>
        <v>179</v>
      </c>
      <c r="AG1979" s="36" t="str">
        <f t="shared" si="507"/>
        <v>MTY</v>
      </c>
    </row>
    <row r="1980" spans="18:33" x14ac:dyDescent="0.25">
      <c r="R1980">
        <v>1966</v>
      </c>
      <c r="S1980" s="36" t="str">
        <f t="shared" si="502"/>
        <v>BARATA Y MORADA</v>
      </c>
      <c r="T1980" s="36">
        <f t="shared" si="502"/>
        <v>677</v>
      </c>
      <c r="U1980" s="73">
        <v>0.90138888888888891</v>
      </c>
      <c r="V1980" s="74">
        <v>0.91319444444444453</v>
      </c>
      <c r="W1980" s="75">
        <v>1.1805555555555625E-2</v>
      </c>
      <c r="X1980" s="74">
        <v>0.92222222222222217</v>
      </c>
      <c r="Y1980" s="75">
        <v>9.0277777777776347E-3</v>
      </c>
      <c r="Z1980" s="76">
        <v>41732</v>
      </c>
      <c r="AA1980" s="36" t="str">
        <f t="shared" si="507"/>
        <v>Nacional</v>
      </c>
      <c r="AB1980" s="36">
        <f t="shared" si="507"/>
        <v>8.9962121212121549E-3</v>
      </c>
      <c r="AC1980" s="36">
        <f t="shared" si="507"/>
        <v>7.039141414141417E-3</v>
      </c>
      <c r="AD1980" s="36">
        <f t="shared" si="507"/>
        <v>1.6035353535353573E-2</v>
      </c>
      <c r="AE1980" s="36">
        <f t="shared" si="507"/>
        <v>320</v>
      </c>
      <c r="AF1980" s="36">
        <f t="shared" si="507"/>
        <v>179</v>
      </c>
      <c r="AG1980" s="36" t="str">
        <f t="shared" si="507"/>
        <v>MTY</v>
      </c>
    </row>
    <row r="1981" spans="18:33" x14ac:dyDescent="0.25">
      <c r="R1981">
        <v>1967</v>
      </c>
      <c r="S1981" s="36" t="str">
        <f t="shared" si="502"/>
        <v>BARATA Y MORADA</v>
      </c>
      <c r="T1981" s="36">
        <f t="shared" si="502"/>
        <v>677</v>
      </c>
      <c r="U1981" s="73">
        <v>0.92013888888888884</v>
      </c>
      <c r="V1981" s="74">
        <v>0.92638888888888893</v>
      </c>
      <c r="W1981" s="75">
        <v>6.2500000000000888E-3</v>
      </c>
      <c r="X1981" s="74">
        <v>0.9291666666666667</v>
      </c>
      <c r="Y1981" s="75">
        <v>2.7777777777777679E-3</v>
      </c>
      <c r="Z1981" s="76">
        <v>41734</v>
      </c>
      <c r="AA1981" s="36" t="str">
        <f t="shared" si="507"/>
        <v>Nacional</v>
      </c>
      <c r="AB1981" s="36">
        <f t="shared" si="507"/>
        <v>8.9962121212121549E-3</v>
      </c>
      <c r="AC1981" s="36">
        <f t="shared" si="507"/>
        <v>7.039141414141417E-3</v>
      </c>
      <c r="AD1981" s="36">
        <f t="shared" si="507"/>
        <v>1.6035353535353573E-2</v>
      </c>
      <c r="AE1981" s="36">
        <f t="shared" si="507"/>
        <v>320</v>
      </c>
      <c r="AF1981" s="36">
        <f t="shared" si="507"/>
        <v>179</v>
      </c>
      <c r="AG1981" s="36" t="str">
        <f t="shared" si="507"/>
        <v>MTY</v>
      </c>
    </row>
    <row r="1982" spans="18:33" x14ac:dyDescent="0.25">
      <c r="R1982">
        <v>1968</v>
      </c>
      <c r="S1982" s="36" t="str">
        <f t="shared" si="502"/>
        <v>BARATA Y MORADA</v>
      </c>
      <c r="T1982" s="36">
        <f t="shared" si="502"/>
        <v>677</v>
      </c>
      <c r="U1982" s="73">
        <v>0.40277777777777773</v>
      </c>
      <c r="V1982" s="74">
        <v>0.40486111111111112</v>
      </c>
      <c r="W1982" s="75">
        <v>2.0833333333333814E-3</v>
      </c>
      <c r="X1982" s="74">
        <v>0.4069444444444445</v>
      </c>
      <c r="Y1982" s="75">
        <v>2.0833333333333814E-3</v>
      </c>
      <c r="Z1982" s="76">
        <v>41735</v>
      </c>
      <c r="AA1982" s="36" t="str">
        <f t="shared" si="507"/>
        <v>Nacional</v>
      </c>
      <c r="AB1982" s="36">
        <f t="shared" si="507"/>
        <v>8.9962121212121549E-3</v>
      </c>
      <c r="AC1982" s="36">
        <f t="shared" si="507"/>
        <v>7.039141414141417E-3</v>
      </c>
      <c r="AD1982" s="36">
        <f t="shared" si="507"/>
        <v>1.6035353535353573E-2</v>
      </c>
      <c r="AE1982" s="36">
        <f t="shared" si="507"/>
        <v>320</v>
      </c>
      <c r="AF1982" s="36">
        <f t="shared" si="507"/>
        <v>179</v>
      </c>
      <c r="AG1982" s="36" t="str">
        <f t="shared" si="507"/>
        <v>MTY</v>
      </c>
    </row>
    <row r="1983" spans="18:33" x14ac:dyDescent="0.25">
      <c r="R1983">
        <v>1969</v>
      </c>
      <c r="S1983" s="36" t="str">
        <f t="shared" si="502"/>
        <v>BARATA Y MORADA</v>
      </c>
      <c r="T1983" s="36">
        <f t="shared" si="502"/>
        <v>677</v>
      </c>
      <c r="U1983" s="73">
        <v>0.90138888888888891</v>
      </c>
      <c r="V1983" s="74">
        <v>0.90972222222222221</v>
      </c>
      <c r="W1983" s="75">
        <v>8.3333333333333037E-3</v>
      </c>
      <c r="X1983" s="74">
        <v>0.92013888888888884</v>
      </c>
      <c r="Y1983" s="75">
        <v>1.041666666666663E-2</v>
      </c>
      <c r="Z1983" s="76">
        <v>41736</v>
      </c>
      <c r="AA1983" s="36" t="str">
        <f t="shared" si="507"/>
        <v>Nacional</v>
      </c>
      <c r="AB1983" s="36">
        <f t="shared" si="507"/>
        <v>8.9962121212121549E-3</v>
      </c>
      <c r="AC1983" s="36">
        <f t="shared" si="507"/>
        <v>7.039141414141417E-3</v>
      </c>
      <c r="AD1983" s="36">
        <f t="shared" si="507"/>
        <v>1.6035353535353573E-2</v>
      </c>
      <c r="AE1983" s="36">
        <f t="shared" si="507"/>
        <v>320</v>
      </c>
      <c r="AF1983" s="36">
        <f t="shared" si="507"/>
        <v>179</v>
      </c>
      <c r="AG1983" s="36" t="str">
        <f t="shared" si="507"/>
        <v>MTY</v>
      </c>
    </row>
    <row r="1984" spans="18:33" x14ac:dyDescent="0.25">
      <c r="R1984">
        <v>1970</v>
      </c>
      <c r="S1984" s="36" t="str">
        <f t="shared" si="502"/>
        <v>BARATA Y MORADA</v>
      </c>
      <c r="T1984" s="36">
        <f t="shared" si="502"/>
        <v>677</v>
      </c>
      <c r="U1984" s="73">
        <v>0.89166666666666661</v>
      </c>
      <c r="V1984" s="74">
        <v>0.8979166666666667</v>
      </c>
      <c r="W1984" s="75">
        <v>6.2500000000000888E-3</v>
      </c>
      <c r="X1984" s="74">
        <v>0.90416666666666667</v>
      </c>
      <c r="Y1984" s="75">
        <v>6.2499999999999778E-3</v>
      </c>
      <c r="Z1984" s="76">
        <v>41736</v>
      </c>
      <c r="AA1984" s="36" t="str">
        <f t="shared" si="507"/>
        <v>Nacional</v>
      </c>
      <c r="AB1984" s="36">
        <f t="shared" si="507"/>
        <v>8.9962121212121549E-3</v>
      </c>
      <c r="AC1984" s="36">
        <f t="shared" si="507"/>
        <v>7.039141414141417E-3</v>
      </c>
      <c r="AD1984" s="36">
        <f t="shared" si="507"/>
        <v>1.6035353535353573E-2</v>
      </c>
      <c r="AE1984" s="36">
        <f t="shared" si="507"/>
        <v>320</v>
      </c>
      <c r="AF1984" s="36">
        <f t="shared" si="507"/>
        <v>179</v>
      </c>
      <c r="AG1984" s="36" t="str">
        <f t="shared" si="507"/>
        <v>MTY</v>
      </c>
    </row>
    <row r="1985" spans="18:33" x14ac:dyDescent="0.25">
      <c r="R1985">
        <v>1971</v>
      </c>
      <c r="S1985" s="36" t="str">
        <f t="shared" si="502"/>
        <v>BARATA Y MORADA</v>
      </c>
      <c r="T1985" s="36">
        <f t="shared" si="502"/>
        <v>677</v>
      </c>
      <c r="U1985" s="73">
        <v>0.9159722222222223</v>
      </c>
      <c r="V1985" s="74">
        <v>0.93125000000000002</v>
      </c>
      <c r="W1985" s="75">
        <v>1.5277777777777724E-2</v>
      </c>
      <c r="X1985" s="74">
        <v>0.9375</v>
      </c>
      <c r="Y1985" s="75">
        <v>6.2499999999999778E-3</v>
      </c>
      <c r="Z1985" s="76">
        <v>41738</v>
      </c>
      <c r="AA1985" s="36" t="str">
        <f t="shared" si="507"/>
        <v>Nacional</v>
      </c>
      <c r="AB1985" s="36">
        <f t="shared" si="507"/>
        <v>8.9962121212121549E-3</v>
      </c>
      <c r="AC1985" s="36">
        <f t="shared" si="507"/>
        <v>7.039141414141417E-3</v>
      </c>
      <c r="AD1985" s="36">
        <f t="shared" si="507"/>
        <v>1.6035353535353573E-2</v>
      </c>
      <c r="AE1985" s="36">
        <f t="shared" si="507"/>
        <v>320</v>
      </c>
      <c r="AF1985" s="36">
        <f t="shared" si="507"/>
        <v>179</v>
      </c>
      <c r="AG1985" s="36" t="str">
        <f t="shared" si="507"/>
        <v>MTY</v>
      </c>
    </row>
    <row r="1986" spans="18:33" x14ac:dyDescent="0.25">
      <c r="R1986">
        <v>1972</v>
      </c>
      <c r="S1986" s="36" t="str">
        <f t="shared" si="502"/>
        <v>BARATA Y MORADA</v>
      </c>
      <c r="T1986" s="36">
        <f t="shared" si="502"/>
        <v>677</v>
      </c>
      <c r="U1986" s="73">
        <v>0.93611111111111101</v>
      </c>
      <c r="V1986" s="74">
        <v>0.9458333333333333</v>
      </c>
      <c r="W1986" s="75">
        <v>9.7222222222222987E-3</v>
      </c>
      <c r="X1986" s="74">
        <v>0.9555555555555556</v>
      </c>
      <c r="Y1986" s="75">
        <v>9.7222222222222987E-3</v>
      </c>
      <c r="Z1986" s="76">
        <v>41739</v>
      </c>
      <c r="AA1986" s="36" t="str">
        <f t="shared" si="507"/>
        <v>Nacional</v>
      </c>
      <c r="AB1986" s="36">
        <f t="shared" si="507"/>
        <v>8.9962121212121549E-3</v>
      </c>
      <c r="AC1986" s="36">
        <f t="shared" si="507"/>
        <v>7.039141414141417E-3</v>
      </c>
      <c r="AD1986" s="36">
        <f t="shared" si="507"/>
        <v>1.6035353535353573E-2</v>
      </c>
      <c r="AE1986" s="36">
        <f t="shared" si="507"/>
        <v>320</v>
      </c>
      <c r="AF1986" s="36">
        <f t="shared" si="507"/>
        <v>179</v>
      </c>
      <c r="AG1986" s="36" t="str">
        <f t="shared" si="507"/>
        <v>MTY</v>
      </c>
    </row>
    <row r="1987" spans="18:33" x14ac:dyDescent="0.25">
      <c r="R1987">
        <v>1973</v>
      </c>
      <c r="S1987" s="36" t="str">
        <f t="shared" si="502"/>
        <v>BARATA Y MORADA</v>
      </c>
      <c r="T1987" s="36">
        <f t="shared" si="502"/>
        <v>677</v>
      </c>
      <c r="U1987" s="73">
        <v>0.88194444444444453</v>
      </c>
      <c r="V1987" s="74">
        <v>0.88750000000000007</v>
      </c>
      <c r="W1987" s="75">
        <v>5.5555555555555358E-3</v>
      </c>
      <c r="X1987" s="74">
        <v>0.89930555555555547</v>
      </c>
      <c r="Y1987" s="75">
        <v>1.1805555555555403E-2</v>
      </c>
      <c r="Z1987" s="76">
        <v>41741</v>
      </c>
      <c r="AA1987" s="36" t="str">
        <f t="shared" si="507"/>
        <v>Nacional</v>
      </c>
      <c r="AB1987" s="36">
        <f t="shared" si="507"/>
        <v>8.9962121212121549E-3</v>
      </c>
      <c r="AC1987" s="36">
        <f t="shared" si="507"/>
        <v>7.039141414141417E-3</v>
      </c>
      <c r="AD1987" s="36">
        <f t="shared" si="507"/>
        <v>1.6035353535353573E-2</v>
      </c>
      <c r="AE1987" s="36">
        <f t="shared" si="507"/>
        <v>320</v>
      </c>
      <c r="AF1987" s="36">
        <f t="shared" si="507"/>
        <v>179</v>
      </c>
      <c r="AG1987" s="36" t="str">
        <f t="shared" si="507"/>
        <v>MTY</v>
      </c>
    </row>
    <row r="1988" spans="18:33" x14ac:dyDescent="0.25">
      <c r="R1988">
        <v>1974</v>
      </c>
      <c r="S1988" s="36" t="str">
        <f t="shared" si="502"/>
        <v>BARATA Y MORADA</v>
      </c>
      <c r="T1988" s="36">
        <f t="shared" si="502"/>
        <v>677</v>
      </c>
      <c r="U1988" s="73">
        <v>0.90555555555555556</v>
      </c>
      <c r="V1988" s="74">
        <v>0.91527777777777775</v>
      </c>
      <c r="W1988" s="75">
        <v>9.7222222222221877E-3</v>
      </c>
      <c r="X1988" s="74">
        <v>0.92083333333333339</v>
      </c>
      <c r="Y1988" s="75">
        <v>5.5555555555556468E-3</v>
      </c>
      <c r="Z1988" s="76">
        <v>41743</v>
      </c>
      <c r="AA1988" s="36" t="str">
        <f t="shared" si="507"/>
        <v>Nacional</v>
      </c>
      <c r="AB1988" s="36">
        <f t="shared" si="507"/>
        <v>8.9962121212121549E-3</v>
      </c>
      <c r="AC1988" s="36">
        <f t="shared" si="507"/>
        <v>7.039141414141417E-3</v>
      </c>
      <c r="AD1988" s="36">
        <f t="shared" si="507"/>
        <v>1.6035353535353573E-2</v>
      </c>
      <c r="AE1988" s="36">
        <f t="shared" si="507"/>
        <v>320</v>
      </c>
      <c r="AF1988" s="36">
        <f t="shared" si="507"/>
        <v>179</v>
      </c>
      <c r="AG1988" s="36" t="str">
        <f t="shared" si="507"/>
        <v>MTY</v>
      </c>
    </row>
    <row r="1989" spans="18:33" x14ac:dyDescent="0.25">
      <c r="R1989">
        <v>1975</v>
      </c>
      <c r="S1989" s="36" t="str">
        <f t="shared" si="502"/>
        <v>BARATA Y MORADA</v>
      </c>
      <c r="T1989" s="36">
        <f t="shared" si="502"/>
        <v>677</v>
      </c>
      <c r="U1989" s="73">
        <v>0.89930555555555547</v>
      </c>
      <c r="V1989" s="74">
        <v>0.90902777777777777</v>
      </c>
      <c r="W1989" s="75">
        <v>9.7222222222222987E-3</v>
      </c>
      <c r="X1989" s="74">
        <v>0.91875000000000007</v>
      </c>
      <c r="Y1989" s="75">
        <v>9.7222222222222987E-3</v>
      </c>
      <c r="Z1989" s="76">
        <v>41745</v>
      </c>
      <c r="AA1989" s="36" t="str">
        <f t="shared" si="507"/>
        <v>Nacional</v>
      </c>
      <c r="AB1989" s="36">
        <f t="shared" si="507"/>
        <v>8.9962121212121549E-3</v>
      </c>
      <c r="AC1989" s="36">
        <f t="shared" si="507"/>
        <v>7.039141414141417E-3</v>
      </c>
      <c r="AD1989" s="36">
        <f t="shared" si="507"/>
        <v>1.6035353535353573E-2</v>
      </c>
      <c r="AE1989" s="36">
        <f t="shared" si="507"/>
        <v>320</v>
      </c>
      <c r="AF1989" s="36">
        <f t="shared" si="507"/>
        <v>179</v>
      </c>
      <c r="AG1989" s="36" t="str">
        <f t="shared" si="507"/>
        <v>MTY</v>
      </c>
    </row>
    <row r="1990" spans="18:33" x14ac:dyDescent="0.25">
      <c r="R1990">
        <v>1976</v>
      </c>
      <c r="S1990" s="36" t="str">
        <f t="shared" si="502"/>
        <v>BARATA Y MORADA</v>
      </c>
      <c r="T1990" s="36">
        <f t="shared" si="502"/>
        <v>677</v>
      </c>
      <c r="U1990" s="73">
        <v>0.90277777777777779</v>
      </c>
      <c r="V1990" s="74">
        <v>0.91805555555555562</v>
      </c>
      <c r="W1990" s="75">
        <v>1.5277777777777835E-2</v>
      </c>
      <c r="X1990" s="74">
        <v>0.92361111111111116</v>
      </c>
      <c r="Y1990" s="75">
        <v>5.5555555555555358E-3</v>
      </c>
      <c r="Z1990" s="76">
        <v>41744</v>
      </c>
      <c r="AA1990" s="36" t="str">
        <f t="shared" si="507"/>
        <v>Nacional</v>
      </c>
      <c r="AB1990" s="36">
        <f t="shared" si="507"/>
        <v>8.9962121212121549E-3</v>
      </c>
      <c r="AC1990" s="36">
        <f t="shared" si="507"/>
        <v>7.039141414141417E-3</v>
      </c>
      <c r="AD1990" s="36">
        <f t="shared" si="507"/>
        <v>1.6035353535353573E-2</v>
      </c>
      <c r="AE1990" s="36">
        <f t="shared" si="507"/>
        <v>320</v>
      </c>
      <c r="AF1990" s="36">
        <f t="shared" si="507"/>
        <v>179</v>
      </c>
      <c r="AG1990" s="36" t="str">
        <f t="shared" si="507"/>
        <v>MTY</v>
      </c>
    </row>
    <row r="1991" spans="18:33" x14ac:dyDescent="0.25">
      <c r="R1991">
        <v>1977</v>
      </c>
      <c r="S1991" s="36" t="str">
        <f t="shared" si="502"/>
        <v>BARATA Y MORADA</v>
      </c>
      <c r="T1991" s="36">
        <f t="shared" si="502"/>
        <v>677</v>
      </c>
      <c r="U1991" s="73">
        <v>0.90208333333333324</v>
      </c>
      <c r="V1991" s="74">
        <v>0.90625</v>
      </c>
      <c r="W1991" s="75">
        <v>4.1666666666667629E-3</v>
      </c>
      <c r="X1991" s="74">
        <v>0.91180555555555554</v>
      </c>
      <c r="Y1991" s="75">
        <v>5.5555555555555358E-3</v>
      </c>
      <c r="Z1991" s="76">
        <v>41746</v>
      </c>
      <c r="AA1991" s="36" t="str">
        <f t="shared" si="507"/>
        <v>Nacional</v>
      </c>
      <c r="AB1991" s="36">
        <f t="shared" si="507"/>
        <v>8.9962121212121549E-3</v>
      </c>
      <c r="AC1991" s="36">
        <f t="shared" si="507"/>
        <v>7.039141414141417E-3</v>
      </c>
      <c r="AD1991" s="36">
        <f t="shared" si="507"/>
        <v>1.6035353535353573E-2</v>
      </c>
      <c r="AE1991" s="36">
        <f t="shared" si="507"/>
        <v>320</v>
      </c>
      <c r="AF1991" s="36">
        <f t="shared" si="507"/>
        <v>179</v>
      </c>
      <c r="AG1991" s="36" t="str">
        <f t="shared" si="507"/>
        <v>MTY</v>
      </c>
    </row>
    <row r="1992" spans="18:33" x14ac:dyDescent="0.25">
      <c r="R1992">
        <v>1978</v>
      </c>
      <c r="S1992" s="36" t="str">
        <f t="shared" si="502"/>
        <v>BARATA Y MORADA</v>
      </c>
      <c r="T1992" s="36">
        <f t="shared" si="502"/>
        <v>677</v>
      </c>
      <c r="U1992" s="73">
        <v>0.39583333333333331</v>
      </c>
      <c r="V1992" s="74">
        <v>0.39652777777777781</v>
      </c>
      <c r="W1992" s="75">
        <v>6.9444444444449749E-4</v>
      </c>
      <c r="X1992" s="74">
        <v>0.3979166666666667</v>
      </c>
      <c r="Y1992" s="75">
        <v>1.388888888888884E-3</v>
      </c>
      <c r="Z1992" s="76">
        <v>41747</v>
      </c>
      <c r="AA1992" s="36" t="str">
        <f t="shared" si="507"/>
        <v>Nacional</v>
      </c>
      <c r="AB1992" s="36">
        <f t="shared" si="507"/>
        <v>8.9962121212121549E-3</v>
      </c>
      <c r="AC1992" s="36">
        <f t="shared" si="507"/>
        <v>7.039141414141417E-3</v>
      </c>
      <c r="AD1992" s="36">
        <f t="shared" si="507"/>
        <v>1.6035353535353573E-2</v>
      </c>
      <c r="AE1992" s="36">
        <f t="shared" si="507"/>
        <v>320</v>
      </c>
      <c r="AF1992" s="36">
        <f t="shared" si="507"/>
        <v>179</v>
      </c>
      <c r="AG1992" s="36" t="str">
        <f t="shared" si="507"/>
        <v>MTY</v>
      </c>
    </row>
    <row r="1993" spans="18:33" x14ac:dyDescent="0.25">
      <c r="R1993">
        <v>1979</v>
      </c>
      <c r="S1993" s="36" t="str">
        <f t="shared" si="502"/>
        <v>BARATA Y MORADA</v>
      </c>
      <c r="T1993" s="36">
        <f t="shared" si="502"/>
        <v>677</v>
      </c>
      <c r="U1993" s="73">
        <v>0.93055555555555547</v>
      </c>
      <c r="V1993" s="74">
        <v>0.9375</v>
      </c>
      <c r="W1993" s="75">
        <v>6.9444444444445308E-3</v>
      </c>
      <c r="X1993" s="74">
        <v>0.94444444444444453</v>
      </c>
      <c r="Y1993" s="75">
        <v>6.9444444444445308E-3</v>
      </c>
      <c r="Z1993" s="76">
        <v>41749</v>
      </c>
      <c r="AA1993" s="36" t="str">
        <f t="shared" si="507"/>
        <v>Nacional</v>
      </c>
      <c r="AB1993" s="36">
        <f t="shared" si="507"/>
        <v>8.9962121212121549E-3</v>
      </c>
      <c r="AC1993" s="36">
        <f t="shared" si="507"/>
        <v>7.039141414141417E-3</v>
      </c>
      <c r="AD1993" s="36">
        <f t="shared" si="507"/>
        <v>1.6035353535353573E-2</v>
      </c>
      <c r="AE1993" s="36">
        <f t="shared" si="507"/>
        <v>320</v>
      </c>
      <c r="AF1993" s="36">
        <f t="shared" si="507"/>
        <v>179</v>
      </c>
      <c r="AG1993" s="36" t="str">
        <f t="shared" si="507"/>
        <v>MTY</v>
      </c>
    </row>
    <row r="1994" spans="18:33" x14ac:dyDescent="0.25">
      <c r="R1994">
        <v>1980</v>
      </c>
      <c r="S1994" s="36" t="str">
        <f t="shared" si="502"/>
        <v>BARATA Y MORADA</v>
      </c>
      <c r="T1994" s="36">
        <f t="shared" si="502"/>
        <v>677</v>
      </c>
      <c r="U1994" s="73">
        <v>0.88958333333333339</v>
      </c>
      <c r="V1994" s="74">
        <v>0.89583333333333337</v>
      </c>
      <c r="W1994" s="75">
        <v>6.2499999999999778E-3</v>
      </c>
      <c r="X1994" s="74">
        <v>0.90277777777777779</v>
      </c>
      <c r="Y1994" s="75">
        <v>6.9444444444444198E-3</v>
      </c>
      <c r="Z1994" s="76">
        <v>41751</v>
      </c>
      <c r="AA1994" s="36" t="str">
        <f t="shared" si="507"/>
        <v>Nacional</v>
      </c>
      <c r="AB1994" s="36">
        <f t="shared" si="507"/>
        <v>8.9962121212121549E-3</v>
      </c>
      <c r="AC1994" s="36">
        <f t="shared" si="507"/>
        <v>7.039141414141417E-3</v>
      </c>
      <c r="AD1994" s="36">
        <f t="shared" si="507"/>
        <v>1.6035353535353573E-2</v>
      </c>
      <c r="AE1994" s="36">
        <f t="shared" si="507"/>
        <v>320</v>
      </c>
      <c r="AF1994" s="36">
        <f t="shared" si="507"/>
        <v>179</v>
      </c>
      <c r="AG1994" s="36" t="str">
        <f t="shared" si="507"/>
        <v>MTY</v>
      </c>
    </row>
    <row r="1995" spans="18:33" x14ac:dyDescent="0.25">
      <c r="R1995">
        <v>1981</v>
      </c>
      <c r="S1995" s="36" t="str">
        <f t="shared" si="502"/>
        <v>BARATA Y MORADA</v>
      </c>
      <c r="T1995" s="36">
        <f t="shared" si="502"/>
        <v>677</v>
      </c>
      <c r="U1995" s="73">
        <v>0.90694444444444444</v>
      </c>
      <c r="V1995" s="74">
        <v>0.91180555555555554</v>
      </c>
      <c r="W1995" s="75">
        <v>4.8611111111110938E-3</v>
      </c>
      <c r="X1995" s="74">
        <v>0.91805555555555562</v>
      </c>
      <c r="Y1995" s="75">
        <v>6.2500000000000888E-3</v>
      </c>
      <c r="Z1995" s="76">
        <v>41753</v>
      </c>
      <c r="AA1995" s="36" t="str">
        <f t="shared" si="507"/>
        <v>Nacional</v>
      </c>
      <c r="AB1995" s="36">
        <f t="shared" si="507"/>
        <v>8.9962121212121549E-3</v>
      </c>
      <c r="AC1995" s="36">
        <f t="shared" si="507"/>
        <v>7.039141414141417E-3</v>
      </c>
      <c r="AD1995" s="36">
        <f t="shared" si="507"/>
        <v>1.6035353535353573E-2</v>
      </c>
      <c r="AE1995" s="36">
        <f t="shared" si="507"/>
        <v>320</v>
      </c>
      <c r="AF1995" s="36">
        <f t="shared" si="507"/>
        <v>179</v>
      </c>
      <c r="AG1995" s="36" t="str">
        <f t="shared" si="507"/>
        <v>MTY</v>
      </c>
    </row>
    <row r="1996" spans="18:33" x14ac:dyDescent="0.25">
      <c r="R1996">
        <v>1982</v>
      </c>
      <c r="S1996" s="36" t="str">
        <f t="shared" si="502"/>
        <v>BARATA Y MORADA</v>
      </c>
      <c r="T1996" s="36">
        <f t="shared" si="502"/>
        <v>677</v>
      </c>
      <c r="U1996" s="73">
        <v>0.89236111111111116</v>
      </c>
      <c r="V1996" s="74">
        <v>0.90277777777777779</v>
      </c>
      <c r="W1996" s="75">
        <v>1.041666666666663E-2</v>
      </c>
      <c r="X1996" s="74">
        <v>0.91180555555555554</v>
      </c>
      <c r="Y1996" s="75">
        <v>9.0277777777777457E-3</v>
      </c>
      <c r="Z1996" s="76">
        <v>41755</v>
      </c>
      <c r="AA1996" s="36" t="str">
        <f t="shared" si="507"/>
        <v>Nacional</v>
      </c>
      <c r="AB1996" s="36">
        <f t="shared" si="507"/>
        <v>8.9962121212121549E-3</v>
      </c>
      <c r="AC1996" s="36">
        <f t="shared" si="507"/>
        <v>7.039141414141417E-3</v>
      </c>
      <c r="AD1996" s="36">
        <f t="shared" si="507"/>
        <v>1.6035353535353573E-2</v>
      </c>
      <c r="AE1996" s="36">
        <f t="shared" si="507"/>
        <v>320</v>
      </c>
      <c r="AF1996" s="36">
        <f t="shared" si="507"/>
        <v>179</v>
      </c>
      <c r="AG1996" s="36" t="str">
        <f t="shared" si="507"/>
        <v>MTY</v>
      </c>
    </row>
    <row r="1997" spans="18:33" x14ac:dyDescent="0.25">
      <c r="R1997">
        <v>1983</v>
      </c>
      <c r="S1997" s="36" t="str">
        <f t="shared" si="502"/>
        <v>BARATA Y MORADA</v>
      </c>
      <c r="T1997" s="36">
        <f t="shared" si="502"/>
        <v>677</v>
      </c>
      <c r="U1997" s="73">
        <v>0.8881944444444444</v>
      </c>
      <c r="V1997" s="74">
        <v>0.89722222222222225</v>
      </c>
      <c r="W1997" s="75">
        <v>9.0277777777778567E-3</v>
      </c>
      <c r="X1997" s="74">
        <v>0.90902777777777777</v>
      </c>
      <c r="Y1997" s="75">
        <v>1.1805555555555514E-2</v>
      </c>
      <c r="Z1997" s="76">
        <v>41757</v>
      </c>
      <c r="AA1997" s="36" t="str">
        <f t="shared" si="507"/>
        <v>Nacional</v>
      </c>
      <c r="AB1997" s="36">
        <f t="shared" si="507"/>
        <v>8.9962121212121549E-3</v>
      </c>
      <c r="AC1997" s="36">
        <f t="shared" si="507"/>
        <v>7.039141414141417E-3</v>
      </c>
      <c r="AD1997" s="36">
        <f t="shared" si="507"/>
        <v>1.6035353535353573E-2</v>
      </c>
      <c r="AE1997" s="36">
        <f t="shared" si="507"/>
        <v>320</v>
      </c>
      <c r="AF1997" s="36">
        <f t="shared" si="507"/>
        <v>179</v>
      </c>
      <c r="AG1997" s="36" t="str">
        <f t="shared" si="507"/>
        <v>MTY</v>
      </c>
    </row>
    <row r="1998" spans="18:33" x14ac:dyDescent="0.25">
      <c r="R1998">
        <v>1984</v>
      </c>
      <c r="S1998" s="36" t="str">
        <f t="shared" si="502"/>
        <v>BARATA Y MORADA</v>
      </c>
      <c r="T1998" s="36">
        <f t="shared" si="502"/>
        <v>677</v>
      </c>
      <c r="U1998" s="73">
        <v>0.89166666666666661</v>
      </c>
      <c r="V1998" s="74">
        <v>0.90486111111111101</v>
      </c>
      <c r="W1998" s="75">
        <v>1.3194444444444398E-2</v>
      </c>
      <c r="X1998" s="74">
        <v>0.90694444444444444</v>
      </c>
      <c r="Y1998" s="75">
        <v>2.083333333333437E-3</v>
      </c>
      <c r="Z1998" s="76">
        <v>41759</v>
      </c>
      <c r="AA1998" s="36" t="str">
        <f t="shared" si="507"/>
        <v>Nacional</v>
      </c>
      <c r="AB1998" s="36">
        <f t="shared" si="507"/>
        <v>8.9962121212121549E-3</v>
      </c>
      <c r="AC1998" s="36">
        <f t="shared" si="507"/>
        <v>7.039141414141417E-3</v>
      </c>
      <c r="AD1998" s="36">
        <f t="shared" si="507"/>
        <v>1.6035353535353573E-2</v>
      </c>
      <c r="AE1998" s="36">
        <f t="shared" si="507"/>
        <v>320</v>
      </c>
      <c r="AF1998" s="36">
        <f t="shared" si="507"/>
        <v>179</v>
      </c>
      <c r="AG1998" s="36" t="str">
        <f t="shared" si="507"/>
        <v>MTY</v>
      </c>
    </row>
    <row r="1999" spans="18:33" ht="15.75" thickBot="1" x14ac:dyDescent="0.3">
      <c r="R1999">
        <v>1985</v>
      </c>
      <c r="S1999" s="36" t="str">
        <f t="shared" si="502"/>
        <v>BARATA Y MORADA</v>
      </c>
      <c r="T1999" s="36">
        <f t="shared" si="502"/>
        <v>677</v>
      </c>
      <c r="U1999" s="83">
        <v>0.89930555555555547</v>
      </c>
      <c r="V1999" s="84">
        <v>0.91388888888888886</v>
      </c>
      <c r="W1999" s="85">
        <v>1.4583333333333393E-2</v>
      </c>
      <c r="X1999" s="84">
        <v>0.92499999999999993</v>
      </c>
      <c r="Y1999" s="85">
        <v>1.1111111111111072E-2</v>
      </c>
      <c r="Z1999" s="86">
        <v>41759</v>
      </c>
      <c r="AA1999" s="36" t="str">
        <f t="shared" si="507"/>
        <v>Nacional</v>
      </c>
      <c r="AB1999" s="36">
        <f t="shared" si="507"/>
        <v>8.9962121212121549E-3</v>
      </c>
      <c r="AC1999" s="36">
        <f t="shared" si="507"/>
        <v>7.039141414141417E-3</v>
      </c>
      <c r="AD1999" s="36">
        <f t="shared" si="507"/>
        <v>1.6035353535353573E-2</v>
      </c>
      <c r="AE1999" s="36">
        <f t="shared" si="507"/>
        <v>320</v>
      </c>
      <c r="AF1999" s="36">
        <f t="shared" si="507"/>
        <v>179</v>
      </c>
      <c r="AG1999" s="36" t="str">
        <f t="shared" si="507"/>
        <v>MTY</v>
      </c>
    </row>
    <row r="2000" spans="18:33" x14ac:dyDescent="0.25">
      <c r="R2000">
        <v>1986</v>
      </c>
      <c r="S2000" s="36" t="str">
        <f t="shared" si="502"/>
        <v>BARATA Y MORADA</v>
      </c>
      <c r="T2000" s="55">
        <v>679</v>
      </c>
      <c r="U2000" s="56">
        <v>0.95694444444444438</v>
      </c>
      <c r="V2000" s="57">
        <v>0.96111111111111114</v>
      </c>
      <c r="W2000" s="58">
        <v>4.1666666666667629E-3</v>
      </c>
      <c r="X2000" s="57">
        <v>0.96180555555555547</v>
      </c>
      <c r="Y2000" s="58">
        <v>6.9444444444433095E-4</v>
      </c>
      <c r="Z2000" s="59">
        <v>41731</v>
      </c>
      <c r="AA2000" s="60" t="s">
        <v>19</v>
      </c>
      <c r="AB2000" s="61">
        <v>2.1031746031746051E-2</v>
      </c>
      <c r="AC2000" s="61">
        <v>6.6468253968254053E-3</v>
      </c>
      <c r="AD2000" s="231">
        <v>2.7678571428571455E-2</v>
      </c>
      <c r="AE2000" s="132" t="s">
        <v>57</v>
      </c>
      <c r="AF2000" s="132">
        <v>142</v>
      </c>
      <c r="AG2000" s="132" t="s">
        <v>33</v>
      </c>
    </row>
    <row r="2001" spans="18:33" x14ac:dyDescent="0.25">
      <c r="R2001">
        <v>1987</v>
      </c>
      <c r="S2001" s="36" t="str">
        <f t="shared" si="502"/>
        <v>BARATA Y MORADA</v>
      </c>
      <c r="T2001" s="36">
        <f t="shared" si="502"/>
        <v>679</v>
      </c>
      <c r="U2001" s="73">
        <v>0.90208333333333324</v>
      </c>
      <c r="V2001" s="74">
        <v>0.99930555555555556</v>
      </c>
      <c r="W2001" s="75">
        <v>9.7222222222222321E-2</v>
      </c>
      <c r="X2001" s="74">
        <v>1.0111111111111111</v>
      </c>
      <c r="Y2001" s="75">
        <v>1.1805555555555514E-2</v>
      </c>
      <c r="Z2001" s="76">
        <v>41734</v>
      </c>
      <c r="AA2001" s="36" t="str">
        <f t="shared" ref="AA2001:AG2006" si="508">AA2000</f>
        <v>Nacional</v>
      </c>
      <c r="AB2001" s="36">
        <f t="shared" si="508"/>
        <v>2.1031746031746051E-2</v>
      </c>
      <c r="AC2001" s="36">
        <f t="shared" si="508"/>
        <v>6.6468253968254053E-3</v>
      </c>
      <c r="AD2001" s="36">
        <f t="shared" si="508"/>
        <v>2.7678571428571455E-2</v>
      </c>
      <c r="AE2001" s="36" t="str">
        <f t="shared" si="508"/>
        <v>A319</v>
      </c>
      <c r="AF2001" s="36">
        <f t="shared" si="508"/>
        <v>142</v>
      </c>
      <c r="AG2001" s="36" t="str">
        <f t="shared" si="508"/>
        <v>CUU</v>
      </c>
    </row>
    <row r="2002" spans="18:33" x14ac:dyDescent="0.25">
      <c r="R2002">
        <v>1988</v>
      </c>
      <c r="S2002" s="36" t="str">
        <f t="shared" si="502"/>
        <v>BARATA Y MORADA</v>
      </c>
      <c r="T2002" s="36">
        <f t="shared" si="502"/>
        <v>679</v>
      </c>
      <c r="U2002" s="73">
        <v>0.9555555555555556</v>
      </c>
      <c r="V2002" s="74">
        <v>0.96180555555555547</v>
      </c>
      <c r="W2002" s="75">
        <v>6.2499999999998668E-3</v>
      </c>
      <c r="X2002" s="74">
        <v>0.96944444444444444</v>
      </c>
      <c r="Y2002" s="75">
        <v>7.6388888888889728E-3</v>
      </c>
      <c r="Z2002" s="76">
        <v>41738</v>
      </c>
      <c r="AA2002" s="36" t="str">
        <f t="shared" si="508"/>
        <v>Nacional</v>
      </c>
      <c r="AB2002" s="36">
        <f t="shared" si="508"/>
        <v>2.1031746031746051E-2</v>
      </c>
      <c r="AC2002" s="36">
        <f t="shared" si="508"/>
        <v>6.6468253968254053E-3</v>
      </c>
      <c r="AD2002" s="36">
        <f t="shared" si="508"/>
        <v>2.7678571428571455E-2</v>
      </c>
      <c r="AE2002" s="36" t="str">
        <f t="shared" si="508"/>
        <v>A319</v>
      </c>
      <c r="AF2002" s="36">
        <f t="shared" si="508"/>
        <v>142</v>
      </c>
      <c r="AG2002" s="36" t="str">
        <f t="shared" si="508"/>
        <v>CUU</v>
      </c>
    </row>
    <row r="2003" spans="18:33" x14ac:dyDescent="0.25">
      <c r="R2003">
        <v>1989</v>
      </c>
      <c r="S2003" s="36" t="str">
        <f t="shared" si="502"/>
        <v>BARATA Y MORADA</v>
      </c>
      <c r="T2003" s="36">
        <f t="shared" si="502"/>
        <v>679</v>
      </c>
      <c r="U2003" s="73">
        <v>0.95624999999999993</v>
      </c>
      <c r="V2003" s="74">
        <v>0.96666666666666667</v>
      </c>
      <c r="W2003" s="75">
        <v>1.0416666666666741E-2</v>
      </c>
      <c r="X2003" s="74">
        <v>0.97013888888888899</v>
      </c>
      <c r="Y2003" s="75">
        <v>3.4722222222223209E-3</v>
      </c>
      <c r="Z2003" s="76">
        <v>41745</v>
      </c>
      <c r="AA2003" s="36" t="str">
        <f t="shared" si="508"/>
        <v>Nacional</v>
      </c>
      <c r="AB2003" s="36">
        <f t="shared" si="508"/>
        <v>2.1031746031746051E-2</v>
      </c>
      <c r="AC2003" s="36">
        <f t="shared" si="508"/>
        <v>6.6468253968254053E-3</v>
      </c>
      <c r="AD2003" s="36">
        <f t="shared" si="508"/>
        <v>2.7678571428571455E-2</v>
      </c>
      <c r="AE2003" s="36" t="str">
        <f t="shared" si="508"/>
        <v>A319</v>
      </c>
      <c r="AF2003" s="36">
        <f t="shared" si="508"/>
        <v>142</v>
      </c>
      <c r="AG2003" s="36" t="str">
        <f t="shared" si="508"/>
        <v>CUU</v>
      </c>
    </row>
    <row r="2004" spans="18:33" x14ac:dyDescent="0.25">
      <c r="R2004">
        <v>1990</v>
      </c>
      <c r="S2004" s="36" t="str">
        <f t="shared" si="502"/>
        <v>BARATA Y MORADA</v>
      </c>
      <c r="T2004" s="36">
        <f t="shared" si="502"/>
        <v>679</v>
      </c>
      <c r="U2004" s="73">
        <v>0.96666666666666667</v>
      </c>
      <c r="V2004" s="74">
        <v>0.97430555555555554</v>
      </c>
      <c r="W2004" s="75">
        <v>7.6388888888888618E-3</v>
      </c>
      <c r="X2004" s="74">
        <v>0.98611111111111116</v>
      </c>
      <c r="Y2004" s="75">
        <v>1.1805555555555625E-2</v>
      </c>
      <c r="Z2004" s="76">
        <v>41749</v>
      </c>
      <c r="AA2004" s="36" t="str">
        <f t="shared" si="508"/>
        <v>Nacional</v>
      </c>
      <c r="AB2004" s="36">
        <f t="shared" si="508"/>
        <v>2.1031746031746051E-2</v>
      </c>
      <c r="AC2004" s="36">
        <f t="shared" si="508"/>
        <v>6.6468253968254053E-3</v>
      </c>
      <c r="AD2004" s="36">
        <f t="shared" si="508"/>
        <v>2.7678571428571455E-2</v>
      </c>
      <c r="AE2004" s="36" t="str">
        <f t="shared" si="508"/>
        <v>A319</v>
      </c>
      <c r="AF2004" s="36">
        <f t="shared" si="508"/>
        <v>142</v>
      </c>
      <c r="AG2004" s="36" t="str">
        <f t="shared" si="508"/>
        <v>CUU</v>
      </c>
    </row>
    <row r="2005" spans="18:33" x14ac:dyDescent="0.25">
      <c r="R2005">
        <v>1991</v>
      </c>
      <c r="S2005" s="36" t="str">
        <f t="shared" si="502"/>
        <v>BARATA Y MORADA</v>
      </c>
      <c r="T2005" s="36">
        <f t="shared" si="502"/>
        <v>679</v>
      </c>
      <c r="U2005" s="73">
        <v>0.9604166666666667</v>
      </c>
      <c r="V2005" s="74">
        <v>0.96875</v>
      </c>
      <c r="W2005" s="75">
        <v>8.3333333333333037E-3</v>
      </c>
      <c r="X2005" s="74">
        <v>0.97777777777777775</v>
      </c>
      <c r="Y2005" s="75">
        <v>9.0277777777777457E-3</v>
      </c>
      <c r="Z2005" s="76">
        <v>41755</v>
      </c>
      <c r="AA2005" s="36" t="str">
        <f t="shared" si="508"/>
        <v>Nacional</v>
      </c>
      <c r="AB2005" s="36">
        <f t="shared" si="508"/>
        <v>2.1031746031746051E-2</v>
      </c>
      <c r="AC2005" s="36">
        <f t="shared" si="508"/>
        <v>6.6468253968254053E-3</v>
      </c>
      <c r="AD2005" s="36">
        <f t="shared" si="508"/>
        <v>2.7678571428571455E-2</v>
      </c>
      <c r="AE2005" s="36" t="str">
        <f t="shared" si="508"/>
        <v>A319</v>
      </c>
      <c r="AF2005" s="36">
        <f t="shared" si="508"/>
        <v>142</v>
      </c>
      <c r="AG2005" s="36" t="str">
        <f t="shared" si="508"/>
        <v>CUU</v>
      </c>
    </row>
    <row r="2006" spans="18:33" ht="15.75" thickBot="1" x14ac:dyDescent="0.3">
      <c r="R2006">
        <v>1992</v>
      </c>
      <c r="S2006" s="36" t="str">
        <f t="shared" si="502"/>
        <v>BARATA Y MORADA</v>
      </c>
      <c r="T2006" s="36">
        <f t="shared" si="502"/>
        <v>679</v>
      </c>
      <c r="U2006" s="83">
        <v>0.96458333333333324</v>
      </c>
      <c r="V2006" s="84">
        <v>0.97777777777777775</v>
      </c>
      <c r="W2006" s="85">
        <v>1.3194444444444509E-2</v>
      </c>
      <c r="X2006" s="84">
        <v>0.97986111111111107</v>
      </c>
      <c r="Y2006" s="85">
        <v>2.0833333333333259E-3</v>
      </c>
      <c r="Z2006" s="86">
        <v>41759</v>
      </c>
      <c r="AA2006" s="36" t="str">
        <f t="shared" si="508"/>
        <v>Nacional</v>
      </c>
      <c r="AB2006" s="36">
        <f t="shared" si="508"/>
        <v>2.1031746031746051E-2</v>
      </c>
      <c r="AC2006" s="36">
        <f t="shared" si="508"/>
        <v>6.6468253968254053E-3</v>
      </c>
      <c r="AD2006" s="36">
        <f t="shared" si="508"/>
        <v>2.7678571428571455E-2</v>
      </c>
      <c r="AE2006" s="36" t="str">
        <f t="shared" si="508"/>
        <v>A319</v>
      </c>
      <c r="AF2006" s="36">
        <f t="shared" si="508"/>
        <v>142</v>
      </c>
      <c r="AG2006" s="36" t="str">
        <f t="shared" si="508"/>
        <v>CUU</v>
      </c>
    </row>
    <row r="2007" spans="18:33" x14ac:dyDescent="0.25">
      <c r="R2007">
        <v>1993</v>
      </c>
      <c r="S2007" s="45" t="s">
        <v>77</v>
      </c>
      <c r="T2007" s="55">
        <v>680</v>
      </c>
      <c r="U2007" s="56">
        <v>0.46388888888888885</v>
      </c>
      <c r="V2007" s="57">
        <v>0.47430555555555554</v>
      </c>
      <c r="W2007" s="58">
        <v>1.0416666666666685E-2</v>
      </c>
      <c r="X2007" s="57">
        <v>0.47986111111111113</v>
      </c>
      <c r="Y2007" s="58">
        <v>5.5555555555555913E-3</v>
      </c>
      <c r="Z2007" s="59">
        <v>41730</v>
      </c>
      <c r="AA2007" s="60" t="s">
        <v>19</v>
      </c>
      <c r="AB2007" s="61">
        <v>7.7160493827160559E-3</v>
      </c>
      <c r="AC2007" s="61">
        <v>1.0802469135802481E-2</v>
      </c>
      <c r="AD2007" s="231">
        <v>1.8518518518518538E-2</v>
      </c>
      <c r="AE2007" s="132" t="s">
        <v>57</v>
      </c>
      <c r="AF2007" s="132">
        <v>142</v>
      </c>
      <c r="AG2007" s="132" t="s">
        <v>42</v>
      </c>
    </row>
    <row r="2008" spans="18:33" x14ac:dyDescent="0.25">
      <c r="R2008">
        <v>1994</v>
      </c>
      <c r="S2008" s="36" t="str">
        <f t="shared" ref="S2008:T2071" si="509">S2007</f>
        <v>BARATA Y MORADA</v>
      </c>
      <c r="T2008" s="36">
        <f t="shared" si="509"/>
        <v>680</v>
      </c>
      <c r="U2008" s="73">
        <v>0.4770833333333333</v>
      </c>
      <c r="V2008" s="74">
        <v>0.4861111111111111</v>
      </c>
      <c r="W2008" s="75">
        <v>9.0277777777778012E-3</v>
      </c>
      <c r="X2008" s="74">
        <v>0.4916666666666667</v>
      </c>
      <c r="Y2008" s="75">
        <v>5.5555555555555913E-3</v>
      </c>
      <c r="Z2008" s="76">
        <v>41731</v>
      </c>
      <c r="AA2008" s="36" t="str">
        <f t="shared" ref="AA2008:AG2024" si="510">AA2007</f>
        <v>Nacional</v>
      </c>
      <c r="AB2008" s="36">
        <f t="shared" si="510"/>
        <v>7.7160493827160559E-3</v>
      </c>
      <c r="AC2008" s="36">
        <f t="shared" si="510"/>
        <v>1.0802469135802481E-2</v>
      </c>
      <c r="AD2008" s="36">
        <f t="shared" si="510"/>
        <v>1.8518518518518538E-2</v>
      </c>
      <c r="AE2008" s="36" t="str">
        <f t="shared" si="510"/>
        <v>A319</v>
      </c>
      <c r="AF2008" s="36">
        <f t="shared" si="510"/>
        <v>142</v>
      </c>
      <c r="AG2008" s="36" t="str">
        <f t="shared" si="510"/>
        <v>LAP</v>
      </c>
    </row>
    <row r="2009" spans="18:33" x14ac:dyDescent="0.25">
      <c r="R2009">
        <v>1995</v>
      </c>
      <c r="S2009" s="36" t="str">
        <f t="shared" si="509"/>
        <v>BARATA Y MORADA</v>
      </c>
      <c r="T2009" s="36">
        <f t="shared" si="509"/>
        <v>680</v>
      </c>
      <c r="U2009" s="73">
        <v>0.47569444444444442</v>
      </c>
      <c r="V2009" s="74">
        <v>0.48680555555555555</v>
      </c>
      <c r="W2009" s="75">
        <v>1.1111111111111127E-2</v>
      </c>
      <c r="X2009" s="74">
        <v>0.49652777777777773</v>
      </c>
      <c r="Y2009" s="75">
        <v>9.7222222222221877E-3</v>
      </c>
      <c r="Z2009" s="76">
        <v>41732</v>
      </c>
      <c r="AA2009" s="36" t="str">
        <f t="shared" si="510"/>
        <v>Nacional</v>
      </c>
      <c r="AB2009" s="36">
        <f t="shared" si="510"/>
        <v>7.7160493827160559E-3</v>
      </c>
      <c r="AC2009" s="36">
        <f t="shared" si="510"/>
        <v>1.0802469135802481E-2</v>
      </c>
      <c r="AD2009" s="36">
        <f t="shared" si="510"/>
        <v>1.8518518518518538E-2</v>
      </c>
      <c r="AE2009" s="36" t="str">
        <f t="shared" si="510"/>
        <v>A319</v>
      </c>
      <c r="AF2009" s="36">
        <f t="shared" si="510"/>
        <v>142</v>
      </c>
      <c r="AG2009" s="36" t="str">
        <f t="shared" si="510"/>
        <v>LAP</v>
      </c>
    </row>
    <row r="2010" spans="18:33" x14ac:dyDescent="0.25">
      <c r="R2010">
        <v>1996</v>
      </c>
      <c r="S2010" s="36" t="str">
        <f t="shared" si="509"/>
        <v>BARATA Y MORADA</v>
      </c>
      <c r="T2010" s="36">
        <f t="shared" si="509"/>
        <v>680</v>
      </c>
      <c r="U2010" s="73">
        <v>0.4375</v>
      </c>
      <c r="V2010" s="74">
        <v>0.44305555555555554</v>
      </c>
      <c r="W2010" s="75">
        <v>5.5555555555555358E-3</v>
      </c>
      <c r="X2010" s="74">
        <v>0.48125000000000001</v>
      </c>
      <c r="Y2010" s="75">
        <v>3.8194444444444475E-2</v>
      </c>
      <c r="Z2010" s="76">
        <v>41735</v>
      </c>
      <c r="AA2010" s="36" t="str">
        <f t="shared" si="510"/>
        <v>Nacional</v>
      </c>
      <c r="AB2010" s="36">
        <f t="shared" si="510"/>
        <v>7.7160493827160559E-3</v>
      </c>
      <c r="AC2010" s="36">
        <f t="shared" si="510"/>
        <v>1.0802469135802481E-2</v>
      </c>
      <c r="AD2010" s="36">
        <f t="shared" si="510"/>
        <v>1.8518518518518538E-2</v>
      </c>
      <c r="AE2010" s="36" t="str">
        <f t="shared" si="510"/>
        <v>A319</v>
      </c>
      <c r="AF2010" s="36">
        <f t="shared" si="510"/>
        <v>142</v>
      </c>
      <c r="AG2010" s="36" t="str">
        <f t="shared" si="510"/>
        <v>LAP</v>
      </c>
    </row>
    <row r="2011" spans="18:33" x14ac:dyDescent="0.25">
      <c r="R2011">
        <v>1997</v>
      </c>
      <c r="S2011" s="36" t="str">
        <f t="shared" si="509"/>
        <v>BARATA Y MORADA</v>
      </c>
      <c r="T2011" s="36">
        <f t="shared" si="509"/>
        <v>680</v>
      </c>
      <c r="U2011" s="73">
        <v>0.4597222222222222</v>
      </c>
      <c r="V2011" s="74">
        <v>0.47361111111111115</v>
      </c>
      <c r="W2011" s="75">
        <v>1.3888888888888951E-2</v>
      </c>
      <c r="X2011" s="74">
        <v>0.48958333333333331</v>
      </c>
      <c r="Y2011" s="75">
        <v>1.5972222222222165E-2</v>
      </c>
      <c r="Z2011" s="76">
        <v>41737</v>
      </c>
      <c r="AA2011" s="36" t="str">
        <f t="shared" si="510"/>
        <v>Nacional</v>
      </c>
      <c r="AB2011" s="36">
        <f t="shared" si="510"/>
        <v>7.7160493827160559E-3</v>
      </c>
      <c r="AC2011" s="36">
        <f t="shared" si="510"/>
        <v>1.0802469135802481E-2</v>
      </c>
      <c r="AD2011" s="36">
        <f t="shared" si="510"/>
        <v>1.8518518518518538E-2</v>
      </c>
      <c r="AE2011" s="36" t="str">
        <f t="shared" si="510"/>
        <v>A319</v>
      </c>
      <c r="AF2011" s="36">
        <f t="shared" si="510"/>
        <v>142</v>
      </c>
      <c r="AG2011" s="36" t="str">
        <f t="shared" si="510"/>
        <v>LAP</v>
      </c>
    </row>
    <row r="2012" spans="18:33" x14ac:dyDescent="0.25">
      <c r="R2012">
        <v>1998</v>
      </c>
      <c r="S2012" s="36" t="str">
        <f t="shared" si="509"/>
        <v>BARATA Y MORADA</v>
      </c>
      <c r="T2012" s="36">
        <f t="shared" si="509"/>
        <v>680</v>
      </c>
      <c r="U2012" s="73">
        <v>0.46597222222222223</v>
      </c>
      <c r="V2012" s="74">
        <v>0.47361111111111115</v>
      </c>
      <c r="W2012" s="75">
        <v>7.6388888888889173E-3</v>
      </c>
      <c r="X2012" s="74">
        <v>0.47916666666666669</v>
      </c>
      <c r="Y2012" s="75">
        <v>5.5555555555555358E-3</v>
      </c>
      <c r="Z2012" s="76">
        <v>41738</v>
      </c>
      <c r="AA2012" s="36" t="str">
        <f t="shared" si="510"/>
        <v>Nacional</v>
      </c>
      <c r="AB2012" s="36">
        <f t="shared" si="510"/>
        <v>7.7160493827160559E-3</v>
      </c>
      <c r="AC2012" s="36">
        <f t="shared" si="510"/>
        <v>1.0802469135802481E-2</v>
      </c>
      <c r="AD2012" s="36">
        <f t="shared" si="510"/>
        <v>1.8518518518518538E-2</v>
      </c>
      <c r="AE2012" s="36" t="str">
        <f t="shared" si="510"/>
        <v>A319</v>
      </c>
      <c r="AF2012" s="36">
        <f t="shared" si="510"/>
        <v>142</v>
      </c>
      <c r="AG2012" s="36" t="str">
        <f t="shared" si="510"/>
        <v>LAP</v>
      </c>
    </row>
    <row r="2013" spans="18:33" x14ac:dyDescent="0.25">
      <c r="R2013">
        <v>1999</v>
      </c>
      <c r="S2013" s="36" t="str">
        <f t="shared" si="509"/>
        <v>BARATA Y MORADA</v>
      </c>
      <c r="T2013" s="36">
        <f t="shared" si="509"/>
        <v>680</v>
      </c>
      <c r="U2013" s="73">
        <v>0.47569444444444442</v>
      </c>
      <c r="V2013" s="74">
        <v>0.48333333333333334</v>
      </c>
      <c r="W2013" s="75">
        <v>7.6388888888889173E-3</v>
      </c>
      <c r="X2013" s="74">
        <v>0.49305555555555558</v>
      </c>
      <c r="Y2013" s="75">
        <v>9.7222222222222432E-3</v>
      </c>
      <c r="Z2013" s="76">
        <v>41739</v>
      </c>
      <c r="AA2013" s="36" t="str">
        <f t="shared" si="510"/>
        <v>Nacional</v>
      </c>
      <c r="AB2013" s="36">
        <f t="shared" si="510"/>
        <v>7.7160493827160559E-3</v>
      </c>
      <c r="AC2013" s="36">
        <f t="shared" si="510"/>
        <v>1.0802469135802481E-2</v>
      </c>
      <c r="AD2013" s="36">
        <f t="shared" si="510"/>
        <v>1.8518518518518538E-2</v>
      </c>
      <c r="AE2013" s="36" t="str">
        <f t="shared" si="510"/>
        <v>A319</v>
      </c>
      <c r="AF2013" s="36">
        <f t="shared" si="510"/>
        <v>142</v>
      </c>
      <c r="AG2013" s="36" t="str">
        <f t="shared" si="510"/>
        <v>LAP</v>
      </c>
    </row>
    <row r="2014" spans="18:33" x14ac:dyDescent="0.25">
      <c r="R2014">
        <v>2000</v>
      </c>
      <c r="S2014" s="36" t="str">
        <f t="shared" si="509"/>
        <v>BARATA Y MORADA</v>
      </c>
      <c r="T2014" s="36">
        <f t="shared" si="509"/>
        <v>680</v>
      </c>
      <c r="U2014" s="73">
        <v>0.90208333333333324</v>
      </c>
      <c r="V2014" s="74">
        <v>0.91180555555555554</v>
      </c>
      <c r="W2014" s="75">
        <v>9.7222222222222987E-3</v>
      </c>
      <c r="X2014" s="74">
        <v>0.92083333333333339</v>
      </c>
      <c r="Y2014" s="75">
        <v>9.0277777777778567E-3</v>
      </c>
      <c r="Z2014" s="76">
        <v>41741</v>
      </c>
      <c r="AA2014" s="36" t="str">
        <f t="shared" si="510"/>
        <v>Nacional</v>
      </c>
      <c r="AB2014" s="36">
        <f t="shared" si="510"/>
        <v>7.7160493827160559E-3</v>
      </c>
      <c r="AC2014" s="36">
        <f t="shared" si="510"/>
        <v>1.0802469135802481E-2</v>
      </c>
      <c r="AD2014" s="36">
        <f t="shared" si="510"/>
        <v>1.8518518518518538E-2</v>
      </c>
      <c r="AE2014" s="36" t="str">
        <f t="shared" si="510"/>
        <v>A319</v>
      </c>
      <c r="AF2014" s="36">
        <f t="shared" si="510"/>
        <v>142</v>
      </c>
      <c r="AG2014" s="36" t="str">
        <f t="shared" si="510"/>
        <v>LAP</v>
      </c>
    </row>
    <row r="2015" spans="18:33" x14ac:dyDescent="0.25">
      <c r="R2015">
        <v>2001</v>
      </c>
      <c r="S2015" s="36" t="str">
        <f t="shared" si="509"/>
        <v>BARATA Y MORADA</v>
      </c>
      <c r="T2015" s="36">
        <f t="shared" si="509"/>
        <v>680</v>
      </c>
      <c r="U2015" s="73">
        <v>0.46388888888888885</v>
      </c>
      <c r="V2015" s="74">
        <v>0.47430555555555554</v>
      </c>
      <c r="W2015" s="75">
        <v>1.0416666666666685E-2</v>
      </c>
      <c r="X2015" s="74">
        <v>0.47986111111111113</v>
      </c>
      <c r="Y2015" s="75">
        <v>5.5555555555555913E-3</v>
      </c>
      <c r="Z2015" s="76">
        <v>41742</v>
      </c>
      <c r="AA2015" s="36" t="str">
        <f t="shared" si="510"/>
        <v>Nacional</v>
      </c>
      <c r="AB2015" s="36">
        <f t="shared" si="510"/>
        <v>7.7160493827160559E-3</v>
      </c>
      <c r="AC2015" s="36">
        <f t="shared" si="510"/>
        <v>1.0802469135802481E-2</v>
      </c>
      <c r="AD2015" s="36">
        <f t="shared" si="510"/>
        <v>1.8518518518518538E-2</v>
      </c>
      <c r="AE2015" s="36" t="str">
        <f t="shared" si="510"/>
        <v>A319</v>
      </c>
      <c r="AF2015" s="36">
        <f t="shared" si="510"/>
        <v>142</v>
      </c>
      <c r="AG2015" s="36" t="str">
        <f t="shared" si="510"/>
        <v>LAP</v>
      </c>
    </row>
    <row r="2016" spans="18:33" x14ac:dyDescent="0.25">
      <c r="R2016">
        <v>2002</v>
      </c>
      <c r="S2016" s="36" t="str">
        <f t="shared" si="509"/>
        <v>BARATA Y MORADA</v>
      </c>
      <c r="T2016" s="36">
        <f t="shared" si="509"/>
        <v>680</v>
      </c>
      <c r="U2016" s="73">
        <v>0.47083333333333338</v>
      </c>
      <c r="V2016" s="74">
        <v>0.47916666666666669</v>
      </c>
      <c r="W2016" s="75">
        <v>8.3333333333333037E-3</v>
      </c>
      <c r="X2016" s="74">
        <v>0.4916666666666667</v>
      </c>
      <c r="Y2016" s="75">
        <v>1.2500000000000011E-2</v>
      </c>
      <c r="Z2016" s="76">
        <v>41744</v>
      </c>
      <c r="AA2016" s="36" t="str">
        <f t="shared" si="510"/>
        <v>Nacional</v>
      </c>
      <c r="AB2016" s="36">
        <f t="shared" si="510"/>
        <v>7.7160493827160559E-3</v>
      </c>
      <c r="AC2016" s="36">
        <f t="shared" si="510"/>
        <v>1.0802469135802481E-2</v>
      </c>
      <c r="AD2016" s="36">
        <f t="shared" si="510"/>
        <v>1.8518518518518538E-2</v>
      </c>
      <c r="AE2016" s="36" t="str">
        <f t="shared" si="510"/>
        <v>A319</v>
      </c>
      <c r="AF2016" s="36">
        <f t="shared" si="510"/>
        <v>142</v>
      </c>
      <c r="AG2016" s="36" t="str">
        <f t="shared" si="510"/>
        <v>LAP</v>
      </c>
    </row>
    <row r="2017" spans="18:33" x14ac:dyDescent="0.25">
      <c r="R2017">
        <v>2003</v>
      </c>
      <c r="S2017" s="36" t="str">
        <f t="shared" si="509"/>
        <v>BARATA Y MORADA</v>
      </c>
      <c r="T2017" s="36">
        <f t="shared" si="509"/>
        <v>680</v>
      </c>
      <c r="U2017" s="73">
        <v>0.4236111111111111</v>
      </c>
      <c r="V2017" s="74">
        <v>0.42499999999999999</v>
      </c>
      <c r="W2017" s="75">
        <v>1.388888888888884E-3</v>
      </c>
      <c r="X2017" s="74">
        <v>0.4381944444444445</v>
      </c>
      <c r="Y2017" s="75">
        <v>1.3194444444444509E-2</v>
      </c>
      <c r="Z2017" s="76">
        <v>41746</v>
      </c>
      <c r="AA2017" s="36" t="str">
        <f t="shared" si="510"/>
        <v>Nacional</v>
      </c>
      <c r="AB2017" s="36">
        <f t="shared" si="510"/>
        <v>7.7160493827160559E-3</v>
      </c>
      <c r="AC2017" s="36">
        <f t="shared" si="510"/>
        <v>1.0802469135802481E-2</v>
      </c>
      <c r="AD2017" s="36">
        <f t="shared" si="510"/>
        <v>1.8518518518518538E-2</v>
      </c>
      <c r="AE2017" s="36" t="str">
        <f t="shared" si="510"/>
        <v>A319</v>
      </c>
      <c r="AF2017" s="36">
        <f t="shared" si="510"/>
        <v>142</v>
      </c>
      <c r="AG2017" s="36" t="str">
        <f t="shared" si="510"/>
        <v>LAP</v>
      </c>
    </row>
    <row r="2018" spans="18:33" x14ac:dyDescent="0.25">
      <c r="R2018">
        <v>2004</v>
      </c>
      <c r="S2018" s="36" t="str">
        <f t="shared" si="509"/>
        <v>BARATA Y MORADA</v>
      </c>
      <c r="T2018" s="36">
        <f t="shared" si="509"/>
        <v>680</v>
      </c>
      <c r="U2018" s="73">
        <v>0.4694444444444445</v>
      </c>
      <c r="V2018" s="74">
        <v>0.4777777777777778</v>
      </c>
      <c r="W2018" s="75">
        <v>8.3333333333333037E-3</v>
      </c>
      <c r="X2018" s="74">
        <v>0.48749999999999999</v>
      </c>
      <c r="Y2018" s="75">
        <v>9.7222222222221877E-3</v>
      </c>
      <c r="Z2018" s="76">
        <v>41748</v>
      </c>
      <c r="AA2018" s="36" t="str">
        <f t="shared" si="510"/>
        <v>Nacional</v>
      </c>
      <c r="AB2018" s="36">
        <f t="shared" si="510"/>
        <v>7.7160493827160559E-3</v>
      </c>
      <c r="AC2018" s="36">
        <f t="shared" si="510"/>
        <v>1.0802469135802481E-2</v>
      </c>
      <c r="AD2018" s="36">
        <f t="shared" si="510"/>
        <v>1.8518518518518538E-2</v>
      </c>
      <c r="AE2018" s="36" t="str">
        <f t="shared" si="510"/>
        <v>A319</v>
      </c>
      <c r="AF2018" s="36">
        <f t="shared" si="510"/>
        <v>142</v>
      </c>
      <c r="AG2018" s="36" t="str">
        <f t="shared" si="510"/>
        <v>LAP</v>
      </c>
    </row>
    <row r="2019" spans="18:33" x14ac:dyDescent="0.25">
      <c r="R2019">
        <v>2005</v>
      </c>
      <c r="S2019" s="36" t="str">
        <f t="shared" si="509"/>
        <v>BARATA Y MORADA</v>
      </c>
      <c r="T2019" s="36">
        <f t="shared" si="509"/>
        <v>680</v>
      </c>
      <c r="U2019" s="73">
        <v>0.47430555555555554</v>
      </c>
      <c r="V2019" s="74">
        <v>0.4770833333333333</v>
      </c>
      <c r="W2019" s="75">
        <v>2.7777777777777679E-3</v>
      </c>
      <c r="X2019" s="74">
        <v>0.48333333333333334</v>
      </c>
      <c r="Y2019" s="75">
        <v>6.2500000000000333E-3</v>
      </c>
      <c r="Z2019" s="76">
        <v>41749</v>
      </c>
      <c r="AA2019" s="36" t="str">
        <f t="shared" si="510"/>
        <v>Nacional</v>
      </c>
      <c r="AB2019" s="36">
        <f t="shared" si="510"/>
        <v>7.7160493827160559E-3</v>
      </c>
      <c r="AC2019" s="36">
        <f t="shared" si="510"/>
        <v>1.0802469135802481E-2</v>
      </c>
      <c r="AD2019" s="36">
        <f t="shared" si="510"/>
        <v>1.8518518518518538E-2</v>
      </c>
      <c r="AE2019" s="36" t="str">
        <f t="shared" si="510"/>
        <v>A319</v>
      </c>
      <c r="AF2019" s="36">
        <f t="shared" si="510"/>
        <v>142</v>
      </c>
      <c r="AG2019" s="36" t="str">
        <f t="shared" si="510"/>
        <v>LAP</v>
      </c>
    </row>
    <row r="2020" spans="18:33" x14ac:dyDescent="0.25">
      <c r="R2020">
        <v>2006</v>
      </c>
      <c r="S2020" s="36" t="str">
        <f t="shared" si="509"/>
        <v>BARATA Y MORADA</v>
      </c>
      <c r="T2020" s="36">
        <f t="shared" si="509"/>
        <v>680</v>
      </c>
      <c r="U2020" s="73">
        <v>0.47291666666666665</v>
      </c>
      <c r="V2020" s="74">
        <v>0.4777777777777778</v>
      </c>
      <c r="W2020" s="75">
        <v>4.8611111111111494E-3</v>
      </c>
      <c r="X2020" s="74">
        <v>0.48749999999999999</v>
      </c>
      <c r="Y2020" s="75">
        <v>9.7222222222221877E-3</v>
      </c>
      <c r="Z2020" s="76">
        <v>41751</v>
      </c>
      <c r="AA2020" s="36" t="str">
        <f t="shared" si="510"/>
        <v>Nacional</v>
      </c>
      <c r="AB2020" s="36">
        <f t="shared" si="510"/>
        <v>7.7160493827160559E-3</v>
      </c>
      <c r="AC2020" s="36">
        <f t="shared" si="510"/>
        <v>1.0802469135802481E-2</v>
      </c>
      <c r="AD2020" s="36">
        <f t="shared" si="510"/>
        <v>1.8518518518518538E-2</v>
      </c>
      <c r="AE2020" s="36" t="str">
        <f t="shared" si="510"/>
        <v>A319</v>
      </c>
      <c r="AF2020" s="36">
        <f t="shared" si="510"/>
        <v>142</v>
      </c>
      <c r="AG2020" s="36" t="str">
        <f t="shared" si="510"/>
        <v>LAP</v>
      </c>
    </row>
    <row r="2021" spans="18:33" x14ac:dyDescent="0.25">
      <c r="R2021">
        <v>2007</v>
      </c>
      <c r="S2021" s="36" t="str">
        <f t="shared" si="509"/>
        <v>BARATA Y MORADA</v>
      </c>
      <c r="T2021" s="36">
        <f t="shared" si="509"/>
        <v>680</v>
      </c>
      <c r="U2021" s="73">
        <v>0.47083333333333338</v>
      </c>
      <c r="V2021" s="74">
        <v>0.47986111111111113</v>
      </c>
      <c r="W2021" s="75">
        <v>9.0277777777777457E-3</v>
      </c>
      <c r="X2021" s="74">
        <v>0.48958333333333331</v>
      </c>
      <c r="Y2021" s="75">
        <v>9.7222222222221877E-3</v>
      </c>
      <c r="Z2021" s="76">
        <v>41753</v>
      </c>
      <c r="AA2021" s="36" t="str">
        <f t="shared" si="510"/>
        <v>Nacional</v>
      </c>
      <c r="AB2021" s="36">
        <f t="shared" si="510"/>
        <v>7.7160493827160559E-3</v>
      </c>
      <c r="AC2021" s="36">
        <f t="shared" si="510"/>
        <v>1.0802469135802481E-2</v>
      </c>
      <c r="AD2021" s="36">
        <f t="shared" si="510"/>
        <v>1.8518518518518538E-2</v>
      </c>
      <c r="AE2021" s="36" t="str">
        <f t="shared" si="510"/>
        <v>A319</v>
      </c>
      <c r="AF2021" s="36">
        <f t="shared" si="510"/>
        <v>142</v>
      </c>
      <c r="AG2021" s="36" t="str">
        <f t="shared" si="510"/>
        <v>LAP</v>
      </c>
    </row>
    <row r="2022" spans="18:33" x14ac:dyDescent="0.25">
      <c r="R2022">
        <v>2008</v>
      </c>
      <c r="S2022" s="36" t="str">
        <f t="shared" si="509"/>
        <v>BARATA Y MORADA</v>
      </c>
      <c r="T2022" s="36">
        <f t="shared" si="509"/>
        <v>680</v>
      </c>
      <c r="U2022" s="73">
        <v>0.47569444444444442</v>
      </c>
      <c r="V2022" s="74">
        <v>0.47986111111111113</v>
      </c>
      <c r="W2022" s="75">
        <v>4.1666666666667074E-3</v>
      </c>
      <c r="X2022" s="74">
        <v>0.48472222222222222</v>
      </c>
      <c r="Y2022" s="75">
        <v>4.8611111111110938E-3</v>
      </c>
      <c r="Z2022" s="76">
        <v>41756</v>
      </c>
      <c r="AA2022" s="36" t="str">
        <f t="shared" si="510"/>
        <v>Nacional</v>
      </c>
      <c r="AB2022" s="36">
        <f t="shared" si="510"/>
        <v>7.7160493827160559E-3</v>
      </c>
      <c r="AC2022" s="36">
        <f t="shared" si="510"/>
        <v>1.0802469135802481E-2</v>
      </c>
      <c r="AD2022" s="36">
        <f t="shared" si="510"/>
        <v>1.8518518518518538E-2</v>
      </c>
      <c r="AE2022" s="36" t="str">
        <f t="shared" si="510"/>
        <v>A319</v>
      </c>
      <c r="AF2022" s="36">
        <f t="shared" si="510"/>
        <v>142</v>
      </c>
      <c r="AG2022" s="36" t="str">
        <f t="shared" si="510"/>
        <v>LAP</v>
      </c>
    </row>
    <row r="2023" spans="18:33" x14ac:dyDescent="0.25">
      <c r="R2023">
        <v>2009</v>
      </c>
      <c r="S2023" s="36" t="str">
        <f t="shared" si="509"/>
        <v>BARATA Y MORADA</v>
      </c>
      <c r="T2023" s="36">
        <f t="shared" si="509"/>
        <v>680</v>
      </c>
      <c r="U2023" s="73">
        <v>0.47083333333333338</v>
      </c>
      <c r="V2023" s="74">
        <v>0.47847222222222219</v>
      </c>
      <c r="W2023" s="75">
        <v>7.6388888888888062E-3</v>
      </c>
      <c r="X2023" s="74">
        <v>0.4916666666666667</v>
      </c>
      <c r="Y2023" s="75">
        <v>1.3194444444444509E-2</v>
      </c>
      <c r="Z2023" s="76">
        <v>41758</v>
      </c>
      <c r="AA2023" s="36" t="str">
        <f t="shared" si="510"/>
        <v>Nacional</v>
      </c>
      <c r="AB2023" s="36">
        <f t="shared" si="510"/>
        <v>7.7160493827160559E-3</v>
      </c>
      <c r="AC2023" s="36">
        <f t="shared" si="510"/>
        <v>1.0802469135802481E-2</v>
      </c>
      <c r="AD2023" s="36">
        <f t="shared" si="510"/>
        <v>1.8518518518518538E-2</v>
      </c>
      <c r="AE2023" s="36" t="str">
        <f t="shared" si="510"/>
        <v>A319</v>
      </c>
      <c r="AF2023" s="36">
        <f t="shared" si="510"/>
        <v>142</v>
      </c>
      <c r="AG2023" s="36" t="str">
        <f t="shared" si="510"/>
        <v>LAP</v>
      </c>
    </row>
    <row r="2024" spans="18:33" ht="15.75" thickBot="1" x14ac:dyDescent="0.3">
      <c r="R2024">
        <v>2010</v>
      </c>
      <c r="S2024" s="36" t="str">
        <f t="shared" si="509"/>
        <v>BARATA Y MORADA</v>
      </c>
      <c r="T2024" s="36">
        <f t="shared" si="509"/>
        <v>680</v>
      </c>
      <c r="U2024" s="83">
        <v>0.45694444444444443</v>
      </c>
      <c r="V2024" s="84">
        <v>0.46388888888888885</v>
      </c>
      <c r="W2024" s="85">
        <v>6.9444444444444198E-3</v>
      </c>
      <c r="X2024" s="84">
        <v>0.47430555555555554</v>
      </c>
      <c r="Y2024" s="85">
        <v>1.0416666666666685E-2</v>
      </c>
      <c r="Z2024" s="86">
        <v>41759</v>
      </c>
      <c r="AA2024" s="36" t="str">
        <f t="shared" si="510"/>
        <v>Nacional</v>
      </c>
      <c r="AB2024" s="36">
        <f t="shared" si="510"/>
        <v>7.7160493827160559E-3</v>
      </c>
      <c r="AC2024" s="36">
        <f t="shared" si="510"/>
        <v>1.0802469135802481E-2</v>
      </c>
      <c r="AD2024" s="36">
        <f t="shared" si="510"/>
        <v>1.8518518518518538E-2</v>
      </c>
      <c r="AE2024" s="36" t="str">
        <f t="shared" si="510"/>
        <v>A319</v>
      </c>
      <c r="AF2024" s="36">
        <f t="shared" si="510"/>
        <v>142</v>
      </c>
      <c r="AG2024" s="36" t="str">
        <f t="shared" si="510"/>
        <v>LAP</v>
      </c>
    </row>
    <row r="2025" spans="18:33" x14ac:dyDescent="0.25">
      <c r="R2025">
        <v>2011</v>
      </c>
      <c r="S2025" s="36" t="str">
        <f t="shared" si="509"/>
        <v>BARATA Y MORADA</v>
      </c>
      <c r="T2025" s="55">
        <v>683</v>
      </c>
      <c r="U2025" s="56">
        <v>0.94444444444444453</v>
      </c>
      <c r="V2025" s="57">
        <v>0.96527777777777779</v>
      </c>
      <c r="W2025" s="58">
        <v>2.0833333333333259E-2</v>
      </c>
      <c r="X2025" s="57">
        <v>0.97083333333333333</v>
      </c>
      <c r="Y2025" s="58">
        <v>5.5555555555555358E-3</v>
      </c>
      <c r="Z2025" s="59">
        <v>41734</v>
      </c>
      <c r="AA2025" s="60" t="s">
        <v>19</v>
      </c>
      <c r="AB2025" s="61">
        <v>9.201388888888884E-3</v>
      </c>
      <c r="AC2025" s="61">
        <v>8.5069444444444142E-3</v>
      </c>
      <c r="AD2025" s="231">
        <v>1.7708333333333298E-2</v>
      </c>
      <c r="AE2025" s="132" t="s">
        <v>57</v>
      </c>
      <c r="AF2025" s="132">
        <v>142</v>
      </c>
      <c r="AG2025" s="132" t="s">
        <v>27</v>
      </c>
    </row>
    <row r="2026" spans="18:33" x14ac:dyDescent="0.25">
      <c r="R2026">
        <v>2012</v>
      </c>
      <c r="S2026" s="36" t="str">
        <f t="shared" si="509"/>
        <v>BARATA Y MORADA</v>
      </c>
      <c r="T2026" s="36">
        <f t="shared" si="509"/>
        <v>683</v>
      </c>
      <c r="U2026" s="73">
        <v>0.9472222222222223</v>
      </c>
      <c r="V2026" s="74">
        <v>0.9555555555555556</v>
      </c>
      <c r="W2026" s="75">
        <v>8.3333333333333037E-3</v>
      </c>
      <c r="X2026" s="74">
        <v>0.96597222222222223</v>
      </c>
      <c r="Y2026" s="75">
        <v>1.041666666666663E-2</v>
      </c>
      <c r="Z2026" s="76">
        <v>41740</v>
      </c>
      <c r="AA2026" s="36" t="str">
        <f t="shared" ref="AA2026:AG2032" si="511">AA2025</f>
        <v>Nacional</v>
      </c>
      <c r="AB2026" s="36">
        <f t="shared" si="511"/>
        <v>9.201388888888884E-3</v>
      </c>
      <c r="AC2026" s="36">
        <f t="shared" si="511"/>
        <v>8.5069444444444142E-3</v>
      </c>
      <c r="AD2026" s="36">
        <f t="shared" si="511"/>
        <v>1.7708333333333298E-2</v>
      </c>
      <c r="AE2026" s="36" t="str">
        <f t="shared" si="511"/>
        <v>A319</v>
      </c>
      <c r="AF2026" s="36">
        <f t="shared" si="511"/>
        <v>142</v>
      </c>
      <c r="AG2026" s="36" t="str">
        <f t="shared" si="511"/>
        <v>HMO</v>
      </c>
    </row>
    <row r="2027" spans="18:33" x14ac:dyDescent="0.25">
      <c r="R2027">
        <v>2013</v>
      </c>
      <c r="S2027" s="36" t="str">
        <f t="shared" si="509"/>
        <v>BARATA Y MORADA</v>
      </c>
      <c r="T2027" s="36">
        <f t="shared" si="509"/>
        <v>683</v>
      </c>
      <c r="U2027" s="73">
        <v>0.94444444444444453</v>
      </c>
      <c r="V2027" s="74">
        <v>0.94791666666666663</v>
      </c>
      <c r="W2027" s="75">
        <v>3.4722222222220989E-3</v>
      </c>
      <c r="X2027" s="74">
        <v>0.95138888888888884</v>
      </c>
      <c r="Y2027" s="75">
        <v>3.4722222222222099E-3</v>
      </c>
      <c r="Z2027" s="76">
        <v>41742</v>
      </c>
      <c r="AA2027" s="36" t="str">
        <f t="shared" si="511"/>
        <v>Nacional</v>
      </c>
      <c r="AB2027" s="36">
        <f t="shared" si="511"/>
        <v>9.201388888888884E-3</v>
      </c>
      <c r="AC2027" s="36">
        <f t="shared" si="511"/>
        <v>8.5069444444444142E-3</v>
      </c>
      <c r="AD2027" s="36">
        <f t="shared" si="511"/>
        <v>1.7708333333333298E-2</v>
      </c>
      <c r="AE2027" s="36" t="str">
        <f t="shared" si="511"/>
        <v>A319</v>
      </c>
      <c r="AF2027" s="36">
        <f t="shared" si="511"/>
        <v>142</v>
      </c>
      <c r="AG2027" s="36" t="str">
        <f t="shared" si="511"/>
        <v>HMO</v>
      </c>
    </row>
    <row r="2028" spans="18:33" x14ac:dyDescent="0.25">
      <c r="R2028">
        <v>2014</v>
      </c>
      <c r="S2028" s="36" t="str">
        <f t="shared" si="509"/>
        <v>BARATA Y MORADA</v>
      </c>
      <c r="T2028" s="36">
        <f t="shared" si="509"/>
        <v>683</v>
      </c>
      <c r="U2028" s="73">
        <v>0.94097222222222221</v>
      </c>
      <c r="V2028" s="74">
        <v>0.95000000000000007</v>
      </c>
      <c r="W2028" s="75">
        <v>9.0277777777778567E-3</v>
      </c>
      <c r="X2028" s="74">
        <v>0.95347222222222217</v>
      </c>
      <c r="Y2028" s="75">
        <v>3.4722222222220989E-3</v>
      </c>
      <c r="Z2028" s="76">
        <v>41745</v>
      </c>
      <c r="AA2028" s="36" t="str">
        <f t="shared" si="511"/>
        <v>Nacional</v>
      </c>
      <c r="AB2028" s="36">
        <f t="shared" si="511"/>
        <v>9.201388888888884E-3</v>
      </c>
      <c r="AC2028" s="36">
        <f t="shared" si="511"/>
        <v>8.5069444444444142E-3</v>
      </c>
      <c r="AD2028" s="36">
        <f t="shared" si="511"/>
        <v>1.7708333333333298E-2</v>
      </c>
      <c r="AE2028" s="36" t="str">
        <f t="shared" si="511"/>
        <v>A319</v>
      </c>
      <c r="AF2028" s="36">
        <f t="shared" si="511"/>
        <v>142</v>
      </c>
      <c r="AG2028" s="36" t="str">
        <f t="shared" si="511"/>
        <v>HMO</v>
      </c>
    </row>
    <row r="2029" spans="18:33" x14ac:dyDescent="0.25">
      <c r="R2029">
        <v>2015</v>
      </c>
      <c r="S2029" s="36" t="str">
        <f t="shared" si="509"/>
        <v>BARATA Y MORADA</v>
      </c>
      <c r="T2029" s="36">
        <f t="shared" si="509"/>
        <v>683</v>
      </c>
      <c r="U2029" s="73">
        <v>0.93819444444444444</v>
      </c>
      <c r="V2029" s="74">
        <v>0.9472222222222223</v>
      </c>
      <c r="W2029" s="75">
        <v>9.0277777777778567E-3</v>
      </c>
      <c r="X2029" s="74">
        <v>0.95694444444444438</v>
      </c>
      <c r="Y2029" s="75">
        <v>9.7222222222220767E-3</v>
      </c>
      <c r="Z2029" s="76">
        <v>41744</v>
      </c>
      <c r="AA2029" s="36" t="str">
        <f t="shared" si="511"/>
        <v>Nacional</v>
      </c>
      <c r="AB2029" s="36">
        <f t="shared" si="511"/>
        <v>9.201388888888884E-3</v>
      </c>
      <c r="AC2029" s="36">
        <f t="shared" si="511"/>
        <v>8.5069444444444142E-3</v>
      </c>
      <c r="AD2029" s="36">
        <f t="shared" si="511"/>
        <v>1.7708333333333298E-2</v>
      </c>
      <c r="AE2029" s="36" t="str">
        <f t="shared" si="511"/>
        <v>A319</v>
      </c>
      <c r="AF2029" s="36">
        <f t="shared" si="511"/>
        <v>142</v>
      </c>
      <c r="AG2029" s="36" t="str">
        <f t="shared" si="511"/>
        <v>HMO</v>
      </c>
    </row>
    <row r="2030" spans="18:33" x14ac:dyDescent="0.25">
      <c r="R2030">
        <v>2016</v>
      </c>
      <c r="S2030" s="36" t="str">
        <f t="shared" si="509"/>
        <v>BARATA Y MORADA</v>
      </c>
      <c r="T2030" s="36">
        <f t="shared" si="509"/>
        <v>683</v>
      </c>
      <c r="U2030" s="73">
        <v>0.94027777777777777</v>
      </c>
      <c r="V2030" s="74">
        <v>0.94513888888888886</v>
      </c>
      <c r="W2030" s="75">
        <v>4.8611111111110938E-3</v>
      </c>
      <c r="X2030" s="74">
        <v>0.9555555555555556</v>
      </c>
      <c r="Y2030" s="75">
        <v>1.0416666666666741E-2</v>
      </c>
      <c r="Z2030" s="76">
        <v>41751</v>
      </c>
      <c r="AA2030" s="36" t="str">
        <f t="shared" si="511"/>
        <v>Nacional</v>
      </c>
      <c r="AB2030" s="36">
        <f t="shared" si="511"/>
        <v>9.201388888888884E-3</v>
      </c>
      <c r="AC2030" s="36">
        <f t="shared" si="511"/>
        <v>8.5069444444444142E-3</v>
      </c>
      <c r="AD2030" s="36">
        <f t="shared" si="511"/>
        <v>1.7708333333333298E-2</v>
      </c>
      <c r="AE2030" s="36" t="str">
        <f t="shared" si="511"/>
        <v>A319</v>
      </c>
      <c r="AF2030" s="36">
        <f t="shared" si="511"/>
        <v>142</v>
      </c>
      <c r="AG2030" s="36" t="str">
        <f t="shared" si="511"/>
        <v>HMO</v>
      </c>
    </row>
    <row r="2031" spans="18:33" x14ac:dyDescent="0.25">
      <c r="R2031">
        <v>2017</v>
      </c>
      <c r="S2031" s="36" t="str">
        <f t="shared" si="509"/>
        <v>BARATA Y MORADA</v>
      </c>
      <c r="T2031" s="36">
        <f t="shared" si="509"/>
        <v>683</v>
      </c>
      <c r="U2031" s="73">
        <v>0.94027777777777777</v>
      </c>
      <c r="V2031" s="74">
        <v>0.94930555555555562</v>
      </c>
      <c r="W2031" s="75">
        <v>9.0277777777778567E-3</v>
      </c>
      <c r="X2031" s="74">
        <v>0.95972222222222225</v>
      </c>
      <c r="Y2031" s="75">
        <v>1.041666666666663E-2</v>
      </c>
      <c r="Z2031" s="76">
        <v>41759</v>
      </c>
      <c r="AA2031" s="36" t="str">
        <f t="shared" si="511"/>
        <v>Nacional</v>
      </c>
      <c r="AB2031" s="36">
        <f t="shared" si="511"/>
        <v>9.201388888888884E-3</v>
      </c>
      <c r="AC2031" s="36">
        <f t="shared" si="511"/>
        <v>8.5069444444444142E-3</v>
      </c>
      <c r="AD2031" s="36">
        <f t="shared" si="511"/>
        <v>1.7708333333333298E-2</v>
      </c>
      <c r="AE2031" s="36" t="str">
        <f t="shared" si="511"/>
        <v>A319</v>
      </c>
      <c r="AF2031" s="36">
        <f t="shared" si="511"/>
        <v>142</v>
      </c>
      <c r="AG2031" s="36" t="str">
        <f t="shared" si="511"/>
        <v>HMO</v>
      </c>
    </row>
    <row r="2032" spans="18:33" ht="15.75" thickBot="1" x14ac:dyDescent="0.3">
      <c r="R2032">
        <v>2018</v>
      </c>
      <c r="S2032" s="36" t="str">
        <f t="shared" si="509"/>
        <v>BARATA Y MORADA</v>
      </c>
      <c r="T2032" s="36">
        <f t="shared" si="509"/>
        <v>683</v>
      </c>
      <c r="U2032" s="83">
        <v>0.95763888888888893</v>
      </c>
      <c r="V2032" s="84">
        <v>0.96666666666666667</v>
      </c>
      <c r="W2032" s="85">
        <v>9.0277777777777457E-3</v>
      </c>
      <c r="X2032" s="84">
        <v>0.98125000000000007</v>
      </c>
      <c r="Y2032" s="85">
        <v>1.4583333333333393E-2</v>
      </c>
      <c r="Z2032" s="86">
        <v>41759</v>
      </c>
      <c r="AA2032" s="36" t="str">
        <f t="shared" si="511"/>
        <v>Nacional</v>
      </c>
      <c r="AB2032" s="36">
        <f t="shared" si="511"/>
        <v>9.201388888888884E-3</v>
      </c>
      <c r="AC2032" s="36">
        <f t="shared" si="511"/>
        <v>8.5069444444444142E-3</v>
      </c>
      <c r="AD2032" s="36">
        <f t="shared" si="511"/>
        <v>1.7708333333333298E-2</v>
      </c>
      <c r="AE2032" s="36" t="str">
        <f t="shared" si="511"/>
        <v>A319</v>
      </c>
      <c r="AF2032" s="36">
        <f t="shared" si="511"/>
        <v>142</v>
      </c>
      <c r="AG2032" s="36" t="str">
        <f t="shared" si="511"/>
        <v>HMO</v>
      </c>
    </row>
    <row r="2033" spans="18:33" x14ac:dyDescent="0.25">
      <c r="R2033">
        <v>2019</v>
      </c>
      <c r="S2033" s="36" t="str">
        <f t="shared" si="509"/>
        <v>BARATA Y MORADA</v>
      </c>
      <c r="T2033" s="55">
        <v>687</v>
      </c>
      <c r="U2033" s="56">
        <v>0.69861111111111107</v>
      </c>
      <c r="V2033" s="57">
        <v>0.71388888888888891</v>
      </c>
      <c r="W2033" s="58">
        <v>1.5277777777777835E-2</v>
      </c>
      <c r="X2033" s="57">
        <v>0.72569444444444453</v>
      </c>
      <c r="Y2033" s="58">
        <v>1.1805555555555625E-2</v>
      </c>
      <c r="Z2033" s="59">
        <v>41731</v>
      </c>
      <c r="AA2033" s="60" t="s">
        <v>19</v>
      </c>
      <c r="AB2033" s="61">
        <v>7.8703703703703418E-3</v>
      </c>
      <c r="AC2033" s="61">
        <v>7.5231481481481772E-3</v>
      </c>
      <c r="AD2033" s="231">
        <v>1.5393518518518518E-2</v>
      </c>
      <c r="AE2033" s="132" t="s">
        <v>57</v>
      </c>
      <c r="AF2033" s="132">
        <v>142</v>
      </c>
      <c r="AG2033" s="132" t="s">
        <v>30</v>
      </c>
    </row>
    <row r="2034" spans="18:33" x14ac:dyDescent="0.25">
      <c r="R2034">
        <v>2020</v>
      </c>
      <c r="S2034" s="36" t="str">
        <f t="shared" si="509"/>
        <v>BARATA Y MORADA</v>
      </c>
      <c r="T2034" s="36">
        <f t="shared" si="509"/>
        <v>687</v>
      </c>
      <c r="U2034" s="73">
        <v>0.67986111111111114</v>
      </c>
      <c r="V2034" s="74">
        <v>0.68333333333333324</v>
      </c>
      <c r="W2034" s="75">
        <v>3.4722222222220989E-3</v>
      </c>
      <c r="X2034" s="74">
        <v>0.69027777777777777</v>
      </c>
      <c r="Y2034" s="75">
        <v>6.9444444444445308E-3</v>
      </c>
      <c r="Z2034" s="76">
        <v>41738</v>
      </c>
      <c r="AA2034" s="36" t="str">
        <f t="shared" ref="AA2034:AG2038" si="512">AA2033</f>
        <v>Nacional</v>
      </c>
      <c r="AB2034" s="36">
        <f t="shared" si="512"/>
        <v>7.8703703703703418E-3</v>
      </c>
      <c r="AC2034" s="36">
        <f t="shared" si="512"/>
        <v>7.5231481481481772E-3</v>
      </c>
      <c r="AD2034" s="36">
        <f t="shared" si="512"/>
        <v>1.5393518518518518E-2</v>
      </c>
      <c r="AE2034" s="36" t="str">
        <f t="shared" si="512"/>
        <v>A319</v>
      </c>
      <c r="AF2034" s="36">
        <f t="shared" si="512"/>
        <v>142</v>
      </c>
      <c r="AG2034" s="36" t="str">
        <f t="shared" si="512"/>
        <v>MID</v>
      </c>
    </row>
    <row r="2035" spans="18:33" x14ac:dyDescent="0.25">
      <c r="R2035">
        <v>2021</v>
      </c>
      <c r="S2035" s="36" t="str">
        <f t="shared" si="509"/>
        <v>BARATA Y MORADA</v>
      </c>
      <c r="T2035" s="36">
        <f t="shared" si="509"/>
        <v>687</v>
      </c>
      <c r="U2035" s="73">
        <v>0.60069444444444442</v>
      </c>
      <c r="V2035" s="74">
        <v>0.60763888888888895</v>
      </c>
      <c r="W2035" s="75">
        <v>6.9444444444445308E-3</v>
      </c>
      <c r="X2035" s="74">
        <v>0.61805555555555558</v>
      </c>
      <c r="Y2035" s="75">
        <v>1.041666666666663E-2</v>
      </c>
      <c r="Z2035" s="76">
        <v>41741</v>
      </c>
      <c r="AA2035" s="36" t="str">
        <f t="shared" si="512"/>
        <v>Nacional</v>
      </c>
      <c r="AB2035" s="36">
        <f t="shared" si="512"/>
        <v>7.8703703703703418E-3</v>
      </c>
      <c r="AC2035" s="36">
        <f t="shared" si="512"/>
        <v>7.5231481481481772E-3</v>
      </c>
      <c r="AD2035" s="36">
        <f t="shared" si="512"/>
        <v>1.5393518518518518E-2</v>
      </c>
      <c r="AE2035" s="36" t="str">
        <f t="shared" si="512"/>
        <v>A319</v>
      </c>
      <c r="AF2035" s="36">
        <f t="shared" si="512"/>
        <v>142</v>
      </c>
      <c r="AG2035" s="36" t="str">
        <f t="shared" si="512"/>
        <v>MID</v>
      </c>
    </row>
    <row r="2036" spans="18:33" x14ac:dyDescent="0.25">
      <c r="R2036">
        <v>2022</v>
      </c>
      <c r="S2036" s="36" t="str">
        <f t="shared" si="509"/>
        <v>BARATA Y MORADA</v>
      </c>
      <c r="T2036" s="36">
        <f t="shared" si="509"/>
        <v>687</v>
      </c>
      <c r="U2036" s="73">
        <v>0.69027777777777777</v>
      </c>
      <c r="V2036" s="74">
        <v>0.69652777777777775</v>
      </c>
      <c r="W2036" s="75">
        <v>6.2499999999999778E-3</v>
      </c>
      <c r="X2036" s="74">
        <v>0.69791666666666663</v>
      </c>
      <c r="Y2036" s="75">
        <v>1.388888888888884E-3</v>
      </c>
      <c r="Z2036" s="76">
        <v>41741</v>
      </c>
      <c r="AA2036" s="36" t="str">
        <f t="shared" si="512"/>
        <v>Nacional</v>
      </c>
      <c r="AB2036" s="36">
        <f t="shared" si="512"/>
        <v>7.8703703703703418E-3</v>
      </c>
      <c r="AC2036" s="36">
        <f t="shared" si="512"/>
        <v>7.5231481481481772E-3</v>
      </c>
      <c r="AD2036" s="36">
        <f t="shared" si="512"/>
        <v>1.5393518518518518E-2</v>
      </c>
      <c r="AE2036" s="36" t="str">
        <f t="shared" si="512"/>
        <v>A319</v>
      </c>
      <c r="AF2036" s="36">
        <f t="shared" si="512"/>
        <v>142</v>
      </c>
      <c r="AG2036" s="36" t="str">
        <f t="shared" si="512"/>
        <v>MID</v>
      </c>
    </row>
    <row r="2037" spans="18:33" x14ac:dyDescent="0.25">
      <c r="R2037">
        <v>2023</v>
      </c>
      <c r="S2037" s="36" t="str">
        <f t="shared" si="509"/>
        <v>BARATA Y MORADA</v>
      </c>
      <c r="T2037" s="36">
        <f t="shared" si="509"/>
        <v>687</v>
      </c>
      <c r="U2037" s="73">
        <v>0.70000000000000007</v>
      </c>
      <c r="V2037" s="74">
        <v>0.70694444444444438</v>
      </c>
      <c r="W2037" s="75">
        <v>6.9444444444443088E-3</v>
      </c>
      <c r="X2037" s="74">
        <v>0.71875</v>
      </c>
      <c r="Y2037" s="75">
        <v>1.1805555555555625E-2</v>
      </c>
      <c r="Z2037" s="76">
        <v>41748</v>
      </c>
      <c r="AA2037" s="36" t="str">
        <f t="shared" si="512"/>
        <v>Nacional</v>
      </c>
      <c r="AB2037" s="36">
        <f t="shared" si="512"/>
        <v>7.8703703703703418E-3</v>
      </c>
      <c r="AC2037" s="36">
        <f t="shared" si="512"/>
        <v>7.5231481481481772E-3</v>
      </c>
      <c r="AD2037" s="36">
        <f t="shared" si="512"/>
        <v>1.5393518518518518E-2</v>
      </c>
      <c r="AE2037" s="36" t="str">
        <f t="shared" si="512"/>
        <v>A319</v>
      </c>
      <c r="AF2037" s="36">
        <f t="shared" si="512"/>
        <v>142</v>
      </c>
      <c r="AG2037" s="36" t="str">
        <f t="shared" si="512"/>
        <v>MID</v>
      </c>
    </row>
    <row r="2038" spans="18:33" ht="15.75" thickBot="1" x14ac:dyDescent="0.3">
      <c r="R2038">
        <v>2024</v>
      </c>
      <c r="S2038" s="36" t="str">
        <f t="shared" si="509"/>
        <v>BARATA Y MORADA</v>
      </c>
      <c r="T2038" s="36">
        <f t="shared" si="509"/>
        <v>687</v>
      </c>
      <c r="U2038" s="83">
        <v>0.68263888888888891</v>
      </c>
      <c r="V2038" s="84">
        <v>0.69097222222222221</v>
      </c>
      <c r="W2038" s="85">
        <v>8.3333333333333037E-3</v>
      </c>
      <c r="X2038" s="84">
        <v>0.69374999999999998</v>
      </c>
      <c r="Y2038" s="85">
        <v>2.7777777777777679E-3</v>
      </c>
      <c r="Z2038" s="86">
        <v>41759</v>
      </c>
      <c r="AA2038" s="36" t="str">
        <f t="shared" si="512"/>
        <v>Nacional</v>
      </c>
      <c r="AB2038" s="36">
        <f t="shared" si="512"/>
        <v>7.8703703703703418E-3</v>
      </c>
      <c r="AC2038" s="36">
        <f t="shared" si="512"/>
        <v>7.5231481481481772E-3</v>
      </c>
      <c r="AD2038" s="36">
        <f t="shared" si="512"/>
        <v>1.5393518518518518E-2</v>
      </c>
      <c r="AE2038" s="36" t="str">
        <f t="shared" si="512"/>
        <v>A319</v>
      </c>
      <c r="AF2038" s="36">
        <f t="shared" si="512"/>
        <v>142</v>
      </c>
      <c r="AG2038" s="36" t="str">
        <f t="shared" si="512"/>
        <v>MID</v>
      </c>
    </row>
    <row r="2039" spans="18:33" x14ac:dyDescent="0.25">
      <c r="R2039">
        <v>2025</v>
      </c>
      <c r="S2039" s="36" t="str">
        <f t="shared" si="509"/>
        <v>BARATA Y MORADA</v>
      </c>
      <c r="T2039" s="55">
        <v>689</v>
      </c>
      <c r="U2039" s="56">
        <v>0.53819444444444442</v>
      </c>
      <c r="V2039" s="57">
        <v>0.54652777777777783</v>
      </c>
      <c r="W2039" s="58">
        <v>8.3333333333334147E-3</v>
      </c>
      <c r="X2039" s="57">
        <v>0.55833333333333335</v>
      </c>
      <c r="Y2039" s="58">
        <v>1.1805555555555514E-2</v>
      </c>
      <c r="Z2039" s="59">
        <v>41730</v>
      </c>
      <c r="AA2039" s="60" t="s">
        <v>19</v>
      </c>
      <c r="AB2039" s="61">
        <v>7.7932098765432318E-3</v>
      </c>
      <c r="AC2039" s="61">
        <v>9.02777777777777E-3</v>
      </c>
      <c r="AD2039" s="231">
        <v>1.6820987654321003E-2</v>
      </c>
      <c r="AE2039" s="132" t="s">
        <v>57</v>
      </c>
      <c r="AF2039" s="132">
        <v>142</v>
      </c>
      <c r="AG2039" s="132" t="s">
        <v>84</v>
      </c>
    </row>
    <row r="2040" spans="18:33" x14ac:dyDescent="0.25">
      <c r="R2040">
        <v>2026</v>
      </c>
      <c r="S2040" s="36" t="str">
        <f t="shared" si="509"/>
        <v>BARATA Y MORADA</v>
      </c>
      <c r="T2040" s="36">
        <f t="shared" si="509"/>
        <v>689</v>
      </c>
      <c r="U2040" s="73">
        <v>0.53819444444444442</v>
      </c>
      <c r="V2040" s="74">
        <v>0.54652777777777783</v>
      </c>
      <c r="W2040" s="75">
        <v>8.3333333333334147E-3</v>
      </c>
      <c r="X2040" s="74">
        <v>0.55833333333333335</v>
      </c>
      <c r="Y2040" s="75">
        <v>1.1805555555555514E-2</v>
      </c>
      <c r="Z2040" s="76">
        <v>41730</v>
      </c>
      <c r="AA2040" s="36" t="str">
        <f t="shared" ref="AA2040:AG2047" si="513">AA2039</f>
        <v>Nacional</v>
      </c>
      <c r="AB2040" s="36">
        <f t="shared" si="513"/>
        <v>7.7932098765432318E-3</v>
      </c>
      <c r="AC2040" s="36">
        <f t="shared" si="513"/>
        <v>9.02777777777777E-3</v>
      </c>
      <c r="AD2040" s="36">
        <f t="shared" si="513"/>
        <v>1.6820987654321003E-2</v>
      </c>
      <c r="AE2040" s="36" t="str">
        <f t="shared" si="513"/>
        <v>A319</v>
      </c>
      <c r="AF2040" s="36">
        <f t="shared" si="513"/>
        <v>142</v>
      </c>
      <c r="AG2040" s="36" t="str">
        <f t="shared" si="513"/>
        <v>TGZ</v>
      </c>
    </row>
    <row r="2041" spans="18:33" x14ac:dyDescent="0.25">
      <c r="R2041">
        <v>2027</v>
      </c>
      <c r="S2041" s="36" t="str">
        <f t="shared" si="509"/>
        <v>BARATA Y MORADA</v>
      </c>
      <c r="T2041" s="36">
        <f t="shared" si="509"/>
        <v>689</v>
      </c>
      <c r="U2041" s="73">
        <v>0.56041666666666667</v>
      </c>
      <c r="V2041" s="74">
        <v>0.57291666666666663</v>
      </c>
      <c r="W2041" s="75">
        <v>1.2499999999999956E-2</v>
      </c>
      <c r="X2041" s="74">
        <v>0.57777777777777783</v>
      </c>
      <c r="Y2041" s="75">
        <v>4.8611111111112049E-3</v>
      </c>
      <c r="Z2041" s="76">
        <v>41737</v>
      </c>
      <c r="AA2041" s="36" t="str">
        <f t="shared" si="513"/>
        <v>Nacional</v>
      </c>
      <c r="AB2041" s="36">
        <f t="shared" si="513"/>
        <v>7.7932098765432318E-3</v>
      </c>
      <c r="AC2041" s="36">
        <f t="shared" si="513"/>
        <v>9.02777777777777E-3</v>
      </c>
      <c r="AD2041" s="36">
        <f t="shared" si="513"/>
        <v>1.6820987654321003E-2</v>
      </c>
      <c r="AE2041" s="36" t="str">
        <f t="shared" si="513"/>
        <v>A319</v>
      </c>
      <c r="AF2041" s="36">
        <f t="shared" si="513"/>
        <v>142</v>
      </c>
      <c r="AG2041" s="36" t="str">
        <f t="shared" si="513"/>
        <v>TGZ</v>
      </c>
    </row>
    <row r="2042" spans="18:33" x14ac:dyDescent="0.25">
      <c r="R2042">
        <v>2028</v>
      </c>
      <c r="S2042" s="36" t="str">
        <f t="shared" si="509"/>
        <v>BARATA Y MORADA</v>
      </c>
      <c r="T2042" s="36">
        <f t="shared" si="509"/>
        <v>689</v>
      </c>
      <c r="U2042" s="73">
        <v>0.5541666666666667</v>
      </c>
      <c r="V2042" s="74">
        <v>0.55833333333333335</v>
      </c>
      <c r="W2042" s="75">
        <v>4.1666666666666519E-3</v>
      </c>
      <c r="X2042" s="74">
        <v>0.56666666666666665</v>
      </c>
      <c r="Y2042" s="75">
        <v>8.3333333333333037E-3</v>
      </c>
      <c r="Z2042" s="76">
        <v>41741</v>
      </c>
      <c r="AA2042" s="36" t="str">
        <f t="shared" si="513"/>
        <v>Nacional</v>
      </c>
      <c r="AB2042" s="36">
        <f t="shared" si="513"/>
        <v>7.7932098765432318E-3</v>
      </c>
      <c r="AC2042" s="36">
        <f t="shared" si="513"/>
        <v>9.02777777777777E-3</v>
      </c>
      <c r="AD2042" s="36">
        <f t="shared" si="513"/>
        <v>1.6820987654321003E-2</v>
      </c>
      <c r="AE2042" s="36" t="str">
        <f t="shared" si="513"/>
        <v>A319</v>
      </c>
      <c r="AF2042" s="36">
        <f t="shared" si="513"/>
        <v>142</v>
      </c>
      <c r="AG2042" s="36" t="str">
        <f t="shared" si="513"/>
        <v>TGZ</v>
      </c>
    </row>
    <row r="2043" spans="18:33" x14ac:dyDescent="0.25">
      <c r="R2043">
        <v>2029</v>
      </c>
      <c r="S2043" s="36" t="str">
        <f t="shared" si="509"/>
        <v>BARATA Y MORADA</v>
      </c>
      <c r="T2043" s="36">
        <f t="shared" si="509"/>
        <v>689</v>
      </c>
      <c r="U2043" s="73">
        <v>0.53819444444444442</v>
      </c>
      <c r="V2043" s="74">
        <v>0.54652777777777783</v>
      </c>
      <c r="W2043" s="75">
        <v>8.3333333333334147E-3</v>
      </c>
      <c r="X2043" s="74">
        <v>0.55833333333333335</v>
      </c>
      <c r="Y2043" s="75">
        <v>1.1805555555555514E-2</v>
      </c>
      <c r="Z2043" s="76">
        <v>41742</v>
      </c>
      <c r="AA2043" s="36" t="str">
        <f t="shared" si="513"/>
        <v>Nacional</v>
      </c>
      <c r="AB2043" s="36">
        <f t="shared" si="513"/>
        <v>7.7932098765432318E-3</v>
      </c>
      <c r="AC2043" s="36">
        <f t="shared" si="513"/>
        <v>9.02777777777777E-3</v>
      </c>
      <c r="AD2043" s="36">
        <f t="shared" si="513"/>
        <v>1.6820987654321003E-2</v>
      </c>
      <c r="AE2043" s="36" t="str">
        <f t="shared" si="513"/>
        <v>A319</v>
      </c>
      <c r="AF2043" s="36">
        <f t="shared" si="513"/>
        <v>142</v>
      </c>
      <c r="AG2043" s="36" t="str">
        <f t="shared" si="513"/>
        <v>TGZ</v>
      </c>
    </row>
    <row r="2044" spans="18:33" x14ac:dyDescent="0.25">
      <c r="R2044">
        <v>2030</v>
      </c>
      <c r="S2044" s="36" t="str">
        <f t="shared" si="509"/>
        <v>BARATA Y MORADA</v>
      </c>
      <c r="T2044" s="36">
        <f t="shared" si="509"/>
        <v>689</v>
      </c>
      <c r="U2044" s="73">
        <v>0.53819444444444442</v>
      </c>
      <c r="V2044" s="74">
        <v>0.54652777777777783</v>
      </c>
      <c r="W2044" s="75">
        <v>8.3333333333334147E-3</v>
      </c>
      <c r="X2044" s="74">
        <v>0.55833333333333335</v>
      </c>
      <c r="Y2044" s="75">
        <v>1.1805555555555514E-2</v>
      </c>
      <c r="Z2044" s="76">
        <v>41742</v>
      </c>
      <c r="AA2044" s="36" t="str">
        <f t="shared" si="513"/>
        <v>Nacional</v>
      </c>
      <c r="AB2044" s="36">
        <f t="shared" si="513"/>
        <v>7.7932098765432318E-3</v>
      </c>
      <c r="AC2044" s="36">
        <f t="shared" si="513"/>
        <v>9.02777777777777E-3</v>
      </c>
      <c r="AD2044" s="36">
        <f t="shared" si="513"/>
        <v>1.6820987654321003E-2</v>
      </c>
      <c r="AE2044" s="36" t="str">
        <f t="shared" si="513"/>
        <v>A319</v>
      </c>
      <c r="AF2044" s="36">
        <f t="shared" si="513"/>
        <v>142</v>
      </c>
      <c r="AG2044" s="36" t="str">
        <f t="shared" si="513"/>
        <v>TGZ</v>
      </c>
    </row>
    <row r="2045" spans="18:33" x14ac:dyDescent="0.25">
      <c r="R2045">
        <v>2031</v>
      </c>
      <c r="S2045" s="36" t="str">
        <f t="shared" si="509"/>
        <v>BARATA Y MORADA</v>
      </c>
      <c r="T2045" s="36">
        <f t="shared" si="509"/>
        <v>689</v>
      </c>
      <c r="U2045" s="73">
        <v>0.55972222222222223</v>
      </c>
      <c r="V2045" s="74">
        <v>0.5708333333333333</v>
      </c>
      <c r="W2045" s="75">
        <v>1.1111111111111072E-2</v>
      </c>
      <c r="X2045" s="74">
        <v>0.57777777777777783</v>
      </c>
      <c r="Y2045" s="75">
        <v>6.9444444444445308E-3</v>
      </c>
      <c r="Z2045" s="76">
        <v>41744</v>
      </c>
      <c r="AA2045" s="36" t="str">
        <f t="shared" si="513"/>
        <v>Nacional</v>
      </c>
      <c r="AB2045" s="36">
        <f t="shared" si="513"/>
        <v>7.7932098765432318E-3</v>
      </c>
      <c r="AC2045" s="36">
        <f t="shared" si="513"/>
        <v>9.02777777777777E-3</v>
      </c>
      <c r="AD2045" s="36">
        <f t="shared" si="513"/>
        <v>1.6820987654321003E-2</v>
      </c>
      <c r="AE2045" s="36" t="str">
        <f t="shared" si="513"/>
        <v>A319</v>
      </c>
      <c r="AF2045" s="36">
        <f t="shared" si="513"/>
        <v>142</v>
      </c>
      <c r="AG2045" s="36" t="str">
        <f t="shared" si="513"/>
        <v>TGZ</v>
      </c>
    </row>
    <row r="2046" spans="18:33" x14ac:dyDescent="0.25">
      <c r="R2046">
        <v>2032</v>
      </c>
      <c r="S2046" s="36" t="str">
        <f t="shared" si="509"/>
        <v>BARATA Y MORADA</v>
      </c>
      <c r="T2046" s="36">
        <f t="shared" si="509"/>
        <v>689</v>
      </c>
      <c r="U2046" s="73">
        <v>0.5541666666666667</v>
      </c>
      <c r="V2046" s="74">
        <v>0.56180555555555556</v>
      </c>
      <c r="W2046" s="75">
        <v>7.6388888888888618E-3</v>
      </c>
      <c r="X2046" s="74">
        <v>0.57013888888888886</v>
      </c>
      <c r="Y2046" s="75">
        <v>8.3333333333333037E-3</v>
      </c>
      <c r="Z2046" s="76">
        <v>41748</v>
      </c>
      <c r="AA2046" s="36" t="str">
        <f t="shared" si="513"/>
        <v>Nacional</v>
      </c>
      <c r="AB2046" s="36">
        <f t="shared" si="513"/>
        <v>7.7932098765432318E-3</v>
      </c>
      <c r="AC2046" s="36">
        <f t="shared" si="513"/>
        <v>9.02777777777777E-3</v>
      </c>
      <c r="AD2046" s="36">
        <f t="shared" si="513"/>
        <v>1.6820987654321003E-2</v>
      </c>
      <c r="AE2046" s="36" t="str">
        <f t="shared" si="513"/>
        <v>A319</v>
      </c>
      <c r="AF2046" s="36">
        <f t="shared" si="513"/>
        <v>142</v>
      </c>
      <c r="AG2046" s="36" t="str">
        <f t="shared" si="513"/>
        <v>TGZ</v>
      </c>
    </row>
    <row r="2047" spans="18:33" ht="15.75" thickBot="1" x14ac:dyDescent="0.3">
      <c r="R2047">
        <v>2033</v>
      </c>
      <c r="S2047" s="36" t="str">
        <f t="shared" si="509"/>
        <v>BARATA Y MORADA</v>
      </c>
      <c r="T2047" s="36">
        <f t="shared" si="509"/>
        <v>689</v>
      </c>
      <c r="U2047" s="83">
        <v>0.55694444444444446</v>
      </c>
      <c r="V2047" s="84">
        <v>0.55833333333333335</v>
      </c>
      <c r="W2047" s="85">
        <v>1.388888888888884E-3</v>
      </c>
      <c r="X2047" s="84">
        <v>0.56388888888888888</v>
      </c>
      <c r="Y2047" s="85">
        <v>5.5555555555555358E-3</v>
      </c>
      <c r="Z2047" s="86">
        <v>41758</v>
      </c>
      <c r="AA2047" s="36" t="str">
        <f t="shared" si="513"/>
        <v>Nacional</v>
      </c>
      <c r="AB2047" s="36">
        <f t="shared" si="513"/>
        <v>7.7932098765432318E-3</v>
      </c>
      <c r="AC2047" s="36">
        <f t="shared" si="513"/>
        <v>9.02777777777777E-3</v>
      </c>
      <c r="AD2047" s="36">
        <f t="shared" si="513"/>
        <v>1.6820987654321003E-2</v>
      </c>
      <c r="AE2047" s="36" t="str">
        <f t="shared" si="513"/>
        <v>A319</v>
      </c>
      <c r="AF2047" s="36">
        <f t="shared" si="513"/>
        <v>142</v>
      </c>
      <c r="AG2047" s="36" t="str">
        <f t="shared" si="513"/>
        <v>TGZ</v>
      </c>
    </row>
    <row r="2048" spans="18:33" x14ac:dyDescent="0.25">
      <c r="R2048">
        <v>2034</v>
      </c>
      <c r="S2048" s="36" t="str">
        <f t="shared" si="509"/>
        <v>BARATA Y MORADA</v>
      </c>
      <c r="T2048" s="55">
        <v>691</v>
      </c>
      <c r="U2048" s="56">
        <v>0.3263888888888889</v>
      </c>
      <c r="V2048" s="57">
        <v>0.33333333333333331</v>
      </c>
      <c r="W2048" s="58">
        <v>6.9444444444444198E-3</v>
      </c>
      <c r="X2048" s="57">
        <v>0.33680555555555558</v>
      </c>
      <c r="Y2048" s="58">
        <v>3.4722222222222654E-3</v>
      </c>
      <c r="Z2048" s="59">
        <v>41731</v>
      </c>
      <c r="AA2048" s="60" t="s">
        <v>19</v>
      </c>
      <c r="AB2048" s="61">
        <v>4.4444444444444176E-3</v>
      </c>
      <c r="AC2048" s="61">
        <v>4.1666666666666848E-3</v>
      </c>
      <c r="AD2048" s="231">
        <v>8.6111111111111024E-3</v>
      </c>
      <c r="AE2048" s="132" t="s">
        <v>57</v>
      </c>
      <c r="AF2048" s="132">
        <v>142</v>
      </c>
      <c r="AG2048" s="132" t="s">
        <v>28</v>
      </c>
    </row>
    <row r="2049" spans="18:33" x14ac:dyDescent="0.25">
      <c r="R2049">
        <v>2035</v>
      </c>
      <c r="S2049" s="36" t="str">
        <f t="shared" si="509"/>
        <v>BARATA Y MORADA</v>
      </c>
      <c r="T2049" s="36">
        <f t="shared" si="509"/>
        <v>691</v>
      </c>
      <c r="U2049" s="73">
        <v>0.32916666666666666</v>
      </c>
      <c r="V2049" s="74">
        <v>0.33124999999999999</v>
      </c>
      <c r="W2049" s="75">
        <v>2.0833333333333259E-3</v>
      </c>
      <c r="X2049" s="74">
        <v>0.33680555555555558</v>
      </c>
      <c r="Y2049" s="75">
        <v>5.5555555555555913E-3</v>
      </c>
      <c r="Z2049" s="76">
        <v>41737</v>
      </c>
      <c r="AA2049" s="36" t="str">
        <f t="shared" ref="AA2049:AG2052" si="514">AA2048</f>
        <v>Nacional</v>
      </c>
      <c r="AB2049" s="36">
        <f t="shared" si="514"/>
        <v>4.4444444444444176E-3</v>
      </c>
      <c r="AC2049" s="36">
        <f t="shared" si="514"/>
        <v>4.1666666666666848E-3</v>
      </c>
      <c r="AD2049" s="36">
        <f t="shared" si="514"/>
        <v>8.6111111111111024E-3</v>
      </c>
      <c r="AE2049" s="36" t="str">
        <f t="shared" si="514"/>
        <v>A319</v>
      </c>
      <c r="AF2049" s="36">
        <f t="shared" si="514"/>
        <v>142</v>
      </c>
      <c r="AG2049" s="36" t="str">
        <f t="shared" si="514"/>
        <v>MTY</v>
      </c>
    </row>
    <row r="2050" spans="18:33" x14ac:dyDescent="0.25">
      <c r="R2050">
        <v>2036</v>
      </c>
      <c r="S2050" s="36" t="str">
        <f t="shared" si="509"/>
        <v>BARATA Y MORADA</v>
      </c>
      <c r="T2050" s="36">
        <f t="shared" si="509"/>
        <v>691</v>
      </c>
      <c r="U2050" s="73">
        <v>0.32500000000000001</v>
      </c>
      <c r="V2050" s="74">
        <v>0.33402777777777781</v>
      </c>
      <c r="W2050" s="75">
        <v>9.0277777777778012E-3</v>
      </c>
      <c r="X2050" s="74">
        <v>0.34166666666666662</v>
      </c>
      <c r="Y2050" s="75">
        <v>7.6388888888888062E-3</v>
      </c>
      <c r="Z2050" s="76">
        <v>41741</v>
      </c>
      <c r="AA2050" s="36" t="str">
        <f t="shared" si="514"/>
        <v>Nacional</v>
      </c>
      <c r="AB2050" s="36">
        <f t="shared" si="514"/>
        <v>4.4444444444444176E-3</v>
      </c>
      <c r="AC2050" s="36">
        <f t="shared" si="514"/>
        <v>4.1666666666666848E-3</v>
      </c>
      <c r="AD2050" s="36">
        <f t="shared" si="514"/>
        <v>8.6111111111111024E-3</v>
      </c>
      <c r="AE2050" s="36" t="str">
        <f t="shared" si="514"/>
        <v>A319</v>
      </c>
      <c r="AF2050" s="36">
        <f t="shared" si="514"/>
        <v>142</v>
      </c>
      <c r="AG2050" s="36" t="str">
        <f t="shared" si="514"/>
        <v>MTY</v>
      </c>
    </row>
    <row r="2051" spans="18:33" x14ac:dyDescent="0.25">
      <c r="R2051">
        <v>2037</v>
      </c>
      <c r="S2051" s="36" t="str">
        <f t="shared" si="509"/>
        <v>BARATA Y MORADA</v>
      </c>
      <c r="T2051" s="36">
        <f t="shared" si="509"/>
        <v>691</v>
      </c>
      <c r="U2051" s="73">
        <v>0.34722222222222227</v>
      </c>
      <c r="V2051" s="74">
        <v>0.35069444444444442</v>
      </c>
      <c r="W2051" s="75">
        <v>3.4722222222221544E-3</v>
      </c>
      <c r="X2051" s="74">
        <v>0.35138888888888892</v>
      </c>
      <c r="Y2051" s="75">
        <v>6.9444444444449749E-4</v>
      </c>
      <c r="Z2051" s="76">
        <v>41749</v>
      </c>
      <c r="AA2051" s="36" t="str">
        <f t="shared" si="514"/>
        <v>Nacional</v>
      </c>
      <c r="AB2051" s="36">
        <f t="shared" si="514"/>
        <v>4.4444444444444176E-3</v>
      </c>
      <c r="AC2051" s="36">
        <f t="shared" si="514"/>
        <v>4.1666666666666848E-3</v>
      </c>
      <c r="AD2051" s="36">
        <f t="shared" si="514"/>
        <v>8.6111111111111024E-3</v>
      </c>
      <c r="AE2051" s="36" t="str">
        <f t="shared" si="514"/>
        <v>A319</v>
      </c>
      <c r="AF2051" s="36">
        <f t="shared" si="514"/>
        <v>142</v>
      </c>
      <c r="AG2051" s="36" t="str">
        <f t="shared" si="514"/>
        <v>MTY</v>
      </c>
    </row>
    <row r="2052" spans="18:33" ht="15.75" thickBot="1" x14ac:dyDescent="0.3">
      <c r="R2052">
        <v>2038</v>
      </c>
      <c r="S2052" s="36" t="str">
        <f t="shared" si="509"/>
        <v>BARATA Y MORADA</v>
      </c>
      <c r="T2052" s="36">
        <f t="shared" si="509"/>
        <v>691</v>
      </c>
      <c r="U2052" s="83">
        <v>0.34097222222222223</v>
      </c>
      <c r="V2052" s="84">
        <v>0.34166666666666662</v>
      </c>
      <c r="W2052" s="85">
        <v>6.9444444444438647E-4</v>
      </c>
      <c r="X2052" s="84">
        <v>0.34513888888888888</v>
      </c>
      <c r="Y2052" s="85">
        <v>3.4722222222222654E-3</v>
      </c>
      <c r="Z2052" s="86">
        <v>41756</v>
      </c>
      <c r="AA2052" s="36" t="str">
        <f t="shared" si="514"/>
        <v>Nacional</v>
      </c>
      <c r="AB2052" s="36">
        <f t="shared" si="514"/>
        <v>4.4444444444444176E-3</v>
      </c>
      <c r="AC2052" s="36">
        <f t="shared" si="514"/>
        <v>4.1666666666666848E-3</v>
      </c>
      <c r="AD2052" s="36">
        <f t="shared" si="514"/>
        <v>8.6111111111111024E-3</v>
      </c>
      <c r="AE2052" s="36" t="str">
        <f t="shared" si="514"/>
        <v>A319</v>
      </c>
      <c r="AF2052" s="36">
        <f t="shared" si="514"/>
        <v>142</v>
      </c>
      <c r="AG2052" s="36" t="str">
        <f t="shared" si="514"/>
        <v>MTY</v>
      </c>
    </row>
    <row r="2053" spans="18:33" x14ac:dyDescent="0.25">
      <c r="R2053">
        <v>2039</v>
      </c>
      <c r="S2053" s="36" t="str">
        <f t="shared" si="509"/>
        <v>BARATA Y MORADA</v>
      </c>
      <c r="T2053" s="55">
        <v>693</v>
      </c>
      <c r="U2053" s="56">
        <v>0.42986111111111108</v>
      </c>
      <c r="V2053" s="57">
        <v>0.44513888888888892</v>
      </c>
      <c r="W2053" s="58">
        <v>1.5277777777777835E-2</v>
      </c>
      <c r="X2053" s="57">
        <v>0.45069444444444445</v>
      </c>
      <c r="Y2053" s="58">
        <v>5.5555555555555358E-3</v>
      </c>
      <c r="Z2053" s="59">
        <v>41745</v>
      </c>
      <c r="AA2053" s="60" t="s">
        <v>19</v>
      </c>
      <c r="AB2053" s="61">
        <v>9.0277777777777735E-3</v>
      </c>
      <c r="AC2053" s="61">
        <v>5.5555555555555775E-3</v>
      </c>
      <c r="AD2053" s="231">
        <v>1.4583333333333351E-2</v>
      </c>
      <c r="AE2053" s="132" t="s">
        <v>57</v>
      </c>
      <c r="AF2053" s="132">
        <v>142</v>
      </c>
      <c r="AG2053" s="132" t="s">
        <v>58</v>
      </c>
    </row>
    <row r="2054" spans="18:33" x14ac:dyDescent="0.25">
      <c r="R2054">
        <v>2040</v>
      </c>
      <c r="S2054" s="36" t="str">
        <f t="shared" si="509"/>
        <v>BARATA Y MORADA</v>
      </c>
      <c r="T2054" s="36">
        <f t="shared" si="509"/>
        <v>693</v>
      </c>
      <c r="U2054" s="73">
        <v>0.55902777777777779</v>
      </c>
      <c r="V2054" s="74">
        <v>0.56388888888888888</v>
      </c>
      <c r="W2054" s="75">
        <v>4.8611111111110938E-3</v>
      </c>
      <c r="X2054" s="74">
        <v>0.57291666666666663</v>
      </c>
      <c r="Y2054" s="75">
        <v>9.0277777777777457E-3</v>
      </c>
      <c r="Z2054" s="76">
        <v>41747</v>
      </c>
      <c r="AA2054" s="36" t="str">
        <f t="shared" ref="AA2054:AG2056" si="515">AA2053</f>
        <v>Nacional</v>
      </c>
      <c r="AB2054" s="36">
        <f t="shared" si="515"/>
        <v>9.0277777777777735E-3</v>
      </c>
      <c r="AC2054" s="36">
        <f t="shared" si="515"/>
        <v>5.5555555555555775E-3</v>
      </c>
      <c r="AD2054" s="36">
        <f t="shared" si="515"/>
        <v>1.4583333333333351E-2</v>
      </c>
      <c r="AE2054" s="36" t="str">
        <f t="shared" si="515"/>
        <v>A319</v>
      </c>
      <c r="AF2054" s="36">
        <f t="shared" si="515"/>
        <v>142</v>
      </c>
      <c r="AG2054" s="36" t="str">
        <f t="shared" si="515"/>
        <v>VER</v>
      </c>
    </row>
    <row r="2055" spans="18:33" x14ac:dyDescent="0.25">
      <c r="R2055">
        <v>2041</v>
      </c>
      <c r="S2055" s="36" t="str">
        <f t="shared" si="509"/>
        <v>BARATA Y MORADA</v>
      </c>
      <c r="T2055" s="36">
        <f t="shared" si="509"/>
        <v>693</v>
      </c>
      <c r="U2055" s="73">
        <v>0.96875</v>
      </c>
      <c r="V2055" s="74">
        <v>0.97638888888888886</v>
      </c>
      <c r="W2055" s="75">
        <v>7.6388888888888618E-3</v>
      </c>
      <c r="X2055" s="74">
        <v>0.98125000000000007</v>
      </c>
      <c r="Y2055" s="75">
        <v>4.8611111111112049E-3</v>
      </c>
      <c r="Z2055" s="76">
        <v>41749</v>
      </c>
      <c r="AA2055" s="36" t="str">
        <f t="shared" si="515"/>
        <v>Nacional</v>
      </c>
      <c r="AB2055" s="36">
        <f t="shared" si="515"/>
        <v>9.0277777777777735E-3</v>
      </c>
      <c r="AC2055" s="36">
        <f t="shared" si="515"/>
        <v>5.5555555555555775E-3</v>
      </c>
      <c r="AD2055" s="36">
        <f t="shared" si="515"/>
        <v>1.4583333333333351E-2</v>
      </c>
      <c r="AE2055" s="36" t="str">
        <f t="shared" si="515"/>
        <v>A319</v>
      </c>
      <c r="AF2055" s="36">
        <f t="shared" si="515"/>
        <v>142</v>
      </c>
      <c r="AG2055" s="36" t="str">
        <f t="shared" si="515"/>
        <v>VER</v>
      </c>
    </row>
    <row r="2056" spans="18:33" ht="15.75" thickBot="1" x14ac:dyDescent="0.3">
      <c r="R2056">
        <v>2042</v>
      </c>
      <c r="S2056" s="36" t="str">
        <f t="shared" si="509"/>
        <v>BARATA Y MORADA</v>
      </c>
      <c r="T2056" s="36">
        <f t="shared" si="509"/>
        <v>693</v>
      </c>
      <c r="U2056" s="83">
        <v>0.4375</v>
      </c>
      <c r="V2056" s="84">
        <v>0.4458333333333333</v>
      </c>
      <c r="W2056" s="85">
        <v>8.3333333333333037E-3</v>
      </c>
      <c r="X2056" s="84">
        <v>0.44861111111111113</v>
      </c>
      <c r="Y2056" s="85">
        <v>2.7777777777778234E-3</v>
      </c>
      <c r="Z2056" s="86">
        <v>41759</v>
      </c>
      <c r="AA2056" s="36" t="str">
        <f t="shared" si="515"/>
        <v>Nacional</v>
      </c>
      <c r="AB2056" s="36">
        <f t="shared" si="515"/>
        <v>9.0277777777777735E-3</v>
      </c>
      <c r="AC2056" s="36">
        <f t="shared" si="515"/>
        <v>5.5555555555555775E-3</v>
      </c>
      <c r="AD2056" s="36">
        <f t="shared" si="515"/>
        <v>1.4583333333333351E-2</v>
      </c>
      <c r="AE2056" s="36" t="str">
        <f t="shared" si="515"/>
        <v>A319</v>
      </c>
      <c r="AF2056" s="36">
        <f t="shared" si="515"/>
        <v>142</v>
      </c>
      <c r="AG2056" s="36" t="str">
        <f t="shared" si="515"/>
        <v>VER</v>
      </c>
    </row>
    <row r="2057" spans="18:33" x14ac:dyDescent="0.25">
      <c r="R2057">
        <v>2043</v>
      </c>
      <c r="S2057" s="36" t="str">
        <f t="shared" si="509"/>
        <v>BARATA Y MORADA</v>
      </c>
      <c r="T2057" s="55">
        <v>730</v>
      </c>
      <c r="U2057" s="56">
        <v>0.35972222222222222</v>
      </c>
      <c r="V2057" s="57">
        <v>0.36458333333333331</v>
      </c>
      <c r="W2057" s="58">
        <v>4.8611111111110938E-3</v>
      </c>
      <c r="X2057" s="57">
        <v>0.37152777777777773</v>
      </c>
      <c r="Y2057" s="58">
        <v>6.9444444444444198E-3</v>
      </c>
      <c r="Z2057" s="59">
        <v>41737</v>
      </c>
      <c r="AA2057" s="60" t="s">
        <v>19</v>
      </c>
      <c r="AB2057" s="61">
        <v>7.1759259259259302E-3</v>
      </c>
      <c r="AC2057" s="61">
        <v>6.2500000000000003E-3</v>
      </c>
      <c r="AD2057" s="234">
        <v>1.3425925925925931E-2</v>
      </c>
      <c r="AE2057" s="132" t="s">
        <v>57</v>
      </c>
      <c r="AF2057" s="132">
        <v>142</v>
      </c>
      <c r="AG2057" s="132" t="s">
        <v>21</v>
      </c>
    </row>
    <row r="2058" spans="18:33" x14ac:dyDescent="0.25">
      <c r="R2058">
        <v>2044</v>
      </c>
      <c r="S2058" s="36" t="str">
        <f t="shared" si="509"/>
        <v>BARATA Y MORADA</v>
      </c>
      <c r="T2058" s="36">
        <f t="shared" si="509"/>
        <v>730</v>
      </c>
      <c r="U2058" s="73">
        <v>0.3520833333333333</v>
      </c>
      <c r="V2058" s="74">
        <v>0.36180555555555555</v>
      </c>
      <c r="W2058" s="75">
        <v>9.7222222222222432E-3</v>
      </c>
      <c r="X2058" s="74">
        <v>0.36805555555555558</v>
      </c>
      <c r="Y2058" s="75">
        <v>6.2500000000000333E-3</v>
      </c>
      <c r="Z2058" s="76">
        <v>41739</v>
      </c>
      <c r="AA2058" s="36" t="str">
        <f t="shared" ref="AA2058:AG2071" si="516">AA2057</f>
        <v>Nacional</v>
      </c>
      <c r="AB2058" s="36">
        <f t="shared" si="516"/>
        <v>7.1759259259259302E-3</v>
      </c>
      <c r="AC2058" s="36">
        <f t="shared" si="516"/>
        <v>6.2500000000000003E-3</v>
      </c>
      <c r="AD2058" s="36">
        <f t="shared" si="516"/>
        <v>1.3425925925925931E-2</v>
      </c>
      <c r="AE2058" s="36" t="str">
        <f t="shared" si="516"/>
        <v>A319</v>
      </c>
      <c r="AF2058" s="36">
        <f t="shared" si="516"/>
        <v>142</v>
      </c>
      <c r="AG2058" s="36" t="str">
        <f t="shared" si="516"/>
        <v>MEX</v>
      </c>
    </row>
    <row r="2059" spans="18:33" x14ac:dyDescent="0.25">
      <c r="R2059">
        <v>2045</v>
      </c>
      <c r="S2059" s="36" t="str">
        <f t="shared" si="509"/>
        <v>BARATA Y MORADA</v>
      </c>
      <c r="T2059" s="36">
        <f t="shared" si="509"/>
        <v>730</v>
      </c>
      <c r="U2059" s="73">
        <v>0.34722222222222227</v>
      </c>
      <c r="V2059" s="74">
        <v>0.35069444444444442</v>
      </c>
      <c r="W2059" s="75">
        <v>3.4722222222221544E-3</v>
      </c>
      <c r="X2059" s="74">
        <v>0.3576388888888889</v>
      </c>
      <c r="Y2059" s="75">
        <v>6.9444444444444753E-3</v>
      </c>
      <c r="Z2059" s="76">
        <v>41741</v>
      </c>
      <c r="AA2059" s="36" t="str">
        <f t="shared" si="516"/>
        <v>Nacional</v>
      </c>
      <c r="AB2059" s="36">
        <f t="shared" si="516"/>
        <v>7.1759259259259302E-3</v>
      </c>
      <c r="AC2059" s="36">
        <f t="shared" si="516"/>
        <v>6.2500000000000003E-3</v>
      </c>
      <c r="AD2059" s="36">
        <f t="shared" si="516"/>
        <v>1.3425925925925931E-2</v>
      </c>
      <c r="AE2059" s="36" t="str">
        <f t="shared" si="516"/>
        <v>A319</v>
      </c>
      <c r="AF2059" s="36">
        <f t="shared" si="516"/>
        <v>142</v>
      </c>
      <c r="AG2059" s="36" t="str">
        <f t="shared" si="516"/>
        <v>MEX</v>
      </c>
    </row>
    <row r="2060" spans="18:33" x14ac:dyDescent="0.25">
      <c r="R2060">
        <v>2046</v>
      </c>
      <c r="S2060" s="36" t="str">
        <f t="shared" si="509"/>
        <v>BARATA Y MORADA</v>
      </c>
      <c r="T2060" s="36">
        <f t="shared" si="509"/>
        <v>730</v>
      </c>
      <c r="U2060" s="73">
        <v>0.3611111111111111</v>
      </c>
      <c r="V2060" s="74">
        <v>0.3666666666666667</v>
      </c>
      <c r="W2060" s="75">
        <v>5.5555555555555913E-3</v>
      </c>
      <c r="X2060" s="74">
        <v>0.37986111111111115</v>
      </c>
      <c r="Y2060" s="75">
        <v>1.3194444444444453E-2</v>
      </c>
      <c r="Z2060" s="76">
        <v>41743</v>
      </c>
      <c r="AA2060" s="36" t="str">
        <f t="shared" si="516"/>
        <v>Nacional</v>
      </c>
      <c r="AB2060" s="36">
        <f t="shared" si="516"/>
        <v>7.1759259259259302E-3</v>
      </c>
      <c r="AC2060" s="36">
        <f t="shared" si="516"/>
        <v>6.2500000000000003E-3</v>
      </c>
      <c r="AD2060" s="36">
        <f t="shared" si="516"/>
        <v>1.3425925925925931E-2</v>
      </c>
      <c r="AE2060" s="36" t="str">
        <f t="shared" si="516"/>
        <v>A319</v>
      </c>
      <c r="AF2060" s="36">
        <f t="shared" si="516"/>
        <v>142</v>
      </c>
      <c r="AG2060" s="36" t="str">
        <f t="shared" si="516"/>
        <v>MEX</v>
      </c>
    </row>
    <row r="2061" spans="18:33" x14ac:dyDescent="0.25">
      <c r="R2061">
        <v>2047</v>
      </c>
      <c r="S2061" s="36" t="str">
        <f t="shared" si="509"/>
        <v>BARATA Y MORADA</v>
      </c>
      <c r="T2061" s="36">
        <f t="shared" si="509"/>
        <v>730</v>
      </c>
      <c r="U2061" s="73">
        <v>0.34027777777777773</v>
      </c>
      <c r="V2061" s="74">
        <v>0.34861111111111115</v>
      </c>
      <c r="W2061" s="75">
        <v>8.3333333333334147E-3</v>
      </c>
      <c r="X2061" s="74">
        <v>0.35416666666666669</v>
      </c>
      <c r="Y2061" s="75">
        <v>5.5555555555555358E-3</v>
      </c>
      <c r="Z2061" s="76">
        <v>41744</v>
      </c>
      <c r="AA2061" s="36" t="str">
        <f t="shared" si="516"/>
        <v>Nacional</v>
      </c>
      <c r="AB2061" s="36">
        <f t="shared" si="516"/>
        <v>7.1759259259259302E-3</v>
      </c>
      <c r="AC2061" s="36">
        <f t="shared" si="516"/>
        <v>6.2500000000000003E-3</v>
      </c>
      <c r="AD2061" s="36">
        <f t="shared" si="516"/>
        <v>1.3425925925925931E-2</v>
      </c>
      <c r="AE2061" s="36" t="str">
        <f t="shared" si="516"/>
        <v>A319</v>
      </c>
      <c r="AF2061" s="36">
        <f t="shared" si="516"/>
        <v>142</v>
      </c>
      <c r="AG2061" s="36" t="str">
        <f t="shared" si="516"/>
        <v>MEX</v>
      </c>
    </row>
    <row r="2062" spans="18:33" x14ac:dyDescent="0.25">
      <c r="R2062">
        <v>2048</v>
      </c>
      <c r="S2062" s="36" t="str">
        <f t="shared" si="509"/>
        <v>BARATA Y MORADA</v>
      </c>
      <c r="T2062" s="36">
        <f t="shared" si="509"/>
        <v>730</v>
      </c>
      <c r="U2062" s="73">
        <v>0.35347222222222219</v>
      </c>
      <c r="V2062" s="74">
        <v>0.36041666666666666</v>
      </c>
      <c r="W2062" s="75">
        <v>6.9444444444444753E-3</v>
      </c>
      <c r="X2062" s="74">
        <v>0.36527777777777781</v>
      </c>
      <c r="Y2062" s="75">
        <v>4.8611111111111494E-3</v>
      </c>
      <c r="Z2062" s="76">
        <v>41745</v>
      </c>
      <c r="AA2062" s="36" t="str">
        <f t="shared" si="516"/>
        <v>Nacional</v>
      </c>
      <c r="AB2062" s="36">
        <f t="shared" si="516"/>
        <v>7.1759259259259302E-3</v>
      </c>
      <c r="AC2062" s="36">
        <f t="shared" si="516"/>
        <v>6.2500000000000003E-3</v>
      </c>
      <c r="AD2062" s="36">
        <f t="shared" si="516"/>
        <v>1.3425925925925931E-2</v>
      </c>
      <c r="AE2062" s="36" t="str">
        <f t="shared" si="516"/>
        <v>A319</v>
      </c>
      <c r="AF2062" s="36">
        <f t="shared" si="516"/>
        <v>142</v>
      </c>
      <c r="AG2062" s="36" t="str">
        <f t="shared" si="516"/>
        <v>MEX</v>
      </c>
    </row>
    <row r="2063" spans="18:33" x14ac:dyDescent="0.25">
      <c r="R2063">
        <v>2049</v>
      </c>
      <c r="S2063" s="36" t="str">
        <f t="shared" si="509"/>
        <v>BARATA Y MORADA</v>
      </c>
      <c r="T2063" s="36">
        <f t="shared" si="509"/>
        <v>730</v>
      </c>
      <c r="U2063" s="73">
        <v>0.35416666666666669</v>
      </c>
      <c r="V2063" s="74">
        <v>0.3611111111111111</v>
      </c>
      <c r="W2063" s="75">
        <v>6.9444444444444198E-3</v>
      </c>
      <c r="X2063" s="74">
        <v>0.36319444444444443</v>
      </c>
      <c r="Y2063" s="75">
        <v>2.0833333333333259E-3</v>
      </c>
      <c r="Z2063" s="76">
        <v>41746</v>
      </c>
      <c r="AA2063" s="36" t="str">
        <f t="shared" si="516"/>
        <v>Nacional</v>
      </c>
      <c r="AB2063" s="36">
        <f t="shared" si="516"/>
        <v>7.1759259259259302E-3</v>
      </c>
      <c r="AC2063" s="36">
        <f t="shared" si="516"/>
        <v>6.2500000000000003E-3</v>
      </c>
      <c r="AD2063" s="36">
        <f t="shared" si="516"/>
        <v>1.3425925925925931E-2</v>
      </c>
      <c r="AE2063" s="36" t="str">
        <f t="shared" si="516"/>
        <v>A319</v>
      </c>
      <c r="AF2063" s="36">
        <f t="shared" si="516"/>
        <v>142</v>
      </c>
      <c r="AG2063" s="36" t="str">
        <f t="shared" si="516"/>
        <v>MEX</v>
      </c>
    </row>
    <row r="2064" spans="18:33" x14ac:dyDescent="0.25">
      <c r="R2064">
        <v>2050</v>
      </c>
      <c r="S2064" s="36" t="str">
        <f t="shared" si="509"/>
        <v>BARATA Y MORADA</v>
      </c>
      <c r="T2064" s="36">
        <f t="shared" si="509"/>
        <v>730</v>
      </c>
      <c r="U2064" s="73">
        <v>0.34027777777777773</v>
      </c>
      <c r="V2064" s="74">
        <v>0.34652777777777777</v>
      </c>
      <c r="W2064" s="75">
        <v>6.2500000000000333E-3</v>
      </c>
      <c r="X2064" s="74">
        <v>0.35000000000000003</v>
      </c>
      <c r="Y2064" s="75">
        <v>3.4722222222222654E-3</v>
      </c>
      <c r="Z2064" s="76">
        <v>41748</v>
      </c>
      <c r="AA2064" s="36" t="str">
        <f t="shared" si="516"/>
        <v>Nacional</v>
      </c>
      <c r="AB2064" s="36">
        <f t="shared" si="516"/>
        <v>7.1759259259259302E-3</v>
      </c>
      <c r="AC2064" s="36">
        <f t="shared" si="516"/>
        <v>6.2500000000000003E-3</v>
      </c>
      <c r="AD2064" s="36">
        <f t="shared" si="516"/>
        <v>1.3425925925925931E-2</v>
      </c>
      <c r="AE2064" s="36" t="str">
        <f t="shared" si="516"/>
        <v>A319</v>
      </c>
      <c r="AF2064" s="36">
        <f t="shared" si="516"/>
        <v>142</v>
      </c>
      <c r="AG2064" s="36" t="str">
        <f t="shared" si="516"/>
        <v>MEX</v>
      </c>
    </row>
    <row r="2065" spans="18:33" x14ac:dyDescent="0.25">
      <c r="R2065">
        <v>2051</v>
      </c>
      <c r="S2065" s="36" t="str">
        <f t="shared" si="509"/>
        <v>BARATA Y MORADA</v>
      </c>
      <c r="T2065" s="36">
        <f t="shared" si="509"/>
        <v>730</v>
      </c>
      <c r="U2065" s="73">
        <v>0.34722222222222227</v>
      </c>
      <c r="V2065" s="74">
        <v>0.36041666666666666</v>
      </c>
      <c r="W2065" s="75">
        <v>1.3194444444444398E-2</v>
      </c>
      <c r="X2065" s="74">
        <v>0.36458333333333331</v>
      </c>
      <c r="Y2065" s="75">
        <v>4.1666666666666519E-3</v>
      </c>
      <c r="Z2065" s="76">
        <v>41750</v>
      </c>
      <c r="AA2065" s="36" t="str">
        <f t="shared" si="516"/>
        <v>Nacional</v>
      </c>
      <c r="AB2065" s="36">
        <f t="shared" si="516"/>
        <v>7.1759259259259302E-3</v>
      </c>
      <c r="AC2065" s="36">
        <f t="shared" si="516"/>
        <v>6.2500000000000003E-3</v>
      </c>
      <c r="AD2065" s="36">
        <f t="shared" si="516"/>
        <v>1.3425925925925931E-2</v>
      </c>
      <c r="AE2065" s="36" t="str">
        <f t="shared" si="516"/>
        <v>A319</v>
      </c>
      <c r="AF2065" s="36">
        <f t="shared" si="516"/>
        <v>142</v>
      </c>
      <c r="AG2065" s="36" t="str">
        <f t="shared" si="516"/>
        <v>MEX</v>
      </c>
    </row>
    <row r="2066" spans="18:33" x14ac:dyDescent="0.25">
      <c r="R2066">
        <v>2052</v>
      </c>
      <c r="S2066" s="36" t="str">
        <f t="shared" si="509"/>
        <v>BARATA Y MORADA</v>
      </c>
      <c r="T2066" s="36">
        <f t="shared" si="509"/>
        <v>730</v>
      </c>
      <c r="U2066" s="73">
        <v>0.34930555555555554</v>
      </c>
      <c r="V2066" s="74">
        <v>0.35625000000000001</v>
      </c>
      <c r="W2066" s="75">
        <v>6.9444444444444753E-3</v>
      </c>
      <c r="X2066" s="74">
        <v>0.36249999999999999</v>
      </c>
      <c r="Y2066" s="75">
        <v>6.2499999999999778E-3</v>
      </c>
      <c r="Z2066" s="76">
        <v>41751</v>
      </c>
      <c r="AA2066" s="36" t="str">
        <f t="shared" si="516"/>
        <v>Nacional</v>
      </c>
      <c r="AB2066" s="36">
        <f t="shared" si="516"/>
        <v>7.1759259259259302E-3</v>
      </c>
      <c r="AC2066" s="36">
        <f t="shared" si="516"/>
        <v>6.2500000000000003E-3</v>
      </c>
      <c r="AD2066" s="36">
        <f t="shared" si="516"/>
        <v>1.3425925925925931E-2</v>
      </c>
      <c r="AE2066" s="36" t="str">
        <f t="shared" si="516"/>
        <v>A319</v>
      </c>
      <c r="AF2066" s="36">
        <f t="shared" si="516"/>
        <v>142</v>
      </c>
      <c r="AG2066" s="36" t="str">
        <f t="shared" si="516"/>
        <v>MEX</v>
      </c>
    </row>
    <row r="2067" spans="18:33" x14ac:dyDescent="0.25">
      <c r="R2067">
        <v>2053</v>
      </c>
      <c r="S2067" s="36" t="str">
        <f t="shared" si="509"/>
        <v>BARATA Y MORADA</v>
      </c>
      <c r="T2067" s="36">
        <f t="shared" si="509"/>
        <v>730</v>
      </c>
      <c r="U2067" s="73">
        <v>0.35000000000000003</v>
      </c>
      <c r="V2067" s="74">
        <v>0.35138888888888892</v>
      </c>
      <c r="W2067" s="75">
        <v>1.388888888888884E-3</v>
      </c>
      <c r="X2067" s="74">
        <v>0.36249999999999999</v>
      </c>
      <c r="Y2067" s="75">
        <v>1.1111111111111072E-2</v>
      </c>
      <c r="Z2067" s="76">
        <v>41753</v>
      </c>
      <c r="AA2067" s="36" t="str">
        <f t="shared" si="516"/>
        <v>Nacional</v>
      </c>
      <c r="AB2067" s="36">
        <f t="shared" si="516"/>
        <v>7.1759259259259302E-3</v>
      </c>
      <c r="AC2067" s="36">
        <f t="shared" si="516"/>
        <v>6.2500000000000003E-3</v>
      </c>
      <c r="AD2067" s="36">
        <f t="shared" si="516"/>
        <v>1.3425925925925931E-2</v>
      </c>
      <c r="AE2067" s="36" t="str">
        <f t="shared" si="516"/>
        <v>A319</v>
      </c>
      <c r="AF2067" s="36">
        <f t="shared" si="516"/>
        <v>142</v>
      </c>
      <c r="AG2067" s="36" t="str">
        <f t="shared" si="516"/>
        <v>MEX</v>
      </c>
    </row>
    <row r="2068" spans="18:33" x14ac:dyDescent="0.25">
      <c r="R2068">
        <v>2054</v>
      </c>
      <c r="S2068" s="36" t="str">
        <f t="shared" si="509"/>
        <v>BARATA Y MORADA</v>
      </c>
      <c r="T2068" s="36">
        <f t="shared" si="509"/>
        <v>730</v>
      </c>
      <c r="U2068" s="73">
        <v>0.34513888888888888</v>
      </c>
      <c r="V2068" s="74">
        <v>0.3527777777777778</v>
      </c>
      <c r="W2068" s="75">
        <v>7.6388888888889173E-3</v>
      </c>
      <c r="X2068" s="74">
        <v>0.36041666666666666</v>
      </c>
      <c r="Y2068" s="75">
        <v>7.6388888888888618E-3</v>
      </c>
      <c r="Z2068" s="76">
        <v>41756</v>
      </c>
      <c r="AA2068" s="36" t="str">
        <f t="shared" si="516"/>
        <v>Nacional</v>
      </c>
      <c r="AB2068" s="36">
        <f t="shared" si="516"/>
        <v>7.1759259259259302E-3</v>
      </c>
      <c r="AC2068" s="36">
        <f t="shared" si="516"/>
        <v>6.2500000000000003E-3</v>
      </c>
      <c r="AD2068" s="36">
        <f t="shared" si="516"/>
        <v>1.3425925925925931E-2</v>
      </c>
      <c r="AE2068" s="36" t="str">
        <f t="shared" si="516"/>
        <v>A319</v>
      </c>
      <c r="AF2068" s="36">
        <f t="shared" si="516"/>
        <v>142</v>
      </c>
      <c r="AG2068" s="36" t="str">
        <f t="shared" si="516"/>
        <v>MEX</v>
      </c>
    </row>
    <row r="2069" spans="18:33" x14ac:dyDescent="0.25">
      <c r="R2069">
        <v>2055</v>
      </c>
      <c r="S2069" s="36" t="str">
        <f t="shared" si="509"/>
        <v>BARATA Y MORADA</v>
      </c>
      <c r="T2069" s="36">
        <f t="shared" si="509"/>
        <v>730</v>
      </c>
      <c r="U2069" s="73">
        <v>0.35694444444444445</v>
      </c>
      <c r="V2069" s="74">
        <v>0.3666666666666667</v>
      </c>
      <c r="W2069" s="75">
        <v>9.7222222222222432E-3</v>
      </c>
      <c r="X2069" s="74">
        <v>0.375</v>
      </c>
      <c r="Y2069" s="75">
        <v>8.3333333333333037E-3</v>
      </c>
      <c r="Z2069" s="76">
        <v>41757</v>
      </c>
      <c r="AA2069" s="36" t="str">
        <f t="shared" si="516"/>
        <v>Nacional</v>
      </c>
      <c r="AB2069" s="36">
        <f t="shared" si="516"/>
        <v>7.1759259259259302E-3</v>
      </c>
      <c r="AC2069" s="36">
        <f t="shared" si="516"/>
        <v>6.2500000000000003E-3</v>
      </c>
      <c r="AD2069" s="36">
        <f t="shared" si="516"/>
        <v>1.3425925925925931E-2</v>
      </c>
      <c r="AE2069" s="36" t="str">
        <f t="shared" si="516"/>
        <v>A319</v>
      </c>
      <c r="AF2069" s="36">
        <f t="shared" si="516"/>
        <v>142</v>
      </c>
      <c r="AG2069" s="36" t="str">
        <f t="shared" si="516"/>
        <v>MEX</v>
      </c>
    </row>
    <row r="2070" spans="18:33" x14ac:dyDescent="0.25">
      <c r="R2070">
        <v>2056</v>
      </c>
      <c r="S2070" s="36" t="str">
        <f t="shared" si="509"/>
        <v>BARATA Y MORADA</v>
      </c>
      <c r="T2070" s="36">
        <f t="shared" si="509"/>
        <v>730</v>
      </c>
      <c r="U2070" s="73">
        <v>0.3576388888888889</v>
      </c>
      <c r="V2070" s="74">
        <v>0.36388888888888887</v>
      </c>
      <c r="W2070" s="75">
        <v>6.2499999999999778E-3</v>
      </c>
      <c r="X2070" s="74">
        <v>0.36805555555555558</v>
      </c>
      <c r="Y2070" s="75">
        <v>4.1666666666667074E-3</v>
      </c>
      <c r="Z2070" s="76">
        <v>41758</v>
      </c>
      <c r="AA2070" s="36" t="str">
        <f t="shared" si="516"/>
        <v>Nacional</v>
      </c>
      <c r="AB2070" s="36">
        <f t="shared" si="516"/>
        <v>7.1759259259259302E-3</v>
      </c>
      <c r="AC2070" s="36">
        <f t="shared" si="516"/>
        <v>6.2500000000000003E-3</v>
      </c>
      <c r="AD2070" s="36">
        <f t="shared" si="516"/>
        <v>1.3425925925925931E-2</v>
      </c>
      <c r="AE2070" s="36" t="str">
        <f t="shared" si="516"/>
        <v>A319</v>
      </c>
      <c r="AF2070" s="36">
        <f t="shared" si="516"/>
        <v>142</v>
      </c>
      <c r="AG2070" s="36" t="str">
        <f t="shared" si="516"/>
        <v>MEX</v>
      </c>
    </row>
    <row r="2071" spans="18:33" ht="15.75" thickBot="1" x14ac:dyDescent="0.3">
      <c r="R2071">
        <v>2057</v>
      </c>
      <c r="S2071" s="36" t="str">
        <f t="shared" si="509"/>
        <v>BARATA Y MORADA</v>
      </c>
      <c r="T2071" s="36">
        <f t="shared" si="509"/>
        <v>730</v>
      </c>
      <c r="U2071" s="83">
        <v>0.35416666666666669</v>
      </c>
      <c r="V2071" s="84">
        <v>0.36458333333333331</v>
      </c>
      <c r="W2071" s="85">
        <v>1.041666666666663E-2</v>
      </c>
      <c r="X2071" s="84">
        <v>0.36736111111111108</v>
      </c>
      <c r="Y2071" s="85">
        <v>2.7777777777777679E-3</v>
      </c>
      <c r="Z2071" s="86">
        <v>41759</v>
      </c>
      <c r="AA2071" s="36" t="str">
        <f t="shared" si="516"/>
        <v>Nacional</v>
      </c>
      <c r="AB2071" s="36">
        <f t="shared" si="516"/>
        <v>7.1759259259259302E-3</v>
      </c>
      <c r="AC2071" s="36">
        <f t="shared" si="516"/>
        <v>6.2500000000000003E-3</v>
      </c>
      <c r="AD2071" s="36">
        <f t="shared" si="516"/>
        <v>1.3425925925925931E-2</v>
      </c>
      <c r="AE2071" s="36" t="str">
        <f t="shared" si="516"/>
        <v>A319</v>
      </c>
      <c r="AF2071" s="36">
        <f t="shared" si="516"/>
        <v>142</v>
      </c>
      <c r="AG2071" s="36" t="str">
        <f t="shared" si="516"/>
        <v>MEX</v>
      </c>
    </row>
    <row r="2072" spans="18:33" x14ac:dyDescent="0.25">
      <c r="R2072">
        <v>2058</v>
      </c>
      <c r="S2072" s="45" t="s">
        <v>77</v>
      </c>
      <c r="T2072" s="55">
        <v>732</v>
      </c>
      <c r="U2072" s="56">
        <v>0.37222222222222223</v>
      </c>
      <c r="V2072" s="57">
        <v>0.37777777777777777</v>
      </c>
      <c r="W2072" s="58">
        <v>5.5555555555555358E-3</v>
      </c>
      <c r="X2072" s="57">
        <v>0.3840277777777778</v>
      </c>
      <c r="Y2072" s="58">
        <v>6.2500000000000333E-3</v>
      </c>
      <c r="Z2072" s="59">
        <v>41730</v>
      </c>
      <c r="AA2072" s="60" t="s">
        <v>19</v>
      </c>
      <c r="AB2072" s="61">
        <v>7.0601851851851858E-3</v>
      </c>
      <c r="AC2072" s="61">
        <v>5.2083333333333174E-3</v>
      </c>
      <c r="AD2072" s="231">
        <v>1.2268518518518503E-2</v>
      </c>
      <c r="AE2072" s="132" t="s">
        <v>57</v>
      </c>
      <c r="AF2072" s="132">
        <v>142</v>
      </c>
      <c r="AG2072" s="132" t="s">
        <v>21</v>
      </c>
    </row>
    <row r="2073" spans="18:33" x14ac:dyDescent="0.25">
      <c r="R2073">
        <v>2059</v>
      </c>
      <c r="S2073" s="36" t="str">
        <f t="shared" ref="S2073:T2135" si="517">S2072</f>
        <v>BARATA Y MORADA</v>
      </c>
      <c r="T2073" s="36">
        <f t="shared" si="517"/>
        <v>732</v>
      </c>
      <c r="U2073" s="73">
        <v>0.38472222222222219</v>
      </c>
      <c r="V2073" s="74">
        <v>0.39513888888888887</v>
      </c>
      <c r="W2073" s="75">
        <v>1.0416666666666685E-2</v>
      </c>
      <c r="X2073" s="74">
        <v>0.40138888888888885</v>
      </c>
      <c r="Y2073" s="75">
        <v>6.2499999999999778E-3</v>
      </c>
      <c r="Z2073" s="76">
        <v>41731</v>
      </c>
      <c r="AA2073" s="36" t="str">
        <f t="shared" ref="AA2073:AG2095" si="518">AA2072</f>
        <v>Nacional</v>
      </c>
      <c r="AB2073" s="36">
        <f t="shared" si="518"/>
        <v>7.0601851851851858E-3</v>
      </c>
      <c r="AC2073" s="36">
        <f t="shared" si="518"/>
        <v>5.2083333333333174E-3</v>
      </c>
      <c r="AD2073" s="36">
        <f t="shared" si="518"/>
        <v>1.2268518518518503E-2</v>
      </c>
      <c r="AE2073" s="36" t="str">
        <f t="shared" si="518"/>
        <v>A319</v>
      </c>
      <c r="AF2073" s="36">
        <f t="shared" si="518"/>
        <v>142</v>
      </c>
      <c r="AG2073" s="36" t="str">
        <f t="shared" si="518"/>
        <v>MEX</v>
      </c>
    </row>
    <row r="2074" spans="18:33" x14ac:dyDescent="0.25">
      <c r="R2074">
        <v>2060</v>
      </c>
      <c r="S2074" s="36" t="str">
        <f t="shared" si="517"/>
        <v>BARATA Y MORADA</v>
      </c>
      <c r="T2074" s="36">
        <f t="shared" si="517"/>
        <v>732</v>
      </c>
      <c r="U2074" s="73">
        <v>0.37708333333333338</v>
      </c>
      <c r="V2074" s="74">
        <v>0.38541666666666669</v>
      </c>
      <c r="W2074" s="75">
        <v>8.3333333333333037E-3</v>
      </c>
      <c r="X2074" s="74">
        <v>0.39305555555555555</v>
      </c>
      <c r="Y2074" s="75">
        <v>7.6388888888888618E-3</v>
      </c>
      <c r="Z2074" s="76">
        <v>41732</v>
      </c>
      <c r="AA2074" s="36" t="str">
        <f t="shared" si="518"/>
        <v>Nacional</v>
      </c>
      <c r="AB2074" s="36">
        <f t="shared" si="518"/>
        <v>7.0601851851851858E-3</v>
      </c>
      <c r="AC2074" s="36">
        <f t="shared" si="518"/>
        <v>5.2083333333333174E-3</v>
      </c>
      <c r="AD2074" s="36">
        <f t="shared" si="518"/>
        <v>1.2268518518518503E-2</v>
      </c>
      <c r="AE2074" s="36" t="str">
        <f t="shared" si="518"/>
        <v>A319</v>
      </c>
      <c r="AF2074" s="36">
        <f t="shared" si="518"/>
        <v>142</v>
      </c>
      <c r="AG2074" s="36" t="str">
        <f t="shared" si="518"/>
        <v>MEX</v>
      </c>
    </row>
    <row r="2075" spans="18:33" x14ac:dyDescent="0.25">
      <c r="R2075">
        <v>2061</v>
      </c>
      <c r="S2075" s="36" t="str">
        <f t="shared" si="517"/>
        <v>BARATA Y MORADA</v>
      </c>
      <c r="T2075" s="36">
        <f t="shared" si="517"/>
        <v>732</v>
      </c>
      <c r="U2075" s="73">
        <v>0.38125000000000003</v>
      </c>
      <c r="V2075" s="74">
        <v>0.39027777777777778</v>
      </c>
      <c r="W2075" s="75">
        <v>9.0277777777777457E-3</v>
      </c>
      <c r="X2075" s="74">
        <v>0.3979166666666667</v>
      </c>
      <c r="Y2075" s="75">
        <v>7.6388888888889173E-3</v>
      </c>
      <c r="Z2075" s="76">
        <v>41733</v>
      </c>
      <c r="AA2075" s="36" t="str">
        <f t="shared" si="518"/>
        <v>Nacional</v>
      </c>
      <c r="AB2075" s="36">
        <f t="shared" si="518"/>
        <v>7.0601851851851858E-3</v>
      </c>
      <c r="AC2075" s="36">
        <f t="shared" si="518"/>
        <v>5.2083333333333174E-3</v>
      </c>
      <c r="AD2075" s="36">
        <f t="shared" si="518"/>
        <v>1.2268518518518503E-2</v>
      </c>
      <c r="AE2075" s="36" t="str">
        <f t="shared" si="518"/>
        <v>A319</v>
      </c>
      <c r="AF2075" s="36">
        <f t="shared" si="518"/>
        <v>142</v>
      </c>
      <c r="AG2075" s="36" t="str">
        <f t="shared" si="518"/>
        <v>MEX</v>
      </c>
    </row>
    <row r="2076" spans="18:33" x14ac:dyDescent="0.25">
      <c r="R2076">
        <v>2062</v>
      </c>
      <c r="S2076" s="36" t="str">
        <f t="shared" si="517"/>
        <v>BARATA Y MORADA</v>
      </c>
      <c r="T2076" s="36">
        <f t="shared" si="517"/>
        <v>732</v>
      </c>
      <c r="U2076" s="73">
        <v>0.3923611111111111</v>
      </c>
      <c r="V2076" s="74">
        <v>0.39583333333333331</v>
      </c>
      <c r="W2076" s="75">
        <v>3.4722222222222099E-3</v>
      </c>
      <c r="X2076" s="74">
        <v>0.3972222222222222</v>
      </c>
      <c r="Y2076" s="75">
        <v>1.388888888888884E-3</v>
      </c>
      <c r="Z2076" s="76">
        <v>41735</v>
      </c>
      <c r="AA2076" s="36" t="str">
        <f t="shared" si="518"/>
        <v>Nacional</v>
      </c>
      <c r="AB2076" s="36">
        <f t="shared" si="518"/>
        <v>7.0601851851851858E-3</v>
      </c>
      <c r="AC2076" s="36">
        <f t="shared" si="518"/>
        <v>5.2083333333333174E-3</v>
      </c>
      <c r="AD2076" s="36">
        <f t="shared" si="518"/>
        <v>1.2268518518518503E-2</v>
      </c>
      <c r="AE2076" s="36" t="str">
        <f t="shared" si="518"/>
        <v>A319</v>
      </c>
      <c r="AF2076" s="36">
        <f t="shared" si="518"/>
        <v>142</v>
      </c>
      <c r="AG2076" s="36" t="str">
        <f t="shared" si="518"/>
        <v>MEX</v>
      </c>
    </row>
    <row r="2077" spans="18:33" x14ac:dyDescent="0.25">
      <c r="R2077">
        <v>2063</v>
      </c>
      <c r="S2077" s="36" t="str">
        <f t="shared" si="517"/>
        <v>BARATA Y MORADA</v>
      </c>
      <c r="T2077" s="36">
        <f t="shared" si="517"/>
        <v>732</v>
      </c>
      <c r="U2077" s="73">
        <v>0.3888888888888889</v>
      </c>
      <c r="V2077" s="74">
        <v>0.3972222222222222</v>
      </c>
      <c r="W2077" s="75">
        <v>8.3333333333333037E-3</v>
      </c>
      <c r="X2077" s="74">
        <v>0.40277777777777773</v>
      </c>
      <c r="Y2077" s="75">
        <v>5.5555555555555358E-3</v>
      </c>
      <c r="Z2077" s="76">
        <v>41737</v>
      </c>
      <c r="AA2077" s="36" t="str">
        <f t="shared" si="518"/>
        <v>Nacional</v>
      </c>
      <c r="AB2077" s="36">
        <f t="shared" si="518"/>
        <v>7.0601851851851858E-3</v>
      </c>
      <c r="AC2077" s="36">
        <f t="shared" si="518"/>
        <v>5.2083333333333174E-3</v>
      </c>
      <c r="AD2077" s="36">
        <f t="shared" si="518"/>
        <v>1.2268518518518503E-2</v>
      </c>
      <c r="AE2077" s="36" t="str">
        <f t="shared" si="518"/>
        <v>A319</v>
      </c>
      <c r="AF2077" s="36">
        <f t="shared" si="518"/>
        <v>142</v>
      </c>
      <c r="AG2077" s="36" t="str">
        <f t="shared" si="518"/>
        <v>MEX</v>
      </c>
    </row>
    <row r="2078" spans="18:33" x14ac:dyDescent="0.25">
      <c r="R2078">
        <v>2064</v>
      </c>
      <c r="S2078" s="36" t="str">
        <f t="shared" si="517"/>
        <v>BARATA Y MORADA</v>
      </c>
      <c r="T2078" s="36">
        <f t="shared" si="517"/>
        <v>732</v>
      </c>
      <c r="U2078" s="73">
        <v>0.39166666666666666</v>
      </c>
      <c r="V2078" s="74">
        <v>0.39930555555555558</v>
      </c>
      <c r="W2078" s="75">
        <v>7.6388888888889173E-3</v>
      </c>
      <c r="X2078" s="74">
        <v>0.40208333333333335</v>
      </c>
      <c r="Y2078" s="75">
        <v>2.7777777777777679E-3</v>
      </c>
      <c r="Z2078" s="76">
        <v>41738</v>
      </c>
      <c r="AA2078" s="36" t="str">
        <f t="shared" si="518"/>
        <v>Nacional</v>
      </c>
      <c r="AB2078" s="36">
        <f t="shared" si="518"/>
        <v>7.0601851851851858E-3</v>
      </c>
      <c r="AC2078" s="36">
        <f t="shared" si="518"/>
        <v>5.2083333333333174E-3</v>
      </c>
      <c r="AD2078" s="36">
        <f t="shared" si="518"/>
        <v>1.2268518518518503E-2</v>
      </c>
      <c r="AE2078" s="36" t="str">
        <f t="shared" si="518"/>
        <v>A319</v>
      </c>
      <c r="AF2078" s="36">
        <f t="shared" si="518"/>
        <v>142</v>
      </c>
      <c r="AG2078" s="36" t="str">
        <f t="shared" si="518"/>
        <v>MEX</v>
      </c>
    </row>
    <row r="2079" spans="18:33" x14ac:dyDescent="0.25">
      <c r="R2079">
        <v>2065</v>
      </c>
      <c r="S2079" s="36" t="str">
        <f t="shared" si="517"/>
        <v>BARATA Y MORADA</v>
      </c>
      <c r="T2079" s="36">
        <f t="shared" si="517"/>
        <v>732</v>
      </c>
      <c r="U2079" s="73">
        <v>0.39861111111111108</v>
      </c>
      <c r="V2079" s="74">
        <v>0.4055555555555555</v>
      </c>
      <c r="W2079" s="75">
        <v>6.9444444444444198E-3</v>
      </c>
      <c r="X2079" s="74">
        <v>0.40972222222222227</v>
      </c>
      <c r="Y2079" s="75">
        <v>4.1666666666667629E-3</v>
      </c>
      <c r="Z2079" s="76">
        <v>41739</v>
      </c>
      <c r="AA2079" s="36" t="str">
        <f t="shared" si="518"/>
        <v>Nacional</v>
      </c>
      <c r="AB2079" s="36">
        <f t="shared" si="518"/>
        <v>7.0601851851851858E-3</v>
      </c>
      <c r="AC2079" s="36">
        <f t="shared" si="518"/>
        <v>5.2083333333333174E-3</v>
      </c>
      <c r="AD2079" s="36">
        <f t="shared" si="518"/>
        <v>1.2268518518518503E-2</v>
      </c>
      <c r="AE2079" s="36" t="str">
        <f t="shared" si="518"/>
        <v>A319</v>
      </c>
      <c r="AF2079" s="36">
        <f t="shared" si="518"/>
        <v>142</v>
      </c>
      <c r="AG2079" s="36" t="str">
        <f t="shared" si="518"/>
        <v>MEX</v>
      </c>
    </row>
    <row r="2080" spans="18:33" x14ac:dyDescent="0.25">
      <c r="R2080">
        <v>2066</v>
      </c>
      <c r="S2080" s="36" t="str">
        <f t="shared" si="517"/>
        <v>BARATA Y MORADA</v>
      </c>
      <c r="T2080" s="36">
        <f t="shared" si="517"/>
        <v>732</v>
      </c>
      <c r="U2080" s="73">
        <v>0.3888888888888889</v>
      </c>
      <c r="V2080" s="74">
        <v>0.40069444444444446</v>
      </c>
      <c r="W2080" s="75">
        <v>1.1805555555555569E-2</v>
      </c>
      <c r="X2080" s="74">
        <v>0.40416666666666662</v>
      </c>
      <c r="Y2080" s="75">
        <v>3.4722222222221544E-3</v>
      </c>
      <c r="Z2080" s="76">
        <v>41741</v>
      </c>
      <c r="AA2080" s="36" t="str">
        <f t="shared" si="518"/>
        <v>Nacional</v>
      </c>
      <c r="AB2080" s="36">
        <f t="shared" si="518"/>
        <v>7.0601851851851858E-3</v>
      </c>
      <c r="AC2080" s="36">
        <f t="shared" si="518"/>
        <v>5.2083333333333174E-3</v>
      </c>
      <c r="AD2080" s="36">
        <f t="shared" si="518"/>
        <v>1.2268518518518503E-2</v>
      </c>
      <c r="AE2080" s="36" t="str">
        <f t="shared" si="518"/>
        <v>A319</v>
      </c>
      <c r="AF2080" s="36">
        <f t="shared" si="518"/>
        <v>142</v>
      </c>
      <c r="AG2080" s="36" t="str">
        <f t="shared" si="518"/>
        <v>MEX</v>
      </c>
    </row>
    <row r="2081" spans="18:33" x14ac:dyDescent="0.25">
      <c r="R2081">
        <v>2067</v>
      </c>
      <c r="S2081" s="36" t="str">
        <f t="shared" si="517"/>
        <v>BARATA Y MORADA</v>
      </c>
      <c r="T2081" s="36">
        <f t="shared" si="517"/>
        <v>732</v>
      </c>
      <c r="U2081" s="73">
        <v>0.37222222222222223</v>
      </c>
      <c r="V2081" s="74">
        <v>0.37777777777777777</v>
      </c>
      <c r="W2081" s="75">
        <v>5.5555555555555358E-3</v>
      </c>
      <c r="X2081" s="74">
        <v>0.3840277777777778</v>
      </c>
      <c r="Y2081" s="75">
        <v>6.2500000000000333E-3</v>
      </c>
      <c r="Z2081" s="76">
        <v>41742</v>
      </c>
      <c r="AA2081" s="36" t="str">
        <f t="shared" si="518"/>
        <v>Nacional</v>
      </c>
      <c r="AB2081" s="36">
        <f t="shared" si="518"/>
        <v>7.0601851851851858E-3</v>
      </c>
      <c r="AC2081" s="36">
        <f t="shared" si="518"/>
        <v>5.2083333333333174E-3</v>
      </c>
      <c r="AD2081" s="36">
        <f t="shared" si="518"/>
        <v>1.2268518518518503E-2</v>
      </c>
      <c r="AE2081" s="36" t="str">
        <f t="shared" si="518"/>
        <v>A319</v>
      </c>
      <c r="AF2081" s="36">
        <f t="shared" si="518"/>
        <v>142</v>
      </c>
      <c r="AG2081" s="36" t="str">
        <f t="shared" si="518"/>
        <v>MEX</v>
      </c>
    </row>
    <row r="2082" spans="18:33" x14ac:dyDescent="0.25">
      <c r="R2082">
        <v>2068</v>
      </c>
      <c r="S2082" s="36" t="str">
        <f t="shared" si="517"/>
        <v>BARATA Y MORADA</v>
      </c>
      <c r="T2082" s="36">
        <f t="shared" si="517"/>
        <v>732</v>
      </c>
      <c r="U2082" s="73">
        <v>0.40277777777777773</v>
      </c>
      <c r="V2082" s="74">
        <v>0.40625</v>
      </c>
      <c r="W2082" s="75">
        <v>3.4722222222222654E-3</v>
      </c>
      <c r="X2082" s="74">
        <v>0.41180555555555554</v>
      </c>
      <c r="Y2082" s="75">
        <v>5.5555555555555358E-3</v>
      </c>
      <c r="Z2082" s="76">
        <v>41743</v>
      </c>
      <c r="AA2082" s="36" t="str">
        <f t="shared" si="518"/>
        <v>Nacional</v>
      </c>
      <c r="AB2082" s="36">
        <f t="shared" si="518"/>
        <v>7.0601851851851858E-3</v>
      </c>
      <c r="AC2082" s="36">
        <f t="shared" si="518"/>
        <v>5.2083333333333174E-3</v>
      </c>
      <c r="AD2082" s="36">
        <f t="shared" si="518"/>
        <v>1.2268518518518503E-2</v>
      </c>
      <c r="AE2082" s="36" t="str">
        <f t="shared" si="518"/>
        <v>A319</v>
      </c>
      <c r="AF2082" s="36">
        <f t="shared" si="518"/>
        <v>142</v>
      </c>
      <c r="AG2082" s="36" t="str">
        <f t="shared" si="518"/>
        <v>MEX</v>
      </c>
    </row>
    <row r="2083" spans="18:33" x14ac:dyDescent="0.25">
      <c r="R2083">
        <v>2069</v>
      </c>
      <c r="S2083" s="36" t="str">
        <f t="shared" si="517"/>
        <v>BARATA Y MORADA</v>
      </c>
      <c r="T2083" s="36">
        <f t="shared" si="517"/>
        <v>732</v>
      </c>
      <c r="U2083" s="73">
        <v>0.39305555555555555</v>
      </c>
      <c r="V2083" s="74">
        <v>0.40208333333333335</v>
      </c>
      <c r="W2083" s="75">
        <v>9.0277777777778012E-3</v>
      </c>
      <c r="X2083" s="74">
        <v>0.40486111111111112</v>
      </c>
      <c r="Y2083" s="75">
        <v>2.7777777777777679E-3</v>
      </c>
      <c r="Z2083" s="76">
        <v>41744</v>
      </c>
      <c r="AA2083" s="36" t="str">
        <f t="shared" si="518"/>
        <v>Nacional</v>
      </c>
      <c r="AB2083" s="36">
        <f t="shared" si="518"/>
        <v>7.0601851851851858E-3</v>
      </c>
      <c r="AC2083" s="36">
        <f t="shared" si="518"/>
        <v>5.2083333333333174E-3</v>
      </c>
      <c r="AD2083" s="36">
        <f t="shared" si="518"/>
        <v>1.2268518518518503E-2</v>
      </c>
      <c r="AE2083" s="36" t="str">
        <f t="shared" si="518"/>
        <v>A319</v>
      </c>
      <c r="AF2083" s="36">
        <f t="shared" si="518"/>
        <v>142</v>
      </c>
      <c r="AG2083" s="36" t="str">
        <f t="shared" si="518"/>
        <v>MEX</v>
      </c>
    </row>
    <row r="2084" spans="18:33" x14ac:dyDescent="0.25">
      <c r="R2084">
        <v>2070</v>
      </c>
      <c r="S2084" s="36" t="str">
        <f t="shared" si="517"/>
        <v>BARATA Y MORADA</v>
      </c>
      <c r="T2084" s="36">
        <f t="shared" si="517"/>
        <v>732</v>
      </c>
      <c r="U2084" s="73">
        <v>0.40208333333333335</v>
      </c>
      <c r="V2084" s="74">
        <v>0.41111111111111115</v>
      </c>
      <c r="W2084" s="75">
        <v>9.0277777777778012E-3</v>
      </c>
      <c r="X2084" s="74">
        <v>0.41597222222222219</v>
      </c>
      <c r="Y2084" s="75">
        <v>4.8611111111110383E-3</v>
      </c>
      <c r="Z2084" s="76">
        <v>41745</v>
      </c>
      <c r="AA2084" s="36" t="str">
        <f t="shared" si="518"/>
        <v>Nacional</v>
      </c>
      <c r="AB2084" s="36">
        <f t="shared" si="518"/>
        <v>7.0601851851851858E-3</v>
      </c>
      <c r="AC2084" s="36">
        <f t="shared" si="518"/>
        <v>5.2083333333333174E-3</v>
      </c>
      <c r="AD2084" s="36">
        <f t="shared" si="518"/>
        <v>1.2268518518518503E-2</v>
      </c>
      <c r="AE2084" s="36" t="str">
        <f t="shared" si="518"/>
        <v>A319</v>
      </c>
      <c r="AF2084" s="36">
        <f t="shared" si="518"/>
        <v>142</v>
      </c>
      <c r="AG2084" s="36" t="str">
        <f t="shared" si="518"/>
        <v>MEX</v>
      </c>
    </row>
    <row r="2085" spans="18:33" x14ac:dyDescent="0.25">
      <c r="R2085">
        <v>2071</v>
      </c>
      <c r="S2085" s="36" t="str">
        <f t="shared" si="517"/>
        <v>BARATA Y MORADA</v>
      </c>
      <c r="T2085" s="36">
        <f t="shared" si="517"/>
        <v>732</v>
      </c>
      <c r="U2085" s="73">
        <v>0.3888888888888889</v>
      </c>
      <c r="V2085" s="74">
        <v>0.39652777777777781</v>
      </c>
      <c r="W2085" s="75">
        <v>7.6388888888889173E-3</v>
      </c>
      <c r="X2085" s="74">
        <v>0.40277777777777773</v>
      </c>
      <c r="Y2085" s="75">
        <v>6.2499999999999223E-3</v>
      </c>
      <c r="Z2085" s="76">
        <v>41746</v>
      </c>
      <c r="AA2085" s="36" t="str">
        <f t="shared" si="518"/>
        <v>Nacional</v>
      </c>
      <c r="AB2085" s="36">
        <f t="shared" si="518"/>
        <v>7.0601851851851858E-3</v>
      </c>
      <c r="AC2085" s="36">
        <f t="shared" si="518"/>
        <v>5.2083333333333174E-3</v>
      </c>
      <c r="AD2085" s="36">
        <f t="shared" si="518"/>
        <v>1.2268518518518503E-2</v>
      </c>
      <c r="AE2085" s="36" t="str">
        <f t="shared" si="518"/>
        <v>A319</v>
      </c>
      <c r="AF2085" s="36">
        <f t="shared" si="518"/>
        <v>142</v>
      </c>
      <c r="AG2085" s="36" t="str">
        <f t="shared" si="518"/>
        <v>MEX</v>
      </c>
    </row>
    <row r="2086" spans="18:33" x14ac:dyDescent="0.25">
      <c r="R2086">
        <v>2072</v>
      </c>
      <c r="S2086" s="36" t="str">
        <f t="shared" si="517"/>
        <v>BARATA Y MORADA</v>
      </c>
      <c r="T2086" s="36">
        <f t="shared" si="517"/>
        <v>732</v>
      </c>
      <c r="U2086" s="73">
        <v>0.37986111111111115</v>
      </c>
      <c r="V2086" s="74">
        <v>0.38611111111111113</v>
      </c>
      <c r="W2086" s="75">
        <v>6.2499999999999778E-3</v>
      </c>
      <c r="X2086" s="74">
        <v>0.39097222222222222</v>
      </c>
      <c r="Y2086" s="75">
        <v>4.8611111111110938E-3</v>
      </c>
      <c r="Z2086" s="76">
        <v>41748</v>
      </c>
      <c r="AA2086" s="36" t="str">
        <f t="shared" si="518"/>
        <v>Nacional</v>
      </c>
      <c r="AB2086" s="36">
        <f t="shared" si="518"/>
        <v>7.0601851851851858E-3</v>
      </c>
      <c r="AC2086" s="36">
        <f t="shared" si="518"/>
        <v>5.2083333333333174E-3</v>
      </c>
      <c r="AD2086" s="36">
        <f t="shared" si="518"/>
        <v>1.2268518518518503E-2</v>
      </c>
      <c r="AE2086" s="36" t="str">
        <f t="shared" si="518"/>
        <v>A319</v>
      </c>
      <c r="AF2086" s="36">
        <f t="shared" si="518"/>
        <v>142</v>
      </c>
      <c r="AG2086" s="36" t="str">
        <f t="shared" si="518"/>
        <v>MEX</v>
      </c>
    </row>
    <row r="2087" spans="18:33" x14ac:dyDescent="0.25">
      <c r="R2087">
        <v>2073</v>
      </c>
      <c r="S2087" s="36" t="str">
        <f t="shared" si="517"/>
        <v>BARATA Y MORADA</v>
      </c>
      <c r="T2087" s="36">
        <f t="shared" si="517"/>
        <v>732</v>
      </c>
      <c r="U2087" s="73">
        <v>0.39513888888888887</v>
      </c>
      <c r="V2087" s="74">
        <v>0.3979166666666667</v>
      </c>
      <c r="W2087" s="75">
        <v>2.7777777777778234E-3</v>
      </c>
      <c r="X2087" s="74">
        <v>0.40416666666666662</v>
      </c>
      <c r="Y2087" s="75">
        <v>6.2499999999999223E-3</v>
      </c>
      <c r="Z2087" s="76">
        <v>41749</v>
      </c>
      <c r="AA2087" s="36" t="str">
        <f t="shared" si="518"/>
        <v>Nacional</v>
      </c>
      <c r="AB2087" s="36">
        <f t="shared" si="518"/>
        <v>7.0601851851851858E-3</v>
      </c>
      <c r="AC2087" s="36">
        <f t="shared" si="518"/>
        <v>5.2083333333333174E-3</v>
      </c>
      <c r="AD2087" s="36">
        <f t="shared" si="518"/>
        <v>1.2268518518518503E-2</v>
      </c>
      <c r="AE2087" s="36" t="str">
        <f t="shared" si="518"/>
        <v>A319</v>
      </c>
      <c r="AF2087" s="36">
        <f t="shared" si="518"/>
        <v>142</v>
      </c>
      <c r="AG2087" s="36" t="str">
        <f t="shared" si="518"/>
        <v>MEX</v>
      </c>
    </row>
    <row r="2088" spans="18:33" x14ac:dyDescent="0.25">
      <c r="R2088">
        <v>2074</v>
      </c>
      <c r="S2088" s="36" t="str">
        <f t="shared" si="517"/>
        <v>BARATA Y MORADA</v>
      </c>
      <c r="T2088" s="36">
        <f t="shared" si="517"/>
        <v>732</v>
      </c>
      <c r="U2088" s="73">
        <v>0.3888888888888889</v>
      </c>
      <c r="V2088" s="74">
        <v>0.39930555555555558</v>
      </c>
      <c r="W2088" s="75">
        <v>1.0416666666666685E-2</v>
      </c>
      <c r="X2088" s="74">
        <v>0.40625</v>
      </c>
      <c r="Y2088" s="75">
        <v>6.9444444444444198E-3</v>
      </c>
      <c r="Z2088" s="76">
        <v>41750</v>
      </c>
      <c r="AA2088" s="36" t="str">
        <f t="shared" si="518"/>
        <v>Nacional</v>
      </c>
      <c r="AB2088" s="36">
        <f t="shared" si="518"/>
        <v>7.0601851851851858E-3</v>
      </c>
      <c r="AC2088" s="36">
        <f t="shared" si="518"/>
        <v>5.2083333333333174E-3</v>
      </c>
      <c r="AD2088" s="36">
        <f t="shared" si="518"/>
        <v>1.2268518518518503E-2</v>
      </c>
      <c r="AE2088" s="36" t="str">
        <f t="shared" si="518"/>
        <v>A319</v>
      </c>
      <c r="AF2088" s="36">
        <f t="shared" si="518"/>
        <v>142</v>
      </c>
      <c r="AG2088" s="36" t="str">
        <f t="shared" si="518"/>
        <v>MEX</v>
      </c>
    </row>
    <row r="2089" spans="18:33" x14ac:dyDescent="0.25">
      <c r="R2089">
        <v>2075</v>
      </c>
      <c r="S2089" s="36" t="str">
        <f t="shared" si="517"/>
        <v>BARATA Y MORADA</v>
      </c>
      <c r="T2089" s="36">
        <f t="shared" si="517"/>
        <v>732</v>
      </c>
      <c r="U2089" s="73">
        <v>0.39652777777777781</v>
      </c>
      <c r="V2089" s="74">
        <v>0.40069444444444446</v>
      </c>
      <c r="W2089" s="75">
        <v>4.1666666666666519E-3</v>
      </c>
      <c r="X2089" s="74">
        <v>0.40625</v>
      </c>
      <c r="Y2089" s="75">
        <v>5.5555555555555358E-3</v>
      </c>
      <c r="Z2089" s="76">
        <v>41751</v>
      </c>
      <c r="AA2089" s="36" t="str">
        <f t="shared" si="518"/>
        <v>Nacional</v>
      </c>
      <c r="AB2089" s="36">
        <f t="shared" si="518"/>
        <v>7.0601851851851858E-3</v>
      </c>
      <c r="AC2089" s="36">
        <f t="shared" si="518"/>
        <v>5.2083333333333174E-3</v>
      </c>
      <c r="AD2089" s="36">
        <f t="shared" si="518"/>
        <v>1.2268518518518503E-2</v>
      </c>
      <c r="AE2089" s="36" t="str">
        <f t="shared" si="518"/>
        <v>A319</v>
      </c>
      <c r="AF2089" s="36">
        <f t="shared" si="518"/>
        <v>142</v>
      </c>
      <c r="AG2089" s="36" t="str">
        <f t="shared" si="518"/>
        <v>MEX</v>
      </c>
    </row>
    <row r="2090" spans="18:33" x14ac:dyDescent="0.25">
      <c r="R2090">
        <v>2076</v>
      </c>
      <c r="S2090" s="36" t="str">
        <f t="shared" si="517"/>
        <v>BARATA Y MORADA</v>
      </c>
      <c r="T2090" s="36">
        <f t="shared" si="517"/>
        <v>732</v>
      </c>
      <c r="U2090" s="73">
        <v>0.39374999999999999</v>
      </c>
      <c r="V2090" s="74">
        <v>0.39583333333333331</v>
      </c>
      <c r="W2090" s="75">
        <v>2.0833333333333259E-3</v>
      </c>
      <c r="X2090" s="74">
        <v>0.40138888888888885</v>
      </c>
      <c r="Y2090" s="75">
        <v>5.5555555555555358E-3</v>
      </c>
      <c r="Z2090" s="76">
        <v>41753</v>
      </c>
      <c r="AA2090" s="36" t="str">
        <f t="shared" si="518"/>
        <v>Nacional</v>
      </c>
      <c r="AB2090" s="36">
        <f t="shared" si="518"/>
        <v>7.0601851851851858E-3</v>
      </c>
      <c r="AC2090" s="36">
        <f t="shared" si="518"/>
        <v>5.2083333333333174E-3</v>
      </c>
      <c r="AD2090" s="36">
        <f t="shared" si="518"/>
        <v>1.2268518518518503E-2</v>
      </c>
      <c r="AE2090" s="36" t="str">
        <f t="shared" si="518"/>
        <v>A319</v>
      </c>
      <c r="AF2090" s="36">
        <f t="shared" si="518"/>
        <v>142</v>
      </c>
      <c r="AG2090" s="36" t="str">
        <f t="shared" si="518"/>
        <v>MEX</v>
      </c>
    </row>
    <row r="2091" spans="18:33" x14ac:dyDescent="0.25">
      <c r="R2091">
        <v>2077</v>
      </c>
      <c r="S2091" s="36" t="str">
        <f t="shared" si="517"/>
        <v>BARATA Y MORADA</v>
      </c>
      <c r="T2091" s="36">
        <f t="shared" si="517"/>
        <v>732</v>
      </c>
      <c r="U2091" s="73">
        <v>0.39583333333333331</v>
      </c>
      <c r="V2091" s="74">
        <v>0.39861111111111108</v>
      </c>
      <c r="W2091" s="75">
        <v>2.7777777777777679E-3</v>
      </c>
      <c r="X2091" s="74">
        <v>0.4055555555555555</v>
      </c>
      <c r="Y2091" s="75">
        <v>6.9444444444444198E-3</v>
      </c>
      <c r="Z2091" s="76">
        <v>41754</v>
      </c>
      <c r="AA2091" s="36" t="str">
        <f t="shared" si="518"/>
        <v>Nacional</v>
      </c>
      <c r="AB2091" s="36">
        <f t="shared" si="518"/>
        <v>7.0601851851851858E-3</v>
      </c>
      <c r="AC2091" s="36">
        <f t="shared" si="518"/>
        <v>5.2083333333333174E-3</v>
      </c>
      <c r="AD2091" s="36">
        <f t="shared" si="518"/>
        <v>1.2268518518518503E-2</v>
      </c>
      <c r="AE2091" s="36" t="str">
        <f t="shared" si="518"/>
        <v>A319</v>
      </c>
      <c r="AF2091" s="36">
        <f t="shared" si="518"/>
        <v>142</v>
      </c>
      <c r="AG2091" s="36" t="str">
        <f t="shared" si="518"/>
        <v>MEX</v>
      </c>
    </row>
    <row r="2092" spans="18:33" x14ac:dyDescent="0.25">
      <c r="R2092">
        <v>2078</v>
      </c>
      <c r="S2092" s="36" t="str">
        <f t="shared" si="517"/>
        <v>BARATA Y MORADA</v>
      </c>
      <c r="T2092" s="36">
        <f t="shared" si="517"/>
        <v>732</v>
      </c>
      <c r="U2092" s="73">
        <v>0.3888888888888889</v>
      </c>
      <c r="V2092" s="74">
        <v>0.3979166666666667</v>
      </c>
      <c r="W2092" s="75">
        <v>9.0277777777778012E-3</v>
      </c>
      <c r="X2092" s="74">
        <v>0.40277777777777773</v>
      </c>
      <c r="Y2092" s="75">
        <v>4.8611111111110383E-3</v>
      </c>
      <c r="Z2092" s="76">
        <v>41756</v>
      </c>
      <c r="AA2092" s="36" t="str">
        <f t="shared" si="518"/>
        <v>Nacional</v>
      </c>
      <c r="AB2092" s="36">
        <f t="shared" si="518"/>
        <v>7.0601851851851858E-3</v>
      </c>
      <c r="AC2092" s="36">
        <f t="shared" si="518"/>
        <v>5.2083333333333174E-3</v>
      </c>
      <c r="AD2092" s="36">
        <f t="shared" si="518"/>
        <v>1.2268518518518503E-2</v>
      </c>
      <c r="AE2092" s="36" t="str">
        <f t="shared" si="518"/>
        <v>A319</v>
      </c>
      <c r="AF2092" s="36">
        <f t="shared" si="518"/>
        <v>142</v>
      </c>
      <c r="AG2092" s="36" t="str">
        <f t="shared" si="518"/>
        <v>MEX</v>
      </c>
    </row>
    <row r="2093" spans="18:33" x14ac:dyDescent="0.25">
      <c r="R2093">
        <v>2079</v>
      </c>
      <c r="S2093" s="36" t="str">
        <f t="shared" si="517"/>
        <v>BARATA Y MORADA</v>
      </c>
      <c r="T2093" s="36">
        <f t="shared" si="517"/>
        <v>732</v>
      </c>
      <c r="U2093" s="73">
        <v>0.3840277777777778</v>
      </c>
      <c r="V2093" s="74">
        <v>0.39444444444444443</v>
      </c>
      <c r="W2093" s="75">
        <v>1.041666666666663E-2</v>
      </c>
      <c r="X2093" s="74">
        <v>0.40069444444444446</v>
      </c>
      <c r="Y2093" s="75">
        <v>6.2500000000000333E-3</v>
      </c>
      <c r="Z2093" s="76">
        <v>41757</v>
      </c>
      <c r="AA2093" s="36" t="str">
        <f t="shared" si="518"/>
        <v>Nacional</v>
      </c>
      <c r="AB2093" s="36">
        <f t="shared" si="518"/>
        <v>7.0601851851851858E-3</v>
      </c>
      <c r="AC2093" s="36">
        <f t="shared" si="518"/>
        <v>5.2083333333333174E-3</v>
      </c>
      <c r="AD2093" s="36">
        <f t="shared" si="518"/>
        <v>1.2268518518518503E-2</v>
      </c>
      <c r="AE2093" s="36" t="str">
        <f t="shared" si="518"/>
        <v>A319</v>
      </c>
      <c r="AF2093" s="36">
        <f t="shared" si="518"/>
        <v>142</v>
      </c>
      <c r="AG2093" s="36" t="str">
        <f t="shared" si="518"/>
        <v>MEX</v>
      </c>
    </row>
    <row r="2094" spans="18:33" x14ac:dyDescent="0.25">
      <c r="R2094">
        <v>2080</v>
      </c>
      <c r="S2094" s="36" t="str">
        <f t="shared" si="517"/>
        <v>BARATA Y MORADA</v>
      </c>
      <c r="T2094" s="36">
        <f t="shared" si="517"/>
        <v>732</v>
      </c>
      <c r="U2094" s="73">
        <v>0.3888888888888889</v>
      </c>
      <c r="V2094" s="74">
        <v>0.39444444444444443</v>
      </c>
      <c r="W2094" s="75">
        <v>5.5555555555555358E-3</v>
      </c>
      <c r="X2094" s="74">
        <v>0.40069444444444446</v>
      </c>
      <c r="Y2094" s="75">
        <v>6.2500000000000333E-3</v>
      </c>
      <c r="Z2094" s="76">
        <v>41758</v>
      </c>
      <c r="AA2094" s="36" t="str">
        <f t="shared" si="518"/>
        <v>Nacional</v>
      </c>
      <c r="AB2094" s="36">
        <f t="shared" si="518"/>
        <v>7.0601851851851858E-3</v>
      </c>
      <c r="AC2094" s="36">
        <f t="shared" si="518"/>
        <v>5.2083333333333174E-3</v>
      </c>
      <c r="AD2094" s="36">
        <f t="shared" si="518"/>
        <v>1.2268518518518503E-2</v>
      </c>
      <c r="AE2094" s="36" t="str">
        <f t="shared" si="518"/>
        <v>A319</v>
      </c>
      <c r="AF2094" s="36">
        <f t="shared" si="518"/>
        <v>142</v>
      </c>
      <c r="AG2094" s="36" t="str">
        <f t="shared" si="518"/>
        <v>MEX</v>
      </c>
    </row>
    <row r="2095" spans="18:33" ht="15.75" thickBot="1" x14ac:dyDescent="0.3">
      <c r="R2095">
        <v>2081</v>
      </c>
      <c r="S2095" s="36" t="str">
        <f t="shared" si="517"/>
        <v>BARATA Y MORADA</v>
      </c>
      <c r="T2095" s="36">
        <f t="shared" si="517"/>
        <v>732</v>
      </c>
      <c r="U2095" s="83">
        <v>0.39513888888888887</v>
      </c>
      <c r="V2095" s="84">
        <v>0.40486111111111112</v>
      </c>
      <c r="W2095" s="85">
        <v>9.7222222222222432E-3</v>
      </c>
      <c r="X2095" s="84">
        <v>0.4055555555555555</v>
      </c>
      <c r="Y2095" s="85">
        <v>6.9444444444438647E-4</v>
      </c>
      <c r="Z2095" s="86">
        <v>41759</v>
      </c>
      <c r="AA2095" s="36" t="str">
        <f t="shared" si="518"/>
        <v>Nacional</v>
      </c>
      <c r="AB2095" s="36">
        <f t="shared" si="518"/>
        <v>7.0601851851851858E-3</v>
      </c>
      <c r="AC2095" s="36">
        <f t="shared" si="518"/>
        <v>5.2083333333333174E-3</v>
      </c>
      <c r="AD2095" s="36">
        <f t="shared" si="518"/>
        <v>1.2268518518518503E-2</v>
      </c>
      <c r="AE2095" s="36" t="str">
        <f t="shared" si="518"/>
        <v>A319</v>
      </c>
      <c r="AF2095" s="36">
        <f t="shared" si="518"/>
        <v>142</v>
      </c>
      <c r="AG2095" s="36" t="str">
        <f t="shared" si="518"/>
        <v>MEX</v>
      </c>
    </row>
    <row r="2096" spans="18:33" x14ac:dyDescent="0.25">
      <c r="R2096">
        <v>2082</v>
      </c>
      <c r="S2096" s="36" t="str">
        <f t="shared" si="517"/>
        <v>BARATA Y MORADA</v>
      </c>
      <c r="T2096" s="55">
        <v>734</v>
      </c>
      <c r="U2096" s="56">
        <v>0.56805555555555554</v>
      </c>
      <c r="V2096" s="57">
        <v>0.57777777777777783</v>
      </c>
      <c r="W2096" s="58">
        <v>9.7222222222222987E-3</v>
      </c>
      <c r="X2096" s="57">
        <v>0.57986111111111105</v>
      </c>
      <c r="Y2096" s="58">
        <v>2.0833333333332149E-3</v>
      </c>
      <c r="Z2096" s="59">
        <v>41730</v>
      </c>
      <c r="AA2096" s="60" t="s">
        <v>19</v>
      </c>
      <c r="AB2096" s="61">
        <v>9.5568783068783313E-3</v>
      </c>
      <c r="AC2096" s="61">
        <v>6.1177248677248535E-3</v>
      </c>
      <c r="AD2096" s="231">
        <v>1.5674603174603185E-2</v>
      </c>
      <c r="AE2096" s="132" t="s">
        <v>57</v>
      </c>
      <c r="AF2096" s="132">
        <v>142</v>
      </c>
      <c r="AG2096" s="132" t="s">
        <v>21</v>
      </c>
    </row>
    <row r="2097" spans="18:33" x14ac:dyDescent="0.25">
      <c r="R2097">
        <v>2083</v>
      </c>
      <c r="S2097" s="36" t="str">
        <f t="shared" si="517"/>
        <v>BARATA Y MORADA</v>
      </c>
      <c r="T2097" s="36">
        <f t="shared" si="517"/>
        <v>734</v>
      </c>
      <c r="U2097" s="73">
        <v>0.56666666666666665</v>
      </c>
      <c r="V2097" s="74">
        <v>0.57500000000000007</v>
      </c>
      <c r="W2097" s="75">
        <v>8.3333333333334147E-3</v>
      </c>
      <c r="X2097" s="74">
        <v>0.58333333333333337</v>
      </c>
      <c r="Y2097" s="75">
        <v>8.3333333333333037E-3</v>
      </c>
      <c r="Z2097" s="76">
        <v>41731</v>
      </c>
      <c r="AA2097" s="36" t="str">
        <f t="shared" ref="AA2097:AG2116" si="519">AA2096</f>
        <v>Nacional</v>
      </c>
      <c r="AB2097" s="36">
        <f t="shared" si="519"/>
        <v>9.5568783068783313E-3</v>
      </c>
      <c r="AC2097" s="36">
        <f t="shared" si="519"/>
        <v>6.1177248677248535E-3</v>
      </c>
      <c r="AD2097" s="36">
        <f t="shared" si="519"/>
        <v>1.5674603174603185E-2</v>
      </c>
      <c r="AE2097" s="36" t="str">
        <f t="shared" si="519"/>
        <v>A319</v>
      </c>
      <c r="AF2097" s="36">
        <f t="shared" si="519"/>
        <v>142</v>
      </c>
      <c r="AG2097" s="36" t="str">
        <f t="shared" si="519"/>
        <v>MEX</v>
      </c>
    </row>
    <row r="2098" spans="18:33" x14ac:dyDescent="0.25">
      <c r="R2098">
        <v>2084</v>
      </c>
      <c r="S2098" s="36" t="str">
        <f t="shared" si="517"/>
        <v>BARATA Y MORADA</v>
      </c>
      <c r="T2098" s="36">
        <f t="shared" si="517"/>
        <v>734</v>
      </c>
      <c r="U2098" s="73">
        <v>0.55972222222222223</v>
      </c>
      <c r="V2098" s="74">
        <v>0.57430555555555551</v>
      </c>
      <c r="W2098" s="75">
        <v>1.4583333333333282E-2</v>
      </c>
      <c r="X2098" s="74">
        <v>0.57777777777777783</v>
      </c>
      <c r="Y2098" s="75">
        <v>3.4722222222223209E-3</v>
      </c>
      <c r="Z2098" s="76">
        <v>41733</v>
      </c>
      <c r="AA2098" s="36" t="str">
        <f t="shared" si="519"/>
        <v>Nacional</v>
      </c>
      <c r="AB2098" s="36">
        <f t="shared" si="519"/>
        <v>9.5568783068783313E-3</v>
      </c>
      <c r="AC2098" s="36">
        <f t="shared" si="519"/>
        <v>6.1177248677248535E-3</v>
      </c>
      <c r="AD2098" s="36">
        <f t="shared" si="519"/>
        <v>1.5674603174603185E-2</v>
      </c>
      <c r="AE2098" s="36" t="str">
        <f t="shared" si="519"/>
        <v>A319</v>
      </c>
      <c r="AF2098" s="36">
        <f t="shared" si="519"/>
        <v>142</v>
      </c>
      <c r="AG2098" s="36" t="str">
        <f t="shared" si="519"/>
        <v>MEX</v>
      </c>
    </row>
    <row r="2099" spans="18:33" x14ac:dyDescent="0.25">
      <c r="R2099">
        <v>2085</v>
      </c>
      <c r="S2099" s="36" t="str">
        <f t="shared" si="517"/>
        <v>BARATA Y MORADA</v>
      </c>
      <c r="T2099" s="36">
        <f t="shared" si="517"/>
        <v>734</v>
      </c>
      <c r="U2099" s="73">
        <v>0.41666666666666669</v>
      </c>
      <c r="V2099" s="74">
        <v>0.43333333333333335</v>
      </c>
      <c r="W2099" s="75">
        <v>1.6666666666666663E-2</v>
      </c>
      <c r="X2099" s="74">
        <v>0.4381944444444445</v>
      </c>
      <c r="Y2099" s="75">
        <v>4.8611111111111494E-3</v>
      </c>
      <c r="Z2099" s="76">
        <v>41735</v>
      </c>
      <c r="AA2099" s="36" t="str">
        <f t="shared" si="519"/>
        <v>Nacional</v>
      </c>
      <c r="AB2099" s="36">
        <f t="shared" si="519"/>
        <v>9.5568783068783313E-3</v>
      </c>
      <c r="AC2099" s="36">
        <f t="shared" si="519"/>
        <v>6.1177248677248535E-3</v>
      </c>
      <c r="AD2099" s="36">
        <f t="shared" si="519"/>
        <v>1.5674603174603185E-2</v>
      </c>
      <c r="AE2099" s="36" t="str">
        <f t="shared" si="519"/>
        <v>A319</v>
      </c>
      <c r="AF2099" s="36">
        <f t="shared" si="519"/>
        <v>142</v>
      </c>
      <c r="AG2099" s="36" t="str">
        <f t="shared" si="519"/>
        <v>MEX</v>
      </c>
    </row>
    <row r="2100" spans="18:33" x14ac:dyDescent="0.25">
      <c r="R2100">
        <v>2086</v>
      </c>
      <c r="S2100" s="36" t="str">
        <f t="shared" si="517"/>
        <v>BARATA Y MORADA</v>
      </c>
      <c r="T2100" s="36">
        <f t="shared" si="517"/>
        <v>734</v>
      </c>
      <c r="U2100" s="73">
        <v>0.42291666666666666</v>
      </c>
      <c r="V2100" s="74">
        <v>0.4381944444444445</v>
      </c>
      <c r="W2100" s="75">
        <v>1.5277777777777835E-2</v>
      </c>
      <c r="X2100" s="74">
        <v>0.44166666666666665</v>
      </c>
      <c r="Y2100" s="75">
        <v>3.4722222222221544E-3</v>
      </c>
      <c r="Z2100" s="76">
        <v>41737</v>
      </c>
      <c r="AA2100" s="36" t="str">
        <f t="shared" si="519"/>
        <v>Nacional</v>
      </c>
      <c r="AB2100" s="36">
        <f t="shared" si="519"/>
        <v>9.5568783068783313E-3</v>
      </c>
      <c r="AC2100" s="36">
        <f t="shared" si="519"/>
        <v>6.1177248677248535E-3</v>
      </c>
      <c r="AD2100" s="36">
        <f t="shared" si="519"/>
        <v>1.5674603174603185E-2</v>
      </c>
      <c r="AE2100" s="36" t="str">
        <f t="shared" si="519"/>
        <v>A319</v>
      </c>
      <c r="AF2100" s="36">
        <f t="shared" si="519"/>
        <v>142</v>
      </c>
      <c r="AG2100" s="36" t="str">
        <f t="shared" si="519"/>
        <v>MEX</v>
      </c>
    </row>
    <row r="2101" spans="18:33" x14ac:dyDescent="0.25">
      <c r="R2101">
        <v>2087</v>
      </c>
      <c r="S2101" s="36" t="str">
        <f t="shared" si="517"/>
        <v>BARATA Y MORADA</v>
      </c>
      <c r="T2101" s="36">
        <f t="shared" si="517"/>
        <v>734</v>
      </c>
      <c r="U2101" s="73">
        <v>0.43124999999999997</v>
      </c>
      <c r="V2101" s="74">
        <v>0.43958333333333338</v>
      </c>
      <c r="W2101" s="75">
        <v>8.3333333333334147E-3</v>
      </c>
      <c r="X2101" s="74">
        <v>0.44375000000000003</v>
      </c>
      <c r="Y2101" s="75">
        <v>4.1666666666666519E-3</v>
      </c>
      <c r="Z2101" s="76">
        <v>41738</v>
      </c>
      <c r="AA2101" s="36" t="str">
        <f t="shared" si="519"/>
        <v>Nacional</v>
      </c>
      <c r="AB2101" s="36">
        <f t="shared" si="519"/>
        <v>9.5568783068783313E-3</v>
      </c>
      <c r="AC2101" s="36">
        <f t="shared" si="519"/>
        <v>6.1177248677248535E-3</v>
      </c>
      <c r="AD2101" s="36">
        <f t="shared" si="519"/>
        <v>1.5674603174603185E-2</v>
      </c>
      <c r="AE2101" s="36" t="str">
        <f t="shared" si="519"/>
        <v>A319</v>
      </c>
      <c r="AF2101" s="36">
        <f t="shared" si="519"/>
        <v>142</v>
      </c>
      <c r="AG2101" s="36" t="str">
        <f t="shared" si="519"/>
        <v>MEX</v>
      </c>
    </row>
    <row r="2102" spans="18:33" x14ac:dyDescent="0.25">
      <c r="R2102">
        <v>2088</v>
      </c>
      <c r="S2102" s="36" t="str">
        <f t="shared" si="517"/>
        <v>BARATA Y MORADA</v>
      </c>
      <c r="T2102" s="36">
        <f t="shared" si="517"/>
        <v>734</v>
      </c>
      <c r="U2102" s="73">
        <v>0.44166666666666665</v>
      </c>
      <c r="V2102" s="74">
        <v>0.4465277777777778</v>
      </c>
      <c r="W2102" s="75">
        <v>4.8611111111111494E-3</v>
      </c>
      <c r="X2102" s="74">
        <v>0.45277777777777778</v>
      </c>
      <c r="Y2102" s="75">
        <v>6.2499999999999778E-3</v>
      </c>
      <c r="Z2102" s="76">
        <v>41739</v>
      </c>
      <c r="AA2102" s="36" t="str">
        <f t="shared" si="519"/>
        <v>Nacional</v>
      </c>
      <c r="AB2102" s="36">
        <f t="shared" si="519"/>
        <v>9.5568783068783313E-3</v>
      </c>
      <c r="AC2102" s="36">
        <f t="shared" si="519"/>
        <v>6.1177248677248535E-3</v>
      </c>
      <c r="AD2102" s="36">
        <f t="shared" si="519"/>
        <v>1.5674603174603185E-2</v>
      </c>
      <c r="AE2102" s="36" t="str">
        <f t="shared" si="519"/>
        <v>A319</v>
      </c>
      <c r="AF2102" s="36">
        <f t="shared" si="519"/>
        <v>142</v>
      </c>
      <c r="AG2102" s="36" t="str">
        <f t="shared" si="519"/>
        <v>MEX</v>
      </c>
    </row>
    <row r="2103" spans="18:33" x14ac:dyDescent="0.25">
      <c r="R2103">
        <v>2089</v>
      </c>
      <c r="S2103" s="36" t="str">
        <f t="shared" si="517"/>
        <v>BARATA Y MORADA</v>
      </c>
      <c r="T2103" s="36">
        <f t="shared" si="517"/>
        <v>734</v>
      </c>
      <c r="U2103" s="73">
        <v>0.4375</v>
      </c>
      <c r="V2103" s="74">
        <v>0.4513888888888889</v>
      </c>
      <c r="W2103" s="75">
        <v>1.3888888888888895E-2</v>
      </c>
      <c r="X2103" s="74">
        <v>0.4597222222222222</v>
      </c>
      <c r="Y2103" s="75">
        <v>8.3333333333333037E-3</v>
      </c>
      <c r="Z2103" s="76">
        <v>41741</v>
      </c>
      <c r="AA2103" s="36" t="str">
        <f t="shared" si="519"/>
        <v>Nacional</v>
      </c>
      <c r="AB2103" s="36">
        <f t="shared" si="519"/>
        <v>9.5568783068783313E-3</v>
      </c>
      <c r="AC2103" s="36">
        <f t="shared" si="519"/>
        <v>6.1177248677248535E-3</v>
      </c>
      <c r="AD2103" s="36">
        <f t="shared" si="519"/>
        <v>1.5674603174603185E-2</v>
      </c>
      <c r="AE2103" s="36" t="str">
        <f t="shared" si="519"/>
        <v>A319</v>
      </c>
      <c r="AF2103" s="36">
        <f t="shared" si="519"/>
        <v>142</v>
      </c>
      <c r="AG2103" s="36" t="str">
        <f t="shared" si="519"/>
        <v>MEX</v>
      </c>
    </row>
    <row r="2104" spans="18:33" x14ac:dyDescent="0.25">
      <c r="R2104">
        <v>2090</v>
      </c>
      <c r="S2104" s="36" t="str">
        <f t="shared" si="517"/>
        <v>BARATA Y MORADA</v>
      </c>
      <c r="T2104" s="36">
        <f t="shared" si="517"/>
        <v>734</v>
      </c>
      <c r="U2104" s="73">
        <v>0.56805555555555554</v>
      </c>
      <c r="V2104" s="74">
        <v>0.57777777777777783</v>
      </c>
      <c r="W2104" s="75">
        <v>9.7222222222222987E-3</v>
      </c>
      <c r="X2104" s="74">
        <v>0.57986111111111105</v>
      </c>
      <c r="Y2104" s="75">
        <v>2.0833333333332149E-3</v>
      </c>
      <c r="Z2104" s="76">
        <v>41742</v>
      </c>
      <c r="AA2104" s="36" t="str">
        <f t="shared" si="519"/>
        <v>Nacional</v>
      </c>
      <c r="AB2104" s="36">
        <f t="shared" si="519"/>
        <v>9.5568783068783313E-3</v>
      </c>
      <c r="AC2104" s="36">
        <f t="shared" si="519"/>
        <v>6.1177248677248535E-3</v>
      </c>
      <c r="AD2104" s="36">
        <f t="shared" si="519"/>
        <v>1.5674603174603185E-2</v>
      </c>
      <c r="AE2104" s="36" t="str">
        <f t="shared" si="519"/>
        <v>A319</v>
      </c>
      <c r="AF2104" s="36">
        <f t="shared" si="519"/>
        <v>142</v>
      </c>
      <c r="AG2104" s="36" t="str">
        <f t="shared" si="519"/>
        <v>MEX</v>
      </c>
    </row>
    <row r="2105" spans="18:33" x14ac:dyDescent="0.25">
      <c r="R2105">
        <v>2091</v>
      </c>
      <c r="S2105" s="36" t="str">
        <f t="shared" si="517"/>
        <v>BARATA Y MORADA</v>
      </c>
      <c r="T2105" s="36">
        <f t="shared" si="517"/>
        <v>734</v>
      </c>
      <c r="U2105" s="73">
        <v>0.43541666666666662</v>
      </c>
      <c r="V2105" s="74">
        <v>0.44027777777777777</v>
      </c>
      <c r="W2105" s="75">
        <v>4.8611111111111494E-3</v>
      </c>
      <c r="X2105" s="74">
        <v>0.4465277777777778</v>
      </c>
      <c r="Y2105" s="75">
        <v>6.2500000000000333E-3</v>
      </c>
      <c r="Z2105" s="76">
        <v>41743</v>
      </c>
      <c r="AA2105" s="36" t="str">
        <f t="shared" si="519"/>
        <v>Nacional</v>
      </c>
      <c r="AB2105" s="36">
        <f t="shared" si="519"/>
        <v>9.5568783068783313E-3</v>
      </c>
      <c r="AC2105" s="36">
        <f t="shared" si="519"/>
        <v>6.1177248677248535E-3</v>
      </c>
      <c r="AD2105" s="36">
        <f t="shared" si="519"/>
        <v>1.5674603174603185E-2</v>
      </c>
      <c r="AE2105" s="36" t="str">
        <f t="shared" si="519"/>
        <v>A319</v>
      </c>
      <c r="AF2105" s="36">
        <f t="shared" si="519"/>
        <v>142</v>
      </c>
      <c r="AG2105" s="36" t="str">
        <f t="shared" si="519"/>
        <v>MEX</v>
      </c>
    </row>
    <row r="2106" spans="18:33" x14ac:dyDescent="0.25">
      <c r="R2106">
        <v>2092</v>
      </c>
      <c r="S2106" s="36" t="str">
        <f t="shared" si="517"/>
        <v>BARATA Y MORADA</v>
      </c>
      <c r="T2106" s="36">
        <f t="shared" si="517"/>
        <v>734</v>
      </c>
      <c r="U2106" s="73">
        <v>0.4368055555555555</v>
      </c>
      <c r="V2106" s="74">
        <v>0.44444444444444442</v>
      </c>
      <c r="W2106" s="75">
        <v>7.6388888888889173E-3</v>
      </c>
      <c r="X2106" s="74">
        <v>0.45347222222222222</v>
      </c>
      <c r="Y2106" s="75">
        <v>9.0277777777778012E-3</v>
      </c>
      <c r="Z2106" s="76">
        <v>41745</v>
      </c>
      <c r="AA2106" s="36" t="str">
        <f t="shared" si="519"/>
        <v>Nacional</v>
      </c>
      <c r="AB2106" s="36">
        <f t="shared" si="519"/>
        <v>9.5568783068783313E-3</v>
      </c>
      <c r="AC2106" s="36">
        <f t="shared" si="519"/>
        <v>6.1177248677248535E-3</v>
      </c>
      <c r="AD2106" s="36">
        <f t="shared" si="519"/>
        <v>1.5674603174603185E-2</v>
      </c>
      <c r="AE2106" s="36" t="str">
        <f t="shared" si="519"/>
        <v>A319</v>
      </c>
      <c r="AF2106" s="36">
        <f t="shared" si="519"/>
        <v>142</v>
      </c>
      <c r="AG2106" s="36" t="str">
        <f t="shared" si="519"/>
        <v>MEX</v>
      </c>
    </row>
    <row r="2107" spans="18:33" x14ac:dyDescent="0.25">
      <c r="R2107">
        <v>2093</v>
      </c>
      <c r="S2107" s="36" t="str">
        <f t="shared" si="517"/>
        <v>BARATA Y MORADA</v>
      </c>
      <c r="T2107" s="36">
        <f t="shared" si="517"/>
        <v>734</v>
      </c>
      <c r="U2107" s="73">
        <v>0.4291666666666667</v>
      </c>
      <c r="V2107" s="74">
        <v>0.43541666666666662</v>
      </c>
      <c r="W2107" s="75">
        <v>6.2499999999999223E-3</v>
      </c>
      <c r="X2107" s="74">
        <v>0.44375000000000003</v>
      </c>
      <c r="Y2107" s="75">
        <v>8.3333333333334147E-3</v>
      </c>
      <c r="Z2107" s="76">
        <v>41746</v>
      </c>
      <c r="AA2107" s="36" t="str">
        <f t="shared" si="519"/>
        <v>Nacional</v>
      </c>
      <c r="AB2107" s="36">
        <f t="shared" si="519"/>
        <v>9.5568783068783313E-3</v>
      </c>
      <c r="AC2107" s="36">
        <f t="shared" si="519"/>
        <v>6.1177248677248535E-3</v>
      </c>
      <c r="AD2107" s="36">
        <f t="shared" si="519"/>
        <v>1.5674603174603185E-2</v>
      </c>
      <c r="AE2107" s="36" t="str">
        <f t="shared" si="519"/>
        <v>A319</v>
      </c>
      <c r="AF2107" s="36">
        <f t="shared" si="519"/>
        <v>142</v>
      </c>
      <c r="AG2107" s="36" t="str">
        <f t="shared" si="519"/>
        <v>MEX</v>
      </c>
    </row>
    <row r="2108" spans="18:33" x14ac:dyDescent="0.25">
      <c r="R2108">
        <v>2094</v>
      </c>
      <c r="S2108" s="36" t="str">
        <f t="shared" si="517"/>
        <v>BARATA Y MORADA</v>
      </c>
      <c r="T2108" s="36">
        <f t="shared" si="517"/>
        <v>734</v>
      </c>
      <c r="U2108" s="73">
        <v>0.42777777777777781</v>
      </c>
      <c r="V2108" s="74">
        <v>0.4381944444444445</v>
      </c>
      <c r="W2108" s="75">
        <v>1.0416666666666685E-2</v>
      </c>
      <c r="X2108" s="74">
        <v>0.44791666666666669</v>
      </c>
      <c r="Y2108" s="75">
        <v>9.7222222222221877E-3</v>
      </c>
      <c r="Z2108" s="76">
        <v>41749</v>
      </c>
      <c r="AA2108" s="36" t="str">
        <f t="shared" si="519"/>
        <v>Nacional</v>
      </c>
      <c r="AB2108" s="36">
        <f t="shared" si="519"/>
        <v>9.5568783068783313E-3</v>
      </c>
      <c r="AC2108" s="36">
        <f t="shared" si="519"/>
        <v>6.1177248677248535E-3</v>
      </c>
      <c r="AD2108" s="36">
        <f t="shared" si="519"/>
        <v>1.5674603174603185E-2</v>
      </c>
      <c r="AE2108" s="36" t="str">
        <f t="shared" si="519"/>
        <v>A319</v>
      </c>
      <c r="AF2108" s="36">
        <f t="shared" si="519"/>
        <v>142</v>
      </c>
      <c r="AG2108" s="36" t="str">
        <f t="shared" si="519"/>
        <v>MEX</v>
      </c>
    </row>
    <row r="2109" spans="18:33" x14ac:dyDescent="0.25">
      <c r="R2109">
        <v>2095</v>
      </c>
      <c r="S2109" s="36" t="str">
        <f t="shared" si="517"/>
        <v>BARATA Y MORADA</v>
      </c>
      <c r="T2109" s="36">
        <f t="shared" si="517"/>
        <v>734</v>
      </c>
      <c r="U2109" s="73">
        <v>0.4236111111111111</v>
      </c>
      <c r="V2109" s="74">
        <v>0.44166666666666665</v>
      </c>
      <c r="W2109" s="75">
        <v>1.8055555555555547E-2</v>
      </c>
      <c r="X2109" s="74">
        <v>0.4513888888888889</v>
      </c>
      <c r="Y2109" s="75">
        <v>9.7222222222222432E-3</v>
      </c>
      <c r="Z2109" s="76">
        <v>41750</v>
      </c>
      <c r="AA2109" s="36" t="str">
        <f t="shared" si="519"/>
        <v>Nacional</v>
      </c>
      <c r="AB2109" s="36">
        <f t="shared" si="519"/>
        <v>9.5568783068783313E-3</v>
      </c>
      <c r="AC2109" s="36">
        <f t="shared" si="519"/>
        <v>6.1177248677248535E-3</v>
      </c>
      <c r="AD2109" s="36">
        <f t="shared" si="519"/>
        <v>1.5674603174603185E-2</v>
      </c>
      <c r="AE2109" s="36" t="str">
        <f t="shared" si="519"/>
        <v>A319</v>
      </c>
      <c r="AF2109" s="36">
        <f t="shared" si="519"/>
        <v>142</v>
      </c>
      <c r="AG2109" s="36" t="str">
        <f t="shared" si="519"/>
        <v>MEX</v>
      </c>
    </row>
    <row r="2110" spans="18:33" x14ac:dyDescent="0.25">
      <c r="R2110">
        <v>2096</v>
      </c>
      <c r="S2110" s="36" t="str">
        <f t="shared" si="517"/>
        <v>BARATA Y MORADA</v>
      </c>
      <c r="T2110" s="36">
        <f t="shared" si="517"/>
        <v>734</v>
      </c>
      <c r="U2110" s="73">
        <v>0.43263888888888885</v>
      </c>
      <c r="V2110" s="74">
        <v>0.44236111111111115</v>
      </c>
      <c r="W2110" s="75">
        <v>9.7222222222222987E-3</v>
      </c>
      <c r="X2110" s="74">
        <v>0.44513888888888892</v>
      </c>
      <c r="Y2110" s="75">
        <v>2.7777777777777679E-3</v>
      </c>
      <c r="Z2110" s="76">
        <v>41751</v>
      </c>
      <c r="AA2110" s="36" t="str">
        <f t="shared" si="519"/>
        <v>Nacional</v>
      </c>
      <c r="AB2110" s="36">
        <f t="shared" si="519"/>
        <v>9.5568783068783313E-3</v>
      </c>
      <c r="AC2110" s="36">
        <f t="shared" si="519"/>
        <v>6.1177248677248535E-3</v>
      </c>
      <c r="AD2110" s="36">
        <f t="shared" si="519"/>
        <v>1.5674603174603185E-2</v>
      </c>
      <c r="AE2110" s="36" t="str">
        <f t="shared" si="519"/>
        <v>A319</v>
      </c>
      <c r="AF2110" s="36">
        <f t="shared" si="519"/>
        <v>142</v>
      </c>
      <c r="AG2110" s="36" t="str">
        <f t="shared" si="519"/>
        <v>MEX</v>
      </c>
    </row>
    <row r="2111" spans="18:33" x14ac:dyDescent="0.25">
      <c r="R2111">
        <v>2097</v>
      </c>
      <c r="S2111" s="36" t="str">
        <f t="shared" si="517"/>
        <v>BARATA Y MORADA</v>
      </c>
      <c r="T2111" s="36">
        <f t="shared" si="517"/>
        <v>734</v>
      </c>
      <c r="U2111" s="73">
        <v>0.4381944444444445</v>
      </c>
      <c r="V2111" s="74">
        <v>0.4458333333333333</v>
      </c>
      <c r="W2111" s="75">
        <v>7.6388888888888062E-3</v>
      </c>
      <c r="X2111" s="74">
        <v>0.45347222222222222</v>
      </c>
      <c r="Y2111" s="75">
        <v>7.6388888888889173E-3</v>
      </c>
      <c r="Z2111" s="76">
        <v>41753</v>
      </c>
      <c r="AA2111" s="36" t="str">
        <f t="shared" si="519"/>
        <v>Nacional</v>
      </c>
      <c r="AB2111" s="36">
        <f t="shared" si="519"/>
        <v>9.5568783068783313E-3</v>
      </c>
      <c r="AC2111" s="36">
        <f t="shared" si="519"/>
        <v>6.1177248677248535E-3</v>
      </c>
      <c r="AD2111" s="36">
        <f t="shared" si="519"/>
        <v>1.5674603174603185E-2</v>
      </c>
      <c r="AE2111" s="36" t="str">
        <f t="shared" si="519"/>
        <v>A319</v>
      </c>
      <c r="AF2111" s="36">
        <f t="shared" si="519"/>
        <v>142</v>
      </c>
      <c r="AG2111" s="36" t="str">
        <f t="shared" si="519"/>
        <v>MEX</v>
      </c>
    </row>
    <row r="2112" spans="18:33" x14ac:dyDescent="0.25">
      <c r="R2112">
        <v>2098</v>
      </c>
      <c r="S2112" s="36" t="str">
        <f t="shared" si="517"/>
        <v>BARATA Y MORADA</v>
      </c>
      <c r="T2112" s="36">
        <f t="shared" si="517"/>
        <v>734</v>
      </c>
      <c r="U2112" s="73">
        <v>0.42638888888888887</v>
      </c>
      <c r="V2112" s="74">
        <v>0.43333333333333335</v>
      </c>
      <c r="W2112" s="75">
        <v>6.9444444444444753E-3</v>
      </c>
      <c r="X2112" s="74">
        <v>0.43888888888888888</v>
      </c>
      <c r="Y2112" s="75">
        <v>5.5555555555555358E-3</v>
      </c>
      <c r="Z2112" s="76">
        <v>41754</v>
      </c>
      <c r="AA2112" s="36" t="str">
        <f t="shared" si="519"/>
        <v>Nacional</v>
      </c>
      <c r="AB2112" s="36">
        <f t="shared" si="519"/>
        <v>9.5568783068783313E-3</v>
      </c>
      <c r="AC2112" s="36">
        <f t="shared" si="519"/>
        <v>6.1177248677248535E-3</v>
      </c>
      <c r="AD2112" s="36">
        <f t="shared" si="519"/>
        <v>1.5674603174603185E-2</v>
      </c>
      <c r="AE2112" s="36" t="str">
        <f t="shared" si="519"/>
        <v>A319</v>
      </c>
      <c r="AF2112" s="36">
        <f t="shared" si="519"/>
        <v>142</v>
      </c>
      <c r="AG2112" s="36" t="str">
        <f t="shared" si="519"/>
        <v>MEX</v>
      </c>
    </row>
    <row r="2113" spans="18:33" x14ac:dyDescent="0.25">
      <c r="R2113">
        <v>2099</v>
      </c>
      <c r="S2113" s="36" t="str">
        <f t="shared" si="517"/>
        <v>BARATA Y MORADA</v>
      </c>
      <c r="T2113" s="36">
        <f t="shared" si="517"/>
        <v>734</v>
      </c>
      <c r="U2113" s="73">
        <v>0.57916666666666672</v>
      </c>
      <c r="V2113" s="74">
        <v>0.58888888888888891</v>
      </c>
      <c r="W2113" s="75">
        <v>9.7222222222221877E-3</v>
      </c>
      <c r="X2113" s="74">
        <v>0.59583333333333333</v>
      </c>
      <c r="Y2113" s="75">
        <v>6.9444444444444198E-3</v>
      </c>
      <c r="Z2113" s="76">
        <v>41756</v>
      </c>
      <c r="AA2113" s="36" t="str">
        <f t="shared" si="519"/>
        <v>Nacional</v>
      </c>
      <c r="AB2113" s="36">
        <f t="shared" si="519"/>
        <v>9.5568783068783313E-3</v>
      </c>
      <c r="AC2113" s="36">
        <f t="shared" si="519"/>
        <v>6.1177248677248535E-3</v>
      </c>
      <c r="AD2113" s="36">
        <f t="shared" si="519"/>
        <v>1.5674603174603185E-2</v>
      </c>
      <c r="AE2113" s="36" t="str">
        <f t="shared" si="519"/>
        <v>A319</v>
      </c>
      <c r="AF2113" s="36">
        <f t="shared" si="519"/>
        <v>142</v>
      </c>
      <c r="AG2113" s="36" t="str">
        <f t="shared" si="519"/>
        <v>MEX</v>
      </c>
    </row>
    <row r="2114" spans="18:33" x14ac:dyDescent="0.25">
      <c r="R2114">
        <v>2100</v>
      </c>
      <c r="S2114" s="36" t="str">
        <f t="shared" si="517"/>
        <v>BARATA Y MORADA</v>
      </c>
      <c r="T2114" s="36">
        <f t="shared" si="517"/>
        <v>734</v>
      </c>
      <c r="U2114" s="73">
        <v>0.43472222222222223</v>
      </c>
      <c r="V2114" s="74">
        <v>0.44097222222222227</v>
      </c>
      <c r="W2114" s="75">
        <v>6.2500000000000333E-3</v>
      </c>
      <c r="X2114" s="74">
        <v>0.44444444444444442</v>
      </c>
      <c r="Y2114" s="75">
        <v>3.4722222222221544E-3</v>
      </c>
      <c r="Z2114" s="76">
        <v>41757</v>
      </c>
      <c r="AA2114" s="36" t="str">
        <f t="shared" si="519"/>
        <v>Nacional</v>
      </c>
      <c r="AB2114" s="36">
        <f t="shared" si="519"/>
        <v>9.5568783068783313E-3</v>
      </c>
      <c r="AC2114" s="36">
        <f t="shared" si="519"/>
        <v>6.1177248677248535E-3</v>
      </c>
      <c r="AD2114" s="36">
        <f t="shared" si="519"/>
        <v>1.5674603174603185E-2</v>
      </c>
      <c r="AE2114" s="36" t="str">
        <f t="shared" si="519"/>
        <v>A319</v>
      </c>
      <c r="AF2114" s="36">
        <f t="shared" si="519"/>
        <v>142</v>
      </c>
      <c r="AG2114" s="36" t="str">
        <f t="shared" si="519"/>
        <v>MEX</v>
      </c>
    </row>
    <row r="2115" spans="18:33" x14ac:dyDescent="0.25">
      <c r="R2115">
        <v>2101</v>
      </c>
      <c r="S2115" s="36" t="str">
        <f t="shared" si="517"/>
        <v>BARATA Y MORADA</v>
      </c>
      <c r="T2115" s="36">
        <f t="shared" si="517"/>
        <v>734</v>
      </c>
      <c r="U2115" s="73">
        <v>0.43541666666666662</v>
      </c>
      <c r="V2115" s="74">
        <v>0.43958333333333338</v>
      </c>
      <c r="W2115" s="75">
        <v>4.1666666666667629E-3</v>
      </c>
      <c r="X2115" s="74">
        <v>0.45</v>
      </c>
      <c r="Y2115" s="75">
        <v>1.041666666666663E-2</v>
      </c>
      <c r="Z2115" s="76">
        <v>41758</v>
      </c>
      <c r="AA2115" s="36" t="str">
        <f t="shared" si="519"/>
        <v>Nacional</v>
      </c>
      <c r="AB2115" s="36">
        <f t="shared" si="519"/>
        <v>9.5568783068783313E-3</v>
      </c>
      <c r="AC2115" s="36">
        <f t="shared" si="519"/>
        <v>6.1177248677248535E-3</v>
      </c>
      <c r="AD2115" s="36">
        <f t="shared" si="519"/>
        <v>1.5674603174603185E-2</v>
      </c>
      <c r="AE2115" s="36" t="str">
        <f t="shared" si="519"/>
        <v>A319</v>
      </c>
      <c r="AF2115" s="36">
        <f t="shared" si="519"/>
        <v>142</v>
      </c>
      <c r="AG2115" s="36" t="str">
        <f t="shared" si="519"/>
        <v>MEX</v>
      </c>
    </row>
    <row r="2116" spans="18:33" ht="15.75" thickBot="1" x14ac:dyDescent="0.3">
      <c r="R2116">
        <v>2102</v>
      </c>
      <c r="S2116" s="36" t="str">
        <f t="shared" si="517"/>
        <v>BARATA Y MORADA</v>
      </c>
      <c r="T2116" s="36">
        <f t="shared" si="517"/>
        <v>734</v>
      </c>
      <c r="U2116" s="83">
        <v>0.42986111111111108</v>
      </c>
      <c r="V2116" s="84">
        <v>0.4375</v>
      </c>
      <c r="W2116" s="85">
        <v>7.6388888888889173E-3</v>
      </c>
      <c r="X2116" s="84">
        <v>0.44305555555555554</v>
      </c>
      <c r="Y2116" s="85">
        <v>5.5555555555555358E-3</v>
      </c>
      <c r="Z2116" s="86">
        <v>41759</v>
      </c>
      <c r="AA2116" s="36" t="str">
        <f t="shared" si="519"/>
        <v>Nacional</v>
      </c>
      <c r="AB2116" s="36">
        <f t="shared" si="519"/>
        <v>9.5568783068783313E-3</v>
      </c>
      <c r="AC2116" s="36">
        <f t="shared" si="519"/>
        <v>6.1177248677248535E-3</v>
      </c>
      <c r="AD2116" s="36">
        <f t="shared" si="519"/>
        <v>1.5674603174603185E-2</v>
      </c>
      <c r="AE2116" s="36" t="str">
        <f t="shared" si="519"/>
        <v>A319</v>
      </c>
      <c r="AF2116" s="36">
        <f t="shared" si="519"/>
        <v>142</v>
      </c>
      <c r="AG2116" s="36" t="str">
        <f t="shared" si="519"/>
        <v>MEX</v>
      </c>
    </row>
    <row r="2117" spans="18:33" x14ac:dyDescent="0.25">
      <c r="R2117">
        <v>2103</v>
      </c>
      <c r="S2117" s="36" t="str">
        <f t="shared" si="517"/>
        <v>BARATA Y MORADA</v>
      </c>
      <c r="T2117" s="55">
        <v>738</v>
      </c>
      <c r="U2117" s="56">
        <v>0.54861111111111105</v>
      </c>
      <c r="V2117" s="57">
        <v>0.55555555555555558</v>
      </c>
      <c r="W2117" s="58">
        <v>6.9444444444445308E-3</v>
      </c>
      <c r="X2117" s="57">
        <v>0.56597222222222221</v>
      </c>
      <c r="Y2117" s="58">
        <v>1.041666666666663E-2</v>
      </c>
      <c r="Z2117" s="59">
        <v>41735</v>
      </c>
      <c r="AA2117" s="60" t="s">
        <v>19</v>
      </c>
      <c r="AB2117" s="61">
        <v>8.0043859649122934E-3</v>
      </c>
      <c r="AC2117" s="61">
        <v>7.8581871345029131E-3</v>
      </c>
      <c r="AD2117" s="231">
        <v>1.5862573099415207E-2</v>
      </c>
      <c r="AE2117" s="132" t="s">
        <v>57</v>
      </c>
      <c r="AF2117" s="132">
        <v>142</v>
      </c>
      <c r="AG2117" s="132" t="s">
        <v>21</v>
      </c>
    </row>
    <row r="2118" spans="18:33" x14ac:dyDescent="0.25">
      <c r="R2118">
        <v>2104</v>
      </c>
      <c r="S2118" s="36" t="str">
        <f t="shared" si="517"/>
        <v>BARATA Y MORADA</v>
      </c>
      <c r="T2118" s="36">
        <f t="shared" si="517"/>
        <v>738</v>
      </c>
      <c r="U2118" s="73">
        <v>0.54583333333333328</v>
      </c>
      <c r="V2118" s="74">
        <v>0.55347222222222225</v>
      </c>
      <c r="W2118" s="75">
        <v>7.6388888888889728E-3</v>
      </c>
      <c r="X2118" s="74">
        <v>0.56319444444444444</v>
      </c>
      <c r="Y2118" s="75">
        <v>9.7222222222221877E-3</v>
      </c>
      <c r="Z2118" s="76">
        <v>41736</v>
      </c>
      <c r="AA2118" s="36" t="str">
        <f t="shared" ref="AA2118:AG2135" si="520">AA2117</f>
        <v>Nacional</v>
      </c>
      <c r="AB2118" s="36">
        <f t="shared" si="520"/>
        <v>8.0043859649122934E-3</v>
      </c>
      <c r="AC2118" s="36">
        <f t="shared" si="520"/>
        <v>7.8581871345029131E-3</v>
      </c>
      <c r="AD2118" s="36">
        <f t="shared" si="520"/>
        <v>1.5862573099415207E-2</v>
      </c>
      <c r="AE2118" s="36" t="str">
        <f t="shared" si="520"/>
        <v>A319</v>
      </c>
      <c r="AF2118" s="36">
        <f t="shared" si="520"/>
        <v>142</v>
      </c>
      <c r="AG2118" s="36" t="str">
        <f t="shared" si="520"/>
        <v>MEX</v>
      </c>
    </row>
    <row r="2119" spans="18:33" x14ac:dyDescent="0.25">
      <c r="R2119">
        <v>2105</v>
      </c>
      <c r="S2119" s="36" t="str">
        <f t="shared" si="517"/>
        <v>BARATA Y MORADA</v>
      </c>
      <c r="T2119" s="36">
        <f t="shared" si="517"/>
        <v>738</v>
      </c>
      <c r="U2119" s="73">
        <v>0.54791666666666672</v>
      </c>
      <c r="V2119" s="74">
        <v>0.55208333333333337</v>
      </c>
      <c r="W2119" s="75">
        <v>4.1666666666666519E-3</v>
      </c>
      <c r="X2119" s="74">
        <v>0.5541666666666667</v>
      </c>
      <c r="Y2119" s="75">
        <v>2.0833333333333259E-3</v>
      </c>
      <c r="Z2119" s="76">
        <v>41737</v>
      </c>
      <c r="AA2119" s="36" t="str">
        <f t="shared" si="520"/>
        <v>Nacional</v>
      </c>
      <c r="AB2119" s="36">
        <f t="shared" si="520"/>
        <v>8.0043859649122934E-3</v>
      </c>
      <c r="AC2119" s="36">
        <f t="shared" si="520"/>
        <v>7.8581871345029131E-3</v>
      </c>
      <c r="AD2119" s="36">
        <f t="shared" si="520"/>
        <v>1.5862573099415207E-2</v>
      </c>
      <c r="AE2119" s="36" t="str">
        <f t="shared" si="520"/>
        <v>A319</v>
      </c>
      <c r="AF2119" s="36">
        <f t="shared" si="520"/>
        <v>142</v>
      </c>
      <c r="AG2119" s="36" t="str">
        <f t="shared" si="520"/>
        <v>MEX</v>
      </c>
    </row>
    <row r="2120" spans="18:33" x14ac:dyDescent="0.25">
      <c r="R2120">
        <v>2106</v>
      </c>
      <c r="S2120" s="36" t="str">
        <f t="shared" si="517"/>
        <v>BARATA Y MORADA</v>
      </c>
      <c r="T2120" s="36">
        <f t="shared" si="517"/>
        <v>738</v>
      </c>
      <c r="U2120" s="73">
        <v>0.57638888888888895</v>
      </c>
      <c r="V2120" s="74">
        <v>0.59166666666666667</v>
      </c>
      <c r="W2120" s="75">
        <v>1.5277777777777724E-2</v>
      </c>
      <c r="X2120" s="74">
        <v>0.59652777777777777</v>
      </c>
      <c r="Y2120" s="75">
        <v>4.8611111111110938E-3</v>
      </c>
      <c r="Z2120" s="76">
        <v>41737</v>
      </c>
      <c r="AA2120" s="36" t="str">
        <f t="shared" si="520"/>
        <v>Nacional</v>
      </c>
      <c r="AB2120" s="36">
        <f t="shared" si="520"/>
        <v>8.0043859649122934E-3</v>
      </c>
      <c r="AC2120" s="36">
        <f t="shared" si="520"/>
        <v>7.8581871345029131E-3</v>
      </c>
      <c r="AD2120" s="36">
        <f t="shared" si="520"/>
        <v>1.5862573099415207E-2</v>
      </c>
      <c r="AE2120" s="36" t="str">
        <f t="shared" si="520"/>
        <v>A319</v>
      </c>
      <c r="AF2120" s="36">
        <f t="shared" si="520"/>
        <v>142</v>
      </c>
      <c r="AG2120" s="36" t="str">
        <f t="shared" si="520"/>
        <v>MEX</v>
      </c>
    </row>
    <row r="2121" spans="18:33" x14ac:dyDescent="0.25">
      <c r="R2121">
        <v>2107</v>
      </c>
      <c r="S2121" s="36" t="str">
        <f t="shared" si="517"/>
        <v>BARATA Y MORADA</v>
      </c>
      <c r="T2121" s="36">
        <f t="shared" si="517"/>
        <v>738</v>
      </c>
      <c r="U2121" s="73">
        <v>0.55555555555555558</v>
      </c>
      <c r="V2121" s="74">
        <v>0.55902777777777779</v>
      </c>
      <c r="W2121" s="75">
        <v>3.4722222222222099E-3</v>
      </c>
      <c r="X2121" s="74">
        <v>0.56458333333333333</v>
      </c>
      <c r="Y2121" s="75">
        <v>5.5555555555555358E-3</v>
      </c>
      <c r="Z2121" s="76">
        <v>41738</v>
      </c>
      <c r="AA2121" s="36" t="str">
        <f t="shared" si="520"/>
        <v>Nacional</v>
      </c>
      <c r="AB2121" s="36">
        <f t="shared" si="520"/>
        <v>8.0043859649122934E-3</v>
      </c>
      <c r="AC2121" s="36">
        <f t="shared" si="520"/>
        <v>7.8581871345029131E-3</v>
      </c>
      <c r="AD2121" s="36">
        <f t="shared" si="520"/>
        <v>1.5862573099415207E-2</v>
      </c>
      <c r="AE2121" s="36" t="str">
        <f t="shared" si="520"/>
        <v>A319</v>
      </c>
      <c r="AF2121" s="36">
        <f t="shared" si="520"/>
        <v>142</v>
      </c>
      <c r="AG2121" s="36" t="str">
        <f t="shared" si="520"/>
        <v>MEX</v>
      </c>
    </row>
    <row r="2122" spans="18:33" x14ac:dyDescent="0.25">
      <c r="R2122">
        <v>2108</v>
      </c>
      <c r="S2122" s="36" t="str">
        <f t="shared" si="517"/>
        <v>BARATA Y MORADA</v>
      </c>
      <c r="T2122" s="36">
        <f t="shared" si="517"/>
        <v>738</v>
      </c>
      <c r="U2122" s="73">
        <v>0.56319444444444444</v>
      </c>
      <c r="V2122" s="74">
        <v>0.5708333333333333</v>
      </c>
      <c r="W2122" s="75">
        <v>7.6388888888888618E-3</v>
      </c>
      <c r="X2122" s="74">
        <v>0.57916666666666672</v>
      </c>
      <c r="Y2122" s="75">
        <v>8.3333333333334147E-3</v>
      </c>
      <c r="Z2122" s="76">
        <v>41739</v>
      </c>
      <c r="AA2122" s="36" t="str">
        <f t="shared" si="520"/>
        <v>Nacional</v>
      </c>
      <c r="AB2122" s="36">
        <f t="shared" si="520"/>
        <v>8.0043859649122934E-3</v>
      </c>
      <c r="AC2122" s="36">
        <f t="shared" si="520"/>
        <v>7.8581871345029131E-3</v>
      </c>
      <c r="AD2122" s="36">
        <f t="shared" si="520"/>
        <v>1.5862573099415207E-2</v>
      </c>
      <c r="AE2122" s="36" t="str">
        <f t="shared" si="520"/>
        <v>A319</v>
      </c>
      <c r="AF2122" s="36">
        <f t="shared" si="520"/>
        <v>142</v>
      </c>
      <c r="AG2122" s="36" t="str">
        <f t="shared" si="520"/>
        <v>MEX</v>
      </c>
    </row>
    <row r="2123" spans="18:33" x14ac:dyDescent="0.25">
      <c r="R2123">
        <v>2109</v>
      </c>
      <c r="S2123" s="36" t="str">
        <f t="shared" si="517"/>
        <v>BARATA Y MORADA</v>
      </c>
      <c r="T2123" s="36">
        <f t="shared" si="517"/>
        <v>738</v>
      </c>
      <c r="U2123" s="73">
        <v>0.54375000000000007</v>
      </c>
      <c r="V2123" s="74">
        <v>0.55555555555555558</v>
      </c>
      <c r="W2123" s="75">
        <v>1.1805555555555514E-2</v>
      </c>
      <c r="X2123" s="74">
        <v>0.56180555555555556</v>
      </c>
      <c r="Y2123" s="75">
        <v>6.2499999999999778E-3</v>
      </c>
      <c r="Z2123" s="76">
        <v>41743</v>
      </c>
      <c r="AA2123" s="36" t="str">
        <f t="shared" si="520"/>
        <v>Nacional</v>
      </c>
      <c r="AB2123" s="36">
        <f t="shared" si="520"/>
        <v>8.0043859649122934E-3</v>
      </c>
      <c r="AC2123" s="36">
        <f t="shared" si="520"/>
        <v>7.8581871345029131E-3</v>
      </c>
      <c r="AD2123" s="36">
        <f t="shared" si="520"/>
        <v>1.5862573099415207E-2</v>
      </c>
      <c r="AE2123" s="36" t="str">
        <f t="shared" si="520"/>
        <v>A319</v>
      </c>
      <c r="AF2123" s="36">
        <f t="shared" si="520"/>
        <v>142</v>
      </c>
      <c r="AG2123" s="36" t="str">
        <f t="shared" si="520"/>
        <v>MEX</v>
      </c>
    </row>
    <row r="2124" spans="18:33" x14ac:dyDescent="0.25">
      <c r="R2124">
        <v>2110</v>
      </c>
      <c r="S2124" s="36" t="str">
        <f t="shared" si="517"/>
        <v>BARATA Y MORADA</v>
      </c>
      <c r="T2124" s="36">
        <f t="shared" si="517"/>
        <v>738</v>
      </c>
      <c r="U2124" s="73">
        <v>0.54722222222222217</v>
      </c>
      <c r="V2124" s="74">
        <v>0.55694444444444446</v>
      </c>
      <c r="W2124" s="75">
        <v>9.7222222222222987E-3</v>
      </c>
      <c r="X2124" s="74">
        <v>0.56805555555555554</v>
      </c>
      <c r="Y2124" s="75">
        <v>1.1111111111111072E-2</v>
      </c>
      <c r="Z2124" s="76">
        <v>41744</v>
      </c>
      <c r="AA2124" s="36" t="str">
        <f t="shared" si="520"/>
        <v>Nacional</v>
      </c>
      <c r="AB2124" s="36">
        <f t="shared" si="520"/>
        <v>8.0043859649122934E-3</v>
      </c>
      <c r="AC2124" s="36">
        <f t="shared" si="520"/>
        <v>7.8581871345029131E-3</v>
      </c>
      <c r="AD2124" s="36">
        <f t="shared" si="520"/>
        <v>1.5862573099415207E-2</v>
      </c>
      <c r="AE2124" s="36" t="str">
        <f t="shared" si="520"/>
        <v>A319</v>
      </c>
      <c r="AF2124" s="36">
        <f t="shared" si="520"/>
        <v>142</v>
      </c>
      <c r="AG2124" s="36" t="str">
        <f t="shared" si="520"/>
        <v>MEX</v>
      </c>
    </row>
    <row r="2125" spans="18:33" x14ac:dyDescent="0.25">
      <c r="R2125">
        <v>2111</v>
      </c>
      <c r="S2125" s="36" t="str">
        <f t="shared" si="517"/>
        <v>BARATA Y MORADA</v>
      </c>
      <c r="T2125" s="36">
        <f t="shared" si="517"/>
        <v>738</v>
      </c>
      <c r="U2125" s="73">
        <v>0.54166666666666663</v>
      </c>
      <c r="V2125" s="74">
        <v>0.55069444444444449</v>
      </c>
      <c r="W2125" s="75">
        <v>9.0277777777778567E-3</v>
      </c>
      <c r="X2125" s="74">
        <v>0.55833333333333335</v>
      </c>
      <c r="Y2125" s="75">
        <v>7.6388888888888618E-3</v>
      </c>
      <c r="Z2125" s="76">
        <v>41745</v>
      </c>
      <c r="AA2125" s="36" t="str">
        <f t="shared" si="520"/>
        <v>Nacional</v>
      </c>
      <c r="AB2125" s="36">
        <f t="shared" si="520"/>
        <v>8.0043859649122934E-3</v>
      </c>
      <c r="AC2125" s="36">
        <f t="shared" si="520"/>
        <v>7.8581871345029131E-3</v>
      </c>
      <c r="AD2125" s="36">
        <f t="shared" si="520"/>
        <v>1.5862573099415207E-2</v>
      </c>
      <c r="AE2125" s="36" t="str">
        <f t="shared" si="520"/>
        <v>A319</v>
      </c>
      <c r="AF2125" s="36">
        <f t="shared" si="520"/>
        <v>142</v>
      </c>
      <c r="AG2125" s="36" t="str">
        <f t="shared" si="520"/>
        <v>MEX</v>
      </c>
    </row>
    <row r="2126" spans="18:33" x14ac:dyDescent="0.25">
      <c r="R2126">
        <v>2112</v>
      </c>
      <c r="S2126" s="36" t="str">
        <f t="shared" si="517"/>
        <v>BARATA Y MORADA</v>
      </c>
      <c r="T2126" s="36">
        <f t="shared" si="517"/>
        <v>738</v>
      </c>
      <c r="U2126" s="73">
        <v>0.53819444444444442</v>
      </c>
      <c r="V2126" s="74">
        <v>0.54513888888888895</v>
      </c>
      <c r="W2126" s="75">
        <v>6.9444444444445308E-3</v>
      </c>
      <c r="X2126" s="74">
        <v>0.55625000000000002</v>
      </c>
      <c r="Y2126" s="75">
        <v>1.1111111111111072E-2</v>
      </c>
      <c r="Z2126" s="76">
        <v>41747</v>
      </c>
      <c r="AA2126" s="36" t="str">
        <f t="shared" si="520"/>
        <v>Nacional</v>
      </c>
      <c r="AB2126" s="36">
        <f t="shared" si="520"/>
        <v>8.0043859649122934E-3</v>
      </c>
      <c r="AC2126" s="36">
        <f t="shared" si="520"/>
        <v>7.8581871345029131E-3</v>
      </c>
      <c r="AD2126" s="36">
        <f t="shared" si="520"/>
        <v>1.5862573099415207E-2</v>
      </c>
      <c r="AE2126" s="36" t="str">
        <f t="shared" si="520"/>
        <v>A319</v>
      </c>
      <c r="AF2126" s="36">
        <f t="shared" si="520"/>
        <v>142</v>
      </c>
      <c r="AG2126" s="36" t="str">
        <f t="shared" si="520"/>
        <v>MEX</v>
      </c>
    </row>
    <row r="2127" spans="18:33" x14ac:dyDescent="0.25">
      <c r="R2127">
        <v>2113</v>
      </c>
      <c r="S2127" s="36" t="str">
        <f t="shared" si="517"/>
        <v>BARATA Y MORADA</v>
      </c>
      <c r="T2127" s="36">
        <f t="shared" si="517"/>
        <v>738</v>
      </c>
      <c r="U2127" s="73">
        <v>0.53680555555555554</v>
      </c>
      <c r="V2127" s="74">
        <v>0.54861111111111105</v>
      </c>
      <c r="W2127" s="75">
        <v>1.1805555555555514E-2</v>
      </c>
      <c r="X2127" s="74">
        <v>0.55555555555555558</v>
      </c>
      <c r="Y2127" s="75">
        <v>6.9444444444445308E-3</v>
      </c>
      <c r="Z2127" s="76">
        <v>41748</v>
      </c>
      <c r="AA2127" s="36" t="str">
        <f t="shared" si="520"/>
        <v>Nacional</v>
      </c>
      <c r="AB2127" s="36">
        <f t="shared" si="520"/>
        <v>8.0043859649122934E-3</v>
      </c>
      <c r="AC2127" s="36">
        <f t="shared" si="520"/>
        <v>7.8581871345029131E-3</v>
      </c>
      <c r="AD2127" s="36">
        <f t="shared" si="520"/>
        <v>1.5862573099415207E-2</v>
      </c>
      <c r="AE2127" s="36" t="str">
        <f t="shared" si="520"/>
        <v>A319</v>
      </c>
      <c r="AF2127" s="36">
        <f t="shared" si="520"/>
        <v>142</v>
      </c>
      <c r="AG2127" s="36" t="str">
        <f t="shared" si="520"/>
        <v>MEX</v>
      </c>
    </row>
    <row r="2128" spans="18:33" x14ac:dyDescent="0.25">
      <c r="R2128">
        <v>2114</v>
      </c>
      <c r="S2128" s="36" t="str">
        <f t="shared" si="517"/>
        <v>BARATA Y MORADA</v>
      </c>
      <c r="T2128" s="36">
        <f t="shared" si="517"/>
        <v>738</v>
      </c>
      <c r="U2128" s="73">
        <v>0.55208333333333337</v>
      </c>
      <c r="V2128" s="74">
        <v>0.55625000000000002</v>
      </c>
      <c r="W2128" s="75">
        <v>4.1666666666666519E-3</v>
      </c>
      <c r="X2128" s="74">
        <v>0.5625</v>
      </c>
      <c r="Y2128" s="75">
        <v>6.2499999999999778E-3</v>
      </c>
      <c r="Z2128" s="76">
        <v>41749</v>
      </c>
      <c r="AA2128" s="36" t="str">
        <f t="shared" si="520"/>
        <v>Nacional</v>
      </c>
      <c r="AB2128" s="36">
        <f t="shared" si="520"/>
        <v>8.0043859649122934E-3</v>
      </c>
      <c r="AC2128" s="36">
        <f t="shared" si="520"/>
        <v>7.8581871345029131E-3</v>
      </c>
      <c r="AD2128" s="36">
        <f t="shared" si="520"/>
        <v>1.5862573099415207E-2</v>
      </c>
      <c r="AE2128" s="36" t="str">
        <f t="shared" si="520"/>
        <v>A319</v>
      </c>
      <c r="AF2128" s="36">
        <f t="shared" si="520"/>
        <v>142</v>
      </c>
      <c r="AG2128" s="36" t="str">
        <f t="shared" si="520"/>
        <v>MEX</v>
      </c>
    </row>
    <row r="2129" spans="18:33" x14ac:dyDescent="0.25">
      <c r="R2129">
        <v>2115</v>
      </c>
      <c r="S2129" s="36" t="str">
        <f t="shared" si="517"/>
        <v>BARATA Y MORADA</v>
      </c>
      <c r="T2129" s="36">
        <f t="shared" si="517"/>
        <v>738</v>
      </c>
      <c r="U2129" s="73">
        <v>0.54513888888888895</v>
      </c>
      <c r="V2129" s="74">
        <v>0.55138888888888882</v>
      </c>
      <c r="W2129" s="75">
        <v>6.2499999999998668E-3</v>
      </c>
      <c r="X2129" s="74">
        <v>0.55555555555555558</v>
      </c>
      <c r="Y2129" s="75">
        <v>4.1666666666667629E-3</v>
      </c>
      <c r="Z2129" s="76">
        <v>41751</v>
      </c>
      <c r="AA2129" s="36" t="str">
        <f t="shared" si="520"/>
        <v>Nacional</v>
      </c>
      <c r="AB2129" s="36">
        <f t="shared" si="520"/>
        <v>8.0043859649122934E-3</v>
      </c>
      <c r="AC2129" s="36">
        <f t="shared" si="520"/>
        <v>7.8581871345029131E-3</v>
      </c>
      <c r="AD2129" s="36">
        <f t="shared" si="520"/>
        <v>1.5862573099415207E-2</v>
      </c>
      <c r="AE2129" s="36" t="str">
        <f t="shared" si="520"/>
        <v>A319</v>
      </c>
      <c r="AF2129" s="36">
        <f t="shared" si="520"/>
        <v>142</v>
      </c>
      <c r="AG2129" s="36" t="str">
        <f t="shared" si="520"/>
        <v>MEX</v>
      </c>
    </row>
    <row r="2130" spans="18:33" x14ac:dyDescent="0.25">
      <c r="R2130">
        <v>2116</v>
      </c>
      <c r="S2130" s="36" t="str">
        <f t="shared" si="517"/>
        <v>BARATA Y MORADA</v>
      </c>
      <c r="T2130" s="36">
        <f t="shared" si="517"/>
        <v>738</v>
      </c>
      <c r="U2130" s="73">
        <v>0.54791666666666672</v>
      </c>
      <c r="V2130" s="74">
        <v>0.55486111111111114</v>
      </c>
      <c r="W2130" s="75">
        <v>6.9444444444444198E-3</v>
      </c>
      <c r="X2130" s="74">
        <v>0.5625</v>
      </c>
      <c r="Y2130" s="75">
        <v>7.6388888888888618E-3</v>
      </c>
      <c r="Z2130" s="76">
        <v>41753</v>
      </c>
      <c r="AA2130" s="36" t="str">
        <f t="shared" si="520"/>
        <v>Nacional</v>
      </c>
      <c r="AB2130" s="36">
        <f t="shared" si="520"/>
        <v>8.0043859649122934E-3</v>
      </c>
      <c r="AC2130" s="36">
        <f t="shared" si="520"/>
        <v>7.8581871345029131E-3</v>
      </c>
      <c r="AD2130" s="36">
        <f t="shared" si="520"/>
        <v>1.5862573099415207E-2</v>
      </c>
      <c r="AE2130" s="36" t="str">
        <f t="shared" si="520"/>
        <v>A319</v>
      </c>
      <c r="AF2130" s="36">
        <f t="shared" si="520"/>
        <v>142</v>
      </c>
      <c r="AG2130" s="36" t="str">
        <f t="shared" si="520"/>
        <v>MEX</v>
      </c>
    </row>
    <row r="2131" spans="18:33" x14ac:dyDescent="0.25">
      <c r="R2131">
        <v>2117</v>
      </c>
      <c r="S2131" s="36" t="str">
        <f t="shared" si="517"/>
        <v>BARATA Y MORADA</v>
      </c>
      <c r="T2131" s="36">
        <f t="shared" si="517"/>
        <v>738</v>
      </c>
      <c r="U2131" s="73">
        <v>0.55625000000000002</v>
      </c>
      <c r="V2131" s="74">
        <v>0.55902777777777779</v>
      </c>
      <c r="W2131" s="75">
        <v>2.7777777777777679E-3</v>
      </c>
      <c r="X2131" s="74">
        <v>0.56319444444444444</v>
      </c>
      <c r="Y2131" s="75">
        <v>4.1666666666666519E-3</v>
      </c>
      <c r="Z2131" s="76">
        <v>41754</v>
      </c>
      <c r="AA2131" s="36" t="str">
        <f t="shared" si="520"/>
        <v>Nacional</v>
      </c>
      <c r="AB2131" s="36">
        <f t="shared" si="520"/>
        <v>8.0043859649122934E-3</v>
      </c>
      <c r="AC2131" s="36">
        <f t="shared" si="520"/>
        <v>7.8581871345029131E-3</v>
      </c>
      <c r="AD2131" s="36">
        <f t="shared" si="520"/>
        <v>1.5862573099415207E-2</v>
      </c>
      <c r="AE2131" s="36" t="str">
        <f t="shared" si="520"/>
        <v>A319</v>
      </c>
      <c r="AF2131" s="36">
        <f t="shared" si="520"/>
        <v>142</v>
      </c>
      <c r="AG2131" s="36" t="str">
        <f t="shared" si="520"/>
        <v>MEX</v>
      </c>
    </row>
    <row r="2132" spans="18:33" x14ac:dyDescent="0.25">
      <c r="R2132">
        <v>2118</v>
      </c>
      <c r="S2132" s="36" t="str">
        <f t="shared" si="517"/>
        <v>BARATA Y MORADA</v>
      </c>
      <c r="T2132" s="36">
        <f t="shared" si="517"/>
        <v>738</v>
      </c>
      <c r="U2132" s="73">
        <v>0.5493055555555556</v>
      </c>
      <c r="V2132" s="74">
        <v>0.55555555555555558</v>
      </c>
      <c r="W2132" s="75">
        <v>6.2499999999999778E-3</v>
      </c>
      <c r="X2132" s="74">
        <v>0.57708333333333328</v>
      </c>
      <c r="Y2132" s="75">
        <v>2.1527777777777701E-2</v>
      </c>
      <c r="Z2132" s="76">
        <v>41756</v>
      </c>
      <c r="AA2132" s="36" t="str">
        <f t="shared" si="520"/>
        <v>Nacional</v>
      </c>
      <c r="AB2132" s="36">
        <f t="shared" si="520"/>
        <v>8.0043859649122934E-3</v>
      </c>
      <c r="AC2132" s="36">
        <f t="shared" si="520"/>
        <v>7.8581871345029131E-3</v>
      </c>
      <c r="AD2132" s="36">
        <f t="shared" si="520"/>
        <v>1.5862573099415207E-2</v>
      </c>
      <c r="AE2132" s="36" t="str">
        <f t="shared" si="520"/>
        <v>A319</v>
      </c>
      <c r="AF2132" s="36">
        <f t="shared" si="520"/>
        <v>142</v>
      </c>
      <c r="AG2132" s="36" t="str">
        <f t="shared" si="520"/>
        <v>MEX</v>
      </c>
    </row>
    <row r="2133" spans="18:33" x14ac:dyDescent="0.25">
      <c r="R2133">
        <v>2119</v>
      </c>
      <c r="S2133" s="36" t="str">
        <f t="shared" si="517"/>
        <v>BARATA Y MORADA</v>
      </c>
      <c r="T2133" s="36">
        <f t="shared" si="517"/>
        <v>738</v>
      </c>
      <c r="U2133" s="73">
        <v>0.54861111111111105</v>
      </c>
      <c r="V2133" s="74">
        <v>0.55763888888888891</v>
      </c>
      <c r="W2133" s="75">
        <v>9.0277777777778567E-3</v>
      </c>
      <c r="X2133" s="74">
        <v>0.56458333333333333</v>
      </c>
      <c r="Y2133" s="75">
        <v>6.9444444444444198E-3</v>
      </c>
      <c r="Z2133" s="76">
        <v>41757</v>
      </c>
      <c r="AA2133" s="36" t="str">
        <f t="shared" si="520"/>
        <v>Nacional</v>
      </c>
      <c r="AB2133" s="36">
        <f t="shared" si="520"/>
        <v>8.0043859649122934E-3</v>
      </c>
      <c r="AC2133" s="36">
        <f t="shared" si="520"/>
        <v>7.8581871345029131E-3</v>
      </c>
      <c r="AD2133" s="36">
        <f t="shared" si="520"/>
        <v>1.5862573099415207E-2</v>
      </c>
      <c r="AE2133" s="36" t="str">
        <f t="shared" si="520"/>
        <v>A319</v>
      </c>
      <c r="AF2133" s="36">
        <f t="shared" si="520"/>
        <v>142</v>
      </c>
      <c r="AG2133" s="36" t="str">
        <f t="shared" si="520"/>
        <v>MEX</v>
      </c>
    </row>
    <row r="2134" spans="18:33" x14ac:dyDescent="0.25">
      <c r="R2134">
        <v>2120</v>
      </c>
      <c r="S2134" s="36" t="str">
        <f t="shared" si="517"/>
        <v>BARATA Y MORADA</v>
      </c>
      <c r="T2134" s="36">
        <f t="shared" si="517"/>
        <v>738</v>
      </c>
      <c r="U2134" s="73">
        <v>0.5444444444444444</v>
      </c>
      <c r="V2134" s="74">
        <v>0.55555555555555558</v>
      </c>
      <c r="W2134" s="75">
        <v>1.1111111111111183E-2</v>
      </c>
      <c r="X2134" s="74">
        <v>0.56180555555555556</v>
      </c>
      <c r="Y2134" s="75">
        <v>6.2499999999999778E-3</v>
      </c>
      <c r="Z2134" s="76">
        <v>41758</v>
      </c>
      <c r="AA2134" s="36" t="str">
        <f t="shared" si="520"/>
        <v>Nacional</v>
      </c>
      <c r="AB2134" s="36">
        <f t="shared" si="520"/>
        <v>8.0043859649122934E-3</v>
      </c>
      <c r="AC2134" s="36">
        <f t="shared" si="520"/>
        <v>7.8581871345029131E-3</v>
      </c>
      <c r="AD2134" s="36">
        <f t="shared" si="520"/>
        <v>1.5862573099415207E-2</v>
      </c>
      <c r="AE2134" s="36" t="str">
        <f t="shared" si="520"/>
        <v>A319</v>
      </c>
      <c r="AF2134" s="36">
        <f t="shared" si="520"/>
        <v>142</v>
      </c>
      <c r="AG2134" s="36" t="str">
        <f t="shared" si="520"/>
        <v>MEX</v>
      </c>
    </row>
    <row r="2135" spans="18:33" ht="15.75" thickBot="1" x14ac:dyDescent="0.3">
      <c r="R2135">
        <v>2121</v>
      </c>
      <c r="S2135" s="36" t="str">
        <f t="shared" si="517"/>
        <v>BARATA Y MORADA</v>
      </c>
      <c r="T2135" s="36">
        <f t="shared" si="517"/>
        <v>738</v>
      </c>
      <c r="U2135" s="83">
        <v>0.5625</v>
      </c>
      <c r="V2135" s="84">
        <v>0.57361111111111118</v>
      </c>
      <c r="W2135" s="85">
        <v>1.1111111111111183E-2</v>
      </c>
      <c r="X2135" s="84">
        <v>0.58194444444444449</v>
      </c>
      <c r="Y2135" s="85">
        <v>8.3333333333333037E-3</v>
      </c>
      <c r="Z2135" s="86">
        <v>41759</v>
      </c>
      <c r="AA2135" s="36" t="str">
        <f t="shared" si="520"/>
        <v>Nacional</v>
      </c>
      <c r="AB2135" s="36">
        <f t="shared" si="520"/>
        <v>8.0043859649122934E-3</v>
      </c>
      <c r="AC2135" s="36">
        <f t="shared" si="520"/>
        <v>7.8581871345029131E-3</v>
      </c>
      <c r="AD2135" s="36">
        <f t="shared" si="520"/>
        <v>1.5862573099415207E-2</v>
      </c>
      <c r="AE2135" s="36" t="str">
        <f t="shared" si="520"/>
        <v>A319</v>
      </c>
      <c r="AF2135" s="36">
        <f t="shared" si="520"/>
        <v>142</v>
      </c>
      <c r="AG2135" s="36" t="str">
        <f t="shared" si="520"/>
        <v>MEX</v>
      </c>
    </row>
    <row r="2136" spans="18:33" x14ac:dyDescent="0.25">
      <c r="R2136">
        <v>2122</v>
      </c>
      <c r="S2136" s="45" t="s">
        <v>77</v>
      </c>
      <c r="T2136" s="55">
        <v>741</v>
      </c>
      <c r="U2136" s="56">
        <v>0.46388888888888885</v>
      </c>
      <c r="V2136" s="57">
        <v>0.47222222222222227</v>
      </c>
      <c r="W2136" s="58">
        <v>8.3333333333334147E-3</v>
      </c>
      <c r="X2136" s="57">
        <v>0.4826388888888889</v>
      </c>
      <c r="Y2136" s="58">
        <v>1.041666666666663E-2</v>
      </c>
      <c r="Z2136" s="59">
        <v>41731</v>
      </c>
      <c r="AA2136" s="60" t="s">
        <v>19</v>
      </c>
      <c r="AB2136" s="61">
        <v>7.548309178743968E-3</v>
      </c>
      <c r="AC2136" s="61">
        <v>1.0718599033816414E-2</v>
      </c>
      <c r="AD2136" s="231">
        <v>1.8266908212560381E-2</v>
      </c>
      <c r="AE2136" s="132">
        <v>320</v>
      </c>
      <c r="AF2136" s="132">
        <v>179</v>
      </c>
      <c r="AG2136" s="132" t="s">
        <v>27</v>
      </c>
    </row>
    <row r="2137" spans="18:33" x14ac:dyDescent="0.25">
      <c r="R2137">
        <v>2123</v>
      </c>
      <c r="S2137" s="36" t="str">
        <f t="shared" ref="S2137:T2200" si="521">S2136</f>
        <v>BARATA Y MORADA</v>
      </c>
      <c r="T2137" s="36">
        <f t="shared" si="521"/>
        <v>741</v>
      </c>
      <c r="U2137" s="73">
        <v>0.45833333333333331</v>
      </c>
      <c r="V2137" s="74">
        <v>0.46875</v>
      </c>
      <c r="W2137" s="75">
        <v>1.0416666666666685E-2</v>
      </c>
      <c r="X2137" s="74">
        <v>0.47291666666666665</v>
      </c>
      <c r="Y2137" s="75">
        <v>4.1666666666666519E-3</v>
      </c>
      <c r="Z2137" s="76">
        <v>41732</v>
      </c>
      <c r="AA2137" s="36" t="str">
        <f t="shared" ref="AA2137:AG2158" si="522">AA2136</f>
        <v>Nacional</v>
      </c>
      <c r="AB2137" s="36">
        <f t="shared" si="522"/>
        <v>7.548309178743968E-3</v>
      </c>
      <c r="AC2137" s="36">
        <f t="shared" si="522"/>
        <v>1.0718599033816414E-2</v>
      </c>
      <c r="AD2137" s="36">
        <f t="shared" si="522"/>
        <v>1.8266908212560381E-2</v>
      </c>
      <c r="AE2137" s="36">
        <f t="shared" si="522"/>
        <v>320</v>
      </c>
      <c r="AF2137" s="36">
        <f t="shared" si="522"/>
        <v>179</v>
      </c>
      <c r="AG2137" s="36" t="str">
        <f t="shared" si="522"/>
        <v>HMO</v>
      </c>
    </row>
    <row r="2138" spans="18:33" x14ac:dyDescent="0.25">
      <c r="R2138">
        <v>2124</v>
      </c>
      <c r="S2138" s="36" t="str">
        <f t="shared" si="521"/>
        <v>BARATA Y MORADA</v>
      </c>
      <c r="T2138" s="36">
        <f t="shared" si="521"/>
        <v>741</v>
      </c>
      <c r="U2138" s="73">
        <v>0.45833333333333331</v>
      </c>
      <c r="V2138" s="74">
        <v>0.47013888888888888</v>
      </c>
      <c r="W2138" s="75">
        <v>1.1805555555555569E-2</v>
      </c>
      <c r="X2138" s="74">
        <v>0.47916666666666669</v>
      </c>
      <c r="Y2138" s="75">
        <v>9.0277777777778012E-3</v>
      </c>
      <c r="Z2138" s="76">
        <v>41733</v>
      </c>
      <c r="AA2138" s="36" t="str">
        <f t="shared" si="522"/>
        <v>Nacional</v>
      </c>
      <c r="AB2138" s="36">
        <f t="shared" si="522"/>
        <v>7.548309178743968E-3</v>
      </c>
      <c r="AC2138" s="36">
        <f t="shared" si="522"/>
        <v>1.0718599033816414E-2</v>
      </c>
      <c r="AD2138" s="36">
        <f t="shared" si="522"/>
        <v>1.8266908212560381E-2</v>
      </c>
      <c r="AE2138" s="36">
        <f t="shared" si="522"/>
        <v>320</v>
      </c>
      <c r="AF2138" s="36">
        <f t="shared" si="522"/>
        <v>179</v>
      </c>
      <c r="AG2138" s="36" t="str">
        <f t="shared" si="522"/>
        <v>HMO</v>
      </c>
    </row>
    <row r="2139" spans="18:33" x14ac:dyDescent="0.25">
      <c r="R2139">
        <v>2125</v>
      </c>
      <c r="S2139" s="36" t="str">
        <f t="shared" si="521"/>
        <v>BARATA Y MORADA</v>
      </c>
      <c r="T2139" s="36">
        <f t="shared" si="521"/>
        <v>741</v>
      </c>
      <c r="U2139" s="73">
        <v>0.45416666666666666</v>
      </c>
      <c r="V2139" s="74">
        <v>0.46458333333333335</v>
      </c>
      <c r="W2139" s="75">
        <v>1.0416666666666685E-2</v>
      </c>
      <c r="X2139" s="74">
        <v>0.47986111111111113</v>
      </c>
      <c r="Y2139" s="75">
        <v>1.5277777777777779E-2</v>
      </c>
      <c r="Z2139" s="76">
        <v>41735</v>
      </c>
      <c r="AA2139" s="36" t="str">
        <f t="shared" si="522"/>
        <v>Nacional</v>
      </c>
      <c r="AB2139" s="36">
        <f t="shared" si="522"/>
        <v>7.548309178743968E-3</v>
      </c>
      <c r="AC2139" s="36">
        <f t="shared" si="522"/>
        <v>1.0718599033816414E-2</v>
      </c>
      <c r="AD2139" s="36">
        <f t="shared" si="522"/>
        <v>1.8266908212560381E-2</v>
      </c>
      <c r="AE2139" s="36">
        <f t="shared" si="522"/>
        <v>320</v>
      </c>
      <c r="AF2139" s="36">
        <f t="shared" si="522"/>
        <v>179</v>
      </c>
      <c r="AG2139" s="36" t="str">
        <f t="shared" si="522"/>
        <v>HMO</v>
      </c>
    </row>
    <row r="2140" spans="18:33" x14ac:dyDescent="0.25">
      <c r="R2140">
        <v>2126</v>
      </c>
      <c r="S2140" s="36" t="str">
        <f t="shared" si="521"/>
        <v>BARATA Y MORADA</v>
      </c>
      <c r="T2140" s="36">
        <f t="shared" si="521"/>
        <v>741</v>
      </c>
      <c r="U2140" s="73">
        <v>0.45</v>
      </c>
      <c r="V2140" s="74">
        <v>0.46388888888888885</v>
      </c>
      <c r="W2140" s="75">
        <v>1.388888888888884E-2</v>
      </c>
      <c r="X2140" s="74">
        <v>0.47222222222222227</v>
      </c>
      <c r="Y2140" s="75">
        <v>8.3333333333334147E-3</v>
      </c>
      <c r="Z2140" s="76">
        <v>41737</v>
      </c>
      <c r="AA2140" s="36" t="str">
        <f t="shared" si="522"/>
        <v>Nacional</v>
      </c>
      <c r="AB2140" s="36">
        <f t="shared" si="522"/>
        <v>7.548309178743968E-3</v>
      </c>
      <c r="AC2140" s="36">
        <f t="shared" si="522"/>
        <v>1.0718599033816414E-2</v>
      </c>
      <c r="AD2140" s="36">
        <f t="shared" si="522"/>
        <v>1.8266908212560381E-2</v>
      </c>
      <c r="AE2140" s="36">
        <f t="shared" si="522"/>
        <v>320</v>
      </c>
      <c r="AF2140" s="36">
        <f t="shared" si="522"/>
        <v>179</v>
      </c>
      <c r="AG2140" s="36" t="str">
        <f t="shared" si="522"/>
        <v>HMO</v>
      </c>
    </row>
    <row r="2141" spans="18:33" x14ac:dyDescent="0.25">
      <c r="R2141">
        <v>2127</v>
      </c>
      <c r="S2141" s="36" t="str">
        <f t="shared" si="521"/>
        <v>BARATA Y MORADA</v>
      </c>
      <c r="T2141" s="36">
        <f t="shared" si="521"/>
        <v>741</v>
      </c>
      <c r="U2141" s="73">
        <v>0.4236111111111111</v>
      </c>
      <c r="V2141" s="74">
        <v>0.42708333333333331</v>
      </c>
      <c r="W2141" s="75">
        <v>3.4722222222222099E-3</v>
      </c>
      <c r="X2141" s="74">
        <v>0.43402777777777773</v>
      </c>
      <c r="Y2141" s="75">
        <v>6.9444444444444198E-3</v>
      </c>
      <c r="Z2141" s="76">
        <v>41738</v>
      </c>
      <c r="AA2141" s="36" t="str">
        <f t="shared" si="522"/>
        <v>Nacional</v>
      </c>
      <c r="AB2141" s="36">
        <f t="shared" si="522"/>
        <v>7.548309178743968E-3</v>
      </c>
      <c r="AC2141" s="36">
        <f t="shared" si="522"/>
        <v>1.0718599033816414E-2</v>
      </c>
      <c r="AD2141" s="36">
        <f t="shared" si="522"/>
        <v>1.8266908212560381E-2</v>
      </c>
      <c r="AE2141" s="36">
        <f t="shared" si="522"/>
        <v>320</v>
      </c>
      <c r="AF2141" s="36">
        <f t="shared" si="522"/>
        <v>179</v>
      </c>
      <c r="AG2141" s="36" t="str">
        <f t="shared" si="522"/>
        <v>HMO</v>
      </c>
    </row>
    <row r="2142" spans="18:33" x14ac:dyDescent="0.25">
      <c r="R2142">
        <v>2128</v>
      </c>
      <c r="S2142" s="36" t="str">
        <f t="shared" si="521"/>
        <v>BARATA Y MORADA</v>
      </c>
      <c r="T2142" s="36">
        <f t="shared" si="521"/>
        <v>741</v>
      </c>
      <c r="U2142" s="73">
        <v>0.44236111111111115</v>
      </c>
      <c r="V2142" s="74">
        <v>0.46180555555555558</v>
      </c>
      <c r="W2142" s="75">
        <v>1.9444444444444431E-2</v>
      </c>
      <c r="X2142" s="74">
        <v>0.47291666666666665</v>
      </c>
      <c r="Y2142" s="75">
        <v>1.1111111111111072E-2</v>
      </c>
      <c r="Z2142" s="76">
        <v>41739</v>
      </c>
      <c r="AA2142" s="36" t="str">
        <f t="shared" si="522"/>
        <v>Nacional</v>
      </c>
      <c r="AB2142" s="36">
        <f t="shared" si="522"/>
        <v>7.548309178743968E-3</v>
      </c>
      <c r="AC2142" s="36">
        <f t="shared" si="522"/>
        <v>1.0718599033816414E-2</v>
      </c>
      <c r="AD2142" s="36">
        <f t="shared" si="522"/>
        <v>1.8266908212560381E-2</v>
      </c>
      <c r="AE2142" s="36">
        <f t="shared" si="522"/>
        <v>320</v>
      </c>
      <c r="AF2142" s="36">
        <f t="shared" si="522"/>
        <v>179</v>
      </c>
      <c r="AG2142" s="36" t="str">
        <f t="shared" si="522"/>
        <v>HMO</v>
      </c>
    </row>
    <row r="2143" spans="18:33" x14ac:dyDescent="0.25">
      <c r="R2143">
        <v>2129</v>
      </c>
      <c r="S2143" s="36" t="str">
        <f t="shared" si="521"/>
        <v>BARATA Y MORADA</v>
      </c>
      <c r="T2143" s="36">
        <f t="shared" si="521"/>
        <v>741</v>
      </c>
      <c r="U2143" s="73">
        <v>0.52847222222222223</v>
      </c>
      <c r="V2143" s="74">
        <v>0.53055555555555556</v>
      </c>
      <c r="W2143" s="75">
        <v>2.0833333333333259E-3</v>
      </c>
      <c r="X2143" s="74">
        <v>0.54861111111111105</v>
      </c>
      <c r="Y2143" s="75">
        <v>1.8055555555555491E-2</v>
      </c>
      <c r="Z2143" s="76">
        <v>41741</v>
      </c>
      <c r="AA2143" s="36" t="str">
        <f t="shared" si="522"/>
        <v>Nacional</v>
      </c>
      <c r="AB2143" s="36">
        <f t="shared" si="522"/>
        <v>7.548309178743968E-3</v>
      </c>
      <c r="AC2143" s="36">
        <f t="shared" si="522"/>
        <v>1.0718599033816414E-2</v>
      </c>
      <c r="AD2143" s="36">
        <f t="shared" si="522"/>
        <v>1.8266908212560381E-2</v>
      </c>
      <c r="AE2143" s="36">
        <f t="shared" si="522"/>
        <v>320</v>
      </c>
      <c r="AF2143" s="36">
        <f t="shared" si="522"/>
        <v>179</v>
      </c>
      <c r="AG2143" s="36" t="str">
        <f t="shared" si="522"/>
        <v>HMO</v>
      </c>
    </row>
    <row r="2144" spans="18:33" x14ac:dyDescent="0.25">
      <c r="R2144">
        <v>2130</v>
      </c>
      <c r="S2144" s="36" t="str">
        <f t="shared" si="521"/>
        <v>BARATA Y MORADA</v>
      </c>
      <c r="T2144" s="36">
        <f t="shared" si="521"/>
        <v>741</v>
      </c>
      <c r="U2144" s="73">
        <v>0.45833333333333331</v>
      </c>
      <c r="V2144" s="74">
        <v>0.46458333333333335</v>
      </c>
      <c r="W2144" s="75">
        <v>6.2500000000000333E-3</v>
      </c>
      <c r="X2144" s="74">
        <v>0.47638888888888892</v>
      </c>
      <c r="Y2144" s="75">
        <v>1.1805555555555569E-2</v>
      </c>
      <c r="Z2144" s="76">
        <v>41743</v>
      </c>
      <c r="AA2144" s="36" t="str">
        <f t="shared" si="522"/>
        <v>Nacional</v>
      </c>
      <c r="AB2144" s="36">
        <f t="shared" si="522"/>
        <v>7.548309178743968E-3</v>
      </c>
      <c r="AC2144" s="36">
        <f t="shared" si="522"/>
        <v>1.0718599033816414E-2</v>
      </c>
      <c r="AD2144" s="36">
        <f t="shared" si="522"/>
        <v>1.8266908212560381E-2</v>
      </c>
      <c r="AE2144" s="36">
        <f t="shared" si="522"/>
        <v>320</v>
      </c>
      <c r="AF2144" s="36">
        <f t="shared" si="522"/>
        <v>179</v>
      </c>
      <c r="AG2144" s="36" t="str">
        <f t="shared" si="522"/>
        <v>HMO</v>
      </c>
    </row>
    <row r="2145" spans="18:33" x14ac:dyDescent="0.25">
      <c r="R2145">
        <v>2131</v>
      </c>
      <c r="S2145" s="36" t="str">
        <f t="shared" si="521"/>
        <v>BARATA Y MORADA</v>
      </c>
      <c r="T2145" s="36">
        <f t="shared" si="521"/>
        <v>741</v>
      </c>
      <c r="U2145" s="73">
        <v>0.5</v>
      </c>
      <c r="V2145" s="74">
        <v>0.50624999999999998</v>
      </c>
      <c r="W2145" s="75">
        <v>6.2499999999999778E-3</v>
      </c>
      <c r="X2145" s="74">
        <v>0.51736111111111105</v>
      </c>
      <c r="Y2145" s="75">
        <v>1.1111111111111072E-2</v>
      </c>
      <c r="Z2145" s="76">
        <v>41744</v>
      </c>
      <c r="AA2145" s="36" t="str">
        <f t="shared" si="522"/>
        <v>Nacional</v>
      </c>
      <c r="AB2145" s="36">
        <f t="shared" si="522"/>
        <v>7.548309178743968E-3</v>
      </c>
      <c r="AC2145" s="36">
        <f t="shared" si="522"/>
        <v>1.0718599033816414E-2</v>
      </c>
      <c r="AD2145" s="36">
        <f t="shared" si="522"/>
        <v>1.8266908212560381E-2</v>
      </c>
      <c r="AE2145" s="36">
        <f t="shared" si="522"/>
        <v>320</v>
      </c>
      <c r="AF2145" s="36">
        <f t="shared" si="522"/>
        <v>179</v>
      </c>
      <c r="AG2145" s="36" t="str">
        <f t="shared" si="522"/>
        <v>HMO</v>
      </c>
    </row>
    <row r="2146" spans="18:33" x14ac:dyDescent="0.25">
      <c r="R2146">
        <v>2132</v>
      </c>
      <c r="S2146" s="36" t="str">
        <f t="shared" si="521"/>
        <v>BARATA Y MORADA</v>
      </c>
      <c r="T2146" s="36">
        <f t="shared" si="521"/>
        <v>741</v>
      </c>
      <c r="U2146" s="73">
        <v>0.46666666666666662</v>
      </c>
      <c r="V2146" s="74">
        <v>0.47361111111111115</v>
      </c>
      <c r="W2146" s="75">
        <v>6.9444444444445308E-3</v>
      </c>
      <c r="X2146" s="74">
        <v>0.4861111111111111</v>
      </c>
      <c r="Y2146" s="75">
        <v>1.2499999999999956E-2</v>
      </c>
      <c r="Z2146" s="76">
        <v>41745</v>
      </c>
      <c r="AA2146" s="36" t="str">
        <f t="shared" si="522"/>
        <v>Nacional</v>
      </c>
      <c r="AB2146" s="36">
        <f t="shared" si="522"/>
        <v>7.548309178743968E-3</v>
      </c>
      <c r="AC2146" s="36">
        <f t="shared" si="522"/>
        <v>1.0718599033816414E-2</v>
      </c>
      <c r="AD2146" s="36">
        <f t="shared" si="522"/>
        <v>1.8266908212560381E-2</v>
      </c>
      <c r="AE2146" s="36">
        <f t="shared" si="522"/>
        <v>320</v>
      </c>
      <c r="AF2146" s="36">
        <f t="shared" si="522"/>
        <v>179</v>
      </c>
      <c r="AG2146" s="36" t="str">
        <f t="shared" si="522"/>
        <v>HMO</v>
      </c>
    </row>
    <row r="2147" spans="18:33" x14ac:dyDescent="0.25">
      <c r="R2147">
        <v>2133</v>
      </c>
      <c r="S2147" s="36" t="str">
        <f t="shared" si="521"/>
        <v>BARATA Y MORADA</v>
      </c>
      <c r="T2147" s="36">
        <f t="shared" si="521"/>
        <v>741</v>
      </c>
      <c r="U2147" s="73">
        <v>0.44791666666666669</v>
      </c>
      <c r="V2147" s="74">
        <v>0.45416666666666666</v>
      </c>
      <c r="W2147" s="75">
        <v>6.2499999999999778E-3</v>
      </c>
      <c r="X2147" s="74">
        <v>0.4597222222222222</v>
      </c>
      <c r="Y2147" s="75">
        <v>5.5555555555555358E-3</v>
      </c>
      <c r="Z2147" s="76">
        <v>41746</v>
      </c>
      <c r="AA2147" s="36" t="str">
        <f t="shared" si="522"/>
        <v>Nacional</v>
      </c>
      <c r="AB2147" s="36">
        <f t="shared" si="522"/>
        <v>7.548309178743968E-3</v>
      </c>
      <c r="AC2147" s="36">
        <f t="shared" si="522"/>
        <v>1.0718599033816414E-2</v>
      </c>
      <c r="AD2147" s="36">
        <f t="shared" si="522"/>
        <v>1.8266908212560381E-2</v>
      </c>
      <c r="AE2147" s="36">
        <f t="shared" si="522"/>
        <v>320</v>
      </c>
      <c r="AF2147" s="36">
        <f t="shared" si="522"/>
        <v>179</v>
      </c>
      <c r="AG2147" s="36" t="str">
        <f t="shared" si="522"/>
        <v>HMO</v>
      </c>
    </row>
    <row r="2148" spans="18:33" x14ac:dyDescent="0.25">
      <c r="R2148">
        <v>2134</v>
      </c>
      <c r="S2148" s="36" t="str">
        <f t="shared" si="521"/>
        <v>BARATA Y MORADA</v>
      </c>
      <c r="T2148" s="36">
        <f t="shared" si="521"/>
        <v>741</v>
      </c>
      <c r="U2148" s="73">
        <v>0.46736111111111112</v>
      </c>
      <c r="V2148" s="74">
        <v>0.47569444444444442</v>
      </c>
      <c r="W2148" s="75">
        <v>8.3333333333333037E-3</v>
      </c>
      <c r="X2148" s="74">
        <v>0.48749999999999999</v>
      </c>
      <c r="Y2148" s="75">
        <v>1.1805555555555569E-2</v>
      </c>
      <c r="Z2148" s="76">
        <v>41747</v>
      </c>
      <c r="AA2148" s="36" t="str">
        <f t="shared" si="522"/>
        <v>Nacional</v>
      </c>
      <c r="AB2148" s="36">
        <f t="shared" si="522"/>
        <v>7.548309178743968E-3</v>
      </c>
      <c r="AC2148" s="36">
        <f t="shared" si="522"/>
        <v>1.0718599033816414E-2</v>
      </c>
      <c r="AD2148" s="36">
        <f t="shared" si="522"/>
        <v>1.8266908212560381E-2</v>
      </c>
      <c r="AE2148" s="36">
        <f t="shared" si="522"/>
        <v>320</v>
      </c>
      <c r="AF2148" s="36">
        <f t="shared" si="522"/>
        <v>179</v>
      </c>
      <c r="AG2148" s="36" t="str">
        <f t="shared" si="522"/>
        <v>HMO</v>
      </c>
    </row>
    <row r="2149" spans="18:33" x14ac:dyDescent="0.25">
      <c r="R2149">
        <v>2135</v>
      </c>
      <c r="S2149" s="36" t="str">
        <f t="shared" si="521"/>
        <v>BARATA Y MORADA</v>
      </c>
      <c r="T2149" s="36">
        <f t="shared" si="521"/>
        <v>741</v>
      </c>
      <c r="U2149" s="73">
        <v>0.45555555555555555</v>
      </c>
      <c r="V2149" s="74">
        <v>0.4604166666666667</v>
      </c>
      <c r="W2149" s="75">
        <v>4.8611111111111494E-3</v>
      </c>
      <c r="X2149" s="74">
        <v>0.47430555555555554</v>
      </c>
      <c r="Y2149" s="75">
        <v>1.388888888888884E-2</v>
      </c>
      <c r="Z2149" s="76">
        <v>41748</v>
      </c>
      <c r="AA2149" s="36" t="str">
        <f t="shared" si="522"/>
        <v>Nacional</v>
      </c>
      <c r="AB2149" s="36">
        <f t="shared" si="522"/>
        <v>7.548309178743968E-3</v>
      </c>
      <c r="AC2149" s="36">
        <f t="shared" si="522"/>
        <v>1.0718599033816414E-2</v>
      </c>
      <c r="AD2149" s="36">
        <f t="shared" si="522"/>
        <v>1.8266908212560381E-2</v>
      </c>
      <c r="AE2149" s="36">
        <f t="shared" si="522"/>
        <v>320</v>
      </c>
      <c r="AF2149" s="36">
        <f t="shared" si="522"/>
        <v>179</v>
      </c>
      <c r="AG2149" s="36" t="str">
        <f t="shared" si="522"/>
        <v>HMO</v>
      </c>
    </row>
    <row r="2150" spans="18:33" x14ac:dyDescent="0.25">
      <c r="R2150">
        <v>2136</v>
      </c>
      <c r="S2150" s="36" t="str">
        <f t="shared" si="521"/>
        <v>BARATA Y MORADA</v>
      </c>
      <c r="T2150" s="36">
        <f t="shared" si="521"/>
        <v>741</v>
      </c>
      <c r="U2150" s="73">
        <v>0.45555555555555555</v>
      </c>
      <c r="V2150" s="74">
        <v>0.45763888888888887</v>
      </c>
      <c r="W2150" s="75">
        <v>2.0833333333333259E-3</v>
      </c>
      <c r="X2150" s="74">
        <v>0.4597222222222222</v>
      </c>
      <c r="Y2150" s="75">
        <v>2.0833333333333259E-3</v>
      </c>
      <c r="Z2150" s="76">
        <v>41749</v>
      </c>
      <c r="AA2150" s="36" t="str">
        <f t="shared" si="522"/>
        <v>Nacional</v>
      </c>
      <c r="AB2150" s="36">
        <f t="shared" si="522"/>
        <v>7.548309178743968E-3</v>
      </c>
      <c r="AC2150" s="36">
        <f t="shared" si="522"/>
        <v>1.0718599033816414E-2</v>
      </c>
      <c r="AD2150" s="36">
        <f t="shared" si="522"/>
        <v>1.8266908212560381E-2</v>
      </c>
      <c r="AE2150" s="36">
        <f t="shared" si="522"/>
        <v>320</v>
      </c>
      <c r="AF2150" s="36">
        <f t="shared" si="522"/>
        <v>179</v>
      </c>
      <c r="AG2150" s="36" t="str">
        <f t="shared" si="522"/>
        <v>HMO</v>
      </c>
    </row>
    <row r="2151" spans="18:33" x14ac:dyDescent="0.25">
      <c r="R2151">
        <v>2137</v>
      </c>
      <c r="S2151" s="36" t="str">
        <f t="shared" si="521"/>
        <v>BARATA Y MORADA</v>
      </c>
      <c r="T2151" s="36">
        <f t="shared" si="521"/>
        <v>741</v>
      </c>
      <c r="U2151" s="73">
        <v>0.45833333333333331</v>
      </c>
      <c r="V2151" s="74">
        <v>0.46527777777777773</v>
      </c>
      <c r="W2151" s="75">
        <v>6.9444444444444198E-3</v>
      </c>
      <c r="X2151" s="74">
        <v>0.47222222222222227</v>
      </c>
      <c r="Y2151" s="75">
        <v>6.9444444444445308E-3</v>
      </c>
      <c r="Z2151" s="76">
        <v>41750</v>
      </c>
      <c r="AA2151" s="36" t="str">
        <f t="shared" si="522"/>
        <v>Nacional</v>
      </c>
      <c r="AB2151" s="36">
        <f t="shared" si="522"/>
        <v>7.548309178743968E-3</v>
      </c>
      <c r="AC2151" s="36">
        <f t="shared" si="522"/>
        <v>1.0718599033816414E-2</v>
      </c>
      <c r="AD2151" s="36">
        <f t="shared" si="522"/>
        <v>1.8266908212560381E-2</v>
      </c>
      <c r="AE2151" s="36">
        <f t="shared" si="522"/>
        <v>320</v>
      </c>
      <c r="AF2151" s="36">
        <f t="shared" si="522"/>
        <v>179</v>
      </c>
      <c r="AG2151" s="36" t="str">
        <f t="shared" si="522"/>
        <v>HMO</v>
      </c>
    </row>
    <row r="2152" spans="18:33" x14ac:dyDescent="0.25">
      <c r="R2152">
        <v>2138</v>
      </c>
      <c r="S2152" s="36" t="str">
        <f t="shared" si="521"/>
        <v>BARATA Y MORADA</v>
      </c>
      <c r="T2152" s="36">
        <f t="shared" si="521"/>
        <v>741</v>
      </c>
      <c r="U2152" s="73">
        <v>0.46180555555555558</v>
      </c>
      <c r="V2152" s="74">
        <v>0.4680555555555555</v>
      </c>
      <c r="W2152" s="75">
        <v>6.2499999999999223E-3</v>
      </c>
      <c r="X2152" s="74">
        <v>0.4770833333333333</v>
      </c>
      <c r="Y2152" s="75">
        <v>9.0277777777778012E-3</v>
      </c>
      <c r="Z2152" s="76">
        <v>41751</v>
      </c>
      <c r="AA2152" s="36" t="str">
        <f t="shared" si="522"/>
        <v>Nacional</v>
      </c>
      <c r="AB2152" s="36">
        <f t="shared" si="522"/>
        <v>7.548309178743968E-3</v>
      </c>
      <c r="AC2152" s="36">
        <f t="shared" si="522"/>
        <v>1.0718599033816414E-2</v>
      </c>
      <c r="AD2152" s="36">
        <f t="shared" si="522"/>
        <v>1.8266908212560381E-2</v>
      </c>
      <c r="AE2152" s="36">
        <f t="shared" si="522"/>
        <v>320</v>
      </c>
      <c r="AF2152" s="36">
        <f t="shared" si="522"/>
        <v>179</v>
      </c>
      <c r="AG2152" s="36" t="str">
        <f t="shared" si="522"/>
        <v>HMO</v>
      </c>
    </row>
    <row r="2153" spans="18:33" x14ac:dyDescent="0.25">
      <c r="R2153">
        <v>2139</v>
      </c>
      <c r="S2153" s="36" t="str">
        <f t="shared" si="521"/>
        <v>BARATA Y MORADA</v>
      </c>
      <c r="T2153" s="36">
        <f t="shared" si="521"/>
        <v>741</v>
      </c>
      <c r="U2153" s="73">
        <v>0.44791666666666669</v>
      </c>
      <c r="V2153" s="74">
        <v>0.4548611111111111</v>
      </c>
      <c r="W2153" s="75">
        <v>6.9444444444444198E-3</v>
      </c>
      <c r="X2153" s="74">
        <v>0.46527777777777773</v>
      </c>
      <c r="Y2153" s="75">
        <v>1.041666666666663E-2</v>
      </c>
      <c r="Z2153" s="76">
        <v>41753</v>
      </c>
      <c r="AA2153" s="36" t="str">
        <f t="shared" si="522"/>
        <v>Nacional</v>
      </c>
      <c r="AB2153" s="36">
        <f t="shared" si="522"/>
        <v>7.548309178743968E-3</v>
      </c>
      <c r="AC2153" s="36">
        <f t="shared" si="522"/>
        <v>1.0718599033816414E-2</v>
      </c>
      <c r="AD2153" s="36">
        <f t="shared" si="522"/>
        <v>1.8266908212560381E-2</v>
      </c>
      <c r="AE2153" s="36">
        <f t="shared" si="522"/>
        <v>320</v>
      </c>
      <c r="AF2153" s="36">
        <f t="shared" si="522"/>
        <v>179</v>
      </c>
      <c r="AG2153" s="36" t="str">
        <f t="shared" si="522"/>
        <v>HMO</v>
      </c>
    </row>
    <row r="2154" spans="18:33" x14ac:dyDescent="0.25">
      <c r="R2154">
        <v>2140</v>
      </c>
      <c r="S2154" s="36" t="str">
        <f t="shared" si="521"/>
        <v>BARATA Y MORADA</v>
      </c>
      <c r="T2154" s="36">
        <f t="shared" si="521"/>
        <v>741</v>
      </c>
      <c r="U2154" s="73">
        <v>0.46388888888888885</v>
      </c>
      <c r="V2154" s="74">
        <v>0.47083333333333338</v>
      </c>
      <c r="W2154" s="75">
        <v>6.9444444444445308E-3</v>
      </c>
      <c r="X2154" s="74">
        <v>0.47916666666666669</v>
      </c>
      <c r="Y2154" s="75">
        <v>8.3333333333333037E-3</v>
      </c>
      <c r="Z2154" s="76">
        <v>41754</v>
      </c>
      <c r="AA2154" s="36" t="str">
        <f t="shared" si="522"/>
        <v>Nacional</v>
      </c>
      <c r="AB2154" s="36">
        <f t="shared" si="522"/>
        <v>7.548309178743968E-3</v>
      </c>
      <c r="AC2154" s="36">
        <f t="shared" si="522"/>
        <v>1.0718599033816414E-2</v>
      </c>
      <c r="AD2154" s="36">
        <f t="shared" si="522"/>
        <v>1.8266908212560381E-2</v>
      </c>
      <c r="AE2154" s="36">
        <f t="shared" si="522"/>
        <v>320</v>
      </c>
      <c r="AF2154" s="36">
        <f t="shared" si="522"/>
        <v>179</v>
      </c>
      <c r="AG2154" s="36" t="str">
        <f t="shared" si="522"/>
        <v>HMO</v>
      </c>
    </row>
    <row r="2155" spans="18:33" x14ac:dyDescent="0.25">
      <c r="R2155">
        <v>2141</v>
      </c>
      <c r="S2155" s="36" t="str">
        <f t="shared" si="521"/>
        <v>BARATA Y MORADA</v>
      </c>
      <c r="T2155" s="36">
        <f t="shared" si="521"/>
        <v>741</v>
      </c>
      <c r="U2155" s="73">
        <v>0.46736111111111112</v>
      </c>
      <c r="V2155" s="74">
        <v>0.47083333333333338</v>
      </c>
      <c r="W2155" s="75">
        <v>3.4722222222222654E-3</v>
      </c>
      <c r="X2155" s="74">
        <v>0.48472222222222222</v>
      </c>
      <c r="Y2155" s="75">
        <v>1.388888888888884E-2</v>
      </c>
      <c r="Z2155" s="76">
        <v>41756</v>
      </c>
      <c r="AA2155" s="36" t="str">
        <f t="shared" si="522"/>
        <v>Nacional</v>
      </c>
      <c r="AB2155" s="36">
        <f t="shared" si="522"/>
        <v>7.548309178743968E-3</v>
      </c>
      <c r="AC2155" s="36">
        <f t="shared" si="522"/>
        <v>1.0718599033816414E-2</v>
      </c>
      <c r="AD2155" s="36">
        <f t="shared" si="522"/>
        <v>1.8266908212560381E-2</v>
      </c>
      <c r="AE2155" s="36">
        <f t="shared" si="522"/>
        <v>320</v>
      </c>
      <c r="AF2155" s="36">
        <f t="shared" si="522"/>
        <v>179</v>
      </c>
      <c r="AG2155" s="36" t="str">
        <f t="shared" si="522"/>
        <v>HMO</v>
      </c>
    </row>
    <row r="2156" spans="18:33" x14ac:dyDescent="0.25">
      <c r="R2156">
        <v>2142</v>
      </c>
      <c r="S2156" s="36" t="str">
        <f t="shared" si="521"/>
        <v>BARATA Y MORADA</v>
      </c>
      <c r="T2156" s="36">
        <f t="shared" si="521"/>
        <v>741</v>
      </c>
      <c r="U2156" s="73">
        <v>0.46736111111111112</v>
      </c>
      <c r="V2156" s="74">
        <v>0.47083333333333338</v>
      </c>
      <c r="W2156" s="75">
        <v>3.4722222222222654E-3</v>
      </c>
      <c r="X2156" s="74">
        <v>0.48472222222222222</v>
      </c>
      <c r="Y2156" s="75">
        <v>1.388888888888884E-2</v>
      </c>
      <c r="Z2156" s="76">
        <v>41756</v>
      </c>
      <c r="AA2156" s="36" t="str">
        <f t="shared" si="522"/>
        <v>Nacional</v>
      </c>
      <c r="AB2156" s="36">
        <f t="shared" si="522"/>
        <v>7.548309178743968E-3</v>
      </c>
      <c r="AC2156" s="36">
        <f t="shared" si="522"/>
        <v>1.0718599033816414E-2</v>
      </c>
      <c r="AD2156" s="36">
        <f t="shared" si="522"/>
        <v>1.8266908212560381E-2</v>
      </c>
      <c r="AE2156" s="36">
        <f t="shared" si="522"/>
        <v>320</v>
      </c>
      <c r="AF2156" s="36">
        <f t="shared" si="522"/>
        <v>179</v>
      </c>
      <c r="AG2156" s="36" t="str">
        <f t="shared" si="522"/>
        <v>HMO</v>
      </c>
    </row>
    <row r="2157" spans="18:33" x14ac:dyDescent="0.25">
      <c r="R2157">
        <v>2143</v>
      </c>
      <c r="S2157" s="36" t="str">
        <f t="shared" si="521"/>
        <v>BARATA Y MORADA</v>
      </c>
      <c r="T2157" s="36">
        <f t="shared" si="521"/>
        <v>741</v>
      </c>
      <c r="U2157" s="73">
        <v>0.46597222222222223</v>
      </c>
      <c r="V2157" s="74">
        <v>0.4770833333333333</v>
      </c>
      <c r="W2157" s="75">
        <v>1.1111111111111072E-2</v>
      </c>
      <c r="X2157" s="74">
        <v>0.49236111111111108</v>
      </c>
      <c r="Y2157" s="75">
        <v>1.5277777777777779E-2</v>
      </c>
      <c r="Z2157" s="76">
        <v>41757</v>
      </c>
      <c r="AA2157" s="36" t="str">
        <f t="shared" si="522"/>
        <v>Nacional</v>
      </c>
      <c r="AB2157" s="36">
        <f t="shared" si="522"/>
        <v>7.548309178743968E-3</v>
      </c>
      <c r="AC2157" s="36">
        <f t="shared" si="522"/>
        <v>1.0718599033816414E-2</v>
      </c>
      <c r="AD2157" s="36">
        <f t="shared" si="522"/>
        <v>1.8266908212560381E-2</v>
      </c>
      <c r="AE2157" s="36">
        <f t="shared" si="522"/>
        <v>320</v>
      </c>
      <c r="AF2157" s="36">
        <f t="shared" si="522"/>
        <v>179</v>
      </c>
      <c r="AG2157" s="36" t="str">
        <f t="shared" si="522"/>
        <v>HMO</v>
      </c>
    </row>
    <row r="2158" spans="18:33" ht="15.75" thickBot="1" x14ac:dyDescent="0.3">
      <c r="R2158">
        <v>2144</v>
      </c>
      <c r="S2158" s="36" t="str">
        <f t="shared" si="521"/>
        <v>BARATA Y MORADA</v>
      </c>
      <c r="T2158" s="36">
        <f t="shared" si="521"/>
        <v>741</v>
      </c>
      <c r="U2158" s="83">
        <v>0.45555555555555555</v>
      </c>
      <c r="V2158" s="84">
        <v>0.46319444444444446</v>
      </c>
      <c r="W2158" s="85">
        <v>7.6388888888889173E-3</v>
      </c>
      <c r="X2158" s="84">
        <v>0.47986111111111113</v>
      </c>
      <c r="Y2158" s="85">
        <v>1.6666666666666663E-2</v>
      </c>
      <c r="Z2158" s="86">
        <v>41758</v>
      </c>
      <c r="AA2158" s="36" t="str">
        <f t="shared" si="522"/>
        <v>Nacional</v>
      </c>
      <c r="AB2158" s="36">
        <f t="shared" si="522"/>
        <v>7.548309178743968E-3</v>
      </c>
      <c r="AC2158" s="36">
        <f t="shared" si="522"/>
        <v>1.0718599033816414E-2</v>
      </c>
      <c r="AD2158" s="36">
        <f t="shared" si="522"/>
        <v>1.8266908212560381E-2</v>
      </c>
      <c r="AE2158" s="36">
        <f t="shared" si="522"/>
        <v>320</v>
      </c>
      <c r="AF2158" s="36">
        <f t="shared" si="522"/>
        <v>179</v>
      </c>
      <c r="AG2158" s="36" t="str">
        <f t="shared" si="522"/>
        <v>HMO</v>
      </c>
    </row>
    <row r="2159" spans="18:33" x14ac:dyDescent="0.25">
      <c r="R2159">
        <v>2145</v>
      </c>
      <c r="S2159" s="36" t="str">
        <f t="shared" si="521"/>
        <v>BARATA Y MORADA</v>
      </c>
      <c r="T2159" s="55">
        <v>742</v>
      </c>
      <c r="U2159" s="56">
        <v>0.90069444444444446</v>
      </c>
      <c r="V2159" s="57">
        <v>0.90972222222222221</v>
      </c>
      <c r="W2159" s="58">
        <v>9.0277777777777457E-3</v>
      </c>
      <c r="X2159" s="57">
        <v>0.91249999999999998</v>
      </c>
      <c r="Y2159" s="58">
        <v>2.7777777777777679E-3</v>
      </c>
      <c r="Z2159" s="59">
        <v>41731</v>
      </c>
      <c r="AA2159" s="60" t="s">
        <v>19</v>
      </c>
      <c r="AB2159" s="61">
        <v>6.9113756613756756E-3</v>
      </c>
      <c r="AC2159" s="61">
        <v>7.0767195767195675E-3</v>
      </c>
      <c r="AD2159" s="231">
        <v>1.3988095238095244E-2</v>
      </c>
      <c r="AE2159" s="132">
        <v>320</v>
      </c>
      <c r="AF2159" s="132">
        <v>179</v>
      </c>
      <c r="AG2159" s="132" t="s">
        <v>21</v>
      </c>
    </row>
    <row r="2160" spans="18:33" x14ac:dyDescent="0.25">
      <c r="R2160">
        <v>2146</v>
      </c>
      <c r="S2160" s="36" t="str">
        <f t="shared" si="521"/>
        <v>BARATA Y MORADA</v>
      </c>
      <c r="T2160" s="36">
        <f t="shared" si="521"/>
        <v>742</v>
      </c>
      <c r="U2160" s="73">
        <v>0.94305555555555554</v>
      </c>
      <c r="V2160" s="74">
        <v>0.95000000000000007</v>
      </c>
      <c r="W2160" s="75">
        <v>6.9444444444445308E-3</v>
      </c>
      <c r="X2160" s="74">
        <v>0.96111111111111114</v>
      </c>
      <c r="Y2160" s="75">
        <v>1.1111111111111072E-2</v>
      </c>
      <c r="Z2160" s="76">
        <v>41732</v>
      </c>
      <c r="AA2160" s="36" t="str">
        <f t="shared" ref="AA2160:AG2179" si="523">AA2159</f>
        <v>Nacional</v>
      </c>
      <c r="AB2160" s="36">
        <f t="shared" si="523"/>
        <v>6.9113756613756756E-3</v>
      </c>
      <c r="AC2160" s="36">
        <f t="shared" si="523"/>
        <v>7.0767195767195675E-3</v>
      </c>
      <c r="AD2160" s="36">
        <f t="shared" si="523"/>
        <v>1.3988095238095244E-2</v>
      </c>
      <c r="AE2160" s="36">
        <f t="shared" si="523"/>
        <v>320</v>
      </c>
      <c r="AF2160" s="36">
        <f t="shared" si="523"/>
        <v>179</v>
      </c>
      <c r="AG2160" s="36" t="str">
        <f t="shared" si="523"/>
        <v>MEX</v>
      </c>
    </row>
    <row r="2161" spans="18:33" x14ac:dyDescent="0.25">
      <c r="R2161">
        <v>2147</v>
      </c>
      <c r="S2161" s="36" t="str">
        <f t="shared" si="521"/>
        <v>BARATA Y MORADA</v>
      </c>
      <c r="T2161" s="36">
        <f t="shared" si="521"/>
        <v>742</v>
      </c>
      <c r="U2161" s="73">
        <v>0.90208333333333324</v>
      </c>
      <c r="V2161" s="74">
        <v>0.90277777777777779</v>
      </c>
      <c r="W2161" s="75">
        <v>6.94444444444553E-4</v>
      </c>
      <c r="X2161" s="74">
        <v>0.90625</v>
      </c>
      <c r="Y2161" s="75">
        <v>3.4722222222222099E-3</v>
      </c>
      <c r="Z2161" s="76">
        <v>41734</v>
      </c>
      <c r="AA2161" s="36" t="str">
        <f t="shared" si="523"/>
        <v>Nacional</v>
      </c>
      <c r="AB2161" s="36">
        <f t="shared" si="523"/>
        <v>6.9113756613756756E-3</v>
      </c>
      <c r="AC2161" s="36">
        <f t="shared" si="523"/>
        <v>7.0767195767195675E-3</v>
      </c>
      <c r="AD2161" s="36">
        <f t="shared" si="523"/>
        <v>1.3988095238095244E-2</v>
      </c>
      <c r="AE2161" s="36">
        <f t="shared" si="523"/>
        <v>320</v>
      </c>
      <c r="AF2161" s="36">
        <f t="shared" si="523"/>
        <v>179</v>
      </c>
      <c r="AG2161" s="36" t="str">
        <f t="shared" si="523"/>
        <v>MEX</v>
      </c>
    </row>
    <row r="2162" spans="18:33" x14ac:dyDescent="0.25">
      <c r="R2162">
        <v>2148</v>
      </c>
      <c r="S2162" s="36" t="str">
        <f t="shared" si="521"/>
        <v>BARATA Y MORADA</v>
      </c>
      <c r="T2162" s="36">
        <f t="shared" si="521"/>
        <v>742</v>
      </c>
      <c r="U2162" s="73">
        <v>0.69097222222222221</v>
      </c>
      <c r="V2162" s="74">
        <v>0.69444444444444453</v>
      </c>
      <c r="W2162" s="75">
        <v>3.4722222222223209E-3</v>
      </c>
      <c r="X2162" s="74">
        <v>0.70833333333333337</v>
      </c>
      <c r="Y2162" s="75">
        <v>1.388888888888884E-2</v>
      </c>
      <c r="Z2162" s="76">
        <v>41735</v>
      </c>
      <c r="AA2162" s="36" t="str">
        <f t="shared" si="523"/>
        <v>Nacional</v>
      </c>
      <c r="AB2162" s="36">
        <f t="shared" si="523"/>
        <v>6.9113756613756756E-3</v>
      </c>
      <c r="AC2162" s="36">
        <f t="shared" si="523"/>
        <v>7.0767195767195675E-3</v>
      </c>
      <c r="AD2162" s="36">
        <f t="shared" si="523"/>
        <v>1.3988095238095244E-2</v>
      </c>
      <c r="AE2162" s="36">
        <f t="shared" si="523"/>
        <v>320</v>
      </c>
      <c r="AF2162" s="36">
        <f t="shared" si="523"/>
        <v>179</v>
      </c>
      <c r="AG2162" s="36" t="str">
        <f t="shared" si="523"/>
        <v>MEX</v>
      </c>
    </row>
    <row r="2163" spans="18:33" x14ac:dyDescent="0.25">
      <c r="R2163">
        <v>2149</v>
      </c>
      <c r="S2163" s="36" t="str">
        <f t="shared" si="521"/>
        <v>BARATA Y MORADA</v>
      </c>
      <c r="T2163" s="36">
        <f t="shared" si="521"/>
        <v>742</v>
      </c>
      <c r="U2163" s="73">
        <v>0.68402777777777779</v>
      </c>
      <c r="V2163" s="74">
        <v>0.69097222222222221</v>
      </c>
      <c r="W2163" s="75">
        <v>6.9444444444444198E-3</v>
      </c>
      <c r="X2163" s="74">
        <v>0.69374999999999998</v>
      </c>
      <c r="Y2163" s="75">
        <v>2.7777777777777679E-3</v>
      </c>
      <c r="Z2163" s="76">
        <v>41736</v>
      </c>
      <c r="AA2163" s="36" t="str">
        <f t="shared" si="523"/>
        <v>Nacional</v>
      </c>
      <c r="AB2163" s="36">
        <f t="shared" si="523"/>
        <v>6.9113756613756756E-3</v>
      </c>
      <c r="AC2163" s="36">
        <f t="shared" si="523"/>
        <v>7.0767195767195675E-3</v>
      </c>
      <c r="AD2163" s="36">
        <f t="shared" si="523"/>
        <v>1.3988095238095244E-2</v>
      </c>
      <c r="AE2163" s="36">
        <f t="shared" si="523"/>
        <v>320</v>
      </c>
      <c r="AF2163" s="36">
        <f t="shared" si="523"/>
        <v>179</v>
      </c>
      <c r="AG2163" s="36" t="str">
        <f t="shared" si="523"/>
        <v>MEX</v>
      </c>
    </row>
    <row r="2164" spans="18:33" x14ac:dyDescent="0.25">
      <c r="R2164">
        <v>2150</v>
      </c>
      <c r="S2164" s="36" t="str">
        <f t="shared" si="521"/>
        <v>BARATA Y MORADA</v>
      </c>
      <c r="T2164" s="36">
        <f t="shared" si="521"/>
        <v>742</v>
      </c>
      <c r="U2164" s="73">
        <v>0.68055555555555547</v>
      </c>
      <c r="V2164" s="74">
        <v>0.69236111111111109</v>
      </c>
      <c r="W2164" s="75">
        <v>1.1805555555555625E-2</v>
      </c>
      <c r="X2164" s="74">
        <v>0.7006944444444444</v>
      </c>
      <c r="Y2164" s="75">
        <v>8.3333333333333037E-3</v>
      </c>
      <c r="Z2164" s="76">
        <v>41737</v>
      </c>
      <c r="AA2164" s="36" t="str">
        <f t="shared" si="523"/>
        <v>Nacional</v>
      </c>
      <c r="AB2164" s="36">
        <f t="shared" si="523"/>
        <v>6.9113756613756756E-3</v>
      </c>
      <c r="AC2164" s="36">
        <f t="shared" si="523"/>
        <v>7.0767195767195675E-3</v>
      </c>
      <c r="AD2164" s="36">
        <f t="shared" si="523"/>
        <v>1.3988095238095244E-2</v>
      </c>
      <c r="AE2164" s="36">
        <f t="shared" si="523"/>
        <v>320</v>
      </c>
      <c r="AF2164" s="36">
        <f t="shared" si="523"/>
        <v>179</v>
      </c>
      <c r="AG2164" s="36" t="str">
        <f t="shared" si="523"/>
        <v>MEX</v>
      </c>
    </row>
    <row r="2165" spans="18:33" x14ac:dyDescent="0.25">
      <c r="R2165">
        <v>2151</v>
      </c>
      <c r="S2165" s="36" t="str">
        <f t="shared" si="521"/>
        <v>BARATA Y MORADA</v>
      </c>
      <c r="T2165" s="36">
        <f t="shared" si="521"/>
        <v>742</v>
      </c>
      <c r="U2165" s="73">
        <v>0.68611111111111101</v>
      </c>
      <c r="V2165" s="74">
        <v>0.6875</v>
      </c>
      <c r="W2165" s="75">
        <v>1.388888888888995E-3</v>
      </c>
      <c r="X2165" s="74">
        <v>0.69305555555555554</v>
      </c>
      <c r="Y2165" s="75">
        <v>5.5555555555555358E-3</v>
      </c>
      <c r="Z2165" s="76">
        <v>41738</v>
      </c>
      <c r="AA2165" s="36" t="str">
        <f t="shared" si="523"/>
        <v>Nacional</v>
      </c>
      <c r="AB2165" s="36">
        <f t="shared" si="523"/>
        <v>6.9113756613756756E-3</v>
      </c>
      <c r="AC2165" s="36">
        <f t="shared" si="523"/>
        <v>7.0767195767195675E-3</v>
      </c>
      <c r="AD2165" s="36">
        <f t="shared" si="523"/>
        <v>1.3988095238095244E-2</v>
      </c>
      <c r="AE2165" s="36">
        <f t="shared" si="523"/>
        <v>320</v>
      </c>
      <c r="AF2165" s="36">
        <f t="shared" si="523"/>
        <v>179</v>
      </c>
      <c r="AG2165" s="36" t="str">
        <f t="shared" si="523"/>
        <v>MEX</v>
      </c>
    </row>
    <row r="2166" spans="18:33" x14ac:dyDescent="0.25">
      <c r="R2166">
        <v>2152</v>
      </c>
      <c r="S2166" s="36" t="str">
        <f t="shared" si="521"/>
        <v>BARATA Y MORADA</v>
      </c>
      <c r="T2166" s="36">
        <f t="shared" si="521"/>
        <v>742</v>
      </c>
      <c r="U2166" s="73">
        <v>0.68055555555555547</v>
      </c>
      <c r="V2166" s="74">
        <v>0.69305555555555554</v>
      </c>
      <c r="W2166" s="75">
        <v>1.2500000000000067E-2</v>
      </c>
      <c r="X2166" s="74">
        <v>0.69652777777777775</v>
      </c>
      <c r="Y2166" s="75">
        <v>3.4722222222222099E-3</v>
      </c>
      <c r="Z2166" s="76">
        <v>41739</v>
      </c>
      <c r="AA2166" s="36" t="str">
        <f t="shared" si="523"/>
        <v>Nacional</v>
      </c>
      <c r="AB2166" s="36">
        <f t="shared" si="523"/>
        <v>6.9113756613756756E-3</v>
      </c>
      <c r="AC2166" s="36">
        <f t="shared" si="523"/>
        <v>7.0767195767195675E-3</v>
      </c>
      <c r="AD2166" s="36">
        <f t="shared" si="523"/>
        <v>1.3988095238095244E-2</v>
      </c>
      <c r="AE2166" s="36">
        <f t="shared" si="523"/>
        <v>320</v>
      </c>
      <c r="AF2166" s="36">
        <f t="shared" si="523"/>
        <v>179</v>
      </c>
      <c r="AG2166" s="36" t="str">
        <f t="shared" si="523"/>
        <v>MEX</v>
      </c>
    </row>
    <row r="2167" spans="18:33" x14ac:dyDescent="0.25">
      <c r="R2167">
        <v>2153</v>
      </c>
      <c r="S2167" s="36" t="str">
        <f t="shared" si="521"/>
        <v>BARATA Y MORADA</v>
      </c>
      <c r="T2167" s="36">
        <f t="shared" si="521"/>
        <v>742</v>
      </c>
      <c r="U2167" s="73">
        <v>0.69444444444444453</v>
      </c>
      <c r="V2167" s="74">
        <v>0.70138888888888884</v>
      </c>
      <c r="W2167" s="75">
        <v>6.9444444444443088E-3</v>
      </c>
      <c r="X2167" s="74">
        <v>0.70833333333333337</v>
      </c>
      <c r="Y2167" s="75">
        <v>6.9444444444445308E-3</v>
      </c>
      <c r="Z2167" s="76">
        <v>41741</v>
      </c>
      <c r="AA2167" s="36" t="str">
        <f t="shared" si="523"/>
        <v>Nacional</v>
      </c>
      <c r="AB2167" s="36">
        <f t="shared" si="523"/>
        <v>6.9113756613756756E-3</v>
      </c>
      <c r="AC2167" s="36">
        <f t="shared" si="523"/>
        <v>7.0767195767195675E-3</v>
      </c>
      <c r="AD2167" s="36">
        <f t="shared" si="523"/>
        <v>1.3988095238095244E-2</v>
      </c>
      <c r="AE2167" s="36">
        <f t="shared" si="523"/>
        <v>320</v>
      </c>
      <c r="AF2167" s="36">
        <f t="shared" si="523"/>
        <v>179</v>
      </c>
      <c r="AG2167" s="36" t="str">
        <f t="shared" si="523"/>
        <v>MEX</v>
      </c>
    </row>
    <row r="2168" spans="18:33" x14ac:dyDescent="0.25">
      <c r="R2168">
        <v>2154</v>
      </c>
      <c r="S2168" s="36" t="str">
        <f t="shared" si="521"/>
        <v>BARATA Y MORADA</v>
      </c>
      <c r="T2168" s="36">
        <f t="shared" si="521"/>
        <v>742</v>
      </c>
      <c r="U2168" s="73">
        <v>0.6777777777777777</v>
      </c>
      <c r="V2168" s="74">
        <v>0.68472222222222223</v>
      </c>
      <c r="W2168" s="75">
        <v>6.9444444444445308E-3</v>
      </c>
      <c r="X2168" s="74">
        <v>0.68958333333333333</v>
      </c>
      <c r="Y2168" s="75">
        <v>4.8611111111110938E-3</v>
      </c>
      <c r="Z2168" s="76">
        <v>41743</v>
      </c>
      <c r="AA2168" s="36" t="str">
        <f t="shared" si="523"/>
        <v>Nacional</v>
      </c>
      <c r="AB2168" s="36">
        <f t="shared" si="523"/>
        <v>6.9113756613756756E-3</v>
      </c>
      <c r="AC2168" s="36">
        <f t="shared" si="523"/>
        <v>7.0767195767195675E-3</v>
      </c>
      <c r="AD2168" s="36">
        <f t="shared" si="523"/>
        <v>1.3988095238095244E-2</v>
      </c>
      <c r="AE2168" s="36">
        <f t="shared" si="523"/>
        <v>320</v>
      </c>
      <c r="AF2168" s="36">
        <f t="shared" si="523"/>
        <v>179</v>
      </c>
      <c r="AG2168" s="36" t="str">
        <f t="shared" si="523"/>
        <v>MEX</v>
      </c>
    </row>
    <row r="2169" spans="18:33" x14ac:dyDescent="0.25">
      <c r="R2169">
        <v>2155</v>
      </c>
      <c r="S2169" s="36" t="str">
        <f t="shared" si="521"/>
        <v>BARATA Y MORADA</v>
      </c>
      <c r="T2169" s="36">
        <f t="shared" si="521"/>
        <v>742</v>
      </c>
      <c r="U2169" s="73">
        <v>0.67847222222222225</v>
      </c>
      <c r="V2169" s="74">
        <v>0.68611111111111101</v>
      </c>
      <c r="W2169" s="75">
        <v>7.6388888888887507E-3</v>
      </c>
      <c r="X2169" s="74">
        <v>0.69097222222222221</v>
      </c>
      <c r="Y2169" s="75">
        <v>4.8611111111112049E-3</v>
      </c>
      <c r="Z2169" s="76">
        <v>41744</v>
      </c>
      <c r="AA2169" s="36" t="str">
        <f t="shared" si="523"/>
        <v>Nacional</v>
      </c>
      <c r="AB2169" s="36">
        <f t="shared" si="523"/>
        <v>6.9113756613756756E-3</v>
      </c>
      <c r="AC2169" s="36">
        <f t="shared" si="523"/>
        <v>7.0767195767195675E-3</v>
      </c>
      <c r="AD2169" s="36">
        <f t="shared" si="523"/>
        <v>1.3988095238095244E-2</v>
      </c>
      <c r="AE2169" s="36">
        <f t="shared" si="523"/>
        <v>320</v>
      </c>
      <c r="AF2169" s="36">
        <f t="shared" si="523"/>
        <v>179</v>
      </c>
      <c r="AG2169" s="36" t="str">
        <f t="shared" si="523"/>
        <v>MEX</v>
      </c>
    </row>
    <row r="2170" spans="18:33" x14ac:dyDescent="0.25">
      <c r="R2170">
        <v>2156</v>
      </c>
      <c r="S2170" s="36" t="str">
        <f t="shared" si="521"/>
        <v>BARATA Y MORADA</v>
      </c>
      <c r="T2170" s="36">
        <f t="shared" si="521"/>
        <v>742</v>
      </c>
      <c r="U2170" s="73">
        <v>0.17708333333333334</v>
      </c>
      <c r="V2170" s="74">
        <v>0.18333333333333335</v>
      </c>
      <c r="W2170" s="75">
        <v>6.2500000000000056E-3</v>
      </c>
      <c r="X2170" s="74">
        <v>0.19027777777777777</v>
      </c>
      <c r="Y2170" s="75">
        <v>6.9444444444444198E-3</v>
      </c>
      <c r="Z2170" s="76">
        <v>41747</v>
      </c>
      <c r="AA2170" s="36" t="str">
        <f t="shared" si="523"/>
        <v>Nacional</v>
      </c>
      <c r="AB2170" s="36">
        <f t="shared" si="523"/>
        <v>6.9113756613756756E-3</v>
      </c>
      <c r="AC2170" s="36">
        <f t="shared" si="523"/>
        <v>7.0767195767195675E-3</v>
      </c>
      <c r="AD2170" s="36">
        <f t="shared" si="523"/>
        <v>1.3988095238095244E-2</v>
      </c>
      <c r="AE2170" s="36">
        <f t="shared" si="523"/>
        <v>320</v>
      </c>
      <c r="AF2170" s="36">
        <f t="shared" si="523"/>
        <v>179</v>
      </c>
      <c r="AG2170" s="36" t="str">
        <f t="shared" si="523"/>
        <v>MEX</v>
      </c>
    </row>
    <row r="2171" spans="18:33" x14ac:dyDescent="0.25">
      <c r="R2171">
        <v>2157</v>
      </c>
      <c r="S2171" s="36" t="str">
        <f t="shared" si="521"/>
        <v>BARATA Y MORADA</v>
      </c>
      <c r="T2171" s="36">
        <f t="shared" si="521"/>
        <v>742</v>
      </c>
      <c r="U2171" s="73">
        <v>0.67986111111111114</v>
      </c>
      <c r="V2171" s="74">
        <v>0.68611111111111101</v>
      </c>
      <c r="W2171" s="75">
        <v>6.2499999999998668E-3</v>
      </c>
      <c r="X2171" s="74">
        <v>0.69652777777777775</v>
      </c>
      <c r="Y2171" s="75">
        <v>1.0416666666666741E-2</v>
      </c>
      <c r="Z2171" s="76">
        <v>41748</v>
      </c>
      <c r="AA2171" s="36" t="str">
        <f t="shared" si="523"/>
        <v>Nacional</v>
      </c>
      <c r="AB2171" s="36">
        <f t="shared" si="523"/>
        <v>6.9113756613756756E-3</v>
      </c>
      <c r="AC2171" s="36">
        <f t="shared" si="523"/>
        <v>7.0767195767195675E-3</v>
      </c>
      <c r="AD2171" s="36">
        <f t="shared" si="523"/>
        <v>1.3988095238095244E-2</v>
      </c>
      <c r="AE2171" s="36">
        <f t="shared" si="523"/>
        <v>320</v>
      </c>
      <c r="AF2171" s="36">
        <f t="shared" si="523"/>
        <v>179</v>
      </c>
      <c r="AG2171" s="36" t="str">
        <f t="shared" si="523"/>
        <v>MEX</v>
      </c>
    </row>
    <row r="2172" spans="18:33" x14ac:dyDescent="0.25">
      <c r="R2172">
        <v>2158</v>
      </c>
      <c r="S2172" s="36" t="str">
        <f t="shared" si="521"/>
        <v>BARATA Y MORADA</v>
      </c>
      <c r="T2172" s="36">
        <f t="shared" si="521"/>
        <v>742</v>
      </c>
      <c r="U2172" s="73">
        <v>0.69027777777777777</v>
      </c>
      <c r="V2172" s="74">
        <v>0.6972222222222223</v>
      </c>
      <c r="W2172" s="75">
        <v>6.9444444444445308E-3</v>
      </c>
      <c r="X2172" s="74">
        <v>0.70624999999999993</v>
      </c>
      <c r="Y2172" s="75">
        <v>9.0277777777776347E-3</v>
      </c>
      <c r="Z2172" s="76">
        <v>41749</v>
      </c>
      <c r="AA2172" s="36" t="str">
        <f t="shared" si="523"/>
        <v>Nacional</v>
      </c>
      <c r="AB2172" s="36">
        <f t="shared" si="523"/>
        <v>6.9113756613756756E-3</v>
      </c>
      <c r="AC2172" s="36">
        <f t="shared" si="523"/>
        <v>7.0767195767195675E-3</v>
      </c>
      <c r="AD2172" s="36">
        <f t="shared" si="523"/>
        <v>1.3988095238095244E-2</v>
      </c>
      <c r="AE2172" s="36">
        <f t="shared" si="523"/>
        <v>320</v>
      </c>
      <c r="AF2172" s="36">
        <f t="shared" si="523"/>
        <v>179</v>
      </c>
      <c r="AG2172" s="36" t="str">
        <f t="shared" si="523"/>
        <v>MEX</v>
      </c>
    </row>
    <row r="2173" spans="18:33" x14ac:dyDescent="0.25">
      <c r="R2173">
        <v>2159</v>
      </c>
      <c r="S2173" s="36" t="str">
        <f t="shared" si="521"/>
        <v>BARATA Y MORADA</v>
      </c>
      <c r="T2173" s="36">
        <f t="shared" si="521"/>
        <v>742</v>
      </c>
      <c r="U2173" s="73">
        <v>0.67708333333333337</v>
      </c>
      <c r="V2173" s="74">
        <v>0.6875</v>
      </c>
      <c r="W2173" s="75">
        <v>1.041666666666663E-2</v>
      </c>
      <c r="X2173" s="74">
        <v>0.69444444444444453</v>
      </c>
      <c r="Y2173" s="75">
        <v>6.9444444444445308E-3</v>
      </c>
      <c r="Z2173" s="76">
        <v>41750</v>
      </c>
      <c r="AA2173" s="36" t="str">
        <f t="shared" si="523"/>
        <v>Nacional</v>
      </c>
      <c r="AB2173" s="36">
        <f t="shared" si="523"/>
        <v>6.9113756613756756E-3</v>
      </c>
      <c r="AC2173" s="36">
        <f t="shared" si="523"/>
        <v>7.0767195767195675E-3</v>
      </c>
      <c r="AD2173" s="36">
        <f t="shared" si="523"/>
        <v>1.3988095238095244E-2</v>
      </c>
      <c r="AE2173" s="36">
        <f t="shared" si="523"/>
        <v>320</v>
      </c>
      <c r="AF2173" s="36">
        <f t="shared" si="523"/>
        <v>179</v>
      </c>
      <c r="AG2173" s="36" t="str">
        <f t="shared" si="523"/>
        <v>MEX</v>
      </c>
    </row>
    <row r="2174" spans="18:33" x14ac:dyDescent="0.25">
      <c r="R2174">
        <v>2160</v>
      </c>
      <c r="S2174" s="36" t="str">
        <f t="shared" si="521"/>
        <v>BARATA Y MORADA</v>
      </c>
      <c r="T2174" s="36">
        <f t="shared" si="521"/>
        <v>742</v>
      </c>
      <c r="U2174" s="73">
        <v>0.6777777777777777</v>
      </c>
      <c r="V2174" s="74">
        <v>0.68402777777777779</v>
      </c>
      <c r="W2174" s="75">
        <v>6.2500000000000888E-3</v>
      </c>
      <c r="X2174" s="74">
        <v>0.69097222222222221</v>
      </c>
      <c r="Y2174" s="75">
        <v>6.9444444444444198E-3</v>
      </c>
      <c r="Z2174" s="76">
        <v>41753</v>
      </c>
      <c r="AA2174" s="36" t="str">
        <f t="shared" si="523"/>
        <v>Nacional</v>
      </c>
      <c r="AB2174" s="36">
        <f t="shared" si="523"/>
        <v>6.9113756613756756E-3</v>
      </c>
      <c r="AC2174" s="36">
        <f t="shared" si="523"/>
        <v>7.0767195767195675E-3</v>
      </c>
      <c r="AD2174" s="36">
        <f t="shared" si="523"/>
        <v>1.3988095238095244E-2</v>
      </c>
      <c r="AE2174" s="36">
        <f t="shared" si="523"/>
        <v>320</v>
      </c>
      <c r="AF2174" s="36">
        <f t="shared" si="523"/>
        <v>179</v>
      </c>
      <c r="AG2174" s="36" t="str">
        <f t="shared" si="523"/>
        <v>MEX</v>
      </c>
    </row>
    <row r="2175" spans="18:33" x14ac:dyDescent="0.25">
      <c r="R2175">
        <v>2161</v>
      </c>
      <c r="S2175" s="36" t="str">
        <f t="shared" si="521"/>
        <v>BARATA Y MORADA</v>
      </c>
      <c r="T2175" s="36">
        <f t="shared" si="521"/>
        <v>742</v>
      </c>
      <c r="U2175" s="73">
        <v>0.6875</v>
      </c>
      <c r="V2175" s="74">
        <v>0.6958333333333333</v>
      </c>
      <c r="W2175" s="75">
        <v>8.3333333333333037E-3</v>
      </c>
      <c r="X2175" s="74">
        <v>0.70138888888888884</v>
      </c>
      <c r="Y2175" s="75">
        <v>5.5555555555555358E-3</v>
      </c>
      <c r="Z2175" s="76">
        <v>41754</v>
      </c>
      <c r="AA2175" s="36" t="str">
        <f t="shared" si="523"/>
        <v>Nacional</v>
      </c>
      <c r="AB2175" s="36">
        <f t="shared" si="523"/>
        <v>6.9113756613756756E-3</v>
      </c>
      <c r="AC2175" s="36">
        <f t="shared" si="523"/>
        <v>7.0767195767195675E-3</v>
      </c>
      <c r="AD2175" s="36">
        <f t="shared" si="523"/>
        <v>1.3988095238095244E-2</v>
      </c>
      <c r="AE2175" s="36">
        <f t="shared" si="523"/>
        <v>320</v>
      </c>
      <c r="AF2175" s="36">
        <f t="shared" si="523"/>
        <v>179</v>
      </c>
      <c r="AG2175" s="36" t="str">
        <f t="shared" si="523"/>
        <v>MEX</v>
      </c>
    </row>
    <row r="2176" spans="18:33" x14ac:dyDescent="0.25">
      <c r="R2176">
        <v>2162</v>
      </c>
      <c r="S2176" s="36" t="str">
        <f t="shared" si="521"/>
        <v>BARATA Y MORADA</v>
      </c>
      <c r="T2176" s="36">
        <f t="shared" si="521"/>
        <v>742</v>
      </c>
      <c r="U2176" s="73">
        <v>0.74097222222222225</v>
      </c>
      <c r="V2176" s="74">
        <v>0.74513888888888891</v>
      </c>
      <c r="W2176" s="75">
        <v>4.1666666666666519E-3</v>
      </c>
      <c r="X2176" s="74">
        <v>0.76111111111111107</v>
      </c>
      <c r="Y2176" s="75">
        <v>1.5972222222222165E-2</v>
      </c>
      <c r="Z2176" s="76">
        <v>41756</v>
      </c>
      <c r="AA2176" s="36" t="str">
        <f t="shared" si="523"/>
        <v>Nacional</v>
      </c>
      <c r="AB2176" s="36">
        <f t="shared" si="523"/>
        <v>6.9113756613756756E-3</v>
      </c>
      <c r="AC2176" s="36">
        <f t="shared" si="523"/>
        <v>7.0767195767195675E-3</v>
      </c>
      <c r="AD2176" s="36">
        <f t="shared" si="523"/>
        <v>1.3988095238095244E-2</v>
      </c>
      <c r="AE2176" s="36">
        <f t="shared" si="523"/>
        <v>320</v>
      </c>
      <c r="AF2176" s="36">
        <f t="shared" si="523"/>
        <v>179</v>
      </c>
      <c r="AG2176" s="36" t="str">
        <f t="shared" si="523"/>
        <v>MEX</v>
      </c>
    </row>
    <row r="2177" spans="18:33" x14ac:dyDescent="0.25">
      <c r="R2177">
        <v>2163</v>
      </c>
      <c r="S2177" s="36" t="str">
        <f t="shared" si="521"/>
        <v>BARATA Y MORADA</v>
      </c>
      <c r="T2177" s="36">
        <f t="shared" si="521"/>
        <v>742</v>
      </c>
      <c r="U2177" s="73">
        <v>0.68125000000000002</v>
      </c>
      <c r="V2177" s="74">
        <v>0.68958333333333333</v>
      </c>
      <c r="W2177" s="75">
        <v>8.3333333333333037E-3</v>
      </c>
      <c r="X2177" s="74">
        <v>0.6958333333333333</v>
      </c>
      <c r="Y2177" s="75">
        <v>6.2499999999999778E-3</v>
      </c>
      <c r="Z2177" s="76">
        <v>41757</v>
      </c>
      <c r="AA2177" s="36" t="str">
        <f t="shared" si="523"/>
        <v>Nacional</v>
      </c>
      <c r="AB2177" s="36">
        <f t="shared" si="523"/>
        <v>6.9113756613756756E-3</v>
      </c>
      <c r="AC2177" s="36">
        <f t="shared" si="523"/>
        <v>7.0767195767195675E-3</v>
      </c>
      <c r="AD2177" s="36">
        <f t="shared" si="523"/>
        <v>1.3988095238095244E-2</v>
      </c>
      <c r="AE2177" s="36">
        <f t="shared" si="523"/>
        <v>320</v>
      </c>
      <c r="AF2177" s="36">
        <f t="shared" si="523"/>
        <v>179</v>
      </c>
      <c r="AG2177" s="36" t="str">
        <f t="shared" si="523"/>
        <v>MEX</v>
      </c>
    </row>
    <row r="2178" spans="18:33" x14ac:dyDescent="0.25">
      <c r="R2178">
        <v>2164</v>
      </c>
      <c r="S2178" s="36" t="str">
        <f t="shared" si="521"/>
        <v>BARATA Y MORADA</v>
      </c>
      <c r="T2178" s="36">
        <f t="shared" si="521"/>
        <v>742</v>
      </c>
      <c r="U2178" s="73">
        <v>0.68333333333333324</v>
      </c>
      <c r="V2178" s="74">
        <v>0.69027777777777777</v>
      </c>
      <c r="W2178" s="75">
        <v>6.9444444444445308E-3</v>
      </c>
      <c r="X2178" s="74">
        <v>0.69652777777777775</v>
      </c>
      <c r="Y2178" s="75">
        <v>6.2499999999999778E-3</v>
      </c>
      <c r="Z2178" s="76">
        <v>41758</v>
      </c>
      <c r="AA2178" s="36" t="str">
        <f t="shared" si="523"/>
        <v>Nacional</v>
      </c>
      <c r="AB2178" s="36">
        <f t="shared" si="523"/>
        <v>6.9113756613756756E-3</v>
      </c>
      <c r="AC2178" s="36">
        <f t="shared" si="523"/>
        <v>7.0767195767195675E-3</v>
      </c>
      <c r="AD2178" s="36">
        <f t="shared" si="523"/>
        <v>1.3988095238095244E-2</v>
      </c>
      <c r="AE2178" s="36">
        <f t="shared" si="523"/>
        <v>320</v>
      </c>
      <c r="AF2178" s="36">
        <f t="shared" si="523"/>
        <v>179</v>
      </c>
      <c r="AG2178" s="36" t="str">
        <f t="shared" si="523"/>
        <v>MEX</v>
      </c>
    </row>
    <row r="2179" spans="18:33" ht="15.75" thickBot="1" x14ac:dyDescent="0.3">
      <c r="R2179">
        <v>2165</v>
      </c>
      <c r="S2179" s="36" t="str">
        <f t="shared" si="521"/>
        <v>BARATA Y MORADA</v>
      </c>
      <c r="T2179" s="36">
        <f t="shared" si="521"/>
        <v>742</v>
      </c>
      <c r="U2179" s="83">
        <v>0.67708333333333337</v>
      </c>
      <c r="V2179" s="84">
        <v>0.68402777777777779</v>
      </c>
      <c r="W2179" s="85">
        <v>6.9444444444444198E-3</v>
      </c>
      <c r="X2179" s="84">
        <v>0.69027777777777777</v>
      </c>
      <c r="Y2179" s="85">
        <v>6.2499999999999778E-3</v>
      </c>
      <c r="Z2179" s="86">
        <v>41759</v>
      </c>
      <c r="AA2179" s="36" t="str">
        <f t="shared" si="523"/>
        <v>Nacional</v>
      </c>
      <c r="AB2179" s="36">
        <f t="shared" si="523"/>
        <v>6.9113756613756756E-3</v>
      </c>
      <c r="AC2179" s="36">
        <f t="shared" si="523"/>
        <v>7.0767195767195675E-3</v>
      </c>
      <c r="AD2179" s="36">
        <f t="shared" si="523"/>
        <v>1.3988095238095244E-2</v>
      </c>
      <c r="AE2179" s="36">
        <f t="shared" si="523"/>
        <v>320</v>
      </c>
      <c r="AF2179" s="36">
        <f t="shared" si="523"/>
        <v>179</v>
      </c>
      <c r="AG2179" s="36" t="str">
        <f t="shared" si="523"/>
        <v>MEX</v>
      </c>
    </row>
    <row r="2180" spans="18:33" x14ac:dyDescent="0.25">
      <c r="R2180">
        <v>2166</v>
      </c>
      <c r="S2180" s="36" t="str">
        <f t="shared" si="521"/>
        <v>BARATA Y MORADA</v>
      </c>
      <c r="T2180" s="55">
        <v>744</v>
      </c>
      <c r="U2180" s="56">
        <v>0.78263888888888899</v>
      </c>
      <c r="V2180" s="57">
        <v>0.7895833333333333</v>
      </c>
      <c r="W2180" s="58">
        <v>6.9444444444443088E-3</v>
      </c>
      <c r="X2180" s="57">
        <v>0.79513888888888884</v>
      </c>
      <c r="Y2180" s="58">
        <v>5.5555555555555358E-3</v>
      </c>
      <c r="Z2180" s="59">
        <v>41736</v>
      </c>
      <c r="AA2180" s="60" t="s">
        <v>19</v>
      </c>
      <c r="AB2180" s="61">
        <v>9.5619658119657988E-3</v>
      </c>
      <c r="AC2180" s="61">
        <v>5.8226495726495815E-3</v>
      </c>
      <c r="AD2180" s="231">
        <v>1.538461538461538E-2</v>
      </c>
      <c r="AE2180" s="132" t="s">
        <v>57</v>
      </c>
      <c r="AF2180" s="132">
        <v>142</v>
      </c>
      <c r="AG2180" s="132" t="s">
        <v>21</v>
      </c>
    </row>
    <row r="2181" spans="18:33" x14ac:dyDescent="0.25">
      <c r="R2181">
        <v>2167</v>
      </c>
      <c r="S2181" s="36" t="str">
        <f t="shared" si="521"/>
        <v>BARATA Y MORADA</v>
      </c>
      <c r="T2181" s="36">
        <f t="shared" si="521"/>
        <v>744</v>
      </c>
      <c r="U2181" s="73">
        <v>0.78472222222222221</v>
      </c>
      <c r="V2181" s="74">
        <v>0.78819444444444453</v>
      </c>
      <c r="W2181" s="75">
        <v>3.4722222222223209E-3</v>
      </c>
      <c r="X2181" s="74">
        <v>0.79166666666666663</v>
      </c>
      <c r="Y2181" s="75">
        <v>3.4722222222220989E-3</v>
      </c>
      <c r="Z2181" s="76">
        <v>41738</v>
      </c>
      <c r="AA2181" s="36" t="str">
        <f t="shared" ref="AA2181:AG2192" si="524">AA2180</f>
        <v>Nacional</v>
      </c>
      <c r="AB2181" s="36">
        <f t="shared" si="524"/>
        <v>9.5619658119657988E-3</v>
      </c>
      <c r="AC2181" s="36">
        <f t="shared" si="524"/>
        <v>5.8226495726495815E-3</v>
      </c>
      <c r="AD2181" s="36">
        <f t="shared" si="524"/>
        <v>1.538461538461538E-2</v>
      </c>
      <c r="AE2181" s="36" t="str">
        <f t="shared" si="524"/>
        <v>A319</v>
      </c>
      <c r="AF2181" s="36">
        <f t="shared" si="524"/>
        <v>142</v>
      </c>
      <c r="AG2181" s="36" t="str">
        <f t="shared" si="524"/>
        <v>MEX</v>
      </c>
    </row>
    <row r="2182" spans="18:33" x14ac:dyDescent="0.25">
      <c r="R2182">
        <v>2168</v>
      </c>
      <c r="S2182" s="36" t="str">
        <f t="shared" si="521"/>
        <v>BARATA Y MORADA</v>
      </c>
      <c r="T2182" s="36">
        <f t="shared" si="521"/>
        <v>744</v>
      </c>
      <c r="U2182" s="73">
        <v>0.78472222222222221</v>
      </c>
      <c r="V2182" s="74">
        <v>0.78819444444444453</v>
      </c>
      <c r="W2182" s="75">
        <v>3.4722222222223209E-3</v>
      </c>
      <c r="X2182" s="74">
        <v>0.78888888888888886</v>
      </c>
      <c r="Y2182" s="75">
        <v>6.9444444444433095E-4</v>
      </c>
      <c r="Z2182" s="76">
        <v>41741</v>
      </c>
      <c r="AA2182" s="36" t="str">
        <f t="shared" si="524"/>
        <v>Nacional</v>
      </c>
      <c r="AB2182" s="36">
        <f t="shared" si="524"/>
        <v>9.5619658119657988E-3</v>
      </c>
      <c r="AC2182" s="36">
        <f t="shared" si="524"/>
        <v>5.8226495726495815E-3</v>
      </c>
      <c r="AD2182" s="36">
        <f t="shared" si="524"/>
        <v>1.538461538461538E-2</v>
      </c>
      <c r="AE2182" s="36" t="str">
        <f t="shared" si="524"/>
        <v>A319</v>
      </c>
      <c r="AF2182" s="36">
        <f t="shared" si="524"/>
        <v>142</v>
      </c>
      <c r="AG2182" s="36" t="str">
        <f t="shared" si="524"/>
        <v>MEX</v>
      </c>
    </row>
    <row r="2183" spans="18:33" x14ac:dyDescent="0.25">
      <c r="R2183">
        <v>2169</v>
      </c>
      <c r="S2183" s="36" t="str">
        <f t="shared" si="521"/>
        <v>BARATA Y MORADA</v>
      </c>
      <c r="T2183" s="36">
        <f t="shared" si="521"/>
        <v>744</v>
      </c>
      <c r="U2183" s="73">
        <v>0.75138888888888899</v>
      </c>
      <c r="V2183" s="74">
        <v>0.79722222222222217</v>
      </c>
      <c r="W2183" s="75">
        <v>4.5833333333333171E-2</v>
      </c>
      <c r="X2183" s="74">
        <v>0.8041666666666667</v>
      </c>
      <c r="Y2183" s="75">
        <v>6.9444444444445308E-3</v>
      </c>
      <c r="Z2183" s="76">
        <v>41745</v>
      </c>
      <c r="AA2183" s="36" t="str">
        <f t="shared" si="524"/>
        <v>Nacional</v>
      </c>
      <c r="AB2183" s="36">
        <f t="shared" si="524"/>
        <v>9.5619658119657988E-3</v>
      </c>
      <c r="AC2183" s="36">
        <f t="shared" si="524"/>
        <v>5.8226495726495815E-3</v>
      </c>
      <c r="AD2183" s="36">
        <f t="shared" si="524"/>
        <v>1.538461538461538E-2</v>
      </c>
      <c r="AE2183" s="36" t="str">
        <f t="shared" si="524"/>
        <v>A319</v>
      </c>
      <c r="AF2183" s="36">
        <f t="shared" si="524"/>
        <v>142</v>
      </c>
      <c r="AG2183" s="36" t="str">
        <f t="shared" si="524"/>
        <v>MEX</v>
      </c>
    </row>
    <row r="2184" spans="18:33" x14ac:dyDescent="0.25">
      <c r="R2184">
        <v>2170</v>
      </c>
      <c r="S2184" s="36" t="str">
        <f t="shared" si="521"/>
        <v>BARATA Y MORADA</v>
      </c>
      <c r="T2184" s="36">
        <f t="shared" si="521"/>
        <v>744</v>
      </c>
      <c r="U2184" s="73">
        <v>0.78333333333333333</v>
      </c>
      <c r="V2184" s="74">
        <v>0.79166666666666663</v>
      </c>
      <c r="W2184" s="75">
        <v>8.3333333333333037E-3</v>
      </c>
      <c r="X2184" s="74">
        <v>0.79652777777777783</v>
      </c>
      <c r="Y2184" s="75">
        <v>4.8611111111112049E-3</v>
      </c>
      <c r="Z2184" s="76">
        <v>41746</v>
      </c>
      <c r="AA2184" s="36" t="str">
        <f t="shared" si="524"/>
        <v>Nacional</v>
      </c>
      <c r="AB2184" s="36">
        <f t="shared" si="524"/>
        <v>9.5619658119657988E-3</v>
      </c>
      <c r="AC2184" s="36">
        <f t="shared" si="524"/>
        <v>5.8226495726495815E-3</v>
      </c>
      <c r="AD2184" s="36">
        <f t="shared" si="524"/>
        <v>1.538461538461538E-2</v>
      </c>
      <c r="AE2184" s="36" t="str">
        <f t="shared" si="524"/>
        <v>A319</v>
      </c>
      <c r="AF2184" s="36">
        <f t="shared" si="524"/>
        <v>142</v>
      </c>
      <c r="AG2184" s="36" t="str">
        <f t="shared" si="524"/>
        <v>MEX</v>
      </c>
    </row>
    <row r="2185" spans="18:33" x14ac:dyDescent="0.25">
      <c r="R2185">
        <v>2171</v>
      </c>
      <c r="S2185" s="36" t="str">
        <f t="shared" si="521"/>
        <v>BARATA Y MORADA</v>
      </c>
      <c r="T2185" s="36">
        <f t="shared" si="521"/>
        <v>744</v>
      </c>
      <c r="U2185" s="73">
        <v>0.78819444444444453</v>
      </c>
      <c r="V2185" s="74">
        <v>0.79513888888888884</v>
      </c>
      <c r="W2185" s="75">
        <v>6.9444444444443088E-3</v>
      </c>
      <c r="X2185" s="74">
        <v>0.80138888888888893</v>
      </c>
      <c r="Y2185" s="75">
        <v>6.2500000000000888E-3</v>
      </c>
      <c r="Z2185" s="76">
        <v>41746</v>
      </c>
      <c r="AA2185" s="36" t="str">
        <f t="shared" si="524"/>
        <v>Nacional</v>
      </c>
      <c r="AB2185" s="36">
        <f t="shared" si="524"/>
        <v>9.5619658119657988E-3</v>
      </c>
      <c r="AC2185" s="36">
        <f t="shared" si="524"/>
        <v>5.8226495726495815E-3</v>
      </c>
      <c r="AD2185" s="36">
        <f t="shared" si="524"/>
        <v>1.538461538461538E-2</v>
      </c>
      <c r="AE2185" s="36" t="str">
        <f t="shared" si="524"/>
        <v>A319</v>
      </c>
      <c r="AF2185" s="36">
        <f t="shared" si="524"/>
        <v>142</v>
      </c>
      <c r="AG2185" s="36" t="str">
        <f t="shared" si="524"/>
        <v>MEX</v>
      </c>
    </row>
    <row r="2186" spans="18:33" x14ac:dyDescent="0.25">
      <c r="R2186">
        <v>2172</v>
      </c>
      <c r="S2186" s="36" t="str">
        <f t="shared" si="521"/>
        <v>BARATA Y MORADA</v>
      </c>
      <c r="T2186" s="36">
        <f t="shared" si="521"/>
        <v>744</v>
      </c>
      <c r="U2186" s="73">
        <v>0.27499999999999997</v>
      </c>
      <c r="V2186" s="74">
        <v>0.28055555555555556</v>
      </c>
      <c r="W2186" s="75">
        <v>5.5555555555555913E-3</v>
      </c>
      <c r="X2186" s="74">
        <v>0.28819444444444448</v>
      </c>
      <c r="Y2186" s="75">
        <v>7.6388888888889173E-3</v>
      </c>
      <c r="Z2186" s="76">
        <v>41747</v>
      </c>
      <c r="AA2186" s="36" t="str">
        <f t="shared" si="524"/>
        <v>Nacional</v>
      </c>
      <c r="AB2186" s="36">
        <f t="shared" si="524"/>
        <v>9.5619658119657988E-3</v>
      </c>
      <c r="AC2186" s="36">
        <f t="shared" si="524"/>
        <v>5.8226495726495815E-3</v>
      </c>
      <c r="AD2186" s="36">
        <f t="shared" si="524"/>
        <v>1.538461538461538E-2</v>
      </c>
      <c r="AE2186" s="36" t="str">
        <f t="shared" si="524"/>
        <v>A319</v>
      </c>
      <c r="AF2186" s="36">
        <f t="shared" si="524"/>
        <v>142</v>
      </c>
      <c r="AG2186" s="36" t="str">
        <f t="shared" si="524"/>
        <v>MEX</v>
      </c>
    </row>
    <row r="2187" spans="18:33" x14ac:dyDescent="0.25">
      <c r="R2187">
        <v>2173</v>
      </c>
      <c r="S2187" s="36" t="str">
        <f t="shared" si="521"/>
        <v>BARATA Y MORADA</v>
      </c>
      <c r="T2187" s="36">
        <f t="shared" si="521"/>
        <v>744</v>
      </c>
      <c r="U2187" s="73">
        <v>0.78194444444444444</v>
      </c>
      <c r="V2187" s="74">
        <v>0.78680555555555554</v>
      </c>
      <c r="W2187" s="75">
        <v>4.8611111111110938E-3</v>
      </c>
      <c r="X2187" s="74">
        <v>0.79375000000000007</v>
      </c>
      <c r="Y2187" s="75">
        <v>6.9444444444445308E-3</v>
      </c>
      <c r="Z2187" s="76">
        <v>41750</v>
      </c>
      <c r="AA2187" s="36" t="str">
        <f t="shared" si="524"/>
        <v>Nacional</v>
      </c>
      <c r="AB2187" s="36">
        <f t="shared" si="524"/>
        <v>9.5619658119657988E-3</v>
      </c>
      <c r="AC2187" s="36">
        <f t="shared" si="524"/>
        <v>5.8226495726495815E-3</v>
      </c>
      <c r="AD2187" s="36">
        <f t="shared" si="524"/>
        <v>1.538461538461538E-2</v>
      </c>
      <c r="AE2187" s="36" t="str">
        <f t="shared" si="524"/>
        <v>A319</v>
      </c>
      <c r="AF2187" s="36">
        <f t="shared" si="524"/>
        <v>142</v>
      </c>
      <c r="AG2187" s="36" t="str">
        <f t="shared" si="524"/>
        <v>MEX</v>
      </c>
    </row>
    <row r="2188" spans="18:33" x14ac:dyDescent="0.25">
      <c r="R2188">
        <v>2174</v>
      </c>
      <c r="S2188" s="36" t="str">
        <f t="shared" si="521"/>
        <v>BARATA Y MORADA</v>
      </c>
      <c r="T2188" s="36">
        <f t="shared" si="521"/>
        <v>744</v>
      </c>
      <c r="U2188" s="73">
        <v>0.77569444444444446</v>
      </c>
      <c r="V2188" s="74">
        <v>0.78333333333333333</v>
      </c>
      <c r="W2188" s="75">
        <v>7.6388888888888618E-3</v>
      </c>
      <c r="X2188" s="74">
        <v>0.78749999999999998</v>
      </c>
      <c r="Y2188" s="75">
        <v>4.1666666666666519E-3</v>
      </c>
      <c r="Z2188" s="76">
        <v>41751</v>
      </c>
      <c r="AA2188" s="36" t="str">
        <f t="shared" si="524"/>
        <v>Nacional</v>
      </c>
      <c r="AB2188" s="36">
        <f t="shared" si="524"/>
        <v>9.5619658119657988E-3</v>
      </c>
      <c r="AC2188" s="36">
        <f t="shared" si="524"/>
        <v>5.8226495726495815E-3</v>
      </c>
      <c r="AD2188" s="36">
        <f t="shared" si="524"/>
        <v>1.538461538461538E-2</v>
      </c>
      <c r="AE2188" s="36" t="str">
        <f t="shared" si="524"/>
        <v>A319</v>
      </c>
      <c r="AF2188" s="36">
        <f t="shared" si="524"/>
        <v>142</v>
      </c>
      <c r="AG2188" s="36" t="str">
        <f t="shared" si="524"/>
        <v>MEX</v>
      </c>
    </row>
    <row r="2189" spans="18:33" x14ac:dyDescent="0.25">
      <c r="R2189">
        <v>2175</v>
      </c>
      <c r="S2189" s="36" t="str">
        <f t="shared" si="521"/>
        <v>BARATA Y MORADA</v>
      </c>
      <c r="T2189" s="36">
        <f t="shared" si="521"/>
        <v>744</v>
      </c>
      <c r="U2189" s="73">
        <v>0.77847222222222223</v>
      </c>
      <c r="V2189" s="74">
        <v>0.78402777777777777</v>
      </c>
      <c r="W2189" s="75">
        <v>5.5555555555555358E-3</v>
      </c>
      <c r="X2189" s="74">
        <v>0.79722222222222217</v>
      </c>
      <c r="Y2189" s="75">
        <v>1.3194444444444398E-2</v>
      </c>
      <c r="Z2189" s="76">
        <v>41756</v>
      </c>
      <c r="AA2189" s="36" t="str">
        <f t="shared" si="524"/>
        <v>Nacional</v>
      </c>
      <c r="AB2189" s="36">
        <f t="shared" si="524"/>
        <v>9.5619658119657988E-3</v>
      </c>
      <c r="AC2189" s="36">
        <f t="shared" si="524"/>
        <v>5.8226495726495815E-3</v>
      </c>
      <c r="AD2189" s="36">
        <f t="shared" si="524"/>
        <v>1.538461538461538E-2</v>
      </c>
      <c r="AE2189" s="36" t="str">
        <f t="shared" si="524"/>
        <v>A319</v>
      </c>
      <c r="AF2189" s="36">
        <f t="shared" si="524"/>
        <v>142</v>
      </c>
      <c r="AG2189" s="36" t="str">
        <f t="shared" si="524"/>
        <v>MEX</v>
      </c>
    </row>
    <row r="2190" spans="18:33" x14ac:dyDescent="0.25">
      <c r="R2190">
        <v>2176</v>
      </c>
      <c r="S2190" s="36" t="str">
        <f t="shared" si="521"/>
        <v>BARATA Y MORADA</v>
      </c>
      <c r="T2190" s="36">
        <f t="shared" si="521"/>
        <v>744</v>
      </c>
      <c r="U2190" s="73">
        <v>0.77569444444444446</v>
      </c>
      <c r="V2190" s="74">
        <v>0.78402777777777777</v>
      </c>
      <c r="W2190" s="75">
        <v>8.3333333333333037E-3</v>
      </c>
      <c r="X2190" s="74">
        <v>0.79305555555555562</v>
      </c>
      <c r="Y2190" s="75">
        <v>9.0277777777778567E-3</v>
      </c>
      <c r="Z2190" s="76">
        <v>41757</v>
      </c>
      <c r="AA2190" s="36" t="str">
        <f t="shared" si="524"/>
        <v>Nacional</v>
      </c>
      <c r="AB2190" s="36">
        <f t="shared" si="524"/>
        <v>9.5619658119657988E-3</v>
      </c>
      <c r="AC2190" s="36">
        <f t="shared" si="524"/>
        <v>5.8226495726495815E-3</v>
      </c>
      <c r="AD2190" s="36">
        <f t="shared" si="524"/>
        <v>1.538461538461538E-2</v>
      </c>
      <c r="AE2190" s="36" t="str">
        <f t="shared" si="524"/>
        <v>A319</v>
      </c>
      <c r="AF2190" s="36">
        <f t="shared" si="524"/>
        <v>142</v>
      </c>
      <c r="AG2190" s="36" t="str">
        <f t="shared" si="524"/>
        <v>MEX</v>
      </c>
    </row>
    <row r="2191" spans="18:33" x14ac:dyDescent="0.25">
      <c r="R2191">
        <v>2177</v>
      </c>
      <c r="S2191" s="36" t="str">
        <f t="shared" si="521"/>
        <v>BARATA Y MORADA</v>
      </c>
      <c r="T2191" s="36">
        <f t="shared" si="521"/>
        <v>744</v>
      </c>
      <c r="U2191" s="73">
        <v>0.77708333333333324</v>
      </c>
      <c r="V2191" s="74">
        <v>0.78749999999999998</v>
      </c>
      <c r="W2191" s="75">
        <v>1.0416666666666741E-2</v>
      </c>
      <c r="X2191" s="74">
        <v>0.79236111111111107</v>
      </c>
      <c r="Y2191" s="75">
        <v>4.8611111111110938E-3</v>
      </c>
      <c r="Z2191" s="76">
        <v>41758</v>
      </c>
      <c r="AA2191" s="36" t="str">
        <f t="shared" si="524"/>
        <v>Nacional</v>
      </c>
      <c r="AB2191" s="36">
        <f t="shared" si="524"/>
        <v>9.5619658119657988E-3</v>
      </c>
      <c r="AC2191" s="36">
        <f t="shared" si="524"/>
        <v>5.8226495726495815E-3</v>
      </c>
      <c r="AD2191" s="36">
        <f t="shared" si="524"/>
        <v>1.538461538461538E-2</v>
      </c>
      <c r="AE2191" s="36" t="str">
        <f t="shared" si="524"/>
        <v>A319</v>
      </c>
      <c r="AF2191" s="36">
        <f t="shared" si="524"/>
        <v>142</v>
      </c>
      <c r="AG2191" s="36" t="str">
        <f t="shared" si="524"/>
        <v>MEX</v>
      </c>
    </row>
    <row r="2192" spans="18:33" ht="15.75" thickBot="1" x14ac:dyDescent="0.3">
      <c r="R2192">
        <v>2178</v>
      </c>
      <c r="S2192" s="36" t="str">
        <f t="shared" si="521"/>
        <v>BARATA Y MORADA</v>
      </c>
      <c r="T2192" s="36">
        <f t="shared" si="521"/>
        <v>744</v>
      </c>
      <c r="U2192" s="83">
        <v>0.78680555555555554</v>
      </c>
      <c r="V2192" s="84">
        <v>0.79375000000000007</v>
      </c>
      <c r="W2192" s="85">
        <v>6.9444444444445308E-3</v>
      </c>
      <c r="X2192" s="84">
        <v>0.79583333333333339</v>
      </c>
      <c r="Y2192" s="85">
        <v>2.0833333333333259E-3</v>
      </c>
      <c r="Z2192" s="86">
        <v>41759</v>
      </c>
      <c r="AA2192" s="36" t="str">
        <f t="shared" si="524"/>
        <v>Nacional</v>
      </c>
      <c r="AB2192" s="36">
        <f t="shared" si="524"/>
        <v>9.5619658119657988E-3</v>
      </c>
      <c r="AC2192" s="36">
        <f t="shared" si="524"/>
        <v>5.8226495726495815E-3</v>
      </c>
      <c r="AD2192" s="36">
        <f t="shared" si="524"/>
        <v>1.538461538461538E-2</v>
      </c>
      <c r="AE2192" s="36" t="str">
        <f t="shared" si="524"/>
        <v>A319</v>
      </c>
      <c r="AF2192" s="36">
        <f t="shared" si="524"/>
        <v>142</v>
      </c>
      <c r="AG2192" s="36" t="str">
        <f t="shared" si="524"/>
        <v>MEX</v>
      </c>
    </row>
    <row r="2193" spans="18:33" x14ac:dyDescent="0.25">
      <c r="R2193">
        <v>2179</v>
      </c>
      <c r="S2193" s="36" t="str">
        <f t="shared" si="521"/>
        <v>BARATA Y MORADA</v>
      </c>
      <c r="T2193" s="55">
        <v>747</v>
      </c>
      <c r="U2193" s="56">
        <v>0.73611111111111116</v>
      </c>
      <c r="V2193" s="57">
        <v>0.74652777777777779</v>
      </c>
      <c r="W2193" s="58">
        <v>1.041666666666663E-2</v>
      </c>
      <c r="X2193" s="57">
        <v>0.75</v>
      </c>
      <c r="Y2193" s="58">
        <v>3.4722222222222099E-3</v>
      </c>
      <c r="Z2193" s="59">
        <v>41732</v>
      </c>
      <c r="AA2193" s="60" t="s">
        <v>19</v>
      </c>
      <c r="AB2193" s="61">
        <v>8.3333333333333211E-3</v>
      </c>
      <c r="AC2193" s="61">
        <v>7.4786324786324607E-3</v>
      </c>
      <c r="AD2193" s="231">
        <v>1.5811965811965784E-2</v>
      </c>
      <c r="AE2193" s="132" t="s">
        <v>57</v>
      </c>
      <c r="AF2193" s="132">
        <v>142</v>
      </c>
      <c r="AG2193" s="132" t="s">
        <v>66</v>
      </c>
    </row>
    <row r="2194" spans="18:33" x14ac:dyDescent="0.25">
      <c r="R2194">
        <v>2180</v>
      </c>
      <c r="S2194" s="36" t="str">
        <f t="shared" si="521"/>
        <v>BARATA Y MORADA</v>
      </c>
      <c r="T2194" s="36">
        <f t="shared" si="521"/>
        <v>747</v>
      </c>
      <c r="U2194" s="73">
        <v>0.71597222222222223</v>
      </c>
      <c r="V2194" s="74">
        <v>0.72361111111111109</v>
      </c>
      <c r="W2194" s="75">
        <v>7.6388888888888618E-3</v>
      </c>
      <c r="X2194" s="74">
        <v>0.7319444444444444</v>
      </c>
      <c r="Y2194" s="75">
        <v>8.3333333333333037E-3</v>
      </c>
      <c r="Z2194" s="76">
        <v>41733</v>
      </c>
      <c r="AA2194" s="36" t="str">
        <f t="shared" ref="AA2194:AG2205" si="525">AA2193</f>
        <v>Nacional</v>
      </c>
      <c r="AB2194" s="36">
        <f t="shared" si="525"/>
        <v>8.3333333333333211E-3</v>
      </c>
      <c r="AC2194" s="36">
        <f t="shared" si="525"/>
        <v>7.4786324786324607E-3</v>
      </c>
      <c r="AD2194" s="36">
        <f t="shared" si="525"/>
        <v>1.5811965811965784E-2</v>
      </c>
      <c r="AE2194" s="36" t="str">
        <f t="shared" si="525"/>
        <v>A319</v>
      </c>
      <c r="AF2194" s="36">
        <f t="shared" si="525"/>
        <v>142</v>
      </c>
      <c r="AG2194" s="36" t="str">
        <f t="shared" si="525"/>
        <v>SJD</v>
      </c>
    </row>
    <row r="2195" spans="18:33" x14ac:dyDescent="0.25">
      <c r="R2195">
        <v>2181</v>
      </c>
      <c r="S2195" s="36" t="str">
        <f t="shared" si="521"/>
        <v>BARATA Y MORADA</v>
      </c>
      <c r="T2195" s="36">
        <f t="shared" si="521"/>
        <v>747</v>
      </c>
      <c r="U2195" s="73">
        <v>0.72569444444444453</v>
      </c>
      <c r="V2195" s="74">
        <v>0.7319444444444444</v>
      </c>
      <c r="W2195" s="75">
        <v>6.2499999999998668E-3</v>
      </c>
      <c r="X2195" s="74">
        <v>0.73819444444444438</v>
      </c>
      <c r="Y2195" s="75">
        <v>6.2499999999999778E-3</v>
      </c>
      <c r="Z2195" s="76">
        <v>41739</v>
      </c>
      <c r="AA2195" s="36" t="str">
        <f t="shared" si="525"/>
        <v>Nacional</v>
      </c>
      <c r="AB2195" s="36">
        <f t="shared" si="525"/>
        <v>8.3333333333333211E-3</v>
      </c>
      <c r="AC2195" s="36">
        <f t="shared" si="525"/>
        <v>7.4786324786324607E-3</v>
      </c>
      <c r="AD2195" s="36">
        <f t="shared" si="525"/>
        <v>1.5811965811965784E-2</v>
      </c>
      <c r="AE2195" s="36" t="str">
        <f t="shared" si="525"/>
        <v>A319</v>
      </c>
      <c r="AF2195" s="36">
        <f t="shared" si="525"/>
        <v>142</v>
      </c>
      <c r="AG2195" s="36" t="str">
        <f t="shared" si="525"/>
        <v>SJD</v>
      </c>
    </row>
    <row r="2196" spans="18:33" x14ac:dyDescent="0.25">
      <c r="R2196">
        <v>2182</v>
      </c>
      <c r="S2196" s="36" t="str">
        <f t="shared" si="521"/>
        <v>BARATA Y MORADA</v>
      </c>
      <c r="T2196" s="36">
        <f t="shared" si="521"/>
        <v>747</v>
      </c>
      <c r="U2196" s="73">
        <v>0.72499999999999998</v>
      </c>
      <c r="V2196" s="74">
        <v>0.72638888888888886</v>
      </c>
      <c r="W2196" s="75">
        <v>1.388888888888884E-3</v>
      </c>
      <c r="X2196" s="74">
        <v>0.73611111111111116</v>
      </c>
      <c r="Y2196" s="75">
        <v>9.7222222222222987E-3</v>
      </c>
      <c r="Z2196" s="76">
        <v>41741</v>
      </c>
      <c r="AA2196" s="36" t="str">
        <f t="shared" si="525"/>
        <v>Nacional</v>
      </c>
      <c r="AB2196" s="36">
        <f t="shared" si="525"/>
        <v>8.3333333333333211E-3</v>
      </c>
      <c r="AC2196" s="36">
        <f t="shared" si="525"/>
        <v>7.4786324786324607E-3</v>
      </c>
      <c r="AD2196" s="36">
        <f t="shared" si="525"/>
        <v>1.5811965811965784E-2</v>
      </c>
      <c r="AE2196" s="36" t="str">
        <f t="shared" si="525"/>
        <v>A319</v>
      </c>
      <c r="AF2196" s="36">
        <f t="shared" si="525"/>
        <v>142</v>
      </c>
      <c r="AG2196" s="36" t="str">
        <f t="shared" si="525"/>
        <v>SJD</v>
      </c>
    </row>
    <row r="2197" spans="18:33" x14ac:dyDescent="0.25">
      <c r="R2197">
        <v>2183</v>
      </c>
      <c r="S2197" s="36" t="str">
        <f t="shared" si="521"/>
        <v>BARATA Y MORADA</v>
      </c>
      <c r="T2197" s="36">
        <f t="shared" si="521"/>
        <v>747</v>
      </c>
      <c r="U2197" s="73">
        <v>0.71527777777777779</v>
      </c>
      <c r="V2197" s="74">
        <v>0.72916666666666663</v>
      </c>
      <c r="W2197" s="75">
        <v>1.388888888888884E-2</v>
      </c>
      <c r="X2197" s="74">
        <v>0.73263888888888884</v>
      </c>
      <c r="Y2197" s="75">
        <v>3.4722222222222099E-3</v>
      </c>
      <c r="Z2197" s="76">
        <v>41743</v>
      </c>
      <c r="AA2197" s="36" t="str">
        <f t="shared" si="525"/>
        <v>Nacional</v>
      </c>
      <c r="AB2197" s="36">
        <f t="shared" si="525"/>
        <v>8.3333333333333211E-3</v>
      </c>
      <c r="AC2197" s="36">
        <f t="shared" si="525"/>
        <v>7.4786324786324607E-3</v>
      </c>
      <c r="AD2197" s="36">
        <f t="shared" si="525"/>
        <v>1.5811965811965784E-2</v>
      </c>
      <c r="AE2197" s="36" t="str">
        <f t="shared" si="525"/>
        <v>A319</v>
      </c>
      <c r="AF2197" s="36">
        <f t="shared" si="525"/>
        <v>142</v>
      </c>
      <c r="AG2197" s="36" t="str">
        <f t="shared" si="525"/>
        <v>SJD</v>
      </c>
    </row>
    <row r="2198" spans="18:33" x14ac:dyDescent="0.25">
      <c r="R2198">
        <v>2184</v>
      </c>
      <c r="S2198" s="36" t="str">
        <f t="shared" si="521"/>
        <v>BARATA Y MORADA</v>
      </c>
      <c r="T2198" s="36">
        <f t="shared" si="521"/>
        <v>747</v>
      </c>
      <c r="U2198" s="73">
        <v>0.71388888888888891</v>
      </c>
      <c r="V2198" s="74">
        <v>0.71944444444444444</v>
      </c>
      <c r="W2198" s="75">
        <v>5.5555555555555358E-3</v>
      </c>
      <c r="X2198" s="74">
        <v>0.72569444444444453</v>
      </c>
      <c r="Y2198" s="75">
        <v>6.2500000000000888E-3</v>
      </c>
      <c r="Z2198" s="76">
        <v>41746</v>
      </c>
      <c r="AA2198" s="36" t="str">
        <f t="shared" si="525"/>
        <v>Nacional</v>
      </c>
      <c r="AB2198" s="36">
        <f t="shared" si="525"/>
        <v>8.3333333333333211E-3</v>
      </c>
      <c r="AC2198" s="36">
        <f t="shared" si="525"/>
        <v>7.4786324786324607E-3</v>
      </c>
      <c r="AD2198" s="36">
        <f t="shared" si="525"/>
        <v>1.5811965811965784E-2</v>
      </c>
      <c r="AE2198" s="36" t="str">
        <f t="shared" si="525"/>
        <v>A319</v>
      </c>
      <c r="AF2198" s="36">
        <f t="shared" si="525"/>
        <v>142</v>
      </c>
      <c r="AG2198" s="36" t="str">
        <f t="shared" si="525"/>
        <v>SJD</v>
      </c>
    </row>
    <row r="2199" spans="18:33" x14ac:dyDescent="0.25">
      <c r="R2199">
        <v>2185</v>
      </c>
      <c r="S2199" s="36" t="str">
        <f t="shared" si="521"/>
        <v>BARATA Y MORADA</v>
      </c>
      <c r="T2199" s="36">
        <f t="shared" si="521"/>
        <v>747</v>
      </c>
      <c r="U2199" s="73">
        <v>0.70416666666666661</v>
      </c>
      <c r="V2199" s="74">
        <v>0.71111111111111114</v>
      </c>
      <c r="W2199" s="75">
        <v>6.9444444444445308E-3</v>
      </c>
      <c r="X2199" s="74">
        <v>0.71875</v>
      </c>
      <c r="Y2199" s="75">
        <v>7.6388888888888618E-3</v>
      </c>
      <c r="Z2199" s="76">
        <v>41747</v>
      </c>
      <c r="AA2199" s="36" t="str">
        <f t="shared" si="525"/>
        <v>Nacional</v>
      </c>
      <c r="AB2199" s="36">
        <f t="shared" si="525"/>
        <v>8.3333333333333211E-3</v>
      </c>
      <c r="AC2199" s="36">
        <f t="shared" si="525"/>
        <v>7.4786324786324607E-3</v>
      </c>
      <c r="AD2199" s="36">
        <f t="shared" si="525"/>
        <v>1.5811965811965784E-2</v>
      </c>
      <c r="AE2199" s="36" t="str">
        <f t="shared" si="525"/>
        <v>A319</v>
      </c>
      <c r="AF2199" s="36">
        <f t="shared" si="525"/>
        <v>142</v>
      </c>
      <c r="AG2199" s="36" t="str">
        <f t="shared" si="525"/>
        <v>SJD</v>
      </c>
    </row>
    <row r="2200" spans="18:33" x14ac:dyDescent="0.25">
      <c r="R2200">
        <v>2186</v>
      </c>
      <c r="S2200" s="36" t="str">
        <f t="shared" si="521"/>
        <v>BARATA Y MORADA</v>
      </c>
      <c r="T2200" s="36">
        <f t="shared" si="521"/>
        <v>747</v>
      </c>
      <c r="U2200" s="73">
        <v>0.72083333333333333</v>
      </c>
      <c r="V2200" s="74">
        <v>0.72986111111111107</v>
      </c>
      <c r="W2200" s="75">
        <v>9.0277777777777457E-3</v>
      </c>
      <c r="X2200" s="74">
        <v>0.7402777777777777</v>
      </c>
      <c r="Y2200" s="75">
        <v>1.041666666666663E-2</v>
      </c>
      <c r="Z2200" s="76">
        <v>41748</v>
      </c>
      <c r="AA2200" s="36" t="str">
        <f t="shared" si="525"/>
        <v>Nacional</v>
      </c>
      <c r="AB2200" s="36">
        <f t="shared" si="525"/>
        <v>8.3333333333333211E-3</v>
      </c>
      <c r="AC2200" s="36">
        <f t="shared" si="525"/>
        <v>7.4786324786324607E-3</v>
      </c>
      <c r="AD2200" s="36">
        <f t="shared" si="525"/>
        <v>1.5811965811965784E-2</v>
      </c>
      <c r="AE2200" s="36" t="str">
        <f t="shared" si="525"/>
        <v>A319</v>
      </c>
      <c r="AF2200" s="36">
        <f t="shared" si="525"/>
        <v>142</v>
      </c>
      <c r="AG2200" s="36" t="str">
        <f t="shared" si="525"/>
        <v>SJD</v>
      </c>
    </row>
    <row r="2201" spans="18:33" x14ac:dyDescent="0.25">
      <c r="R2201">
        <v>2187</v>
      </c>
      <c r="S2201" s="36" t="str">
        <f t="shared" ref="S2201:T2205" si="526">S2200</f>
        <v>BARATA Y MORADA</v>
      </c>
      <c r="T2201" s="36">
        <f t="shared" si="526"/>
        <v>747</v>
      </c>
      <c r="U2201" s="73">
        <v>0.7270833333333333</v>
      </c>
      <c r="V2201" s="74">
        <v>0.73819444444444438</v>
      </c>
      <c r="W2201" s="75">
        <v>1.1111111111111072E-2</v>
      </c>
      <c r="X2201" s="74">
        <v>0.74305555555555547</v>
      </c>
      <c r="Y2201" s="75">
        <v>4.8611111111110938E-3</v>
      </c>
      <c r="Z2201" s="76">
        <v>41749</v>
      </c>
      <c r="AA2201" s="36" t="str">
        <f t="shared" si="525"/>
        <v>Nacional</v>
      </c>
      <c r="AB2201" s="36">
        <f t="shared" si="525"/>
        <v>8.3333333333333211E-3</v>
      </c>
      <c r="AC2201" s="36">
        <f t="shared" si="525"/>
        <v>7.4786324786324607E-3</v>
      </c>
      <c r="AD2201" s="36">
        <f t="shared" si="525"/>
        <v>1.5811965811965784E-2</v>
      </c>
      <c r="AE2201" s="36" t="str">
        <f t="shared" si="525"/>
        <v>A319</v>
      </c>
      <c r="AF2201" s="36">
        <f t="shared" si="525"/>
        <v>142</v>
      </c>
      <c r="AG2201" s="36" t="str">
        <f t="shared" si="525"/>
        <v>SJD</v>
      </c>
    </row>
    <row r="2202" spans="18:33" x14ac:dyDescent="0.25">
      <c r="R2202">
        <v>2188</v>
      </c>
      <c r="S2202" s="36" t="str">
        <f t="shared" si="526"/>
        <v>BARATA Y MORADA</v>
      </c>
      <c r="T2202" s="36">
        <f t="shared" si="526"/>
        <v>747</v>
      </c>
      <c r="U2202" s="73">
        <v>0.72361111111111109</v>
      </c>
      <c r="V2202" s="74">
        <v>0.73263888888888884</v>
      </c>
      <c r="W2202" s="75">
        <v>9.0277777777777457E-3</v>
      </c>
      <c r="X2202" s="74">
        <v>0.73819444444444438</v>
      </c>
      <c r="Y2202" s="75">
        <v>5.5555555555555358E-3</v>
      </c>
      <c r="Z2202" s="76">
        <v>41753</v>
      </c>
      <c r="AA2202" s="36" t="str">
        <f t="shared" si="525"/>
        <v>Nacional</v>
      </c>
      <c r="AB2202" s="36">
        <f t="shared" si="525"/>
        <v>8.3333333333333211E-3</v>
      </c>
      <c r="AC2202" s="36">
        <f t="shared" si="525"/>
        <v>7.4786324786324607E-3</v>
      </c>
      <c r="AD2202" s="36">
        <f t="shared" si="525"/>
        <v>1.5811965811965784E-2</v>
      </c>
      <c r="AE2202" s="36" t="str">
        <f t="shared" si="525"/>
        <v>A319</v>
      </c>
      <c r="AF2202" s="36">
        <f t="shared" si="525"/>
        <v>142</v>
      </c>
      <c r="AG2202" s="36" t="str">
        <f t="shared" si="525"/>
        <v>SJD</v>
      </c>
    </row>
    <row r="2203" spans="18:33" x14ac:dyDescent="0.25">
      <c r="R2203">
        <v>2189</v>
      </c>
      <c r="S2203" s="36" t="str">
        <f t="shared" si="526"/>
        <v>BARATA Y MORADA</v>
      </c>
      <c r="T2203" s="36">
        <f t="shared" si="526"/>
        <v>747</v>
      </c>
      <c r="U2203" s="73">
        <v>0.71875</v>
      </c>
      <c r="V2203" s="74">
        <v>0.72569444444444453</v>
      </c>
      <c r="W2203" s="75">
        <v>6.9444444444445308E-3</v>
      </c>
      <c r="X2203" s="74">
        <v>0.73402777777777783</v>
      </c>
      <c r="Y2203" s="75">
        <v>8.3333333333333037E-3</v>
      </c>
      <c r="Z2203" s="76">
        <v>41754</v>
      </c>
      <c r="AA2203" s="36" t="str">
        <f t="shared" si="525"/>
        <v>Nacional</v>
      </c>
      <c r="AB2203" s="36">
        <f t="shared" si="525"/>
        <v>8.3333333333333211E-3</v>
      </c>
      <c r="AC2203" s="36">
        <f t="shared" si="525"/>
        <v>7.4786324786324607E-3</v>
      </c>
      <c r="AD2203" s="36">
        <f t="shared" si="525"/>
        <v>1.5811965811965784E-2</v>
      </c>
      <c r="AE2203" s="36" t="str">
        <f t="shared" si="525"/>
        <v>A319</v>
      </c>
      <c r="AF2203" s="36">
        <f t="shared" si="525"/>
        <v>142</v>
      </c>
      <c r="AG2203" s="36" t="str">
        <f t="shared" si="525"/>
        <v>SJD</v>
      </c>
    </row>
    <row r="2204" spans="18:33" x14ac:dyDescent="0.25">
      <c r="R2204">
        <v>2190</v>
      </c>
      <c r="S2204" s="36" t="str">
        <f t="shared" si="526"/>
        <v>BARATA Y MORADA</v>
      </c>
      <c r="T2204" s="36">
        <f t="shared" si="526"/>
        <v>747</v>
      </c>
      <c r="U2204" s="73">
        <v>0.72222222222222221</v>
      </c>
      <c r="V2204" s="74">
        <v>0.73055555555555562</v>
      </c>
      <c r="W2204" s="75">
        <v>8.3333333333334147E-3</v>
      </c>
      <c r="X2204" s="74">
        <v>0.74583333333333324</v>
      </c>
      <c r="Y2204" s="75">
        <v>1.5277777777777612E-2</v>
      </c>
      <c r="Z2204" s="76">
        <v>41756</v>
      </c>
      <c r="AA2204" s="36" t="str">
        <f t="shared" si="525"/>
        <v>Nacional</v>
      </c>
      <c r="AB2204" s="36">
        <f t="shared" si="525"/>
        <v>8.3333333333333211E-3</v>
      </c>
      <c r="AC2204" s="36">
        <f t="shared" si="525"/>
        <v>7.4786324786324607E-3</v>
      </c>
      <c r="AD2204" s="36">
        <f t="shared" si="525"/>
        <v>1.5811965811965784E-2</v>
      </c>
      <c r="AE2204" s="36" t="str">
        <f t="shared" si="525"/>
        <v>A319</v>
      </c>
      <c r="AF2204" s="36">
        <f t="shared" si="525"/>
        <v>142</v>
      </c>
      <c r="AG2204" s="36" t="str">
        <f t="shared" si="525"/>
        <v>SJD</v>
      </c>
    </row>
    <row r="2205" spans="18:33" ht="15.75" thickBot="1" x14ac:dyDescent="0.3">
      <c r="R2205">
        <v>2191</v>
      </c>
      <c r="S2205" s="36" t="str">
        <f t="shared" si="526"/>
        <v>BARATA Y MORADA</v>
      </c>
      <c r="T2205" s="36">
        <f t="shared" si="526"/>
        <v>747</v>
      </c>
      <c r="U2205" s="83">
        <v>0.7104166666666667</v>
      </c>
      <c r="V2205" s="84">
        <v>0.72222222222222221</v>
      </c>
      <c r="W2205" s="85">
        <v>1.1805555555555514E-2</v>
      </c>
      <c r="X2205" s="84">
        <v>0.72986111111111107</v>
      </c>
      <c r="Y2205" s="85">
        <v>7.6388888888888618E-3</v>
      </c>
      <c r="Z2205" s="86">
        <v>41757</v>
      </c>
      <c r="AA2205" s="36" t="str">
        <f t="shared" si="525"/>
        <v>Nacional</v>
      </c>
      <c r="AB2205" s="36">
        <f t="shared" si="525"/>
        <v>8.3333333333333211E-3</v>
      </c>
      <c r="AC2205" s="36">
        <f t="shared" si="525"/>
        <v>7.4786324786324607E-3</v>
      </c>
      <c r="AD2205" s="36">
        <f t="shared" si="525"/>
        <v>1.5811965811965784E-2</v>
      </c>
      <c r="AE2205" s="36" t="str">
        <f t="shared" si="525"/>
        <v>A319</v>
      </c>
      <c r="AF2205" s="36">
        <f t="shared" si="525"/>
        <v>142</v>
      </c>
      <c r="AG2205" s="36" t="str">
        <f t="shared" si="525"/>
        <v>SJD</v>
      </c>
    </row>
    <row r="2206" spans="18:33" x14ac:dyDescent="0.25">
      <c r="R2206">
        <v>2192</v>
      </c>
      <c r="S2206" s="45" t="s">
        <v>77</v>
      </c>
      <c r="T2206" s="55">
        <v>903</v>
      </c>
      <c r="U2206" s="56">
        <v>0.27013888888888887</v>
      </c>
      <c r="V2206" s="57">
        <v>0.27986111111111112</v>
      </c>
      <c r="W2206" s="58">
        <v>9.7222222222222432E-3</v>
      </c>
      <c r="X2206" s="57">
        <v>0.29166666666666669</v>
      </c>
      <c r="Y2206" s="58">
        <v>1.1805555555555569E-2</v>
      </c>
      <c r="Z2206" s="59">
        <v>41731</v>
      </c>
      <c r="AA2206" s="60" t="s">
        <v>22</v>
      </c>
      <c r="AB2206" s="61">
        <v>1.0683760683760705E-2</v>
      </c>
      <c r="AC2206" s="61">
        <v>1.2820512820512796E-2</v>
      </c>
      <c r="AD2206" s="231">
        <v>2.3504273504273501E-2</v>
      </c>
      <c r="AE2206" s="132">
        <v>320</v>
      </c>
      <c r="AF2206" s="132">
        <v>179</v>
      </c>
      <c r="AG2206" s="132" t="s">
        <v>40</v>
      </c>
    </row>
    <row r="2207" spans="18:33" x14ac:dyDescent="0.25">
      <c r="R2207">
        <v>2193</v>
      </c>
      <c r="S2207" s="36" t="str">
        <f t="shared" ref="S2207:T2270" si="527">S2206</f>
        <v>BARATA Y MORADA</v>
      </c>
      <c r="T2207" s="36">
        <f t="shared" si="527"/>
        <v>903</v>
      </c>
      <c r="U2207" s="235">
        <v>0.27986111111111112</v>
      </c>
      <c r="V2207" s="74">
        <v>0.29166666666666669</v>
      </c>
      <c r="W2207" s="75">
        <v>1.1805555555555569E-2</v>
      </c>
      <c r="X2207" s="74">
        <v>0.3</v>
      </c>
      <c r="Y2207" s="75">
        <v>8.3333333333333037E-3</v>
      </c>
      <c r="Z2207" s="76">
        <v>41733</v>
      </c>
      <c r="AA2207" s="36" t="str">
        <f t="shared" ref="AA2207:AG2218" si="528">AA2206</f>
        <v>Internacional</v>
      </c>
      <c r="AB2207" s="36">
        <f t="shared" si="528"/>
        <v>1.0683760683760705E-2</v>
      </c>
      <c r="AC2207" s="36">
        <f t="shared" si="528"/>
        <v>1.2820512820512796E-2</v>
      </c>
      <c r="AD2207" s="36">
        <f t="shared" si="528"/>
        <v>2.3504273504273501E-2</v>
      </c>
      <c r="AE2207" s="36">
        <f t="shared" si="528"/>
        <v>320</v>
      </c>
      <c r="AF2207" s="36">
        <f t="shared" si="528"/>
        <v>179</v>
      </c>
      <c r="AG2207" s="36" t="str">
        <f t="shared" si="528"/>
        <v>LAX</v>
      </c>
    </row>
    <row r="2208" spans="18:33" x14ac:dyDescent="0.25">
      <c r="R2208">
        <v>2194</v>
      </c>
      <c r="S2208" s="36" t="str">
        <f t="shared" si="527"/>
        <v>BARATA Y MORADA</v>
      </c>
      <c r="T2208" s="36">
        <f t="shared" si="527"/>
        <v>903</v>
      </c>
      <c r="U2208" s="73">
        <v>0.27986111111111112</v>
      </c>
      <c r="V2208" s="74">
        <v>0.29166666666666669</v>
      </c>
      <c r="W2208" s="75">
        <v>1.1805555555555569E-2</v>
      </c>
      <c r="X2208" s="74">
        <v>0.3</v>
      </c>
      <c r="Y2208" s="75">
        <v>8.3333333333333037E-3</v>
      </c>
      <c r="Z2208" s="76">
        <v>41733</v>
      </c>
      <c r="AA2208" s="36" t="str">
        <f t="shared" si="528"/>
        <v>Internacional</v>
      </c>
      <c r="AB2208" s="36">
        <f t="shared" si="528"/>
        <v>1.0683760683760705E-2</v>
      </c>
      <c r="AC2208" s="36">
        <f t="shared" si="528"/>
        <v>1.2820512820512796E-2</v>
      </c>
      <c r="AD2208" s="36">
        <f t="shared" si="528"/>
        <v>2.3504273504273501E-2</v>
      </c>
      <c r="AE2208" s="36">
        <f t="shared" si="528"/>
        <v>320</v>
      </c>
      <c r="AF2208" s="36">
        <f t="shared" si="528"/>
        <v>179</v>
      </c>
      <c r="AG2208" s="36" t="str">
        <f t="shared" si="528"/>
        <v>LAX</v>
      </c>
    </row>
    <row r="2209" spans="18:33" x14ac:dyDescent="0.25">
      <c r="R2209">
        <v>2195</v>
      </c>
      <c r="S2209" s="36" t="str">
        <f t="shared" si="527"/>
        <v>BARATA Y MORADA</v>
      </c>
      <c r="T2209" s="36">
        <f t="shared" si="527"/>
        <v>903</v>
      </c>
      <c r="U2209" s="73">
        <v>0.28541666666666665</v>
      </c>
      <c r="V2209" s="74">
        <v>0.29166666666666669</v>
      </c>
      <c r="W2209" s="75">
        <v>6.2500000000000333E-3</v>
      </c>
      <c r="X2209" s="74">
        <v>0.2986111111111111</v>
      </c>
      <c r="Y2209" s="75">
        <v>6.9444444444444198E-3</v>
      </c>
      <c r="Z2209" s="76">
        <v>41736</v>
      </c>
      <c r="AA2209" s="36" t="str">
        <f t="shared" si="528"/>
        <v>Internacional</v>
      </c>
      <c r="AB2209" s="36">
        <f t="shared" si="528"/>
        <v>1.0683760683760705E-2</v>
      </c>
      <c r="AC2209" s="36">
        <f t="shared" si="528"/>
        <v>1.2820512820512796E-2</v>
      </c>
      <c r="AD2209" s="36">
        <f t="shared" si="528"/>
        <v>2.3504273504273501E-2</v>
      </c>
      <c r="AE2209" s="36">
        <f t="shared" si="528"/>
        <v>320</v>
      </c>
      <c r="AF2209" s="36">
        <f t="shared" si="528"/>
        <v>179</v>
      </c>
      <c r="AG2209" s="36" t="str">
        <f t="shared" si="528"/>
        <v>LAX</v>
      </c>
    </row>
    <row r="2210" spans="18:33" x14ac:dyDescent="0.25">
      <c r="R2210">
        <v>2196</v>
      </c>
      <c r="S2210" s="36" t="str">
        <f t="shared" si="527"/>
        <v>BARATA Y MORADA</v>
      </c>
      <c r="T2210" s="36">
        <f t="shared" si="527"/>
        <v>903</v>
      </c>
      <c r="U2210" s="73">
        <v>0.27569444444444446</v>
      </c>
      <c r="V2210" s="74">
        <v>0.29166666666666669</v>
      </c>
      <c r="W2210" s="75">
        <v>1.5972222222222221E-2</v>
      </c>
      <c r="X2210" s="74">
        <v>0.30555555555555552</v>
      </c>
      <c r="Y2210" s="75">
        <v>1.388888888888884E-2</v>
      </c>
      <c r="Z2210" s="76">
        <v>41738</v>
      </c>
      <c r="AA2210" s="36" t="str">
        <f t="shared" si="528"/>
        <v>Internacional</v>
      </c>
      <c r="AB2210" s="36">
        <f t="shared" si="528"/>
        <v>1.0683760683760705E-2</v>
      </c>
      <c r="AC2210" s="36">
        <f t="shared" si="528"/>
        <v>1.2820512820512796E-2</v>
      </c>
      <c r="AD2210" s="36">
        <f t="shared" si="528"/>
        <v>2.3504273504273501E-2</v>
      </c>
      <c r="AE2210" s="36">
        <f t="shared" si="528"/>
        <v>320</v>
      </c>
      <c r="AF2210" s="36">
        <f t="shared" si="528"/>
        <v>179</v>
      </c>
      <c r="AG2210" s="36" t="str">
        <f t="shared" si="528"/>
        <v>LAX</v>
      </c>
    </row>
    <row r="2211" spans="18:33" x14ac:dyDescent="0.25">
      <c r="R2211">
        <v>2197</v>
      </c>
      <c r="S2211" s="36" t="str">
        <f t="shared" si="527"/>
        <v>BARATA Y MORADA</v>
      </c>
      <c r="T2211" s="36">
        <f t="shared" si="527"/>
        <v>903</v>
      </c>
      <c r="U2211" s="73">
        <v>0.27291666666666664</v>
      </c>
      <c r="V2211" s="74">
        <v>0.28125</v>
      </c>
      <c r="W2211" s="75">
        <v>8.3333333333333592E-3</v>
      </c>
      <c r="X2211" s="74">
        <v>0.30208333333333331</v>
      </c>
      <c r="Y2211" s="75">
        <v>2.0833333333333315E-2</v>
      </c>
      <c r="Z2211" s="76">
        <v>41745</v>
      </c>
      <c r="AA2211" s="36" t="str">
        <f t="shared" si="528"/>
        <v>Internacional</v>
      </c>
      <c r="AB2211" s="36">
        <f t="shared" si="528"/>
        <v>1.0683760683760705E-2</v>
      </c>
      <c r="AC2211" s="36">
        <f t="shared" si="528"/>
        <v>1.2820512820512796E-2</v>
      </c>
      <c r="AD2211" s="36">
        <f t="shared" si="528"/>
        <v>2.3504273504273501E-2</v>
      </c>
      <c r="AE2211" s="36">
        <f t="shared" si="528"/>
        <v>320</v>
      </c>
      <c r="AF2211" s="36">
        <f t="shared" si="528"/>
        <v>179</v>
      </c>
      <c r="AG2211" s="36" t="str">
        <f t="shared" si="528"/>
        <v>LAX</v>
      </c>
    </row>
    <row r="2212" spans="18:33" x14ac:dyDescent="0.25">
      <c r="R2212">
        <v>2198</v>
      </c>
      <c r="S2212" s="36" t="str">
        <f t="shared" si="527"/>
        <v>BARATA Y MORADA</v>
      </c>
      <c r="T2212" s="36">
        <f t="shared" si="527"/>
        <v>903</v>
      </c>
      <c r="U2212" s="73">
        <v>0.27152777777777776</v>
      </c>
      <c r="V2212" s="74">
        <v>0.27777777777777779</v>
      </c>
      <c r="W2212" s="75">
        <v>6.2500000000000333E-3</v>
      </c>
      <c r="X2212" s="74">
        <v>0.28819444444444448</v>
      </c>
      <c r="Y2212" s="75">
        <v>1.0416666666666685E-2</v>
      </c>
      <c r="Z2212" s="76">
        <v>41745</v>
      </c>
      <c r="AA2212" s="36" t="str">
        <f t="shared" si="528"/>
        <v>Internacional</v>
      </c>
      <c r="AB2212" s="36">
        <f t="shared" si="528"/>
        <v>1.0683760683760705E-2</v>
      </c>
      <c r="AC2212" s="36">
        <f t="shared" si="528"/>
        <v>1.2820512820512796E-2</v>
      </c>
      <c r="AD2212" s="36">
        <f t="shared" si="528"/>
        <v>2.3504273504273501E-2</v>
      </c>
      <c r="AE2212" s="36">
        <f t="shared" si="528"/>
        <v>320</v>
      </c>
      <c r="AF2212" s="36">
        <f t="shared" si="528"/>
        <v>179</v>
      </c>
      <c r="AG2212" s="36" t="str">
        <f t="shared" si="528"/>
        <v>LAX</v>
      </c>
    </row>
    <row r="2213" spans="18:33" x14ac:dyDescent="0.25">
      <c r="R2213">
        <v>2199</v>
      </c>
      <c r="S2213" s="36" t="str">
        <f t="shared" si="527"/>
        <v>BARATA Y MORADA</v>
      </c>
      <c r="T2213" s="36">
        <f t="shared" si="527"/>
        <v>903</v>
      </c>
      <c r="U2213" s="73">
        <v>0.27708333333333335</v>
      </c>
      <c r="V2213" s="74">
        <v>0.28888888888888892</v>
      </c>
      <c r="W2213" s="75">
        <v>1.1805555555555569E-2</v>
      </c>
      <c r="X2213" s="74">
        <v>0.30555555555555552</v>
      </c>
      <c r="Y2213" s="75">
        <v>1.6666666666666607E-2</v>
      </c>
      <c r="Z2213" s="76">
        <v>41751</v>
      </c>
      <c r="AA2213" s="36" t="str">
        <f t="shared" si="528"/>
        <v>Internacional</v>
      </c>
      <c r="AB2213" s="36">
        <f t="shared" si="528"/>
        <v>1.0683760683760705E-2</v>
      </c>
      <c r="AC2213" s="36">
        <f t="shared" si="528"/>
        <v>1.2820512820512796E-2</v>
      </c>
      <c r="AD2213" s="36">
        <f t="shared" si="528"/>
        <v>2.3504273504273501E-2</v>
      </c>
      <c r="AE2213" s="36">
        <f t="shared" si="528"/>
        <v>320</v>
      </c>
      <c r="AF2213" s="36">
        <f t="shared" si="528"/>
        <v>179</v>
      </c>
      <c r="AG2213" s="36" t="str">
        <f t="shared" si="528"/>
        <v>LAX</v>
      </c>
    </row>
    <row r="2214" spans="18:33" x14ac:dyDescent="0.25">
      <c r="R2214">
        <v>2200</v>
      </c>
      <c r="S2214" s="36" t="str">
        <f t="shared" si="527"/>
        <v>BARATA Y MORADA</v>
      </c>
      <c r="T2214" s="36">
        <f t="shared" si="527"/>
        <v>903</v>
      </c>
      <c r="U2214" s="73">
        <v>0.27152777777777776</v>
      </c>
      <c r="V2214" s="74">
        <v>0.28125</v>
      </c>
      <c r="W2214" s="75">
        <v>9.7222222222222432E-3</v>
      </c>
      <c r="X2214" s="74">
        <v>0.30555555555555552</v>
      </c>
      <c r="Y2214" s="75">
        <v>2.4305555555555525E-2</v>
      </c>
      <c r="Z2214" s="76">
        <v>41752</v>
      </c>
      <c r="AA2214" s="36" t="str">
        <f t="shared" si="528"/>
        <v>Internacional</v>
      </c>
      <c r="AB2214" s="36">
        <f t="shared" si="528"/>
        <v>1.0683760683760705E-2</v>
      </c>
      <c r="AC2214" s="36">
        <f t="shared" si="528"/>
        <v>1.2820512820512796E-2</v>
      </c>
      <c r="AD2214" s="36">
        <f t="shared" si="528"/>
        <v>2.3504273504273501E-2</v>
      </c>
      <c r="AE2214" s="36">
        <f t="shared" si="528"/>
        <v>320</v>
      </c>
      <c r="AF2214" s="36">
        <f t="shared" si="528"/>
        <v>179</v>
      </c>
      <c r="AG2214" s="36" t="str">
        <f t="shared" si="528"/>
        <v>LAX</v>
      </c>
    </row>
    <row r="2215" spans="18:33" x14ac:dyDescent="0.25">
      <c r="R2215">
        <v>2201</v>
      </c>
      <c r="S2215" s="36" t="str">
        <f t="shared" si="527"/>
        <v>BARATA Y MORADA</v>
      </c>
      <c r="T2215" s="36">
        <f t="shared" si="527"/>
        <v>903</v>
      </c>
      <c r="U2215" s="73">
        <v>0.27083333333333331</v>
      </c>
      <c r="V2215" s="74">
        <v>0.28472222222222221</v>
      </c>
      <c r="W2215" s="75">
        <v>1.3888888888888895E-2</v>
      </c>
      <c r="X2215" s="74">
        <v>0.30694444444444441</v>
      </c>
      <c r="Y2215" s="75">
        <v>2.2222222222222199E-2</v>
      </c>
      <c r="Z2215" s="76">
        <v>41753</v>
      </c>
      <c r="AA2215" s="36" t="str">
        <f t="shared" si="528"/>
        <v>Internacional</v>
      </c>
      <c r="AB2215" s="36">
        <f t="shared" si="528"/>
        <v>1.0683760683760705E-2</v>
      </c>
      <c r="AC2215" s="36">
        <f t="shared" si="528"/>
        <v>1.2820512820512796E-2</v>
      </c>
      <c r="AD2215" s="36">
        <f t="shared" si="528"/>
        <v>2.3504273504273501E-2</v>
      </c>
      <c r="AE2215" s="36">
        <f t="shared" si="528"/>
        <v>320</v>
      </c>
      <c r="AF2215" s="36">
        <f t="shared" si="528"/>
        <v>179</v>
      </c>
      <c r="AG2215" s="36" t="str">
        <f t="shared" si="528"/>
        <v>LAX</v>
      </c>
    </row>
    <row r="2216" spans="18:33" x14ac:dyDescent="0.25">
      <c r="R2216">
        <v>2202</v>
      </c>
      <c r="S2216" s="36" t="str">
        <f t="shared" si="527"/>
        <v>BARATA Y MORADA</v>
      </c>
      <c r="T2216" s="36">
        <f t="shared" si="527"/>
        <v>903</v>
      </c>
      <c r="U2216" s="73">
        <v>0.28263888888888888</v>
      </c>
      <c r="V2216" s="74">
        <v>0.29097222222222224</v>
      </c>
      <c r="W2216" s="75">
        <v>8.3333333333333592E-3</v>
      </c>
      <c r="X2216" s="74">
        <v>0.29583333333333334</v>
      </c>
      <c r="Y2216" s="75">
        <v>4.8611111111110938E-3</v>
      </c>
      <c r="Z2216" s="76">
        <v>41754</v>
      </c>
      <c r="AA2216" s="36" t="str">
        <f t="shared" si="528"/>
        <v>Internacional</v>
      </c>
      <c r="AB2216" s="36">
        <f t="shared" si="528"/>
        <v>1.0683760683760705E-2</v>
      </c>
      <c r="AC2216" s="36">
        <f t="shared" si="528"/>
        <v>1.2820512820512796E-2</v>
      </c>
      <c r="AD2216" s="36">
        <f t="shared" si="528"/>
        <v>2.3504273504273501E-2</v>
      </c>
      <c r="AE2216" s="36">
        <f t="shared" si="528"/>
        <v>320</v>
      </c>
      <c r="AF2216" s="36">
        <f t="shared" si="528"/>
        <v>179</v>
      </c>
      <c r="AG2216" s="36" t="str">
        <f t="shared" si="528"/>
        <v>LAX</v>
      </c>
    </row>
    <row r="2217" spans="18:33" x14ac:dyDescent="0.25">
      <c r="R2217">
        <v>2203</v>
      </c>
      <c r="S2217" s="36" t="str">
        <f t="shared" si="527"/>
        <v>BARATA Y MORADA</v>
      </c>
      <c r="T2217" s="36">
        <f t="shared" si="527"/>
        <v>903</v>
      </c>
      <c r="U2217" s="73">
        <v>0.27291666666666664</v>
      </c>
      <c r="V2217" s="74">
        <v>0.29097222222222224</v>
      </c>
      <c r="W2217" s="75">
        <v>1.8055555555555602E-2</v>
      </c>
      <c r="X2217" s="74">
        <v>0.30416666666666664</v>
      </c>
      <c r="Y2217" s="75">
        <v>1.3194444444444398E-2</v>
      </c>
      <c r="Z2217" s="76">
        <v>41756</v>
      </c>
      <c r="AA2217" s="36" t="str">
        <f t="shared" si="528"/>
        <v>Internacional</v>
      </c>
      <c r="AB2217" s="36">
        <f t="shared" si="528"/>
        <v>1.0683760683760705E-2</v>
      </c>
      <c r="AC2217" s="36">
        <f t="shared" si="528"/>
        <v>1.2820512820512796E-2</v>
      </c>
      <c r="AD2217" s="36">
        <f t="shared" si="528"/>
        <v>2.3504273504273501E-2</v>
      </c>
      <c r="AE2217" s="36">
        <f t="shared" si="528"/>
        <v>320</v>
      </c>
      <c r="AF2217" s="36">
        <f t="shared" si="528"/>
        <v>179</v>
      </c>
      <c r="AG2217" s="36" t="str">
        <f t="shared" si="528"/>
        <v>LAX</v>
      </c>
    </row>
    <row r="2218" spans="18:33" ht="15.75" thickBot="1" x14ac:dyDescent="0.3">
      <c r="R2218">
        <v>2204</v>
      </c>
      <c r="S2218" s="36" t="str">
        <f t="shared" si="527"/>
        <v>BARATA Y MORADA</v>
      </c>
      <c r="T2218" s="36">
        <f t="shared" si="527"/>
        <v>903</v>
      </c>
      <c r="U2218" s="83">
        <v>0.28472222222222221</v>
      </c>
      <c r="V2218" s="84">
        <v>0.29166666666666669</v>
      </c>
      <c r="W2218" s="85">
        <v>6.9444444444444753E-3</v>
      </c>
      <c r="X2218" s="84">
        <v>0.29652777777777778</v>
      </c>
      <c r="Y2218" s="85">
        <v>4.8611111111110938E-3</v>
      </c>
      <c r="Z2218" s="86">
        <v>41759</v>
      </c>
      <c r="AA2218" s="36" t="str">
        <f t="shared" si="528"/>
        <v>Internacional</v>
      </c>
      <c r="AB2218" s="36">
        <f t="shared" si="528"/>
        <v>1.0683760683760705E-2</v>
      </c>
      <c r="AC2218" s="36">
        <f t="shared" si="528"/>
        <v>1.2820512820512796E-2</v>
      </c>
      <c r="AD2218" s="36">
        <f t="shared" si="528"/>
        <v>2.3504273504273501E-2</v>
      </c>
      <c r="AE2218" s="36">
        <f t="shared" si="528"/>
        <v>320</v>
      </c>
      <c r="AF2218" s="36">
        <f t="shared" si="528"/>
        <v>179</v>
      </c>
      <c r="AG2218" s="36" t="str">
        <f t="shared" si="528"/>
        <v>LAX</v>
      </c>
    </row>
    <row r="2219" spans="18:33" x14ac:dyDescent="0.25">
      <c r="R2219">
        <v>2205</v>
      </c>
      <c r="S2219" s="36" t="str">
        <f t="shared" si="527"/>
        <v>BARATA Y MORADA</v>
      </c>
      <c r="T2219" s="55">
        <v>913</v>
      </c>
      <c r="U2219" s="56">
        <v>0.24444444444444446</v>
      </c>
      <c r="V2219" s="57">
        <v>0.26527777777777778</v>
      </c>
      <c r="W2219" s="58">
        <v>2.0833333333333315E-2</v>
      </c>
      <c r="X2219" s="57">
        <v>0.27361111111111108</v>
      </c>
      <c r="Y2219" s="58">
        <v>8.3333333333333037E-3</v>
      </c>
      <c r="Z2219" s="59">
        <v>41730</v>
      </c>
      <c r="AA2219" s="60" t="s">
        <v>22</v>
      </c>
      <c r="AB2219" s="61">
        <v>1.3446969696969692E-2</v>
      </c>
      <c r="AC2219" s="61">
        <v>1.4930555555555556E-2</v>
      </c>
      <c r="AD2219" s="231">
        <v>2.8377525252525248E-2</v>
      </c>
      <c r="AE2219" s="132">
        <v>320</v>
      </c>
      <c r="AF2219" s="132">
        <v>179</v>
      </c>
      <c r="AG2219" s="132" t="s">
        <v>40</v>
      </c>
    </row>
    <row r="2220" spans="18:33" x14ac:dyDescent="0.25">
      <c r="R2220">
        <v>2206</v>
      </c>
      <c r="S2220" s="36" t="str">
        <f t="shared" si="527"/>
        <v>BARATA Y MORADA</v>
      </c>
      <c r="T2220" s="36">
        <f t="shared" si="527"/>
        <v>913</v>
      </c>
      <c r="U2220" s="73">
        <v>0.26874999999999999</v>
      </c>
      <c r="V2220" s="74">
        <v>0.27569444444444446</v>
      </c>
      <c r="W2220" s="75">
        <v>6.9444444444444753E-3</v>
      </c>
      <c r="X2220" s="74">
        <v>0.28333333333333333</v>
      </c>
      <c r="Y2220" s="75">
        <v>7.6388888888888618E-3</v>
      </c>
      <c r="Z2220" s="76">
        <v>41731</v>
      </c>
      <c r="AA2220" s="36" t="str">
        <f t="shared" ref="AA2220:AG2240" si="529">AA2219</f>
        <v>Internacional</v>
      </c>
      <c r="AB2220" s="36">
        <f t="shared" si="529"/>
        <v>1.3446969696969692E-2</v>
      </c>
      <c r="AC2220" s="36">
        <f t="shared" si="529"/>
        <v>1.4930555555555556E-2</v>
      </c>
      <c r="AD2220" s="36">
        <f t="shared" si="529"/>
        <v>2.8377525252525248E-2</v>
      </c>
      <c r="AE2220" s="36">
        <f t="shared" si="529"/>
        <v>320</v>
      </c>
      <c r="AF2220" s="36">
        <f t="shared" si="529"/>
        <v>179</v>
      </c>
      <c r="AG2220" s="36" t="str">
        <f t="shared" si="529"/>
        <v>LAX</v>
      </c>
    </row>
    <row r="2221" spans="18:33" x14ac:dyDescent="0.25">
      <c r="R2221">
        <v>2207</v>
      </c>
      <c r="S2221" s="36" t="str">
        <f t="shared" si="527"/>
        <v>BARATA Y MORADA</v>
      </c>
      <c r="T2221" s="36">
        <f t="shared" si="527"/>
        <v>913</v>
      </c>
      <c r="U2221" s="73">
        <v>0.25972222222222224</v>
      </c>
      <c r="V2221" s="74">
        <v>0.27083333333333331</v>
      </c>
      <c r="W2221" s="75">
        <v>1.1111111111111072E-2</v>
      </c>
      <c r="X2221" s="74">
        <v>0.28611111111111115</v>
      </c>
      <c r="Y2221" s="75">
        <v>1.5277777777777835E-2</v>
      </c>
      <c r="Z2221" s="76">
        <v>41734</v>
      </c>
      <c r="AA2221" s="36" t="str">
        <f t="shared" si="529"/>
        <v>Internacional</v>
      </c>
      <c r="AB2221" s="36">
        <f t="shared" si="529"/>
        <v>1.3446969696969692E-2</v>
      </c>
      <c r="AC2221" s="36">
        <f t="shared" si="529"/>
        <v>1.4930555555555556E-2</v>
      </c>
      <c r="AD2221" s="36">
        <f t="shared" si="529"/>
        <v>2.8377525252525248E-2</v>
      </c>
      <c r="AE2221" s="36">
        <f t="shared" si="529"/>
        <v>320</v>
      </c>
      <c r="AF2221" s="36">
        <f t="shared" si="529"/>
        <v>179</v>
      </c>
      <c r="AG2221" s="36" t="str">
        <f t="shared" si="529"/>
        <v>LAX</v>
      </c>
    </row>
    <row r="2222" spans="18:33" x14ac:dyDescent="0.25">
      <c r="R2222">
        <v>2208</v>
      </c>
      <c r="S2222" s="36" t="str">
        <f t="shared" si="527"/>
        <v>BARATA Y MORADA</v>
      </c>
      <c r="T2222" s="36">
        <f t="shared" si="527"/>
        <v>913</v>
      </c>
      <c r="U2222" s="73">
        <v>0.25277777777777777</v>
      </c>
      <c r="V2222" s="74">
        <v>0.25694444444444448</v>
      </c>
      <c r="W2222" s="75">
        <v>4.1666666666667074E-3</v>
      </c>
      <c r="X2222" s="74">
        <v>0.2638888888888889</v>
      </c>
      <c r="Y2222" s="75">
        <v>6.9444444444444198E-3</v>
      </c>
      <c r="Z2222" s="76">
        <v>41734</v>
      </c>
      <c r="AA2222" s="36" t="str">
        <f t="shared" si="529"/>
        <v>Internacional</v>
      </c>
      <c r="AB2222" s="36">
        <f t="shared" si="529"/>
        <v>1.3446969696969692E-2</v>
      </c>
      <c r="AC2222" s="36">
        <f t="shared" si="529"/>
        <v>1.4930555555555556E-2</v>
      </c>
      <c r="AD2222" s="36">
        <f t="shared" si="529"/>
        <v>2.8377525252525248E-2</v>
      </c>
      <c r="AE2222" s="36">
        <f t="shared" si="529"/>
        <v>320</v>
      </c>
      <c r="AF2222" s="36">
        <f t="shared" si="529"/>
        <v>179</v>
      </c>
      <c r="AG2222" s="36" t="str">
        <f t="shared" si="529"/>
        <v>LAX</v>
      </c>
    </row>
    <row r="2223" spans="18:33" x14ac:dyDescent="0.25">
      <c r="R2223">
        <v>2209</v>
      </c>
      <c r="S2223" s="36" t="str">
        <f t="shared" si="527"/>
        <v>BARATA Y MORADA</v>
      </c>
      <c r="T2223" s="36">
        <f t="shared" si="527"/>
        <v>913</v>
      </c>
      <c r="U2223" s="73">
        <v>0.25555555555555559</v>
      </c>
      <c r="V2223" s="74">
        <v>0.27013888888888887</v>
      </c>
      <c r="W2223" s="75">
        <v>1.4583333333333282E-2</v>
      </c>
      <c r="X2223" s="74">
        <v>0.28472222222222221</v>
      </c>
      <c r="Y2223" s="75">
        <v>1.4583333333333337E-2</v>
      </c>
      <c r="Z2223" s="76">
        <v>41736</v>
      </c>
      <c r="AA2223" s="36" t="str">
        <f t="shared" si="529"/>
        <v>Internacional</v>
      </c>
      <c r="AB2223" s="36">
        <f t="shared" si="529"/>
        <v>1.3446969696969692E-2</v>
      </c>
      <c r="AC2223" s="36">
        <f t="shared" si="529"/>
        <v>1.4930555555555556E-2</v>
      </c>
      <c r="AD2223" s="36">
        <f t="shared" si="529"/>
        <v>2.8377525252525248E-2</v>
      </c>
      <c r="AE2223" s="36">
        <f t="shared" si="529"/>
        <v>320</v>
      </c>
      <c r="AF2223" s="36">
        <f t="shared" si="529"/>
        <v>179</v>
      </c>
      <c r="AG2223" s="36" t="str">
        <f t="shared" si="529"/>
        <v>LAX</v>
      </c>
    </row>
    <row r="2224" spans="18:33" x14ac:dyDescent="0.25">
      <c r="R2224">
        <v>2210</v>
      </c>
      <c r="S2224" s="36" t="str">
        <f t="shared" si="527"/>
        <v>BARATA Y MORADA</v>
      </c>
      <c r="T2224" s="36">
        <f t="shared" si="527"/>
        <v>913</v>
      </c>
      <c r="U2224" s="73">
        <v>0.25416666666666665</v>
      </c>
      <c r="V2224" s="74">
        <v>0.25972222222222224</v>
      </c>
      <c r="W2224" s="75">
        <v>5.5555555555555913E-3</v>
      </c>
      <c r="X2224" s="74">
        <v>0.27013888888888887</v>
      </c>
      <c r="Y2224" s="75">
        <v>1.041666666666663E-2</v>
      </c>
      <c r="Z2224" s="76">
        <v>41736</v>
      </c>
      <c r="AA2224" s="36" t="str">
        <f t="shared" si="529"/>
        <v>Internacional</v>
      </c>
      <c r="AB2224" s="36">
        <f t="shared" si="529"/>
        <v>1.3446969696969692E-2</v>
      </c>
      <c r="AC2224" s="36">
        <f t="shared" si="529"/>
        <v>1.4930555555555556E-2</v>
      </c>
      <c r="AD2224" s="36">
        <f t="shared" si="529"/>
        <v>2.8377525252525248E-2</v>
      </c>
      <c r="AE2224" s="36">
        <f t="shared" si="529"/>
        <v>320</v>
      </c>
      <c r="AF2224" s="36">
        <f t="shared" si="529"/>
        <v>179</v>
      </c>
      <c r="AG2224" s="36" t="str">
        <f t="shared" si="529"/>
        <v>LAX</v>
      </c>
    </row>
    <row r="2225" spans="18:33" x14ac:dyDescent="0.25">
      <c r="R2225">
        <v>2211</v>
      </c>
      <c r="S2225" s="36" t="str">
        <f t="shared" si="527"/>
        <v>BARATA Y MORADA</v>
      </c>
      <c r="T2225" s="36">
        <f t="shared" si="527"/>
        <v>913</v>
      </c>
      <c r="U2225" s="73">
        <v>0.25</v>
      </c>
      <c r="V2225" s="74">
        <v>0.26111111111111113</v>
      </c>
      <c r="W2225" s="75">
        <v>1.1111111111111127E-2</v>
      </c>
      <c r="X2225" s="74">
        <v>0.2902777777777778</v>
      </c>
      <c r="Y2225" s="75">
        <v>2.9166666666666674E-2</v>
      </c>
      <c r="Z2225" s="76">
        <v>41737</v>
      </c>
      <c r="AA2225" s="36" t="str">
        <f t="shared" si="529"/>
        <v>Internacional</v>
      </c>
      <c r="AB2225" s="36">
        <f t="shared" si="529"/>
        <v>1.3446969696969692E-2</v>
      </c>
      <c r="AC2225" s="36">
        <f t="shared" si="529"/>
        <v>1.4930555555555556E-2</v>
      </c>
      <c r="AD2225" s="36">
        <f t="shared" si="529"/>
        <v>2.8377525252525248E-2</v>
      </c>
      <c r="AE2225" s="36">
        <f t="shared" si="529"/>
        <v>320</v>
      </c>
      <c r="AF2225" s="36">
        <f t="shared" si="529"/>
        <v>179</v>
      </c>
      <c r="AG2225" s="36" t="str">
        <f t="shared" si="529"/>
        <v>LAX</v>
      </c>
    </row>
    <row r="2226" spans="18:33" x14ac:dyDescent="0.25">
      <c r="R2226">
        <v>2212</v>
      </c>
      <c r="S2226" s="36" t="str">
        <f t="shared" si="527"/>
        <v>BARATA Y MORADA</v>
      </c>
      <c r="T2226" s="36">
        <f t="shared" si="527"/>
        <v>913</v>
      </c>
      <c r="U2226" s="73">
        <v>0.26527777777777778</v>
      </c>
      <c r="V2226" s="74">
        <v>0.28472222222222221</v>
      </c>
      <c r="W2226" s="75">
        <v>1.9444444444444431E-2</v>
      </c>
      <c r="X2226" s="74">
        <v>0.30208333333333331</v>
      </c>
      <c r="Y2226" s="75">
        <v>1.7361111111111105E-2</v>
      </c>
      <c r="Z2226" s="76">
        <v>41738</v>
      </c>
      <c r="AA2226" s="36" t="str">
        <f t="shared" si="529"/>
        <v>Internacional</v>
      </c>
      <c r="AB2226" s="36">
        <f t="shared" si="529"/>
        <v>1.3446969696969692E-2</v>
      </c>
      <c r="AC2226" s="36">
        <f t="shared" si="529"/>
        <v>1.4930555555555556E-2</v>
      </c>
      <c r="AD2226" s="36">
        <f t="shared" si="529"/>
        <v>2.8377525252525248E-2</v>
      </c>
      <c r="AE2226" s="36">
        <f t="shared" si="529"/>
        <v>320</v>
      </c>
      <c r="AF2226" s="36">
        <f t="shared" si="529"/>
        <v>179</v>
      </c>
      <c r="AG2226" s="36" t="str">
        <f t="shared" si="529"/>
        <v>LAX</v>
      </c>
    </row>
    <row r="2227" spans="18:33" x14ac:dyDescent="0.25">
      <c r="R2227">
        <v>2213</v>
      </c>
      <c r="S2227" s="36" t="str">
        <f t="shared" si="527"/>
        <v>BARATA Y MORADA</v>
      </c>
      <c r="T2227" s="36">
        <f t="shared" si="527"/>
        <v>913</v>
      </c>
      <c r="U2227" s="73">
        <v>0.25416666666666665</v>
      </c>
      <c r="V2227" s="74">
        <v>0.27569444444444446</v>
      </c>
      <c r="W2227" s="75">
        <v>2.1527777777777812E-2</v>
      </c>
      <c r="X2227" s="74">
        <v>0.28611111111111115</v>
      </c>
      <c r="Y2227" s="75">
        <v>1.0416666666666685E-2</v>
      </c>
      <c r="Z2227" s="76">
        <v>41739</v>
      </c>
      <c r="AA2227" s="36" t="str">
        <f t="shared" si="529"/>
        <v>Internacional</v>
      </c>
      <c r="AB2227" s="36">
        <f t="shared" si="529"/>
        <v>1.3446969696969692E-2</v>
      </c>
      <c r="AC2227" s="36">
        <f t="shared" si="529"/>
        <v>1.4930555555555556E-2</v>
      </c>
      <c r="AD2227" s="36">
        <f t="shared" si="529"/>
        <v>2.8377525252525248E-2</v>
      </c>
      <c r="AE2227" s="36">
        <f t="shared" si="529"/>
        <v>320</v>
      </c>
      <c r="AF2227" s="36">
        <f t="shared" si="529"/>
        <v>179</v>
      </c>
      <c r="AG2227" s="36" t="str">
        <f t="shared" si="529"/>
        <v>LAX</v>
      </c>
    </row>
    <row r="2228" spans="18:33" x14ac:dyDescent="0.25">
      <c r="R2228">
        <v>2214</v>
      </c>
      <c r="S2228" s="36" t="str">
        <f t="shared" si="527"/>
        <v>BARATA Y MORADA</v>
      </c>
      <c r="T2228" s="36">
        <f t="shared" si="527"/>
        <v>913</v>
      </c>
      <c r="U2228" s="73">
        <v>0.24444444444444446</v>
      </c>
      <c r="V2228" s="74">
        <v>0.26527777777777778</v>
      </c>
      <c r="W2228" s="75">
        <v>2.0833333333333315E-2</v>
      </c>
      <c r="X2228" s="74">
        <v>0.27361111111111108</v>
      </c>
      <c r="Y2228" s="75">
        <v>8.3333333333333037E-3</v>
      </c>
      <c r="Z2228" s="76">
        <v>41742</v>
      </c>
      <c r="AA2228" s="36" t="str">
        <f t="shared" si="529"/>
        <v>Internacional</v>
      </c>
      <c r="AB2228" s="36">
        <f t="shared" si="529"/>
        <v>1.3446969696969692E-2</v>
      </c>
      <c r="AC2228" s="36">
        <f t="shared" si="529"/>
        <v>1.4930555555555556E-2</v>
      </c>
      <c r="AD2228" s="36">
        <f t="shared" si="529"/>
        <v>2.8377525252525248E-2</v>
      </c>
      <c r="AE2228" s="36">
        <f t="shared" si="529"/>
        <v>320</v>
      </c>
      <c r="AF2228" s="36">
        <f t="shared" si="529"/>
        <v>179</v>
      </c>
      <c r="AG2228" s="36" t="str">
        <f t="shared" si="529"/>
        <v>LAX</v>
      </c>
    </row>
    <row r="2229" spans="18:33" x14ac:dyDescent="0.25">
      <c r="R2229">
        <v>2215</v>
      </c>
      <c r="S2229" s="36" t="str">
        <f t="shared" si="527"/>
        <v>BARATA Y MORADA</v>
      </c>
      <c r="T2229" s="36">
        <f t="shared" si="527"/>
        <v>913</v>
      </c>
      <c r="U2229" s="73">
        <v>0.24166666666666667</v>
      </c>
      <c r="V2229" s="74">
        <v>0.24861111111111112</v>
      </c>
      <c r="W2229" s="75">
        <v>6.9444444444444475E-3</v>
      </c>
      <c r="X2229" s="74">
        <v>0.26319444444444445</v>
      </c>
      <c r="Y2229" s="75">
        <v>1.4583333333333337E-2</v>
      </c>
      <c r="Z2229" s="76">
        <v>41743</v>
      </c>
      <c r="AA2229" s="36" t="str">
        <f t="shared" si="529"/>
        <v>Internacional</v>
      </c>
      <c r="AB2229" s="36">
        <f t="shared" si="529"/>
        <v>1.3446969696969692E-2</v>
      </c>
      <c r="AC2229" s="36">
        <f t="shared" si="529"/>
        <v>1.4930555555555556E-2</v>
      </c>
      <c r="AD2229" s="36">
        <f t="shared" si="529"/>
        <v>2.8377525252525248E-2</v>
      </c>
      <c r="AE2229" s="36">
        <f t="shared" si="529"/>
        <v>320</v>
      </c>
      <c r="AF2229" s="36">
        <f t="shared" si="529"/>
        <v>179</v>
      </c>
      <c r="AG2229" s="36" t="str">
        <f t="shared" si="529"/>
        <v>LAX</v>
      </c>
    </row>
    <row r="2230" spans="18:33" x14ac:dyDescent="0.25">
      <c r="R2230">
        <v>2216</v>
      </c>
      <c r="S2230" s="36" t="str">
        <f t="shared" si="527"/>
        <v>BARATA Y MORADA</v>
      </c>
      <c r="T2230" s="36">
        <f t="shared" si="527"/>
        <v>913</v>
      </c>
      <c r="U2230" s="73">
        <v>0.24791666666666667</v>
      </c>
      <c r="V2230" s="74">
        <v>0.2673611111111111</v>
      </c>
      <c r="W2230" s="75">
        <v>1.9444444444444431E-2</v>
      </c>
      <c r="X2230" s="74">
        <v>0.28958333333333336</v>
      </c>
      <c r="Y2230" s="75">
        <v>2.2222222222222254E-2</v>
      </c>
      <c r="Z2230" s="76">
        <v>41745</v>
      </c>
      <c r="AA2230" s="36" t="str">
        <f t="shared" si="529"/>
        <v>Internacional</v>
      </c>
      <c r="AB2230" s="36">
        <f t="shared" si="529"/>
        <v>1.3446969696969692E-2</v>
      </c>
      <c r="AC2230" s="36">
        <f t="shared" si="529"/>
        <v>1.4930555555555556E-2</v>
      </c>
      <c r="AD2230" s="36">
        <f t="shared" si="529"/>
        <v>2.8377525252525248E-2</v>
      </c>
      <c r="AE2230" s="36">
        <f t="shared" si="529"/>
        <v>320</v>
      </c>
      <c r="AF2230" s="36">
        <f t="shared" si="529"/>
        <v>179</v>
      </c>
      <c r="AG2230" s="36" t="str">
        <f t="shared" si="529"/>
        <v>LAX</v>
      </c>
    </row>
    <row r="2231" spans="18:33" x14ac:dyDescent="0.25">
      <c r="R2231">
        <v>2217</v>
      </c>
      <c r="S2231" s="36" t="str">
        <f t="shared" si="527"/>
        <v>BARATA Y MORADA</v>
      </c>
      <c r="T2231" s="36">
        <f t="shared" si="527"/>
        <v>913</v>
      </c>
      <c r="U2231" s="73">
        <v>0.24722222222222223</v>
      </c>
      <c r="V2231" s="74">
        <v>0.2590277777777778</v>
      </c>
      <c r="W2231" s="75">
        <v>1.1805555555555569E-2</v>
      </c>
      <c r="X2231" s="74">
        <v>0.28125</v>
      </c>
      <c r="Y2231" s="75">
        <v>2.2222222222222199E-2</v>
      </c>
      <c r="Z2231" s="76">
        <v>41745</v>
      </c>
      <c r="AA2231" s="36" t="str">
        <f t="shared" si="529"/>
        <v>Internacional</v>
      </c>
      <c r="AB2231" s="36">
        <f t="shared" si="529"/>
        <v>1.3446969696969692E-2</v>
      </c>
      <c r="AC2231" s="36">
        <f t="shared" si="529"/>
        <v>1.4930555555555556E-2</v>
      </c>
      <c r="AD2231" s="36">
        <f t="shared" si="529"/>
        <v>2.8377525252525248E-2</v>
      </c>
      <c r="AE2231" s="36">
        <f t="shared" si="529"/>
        <v>320</v>
      </c>
      <c r="AF2231" s="36">
        <f t="shared" si="529"/>
        <v>179</v>
      </c>
      <c r="AG2231" s="36" t="str">
        <f t="shared" si="529"/>
        <v>LAX</v>
      </c>
    </row>
    <row r="2232" spans="18:33" x14ac:dyDescent="0.25">
      <c r="R2232">
        <v>2218</v>
      </c>
      <c r="S2232" s="36" t="str">
        <f t="shared" si="527"/>
        <v>BARATA Y MORADA</v>
      </c>
      <c r="T2232" s="36">
        <f t="shared" si="527"/>
        <v>913</v>
      </c>
      <c r="U2232" s="73">
        <v>0.26111111111111113</v>
      </c>
      <c r="V2232" s="74">
        <v>0.28611111111111115</v>
      </c>
      <c r="W2232" s="75">
        <v>2.5000000000000022E-2</v>
      </c>
      <c r="X2232" s="74">
        <v>0.29583333333333334</v>
      </c>
      <c r="Y2232" s="75">
        <v>9.7222222222221877E-3</v>
      </c>
      <c r="Z2232" s="76">
        <v>41746</v>
      </c>
      <c r="AA2232" s="36" t="str">
        <f t="shared" si="529"/>
        <v>Internacional</v>
      </c>
      <c r="AB2232" s="36">
        <f t="shared" si="529"/>
        <v>1.3446969696969692E-2</v>
      </c>
      <c r="AC2232" s="36">
        <f t="shared" si="529"/>
        <v>1.4930555555555556E-2</v>
      </c>
      <c r="AD2232" s="36">
        <f t="shared" si="529"/>
        <v>2.8377525252525248E-2</v>
      </c>
      <c r="AE2232" s="36">
        <f t="shared" si="529"/>
        <v>320</v>
      </c>
      <c r="AF2232" s="36">
        <f t="shared" si="529"/>
        <v>179</v>
      </c>
      <c r="AG2232" s="36" t="str">
        <f t="shared" si="529"/>
        <v>LAX</v>
      </c>
    </row>
    <row r="2233" spans="18:33" x14ac:dyDescent="0.25">
      <c r="R2233">
        <v>2219</v>
      </c>
      <c r="S2233" s="36" t="str">
        <f t="shared" si="527"/>
        <v>BARATA Y MORADA</v>
      </c>
      <c r="T2233" s="36">
        <f t="shared" si="527"/>
        <v>913</v>
      </c>
      <c r="U2233" s="73">
        <v>0.25694444444444448</v>
      </c>
      <c r="V2233" s="74">
        <v>0.27083333333333331</v>
      </c>
      <c r="W2233" s="75">
        <v>1.388888888888884E-2</v>
      </c>
      <c r="X2233" s="74">
        <v>0.29097222222222224</v>
      </c>
      <c r="Y2233" s="75">
        <v>2.0138888888888928E-2</v>
      </c>
      <c r="Z2233" s="76">
        <v>41747</v>
      </c>
      <c r="AA2233" s="36" t="str">
        <f t="shared" si="529"/>
        <v>Internacional</v>
      </c>
      <c r="AB2233" s="36">
        <f t="shared" si="529"/>
        <v>1.3446969696969692E-2</v>
      </c>
      <c r="AC2233" s="36">
        <f t="shared" si="529"/>
        <v>1.4930555555555556E-2</v>
      </c>
      <c r="AD2233" s="36">
        <f t="shared" si="529"/>
        <v>2.8377525252525248E-2</v>
      </c>
      <c r="AE2233" s="36">
        <f t="shared" si="529"/>
        <v>320</v>
      </c>
      <c r="AF2233" s="36">
        <f t="shared" si="529"/>
        <v>179</v>
      </c>
      <c r="AG2233" s="36" t="str">
        <f t="shared" si="529"/>
        <v>LAX</v>
      </c>
    </row>
    <row r="2234" spans="18:33" x14ac:dyDescent="0.25">
      <c r="R2234">
        <v>2220</v>
      </c>
      <c r="S2234" s="36" t="str">
        <f t="shared" si="527"/>
        <v>BARATA Y MORADA</v>
      </c>
      <c r="T2234" s="36">
        <f t="shared" si="527"/>
        <v>913</v>
      </c>
      <c r="U2234" s="73">
        <v>0.26319444444444445</v>
      </c>
      <c r="V2234" s="74">
        <v>0.28263888888888888</v>
      </c>
      <c r="W2234" s="75">
        <v>1.9444444444444431E-2</v>
      </c>
      <c r="X2234" s="74">
        <v>0.2902777777777778</v>
      </c>
      <c r="Y2234" s="75">
        <v>7.6388888888889173E-3</v>
      </c>
      <c r="Z2234" s="76">
        <v>41749</v>
      </c>
      <c r="AA2234" s="36" t="str">
        <f t="shared" si="529"/>
        <v>Internacional</v>
      </c>
      <c r="AB2234" s="36">
        <f t="shared" si="529"/>
        <v>1.3446969696969692E-2</v>
      </c>
      <c r="AC2234" s="36">
        <f t="shared" si="529"/>
        <v>1.4930555555555556E-2</v>
      </c>
      <c r="AD2234" s="36">
        <f t="shared" si="529"/>
        <v>2.8377525252525248E-2</v>
      </c>
      <c r="AE2234" s="36">
        <f t="shared" si="529"/>
        <v>320</v>
      </c>
      <c r="AF2234" s="36">
        <f t="shared" si="529"/>
        <v>179</v>
      </c>
      <c r="AG2234" s="36" t="str">
        <f t="shared" si="529"/>
        <v>LAX</v>
      </c>
    </row>
    <row r="2235" spans="18:33" x14ac:dyDescent="0.25">
      <c r="R2235">
        <v>2221</v>
      </c>
      <c r="S2235" s="36" t="str">
        <f t="shared" si="527"/>
        <v>BARATA Y MORADA</v>
      </c>
      <c r="T2235" s="36">
        <f t="shared" si="527"/>
        <v>913</v>
      </c>
      <c r="U2235" s="73">
        <v>0.25625000000000003</v>
      </c>
      <c r="V2235" s="74">
        <v>0.27083333333333331</v>
      </c>
      <c r="W2235" s="75">
        <v>1.4583333333333282E-2</v>
      </c>
      <c r="X2235" s="74">
        <v>0.29236111111111113</v>
      </c>
      <c r="Y2235" s="75">
        <v>2.1527777777777812E-2</v>
      </c>
      <c r="Z2235" s="76">
        <v>41752</v>
      </c>
      <c r="AA2235" s="36" t="str">
        <f t="shared" si="529"/>
        <v>Internacional</v>
      </c>
      <c r="AB2235" s="36">
        <f t="shared" si="529"/>
        <v>1.3446969696969692E-2</v>
      </c>
      <c r="AC2235" s="36">
        <f t="shared" si="529"/>
        <v>1.4930555555555556E-2</v>
      </c>
      <c r="AD2235" s="36">
        <f t="shared" si="529"/>
        <v>2.8377525252525248E-2</v>
      </c>
      <c r="AE2235" s="36">
        <f t="shared" si="529"/>
        <v>320</v>
      </c>
      <c r="AF2235" s="36">
        <f t="shared" si="529"/>
        <v>179</v>
      </c>
      <c r="AG2235" s="36" t="str">
        <f t="shared" si="529"/>
        <v>LAX</v>
      </c>
    </row>
    <row r="2236" spans="18:33" x14ac:dyDescent="0.25">
      <c r="R2236">
        <v>2222</v>
      </c>
      <c r="S2236" s="36" t="str">
        <f t="shared" si="527"/>
        <v>BARATA Y MORADA</v>
      </c>
      <c r="T2236" s="36">
        <f t="shared" si="527"/>
        <v>913</v>
      </c>
      <c r="U2236" s="73">
        <v>0.26250000000000001</v>
      </c>
      <c r="V2236" s="74">
        <v>0.27499999999999997</v>
      </c>
      <c r="W2236" s="75">
        <v>1.2499999999999956E-2</v>
      </c>
      <c r="X2236" s="74">
        <v>0.29583333333333334</v>
      </c>
      <c r="Y2236" s="75">
        <v>2.083333333333337E-2</v>
      </c>
      <c r="Z2236" s="76">
        <v>41752</v>
      </c>
      <c r="AA2236" s="36" t="str">
        <f t="shared" si="529"/>
        <v>Internacional</v>
      </c>
      <c r="AB2236" s="36">
        <f t="shared" si="529"/>
        <v>1.3446969696969692E-2</v>
      </c>
      <c r="AC2236" s="36">
        <f t="shared" si="529"/>
        <v>1.4930555555555556E-2</v>
      </c>
      <c r="AD2236" s="36">
        <f t="shared" si="529"/>
        <v>2.8377525252525248E-2</v>
      </c>
      <c r="AE2236" s="36">
        <f t="shared" si="529"/>
        <v>320</v>
      </c>
      <c r="AF2236" s="36">
        <f t="shared" si="529"/>
        <v>179</v>
      </c>
      <c r="AG2236" s="36" t="str">
        <f t="shared" si="529"/>
        <v>LAX</v>
      </c>
    </row>
    <row r="2237" spans="18:33" x14ac:dyDescent="0.25">
      <c r="R2237">
        <v>2223</v>
      </c>
      <c r="S2237" s="36" t="str">
        <f t="shared" si="527"/>
        <v>BARATA Y MORADA</v>
      </c>
      <c r="T2237" s="36">
        <f t="shared" si="527"/>
        <v>913</v>
      </c>
      <c r="U2237" s="73">
        <v>0.25208333333333333</v>
      </c>
      <c r="V2237" s="74">
        <v>0.26041666666666669</v>
      </c>
      <c r="W2237" s="75">
        <v>8.3333333333333592E-3</v>
      </c>
      <c r="X2237" s="74">
        <v>0.26805555555555555</v>
      </c>
      <c r="Y2237" s="75">
        <v>7.6388888888888618E-3</v>
      </c>
      <c r="Z2237" s="76">
        <v>41752</v>
      </c>
      <c r="AA2237" s="36" t="str">
        <f t="shared" si="529"/>
        <v>Internacional</v>
      </c>
      <c r="AB2237" s="36">
        <f t="shared" si="529"/>
        <v>1.3446969696969692E-2</v>
      </c>
      <c r="AC2237" s="36">
        <f t="shared" si="529"/>
        <v>1.4930555555555556E-2</v>
      </c>
      <c r="AD2237" s="36">
        <f t="shared" si="529"/>
        <v>2.8377525252525248E-2</v>
      </c>
      <c r="AE2237" s="36">
        <f t="shared" si="529"/>
        <v>320</v>
      </c>
      <c r="AF2237" s="36">
        <f t="shared" si="529"/>
        <v>179</v>
      </c>
      <c r="AG2237" s="36" t="str">
        <f t="shared" si="529"/>
        <v>LAX</v>
      </c>
    </row>
    <row r="2238" spans="18:33" x14ac:dyDescent="0.25">
      <c r="R2238">
        <v>2224</v>
      </c>
      <c r="S2238" s="36" t="str">
        <f t="shared" si="527"/>
        <v>BARATA Y MORADA</v>
      </c>
      <c r="T2238" s="36">
        <f t="shared" si="527"/>
        <v>913</v>
      </c>
      <c r="U2238" s="73">
        <v>0.26527777777777778</v>
      </c>
      <c r="V2238" s="74">
        <v>0.2673611111111111</v>
      </c>
      <c r="W2238" s="75">
        <v>2.0833333333333259E-3</v>
      </c>
      <c r="X2238" s="74">
        <v>0.27083333333333331</v>
      </c>
      <c r="Y2238" s="75">
        <v>3.4722222222222099E-3</v>
      </c>
      <c r="Z2238" s="76">
        <v>41754</v>
      </c>
      <c r="AA2238" s="36" t="str">
        <f t="shared" si="529"/>
        <v>Internacional</v>
      </c>
      <c r="AB2238" s="36">
        <f t="shared" si="529"/>
        <v>1.3446969696969692E-2</v>
      </c>
      <c r="AC2238" s="36">
        <f t="shared" si="529"/>
        <v>1.4930555555555556E-2</v>
      </c>
      <c r="AD2238" s="36">
        <f t="shared" si="529"/>
        <v>2.8377525252525248E-2</v>
      </c>
      <c r="AE2238" s="36">
        <f t="shared" si="529"/>
        <v>320</v>
      </c>
      <c r="AF2238" s="36">
        <f t="shared" si="529"/>
        <v>179</v>
      </c>
      <c r="AG2238" s="36" t="str">
        <f t="shared" si="529"/>
        <v>LAX</v>
      </c>
    </row>
    <row r="2239" spans="18:33" x14ac:dyDescent="0.25">
      <c r="R2239">
        <v>2225</v>
      </c>
      <c r="S2239" s="36" t="str">
        <f t="shared" si="527"/>
        <v>BARATA Y MORADA</v>
      </c>
      <c r="T2239" s="36">
        <f t="shared" si="527"/>
        <v>913</v>
      </c>
      <c r="U2239" s="73">
        <v>0.24791666666666667</v>
      </c>
      <c r="V2239" s="74">
        <v>0.26319444444444445</v>
      </c>
      <c r="W2239" s="75">
        <v>1.5277777777777779E-2</v>
      </c>
      <c r="X2239" s="74">
        <v>0.28611111111111115</v>
      </c>
      <c r="Y2239" s="75">
        <v>2.2916666666666696E-2</v>
      </c>
      <c r="Z2239" s="76">
        <v>41755</v>
      </c>
      <c r="AA2239" s="36" t="str">
        <f t="shared" si="529"/>
        <v>Internacional</v>
      </c>
      <c r="AB2239" s="36">
        <f t="shared" si="529"/>
        <v>1.3446969696969692E-2</v>
      </c>
      <c r="AC2239" s="36">
        <f t="shared" si="529"/>
        <v>1.4930555555555556E-2</v>
      </c>
      <c r="AD2239" s="36">
        <f t="shared" si="529"/>
        <v>2.8377525252525248E-2</v>
      </c>
      <c r="AE2239" s="36">
        <f t="shared" si="529"/>
        <v>320</v>
      </c>
      <c r="AF2239" s="36">
        <f t="shared" si="529"/>
        <v>179</v>
      </c>
      <c r="AG2239" s="36" t="str">
        <f t="shared" si="529"/>
        <v>LAX</v>
      </c>
    </row>
    <row r="2240" spans="18:33" ht="15.75" thickBot="1" x14ac:dyDescent="0.3">
      <c r="R2240">
        <v>2226</v>
      </c>
      <c r="S2240" s="36" t="str">
        <f t="shared" si="527"/>
        <v>BARATA Y MORADA</v>
      </c>
      <c r="T2240" s="36">
        <f t="shared" si="527"/>
        <v>913</v>
      </c>
      <c r="U2240" s="83">
        <v>0.26944444444444443</v>
      </c>
      <c r="V2240" s="84">
        <v>0.27986111111111112</v>
      </c>
      <c r="W2240" s="85">
        <v>1.0416666666666685E-2</v>
      </c>
      <c r="X2240" s="84">
        <v>0.30694444444444441</v>
      </c>
      <c r="Y2240" s="85">
        <v>2.7083333333333293E-2</v>
      </c>
      <c r="Z2240" s="86">
        <v>41759</v>
      </c>
      <c r="AA2240" s="36" t="str">
        <f t="shared" si="529"/>
        <v>Internacional</v>
      </c>
      <c r="AB2240" s="36">
        <f t="shared" si="529"/>
        <v>1.3446969696969692E-2</v>
      </c>
      <c r="AC2240" s="36">
        <f t="shared" si="529"/>
        <v>1.4930555555555556E-2</v>
      </c>
      <c r="AD2240" s="36">
        <f t="shared" si="529"/>
        <v>2.8377525252525248E-2</v>
      </c>
      <c r="AE2240" s="36">
        <f t="shared" si="529"/>
        <v>320</v>
      </c>
      <c r="AF2240" s="36">
        <f t="shared" si="529"/>
        <v>179</v>
      </c>
      <c r="AG2240" s="36" t="str">
        <f t="shared" si="529"/>
        <v>LAX</v>
      </c>
    </row>
    <row r="2241" spans="18:33" x14ac:dyDescent="0.25">
      <c r="R2241">
        <v>2227</v>
      </c>
      <c r="S2241" s="36" t="str">
        <f t="shared" si="527"/>
        <v>BARATA Y MORADA</v>
      </c>
      <c r="T2241" s="55">
        <v>915</v>
      </c>
      <c r="U2241" s="56">
        <v>0.8534722222222223</v>
      </c>
      <c r="V2241" s="57">
        <v>0.86388888888888893</v>
      </c>
      <c r="W2241" s="58">
        <v>1.041666666666663E-2</v>
      </c>
      <c r="X2241" s="57">
        <v>0.88263888888888886</v>
      </c>
      <c r="Y2241" s="58">
        <v>1.8749999999999933E-2</v>
      </c>
      <c r="Z2241" s="59">
        <v>41730</v>
      </c>
      <c r="AA2241" s="60" t="s">
        <v>22</v>
      </c>
      <c r="AB2241" s="61">
        <v>1.1766975308641939E-2</v>
      </c>
      <c r="AC2241" s="61">
        <v>1.7361111111111098E-2</v>
      </c>
      <c r="AD2241" s="231">
        <v>2.9128086419753035E-2</v>
      </c>
      <c r="AE2241" s="132">
        <v>320</v>
      </c>
      <c r="AF2241" s="132">
        <v>179</v>
      </c>
      <c r="AG2241" s="132" t="s">
        <v>40</v>
      </c>
    </row>
    <row r="2242" spans="18:33" x14ac:dyDescent="0.25">
      <c r="R2242">
        <v>2228</v>
      </c>
      <c r="S2242" s="36" t="str">
        <f t="shared" si="527"/>
        <v>BARATA Y MORADA</v>
      </c>
      <c r="T2242" s="36">
        <f t="shared" si="527"/>
        <v>915</v>
      </c>
      <c r="U2242" s="73">
        <v>0.85069444444444453</v>
      </c>
      <c r="V2242" s="74">
        <v>0.8666666666666667</v>
      </c>
      <c r="W2242" s="75">
        <v>1.5972222222222165E-2</v>
      </c>
      <c r="X2242" s="74">
        <v>0.8833333333333333</v>
      </c>
      <c r="Y2242" s="75">
        <v>1.6666666666666607E-2</v>
      </c>
      <c r="Z2242" s="76">
        <v>41731</v>
      </c>
      <c r="AA2242" s="36" t="str">
        <f t="shared" ref="AA2242:AG2258" si="530">AA2241</f>
        <v>Internacional</v>
      </c>
      <c r="AB2242" s="36">
        <f t="shared" si="530"/>
        <v>1.1766975308641939E-2</v>
      </c>
      <c r="AC2242" s="36">
        <f t="shared" si="530"/>
        <v>1.7361111111111098E-2</v>
      </c>
      <c r="AD2242" s="36">
        <f t="shared" si="530"/>
        <v>2.9128086419753035E-2</v>
      </c>
      <c r="AE2242" s="36">
        <f t="shared" si="530"/>
        <v>320</v>
      </c>
      <c r="AF2242" s="36">
        <f t="shared" si="530"/>
        <v>179</v>
      </c>
      <c r="AG2242" s="36" t="str">
        <f t="shared" si="530"/>
        <v>LAX</v>
      </c>
    </row>
    <row r="2243" spans="18:33" x14ac:dyDescent="0.25">
      <c r="R2243">
        <v>2229</v>
      </c>
      <c r="S2243" s="36" t="str">
        <f t="shared" si="527"/>
        <v>BARATA Y MORADA</v>
      </c>
      <c r="T2243" s="36">
        <f t="shared" si="527"/>
        <v>915</v>
      </c>
      <c r="U2243" s="73">
        <v>0.83194444444444438</v>
      </c>
      <c r="V2243" s="74">
        <v>0.84722222222222221</v>
      </c>
      <c r="W2243" s="75">
        <v>1.5277777777777835E-2</v>
      </c>
      <c r="X2243" s="74">
        <v>0.87083333333333324</v>
      </c>
      <c r="Y2243" s="75">
        <v>2.3611111111111027E-2</v>
      </c>
      <c r="Z2243" s="76">
        <v>41732</v>
      </c>
      <c r="AA2243" s="36" t="str">
        <f t="shared" si="530"/>
        <v>Internacional</v>
      </c>
      <c r="AB2243" s="36">
        <f t="shared" si="530"/>
        <v>1.1766975308641939E-2</v>
      </c>
      <c r="AC2243" s="36">
        <f t="shared" si="530"/>
        <v>1.7361111111111098E-2</v>
      </c>
      <c r="AD2243" s="36">
        <f t="shared" si="530"/>
        <v>2.9128086419753035E-2</v>
      </c>
      <c r="AE2243" s="36">
        <f t="shared" si="530"/>
        <v>320</v>
      </c>
      <c r="AF2243" s="36">
        <f t="shared" si="530"/>
        <v>179</v>
      </c>
      <c r="AG2243" s="36" t="str">
        <f t="shared" si="530"/>
        <v>LAX</v>
      </c>
    </row>
    <row r="2244" spans="18:33" x14ac:dyDescent="0.25">
      <c r="R2244">
        <v>2230</v>
      </c>
      <c r="S2244" s="36" t="str">
        <f t="shared" si="527"/>
        <v>BARATA Y MORADA</v>
      </c>
      <c r="T2244" s="36">
        <f t="shared" si="527"/>
        <v>915</v>
      </c>
      <c r="U2244" s="73">
        <v>0.83333333333333337</v>
      </c>
      <c r="V2244" s="74">
        <v>0.84027777777777779</v>
      </c>
      <c r="W2244" s="75">
        <v>6.9444444444444198E-3</v>
      </c>
      <c r="X2244" s="74">
        <v>0.86111111111111116</v>
      </c>
      <c r="Y2244" s="75">
        <v>2.083333333333337E-2</v>
      </c>
      <c r="Z2244" s="76">
        <v>41733</v>
      </c>
      <c r="AA2244" s="36" t="str">
        <f t="shared" si="530"/>
        <v>Internacional</v>
      </c>
      <c r="AB2244" s="36">
        <f t="shared" si="530"/>
        <v>1.1766975308641939E-2</v>
      </c>
      <c r="AC2244" s="36">
        <f t="shared" si="530"/>
        <v>1.7361111111111098E-2</v>
      </c>
      <c r="AD2244" s="36">
        <f t="shared" si="530"/>
        <v>2.9128086419753035E-2</v>
      </c>
      <c r="AE2244" s="36">
        <f t="shared" si="530"/>
        <v>320</v>
      </c>
      <c r="AF2244" s="36">
        <f t="shared" si="530"/>
        <v>179</v>
      </c>
      <c r="AG2244" s="36" t="str">
        <f t="shared" si="530"/>
        <v>LAX</v>
      </c>
    </row>
    <row r="2245" spans="18:33" x14ac:dyDescent="0.25">
      <c r="R2245">
        <v>2231</v>
      </c>
      <c r="S2245" s="36" t="str">
        <f t="shared" si="527"/>
        <v>BARATA Y MORADA</v>
      </c>
      <c r="T2245" s="36">
        <f t="shared" si="527"/>
        <v>915</v>
      </c>
      <c r="U2245" s="73">
        <v>0.82777777777777783</v>
      </c>
      <c r="V2245" s="74">
        <v>0.83888888888888891</v>
      </c>
      <c r="W2245" s="75">
        <v>1.1111111111111072E-2</v>
      </c>
      <c r="X2245" s="74">
        <v>0.84930555555555554</v>
      </c>
      <c r="Y2245" s="75">
        <v>1.041666666666663E-2</v>
      </c>
      <c r="Z2245" s="76">
        <v>41735</v>
      </c>
      <c r="AA2245" s="36" t="str">
        <f t="shared" si="530"/>
        <v>Internacional</v>
      </c>
      <c r="AB2245" s="36">
        <f t="shared" si="530"/>
        <v>1.1766975308641939E-2</v>
      </c>
      <c r="AC2245" s="36">
        <f t="shared" si="530"/>
        <v>1.7361111111111098E-2</v>
      </c>
      <c r="AD2245" s="36">
        <f t="shared" si="530"/>
        <v>2.9128086419753035E-2</v>
      </c>
      <c r="AE2245" s="36">
        <f t="shared" si="530"/>
        <v>320</v>
      </c>
      <c r="AF2245" s="36">
        <f t="shared" si="530"/>
        <v>179</v>
      </c>
      <c r="AG2245" s="36" t="str">
        <f t="shared" si="530"/>
        <v>LAX</v>
      </c>
    </row>
    <row r="2246" spans="18:33" x14ac:dyDescent="0.25">
      <c r="R2246">
        <v>2232</v>
      </c>
      <c r="S2246" s="36" t="str">
        <f t="shared" si="527"/>
        <v>BARATA Y MORADA</v>
      </c>
      <c r="T2246" s="36">
        <f t="shared" si="527"/>
        <v>915</v>
      </c>
      <c r="U2246" s="73">
        <v>0.82708333333333339</v>
      </c>
      <c r="V2246" s="74">
        <v>0.83680555555555547</v>
      </c>
      <c r="W2246" s="75">
        <v>9.7222222222220767E-3</v>
      </c>
      <c r="X2246" s="74">
        <v>0.8534722222222223</v>
      </c>
      <c r="Y2246" s="75">
        <v>1.6666666666666829E-2</v>
      </c>
      <c r="Z2246" s="76">
        <v>41736</v>
      </c>
      <c r="AA2246" s="36" t="str">
        <f t="shared" si="530"/>
        <v>Internacional</v>
      </c>
      <c r="AB2246" s="36">
        <f t="shared" si="530"/>
        <v>1.1766975308641939E-2</v>
      </c>
      <c r="AC2246" s="36">
        <f t="shared" si="530"/>
        <v>1.7361111111111098E-2</v>
      </c>
      <c r="AD2246" s="36">
        <f t="shared" si="530"/>
        <v>2.9128086419753035E-2</v>
      </c>
      <c r="AE2246" s="36">
        <f t="shared" si="530"/>
        <v>320</v>
      </c>
      <c r="AF2246" s="36">
        <f t="shared" si="530"/>
        <v>179</v>
      </c>
      <c r="AG2246" s="36" t="str">
        <f t="shared" si="530"/>
        <v>LAX</v>
      </c>
    </row>
    <row r="2247" spans="18:33" x14ac:dyDescent="0.25">
      <c r="R2247">
        <v>2233</v>
      </c>
      <c r="S2247" s="36" t="str">
        <f t="shared" si="527"/>
        <v>BARATA Y MORADA</v>
      </c>
      <c r="T2247" s="36">
        <f t="shared" si="527"/>
        <v>915</v>
      </c>
      <c r="U2247" s="73">
        <v>0.88888888888888884</v>
      </c>
      <c r="V2247" s="74">
        <v>0.89861111111111114</v>
      </c>
      <c r="W2247" s="75">
        <v>9.7222222222222987E-3</v>
      </c>
      <c r="X2247" s="74">
        <v>0.92152777777777783</v>
      </c>
      <c r="Y2247" s="75">
        <v>2.2916666666666696E-2</v>
      </c>
      <c r="Z2247" s="76">
        <v>41740</v>
      </c>
      <c r="AA2247" s="36" t="str">
        <f t="shared" si="530"/>
        <v>Internacional</v>
      </c>
      <c r="AB2247" s="36">
        <f t="shared" si="530"/>
        <v>1.1766975308641939E-2</v>
      </c>
      <c r="AC2247" s="36">
        <f t="shared" si="530"/>
        <v>1.7361111111111098E-2</v>
      </c>
      <c r="AD2247" s="36">
        <f t="shared" si="530"/>
        <v>2.9128086419753035E-2</v>
      </c>
      <c r="AE2247" s="36">
        <f t="shared" si="530"/>
        <v>320</v>
      </c>
      <c r="AF2247" s="36">
        <f t="shared" si="530"/>
        <v>179</v>
      </c>
      <c r="AG2247" s="36" t="str">
        <f t="shared" si="530"/>
        <v>LAX</v>
      </c>
    </row>
    <row r="2248" spans="18:33" x14ac:dyDescent="0.25">
      <c r="R2248">
        <v>2234</v>
      </c>
      <c r="S2248" s="36" t="str">
        <f t="shared" si="527"/>
        <v>BARATA Y MORADA</v>
      </c>
      <c r="T2248" s="36">
        <f t="shared" si="527"/>
        <v>915</v>
      </c>
      <c r="U2248" s="73">
        <v>0.8534722222222223</v>
      </c>
      <c r="V2248" s="74">
        <v>0.86388888888888893</v>
      </c>
      <c r="W2248" s="75">
        <v>1.041666666666663E-2</v>
      </c>
      <c r="X2248" s="74">
        <v>0.88263888888888886</v>
      </c>
      <c r="Y2248" s="75">
        <v>1.8749999999999933E-2</v>
      </c>
      <c r="Z2248" s="76">
        <v>41742</v>
      </c>
      <c r="AA2248" s="36" t="str">
        <f t="shared" si="530"/>
        <v>Internacional</v>
      </c>
      <c r="AB2248" s="36">
        <f t="shared" si="530"/>
        <v>1.1766975308641939E-2</v>
      </c>
      <c r="AC2248" s="36">
        <f t="shared" si="530"/>
        <v>1.7361111111111098E-2</v>
      </c>
      <c r="AD2248" s="36">
        <f t="shared" si="530"/>
        <v>2.9128086419753035E-2</v>
      </c>
      <c r="AE2248" s="36">
        <f t="shared" si="530"/>
        <v>320</v>
      </c>
      <c r="AF2248" s="36">
        <f t="shared" si="530"/>
        <v>179</v>
      </c>
      <c r="AG2248" s="36" t="str">
        <f t="shared" si="530"/>
        <v>LAX</v>
      </c>
    </row>
    <row r="2249" spans="18:33" x14ac:dyDescent="0.25">
      <c r="R2249">
        <v>2235</v>
      </c>
      <c r="S2249" s="36" t="str">
        <f t="shared" si="527"/>
        <v>BARATA Y MORADA</v>
      </c>
      <c r="T2249" s="36">
        <f t="shared" si="527"/>
        <v>915</v>
      </c>
      <c r="U2249" s="73">
        <v>0.8305555555555556</v>
      </c>
      <c r="V2249" s="74">
        <v>0.84166666666666667</v>
      </c>
      <c r="W2249" s="75">
        <v>1.1111111111111072E-2</v>
      </c>
      <c r="X2249" s="74">
        <v>0.85763888888888884</v>
      </c>
      <c r="Y2249" s="75">
        <v>1.5972222222222165E-2</v>
      </c>
      <c r="Z2249" s="76">
        <v>41743</v>
      </c>
      <c r="AA2249" s="36" t="str">
        <f t="shared" si="530"/>
        <v>Internacional</v>
      </c>
      <c r="AB2249" s="36">
        <f t="shared" si="530"/>
        <v>1.1766975308641939E-2</v>
      </c>
      <c r="AC2249" s="36">
        <f t="shared" si="530"/>
        <v>1.7361111111111098E-2</v>
      </c>
      <c r="AD2249" s="36">
        <f t="shared" si="530"/>
        <v>2.9128086419753035E-2</v>
      </c>
      <c r="AE2249" s="36">
        <f t="shared" si="530"/>
        <v>320</v>
      </c>
      <c r="AF2249" s="36">
        <f t="shared" si="530"/>
        <v>179</v>
      </c>
      <c r="AG2249" s="36" t="str">
        <f t="shared" si="530"/>
        <v>LAX</v>
      </c>
    </row>
    <row r="2250" spans="18:33" x14ac:dyDescent="0.25">
      <c r="R2250">
        <v>2236</v>
      </c>
      <c r="S2250" s="36" t="str">
        <f t="shared" si="527"/>
        <v>BARATA Y MORADA</v>
      </c>
      <c r="T2250" s="36">
        <f t="shared" si="527"/>
        <v>915</v>
      </c>
      <c r="U2250" s="73">
        <v>0.82500000000000007</v>
      </c>
      <c r="V2250" s="74">
        <v>0.83888888888888891</v>
      </c>
      <c r="W2250" s="75">
        <v>1.388888888888884E-2</v>
      </c>
      <c r="X2250" s="74">
        <v>0.85416666666666663</v>
      </c>
      <c r="Y2250" s="75">
        <v>1.5277777777777724E-2</v>
      </c>
      <c r="Z2250" s="76">
        <v>41744</v>
      </c>
      <c r="AA2250" s="36" t="str">
        <f t="shared" si="530"/>
        <v>Internacional</v>
      </c>
      <c r="AB2250" s="36">
        <f t="shared" si="530"/>
        <v>1.1766975308641939E-2</v>
      </c>
      <c r="AC2250" s="36">
        <f t="shared" si="530"/>
        <v>1.7361111111111098E-2</v>
      </c>
      <c r="AD2250" s="36">
        <f t="shared" si="530"/>
        <v>2.9128086419753035E-2</v>
      </c>
      <c r="AE2250" s="36">
        <f t="shared" si="530"/>
        <v>320</v>
      </c>
      <c r="AF2250" s="36">
        <f t="shared" si="530"/>
        <v>179</v>
      </c>
      <c r="AG2250" s="36" t="str">
        <f t="shared" si="530"/>
        <v>LAX</v>
      </c>
    </row>
    <row r="2251" spans="18:33" x14ac:dyDescent="0.25">
      <c r="R2251">
        <v>2237</v>
      </c>
      <c r="S2251" s="36" t="str">
        <f t="shared" si="527"/>
        <v>BARATA Y MORADA</v>
      </c>
      <c r="T2251" s="36">
        <f t="shared" si="527"/>
        <v>915</v>
      </c>
      <c r="U2251" s="73">
        <v>0.82986111111111116</v>
      </c>
      <c r="V2251" s="74">
        <v>0.84305555555555556</v>
      </c>
      <c r="W2251" s="75">
        <v>1.3194444444444398E-2</v>
      </c>
      <c r="X2251" s="74">
        <v>0.86041666666666661</v>
      </c>
      <c r="Y2251" s="75">
        <v>1.7361111111111049E-2</v>
      </c>
      <c r="Z2251" s="76">
        <v>41747</v>
      </c>
      <c r="AA2251" s="36" t="str">
        <f t="shared" si="530"/>
        <v>Internacional</v>
      </c>
      <c r="AB2251" s="36">
        <f t="shared" si="530"/>
        <v>1.1766975308641939E-2</v>
      </c>
      <c r="AC2251" s="36">
        <f t="shared" si="530"/>
        <v>1.7361111111111098E-2</v>
      </c>
      <c r="AD2251" s="36">
        <f t="shared" si="530"/>
        <v>2.9128086419753035E-2</v>
      </c>
      <c r="AE2251" s="36">
        <f t="shared" si="530"/>
        <v>320</v>
      </c>
      <c r="AF2251" s="36">
        <f t="shared" si="530"/>
        <v>179</v>
      </c>
      <c r="AG2251" s="36" t="str">
        <f t="shared" si="530"/>
        <v>LAX</v>
      </c>
    </row>
    <row r="2252" spans="18:33" x14ac:dyDescent="0.25">
      <c r="R2252">
        <v>2238</v>
      </c>
      <c r="S2252" s="36" t="str">
        <f t="shared" si="527"/>
        <v>BARATA Y MORADA</v>
      </c>
      <c r="T2252" s="36">
        <f t="shared" si="527"/>
        <v>915</v>
      </c>
      <c r="U2252" s="73">
        <v>0.82847222222222217</v>
      </c>
      <c r="V2252" s="74">
        <v>0.84236111111111101</v>
      </c>
      <c r="W2252" s="75">
        <v>1.388888888888884E-2</v>
      </c>
      <c r="X2252" s="74">
        <v>0.85833333333333339</v>
      </c>
      <c r="Y2252" s="75">
        <v>1.5972222222222388E-2</v>
      </c>
      <c r="Z2252" s="76">
        <v>41748</v>
      </c>
      <c r="AA2252" s="36" t="str">
        <f t="shared" si="530"/>
        <v>Internacional</v>
      </c>
      <c r="AB2252" s="36">
        <f t="shared" si="530"/>
        <v>1.1766975308641939E-2</v>
      </c>
      <c r="AC2252" s="36">
        <f t="shared" si="530"/>
        <v>1.7361111111111098E-2</v>
      </c>
      <c r="AD2252" s="36">
        <f t="shared" si="530"/>
        <v>2.9128086419753035E-2</v>
      </c>
      <c r="AE2252" s="36">
        <f t="shared" si="530"/>
        <v>320</v>
      </c>
      <c r="AF2252" s="36">
        <f t="shared" si="530"/>
        <v>179</v>
      </c>
      <c r="AG2252" s="36" t="str">
        <f t="shared" si="530"/>
        <v>LAX</v>
      </c>
    </row>
    <row r="2253" spans="18:33" x14ac:dyDescent="0.25">
      <c r="R2253">
        <v>2239</v>
      </c>
      <c r="S2253" s="36" t="str">
        <f t="shared" si="527"/>
        <v>BARATA Y MORADA</v>
      </c>
      <c r="T2253" s="36">
        <f t="shared" si="527"/>
        <v>915</v>
      </c>
      <c r="U2253" s="73">
        <v>0.82777777777777783</v>
      </c>
      <c r="V2253" s="74">
        <v>0.84166666666666667</v>
      </c>
      <c r="W2253" s="75">
        <v>1.388888888888884E-2</v>
      </c>
      <c r="X2253" s="74">
        <v>0.85972222222222217</v>
      </c>
      <c r="Y2253" s="75">
        <v>1.8055555555555491E-2</v>
      </c>
      <c r="Z2253" s="76">
        <v>41751</v>
      </c>
      <c r="AA2253" s="36" t="str">
        <f t="shared" si="530"/>
        <v>Internacional</v>
      </c>
      <c r="AB2253" s="36">
        <f t="shared" si="530"/>
        <v>1.1766975308641939E-2</v>
      </c>
      <c r="AC2253" s="36">
        <f t="shared" si="530"/>
        <v>1.7361111111111098E-2</v>
      </c>
      <c r="AD2253" s="36">
        <f t="shared" si="530"/>
        <v>2.9128086419753035E-2</v>
      </c>
      <c r="AE2253" s="36">
        <f t="shared" si="530"/>
        <v>320</v>
      </c>
      <c r="AF2253" s="36">
        <f t="shared" si="530"/>
        <v>179</v>
      </c>
      <c r="AG2253" s="36" t="str">
        <f t="shared" si="530"/>
        <v>LAX</v>
      </c>
    </row>
    <row r="2254" spans="18:33" x14ac:dyDescent="0.25">
      <c r="R2254">
        <v>2240</v>
      </c>
      <c r="S2254" s="36" t="str">
        <f t="shared" si="527"/>
        <v>BARATA Y MORADA</v>
      </c>
      <c r="T2254" s="36">
        <f t="shared" si="527"/>
        <v>915</v>
      </c>
      <c r="U2254" s="73">
        <v>0.82777777777777783</v>
      </c>
      <c r="V2254" s="74">
        <v>0.84027777777777779</v>
      </c>
      <c r="W2254" s="75">
        <v>1.2499999999999956E-2</v>
      </c>
      <c r="X2254" s="74">
        <v>0.84861111111111109</v>
      </c>
      <c r="Y2254" s="75">
        <v>8.3333333333333037E-3</v>
      </c>
      <c r="Z2254" s="76">
        <v>41752</v>
      </c>
      <c r="AA2254" s="36" t="str">
        <f t="shared" si="530"/>
        <v>Internacional</v>
      </c>
      <c r="AB2254" s="36">
        <f t="shared" si="530"/>
        <v>1.1766975308641939E-2</v>
      </c>
      <c r="AC2254" s="36">
        <f t="shared" si="530"/>
        <v>1.7361111111111098E-2</v>
      </c>
      <c r="AD2254" s="36">
        <f t="shared" si="530"/>
        <v>2.9128086419753035E-2</v>
      </c>
      <c r="AE2254" s="36">
        <f t="shared" si="530"/>
        <v>320</v>
      </c>
      <c r="AF2254" s="36">
        <f t="shared" si="530"/>
        <v>179</v>
      </c>
      <c r="AG2254" s="36" t="str">
        <f t="shared" si="530"/>
        <v>LAX</v>
      </c>
    </row>
    <row r="2255" spans="18:33" x14ac:dyDescent="0.25">
      <c r="R2255">
        <v>2241</v>
      </c>
      <c r="S2255" s="36" t="str">
        <f t="shared" si="527"/>
        <v>BARATA Y MORADA</v>
      </c>
      <c r="T2255" s="36">
        <f t="shared" si="527"/>
        <v>915</v>
      </c>
      <c r="U2255" s="73">
        <v>0.83750000000000002</v>
      </c>
      <c r="V2255" s="74">
        <v>0.84305555555555556</v>
      </c>
      <c r="W2255" s="75">
        <v>5.5555555555555358E-3</v>
      </c>
      <c r="X2255" s="74">
        <v>0.86111111111111116</v>
      </c>
      <c r="Y2255" s="75">
        <v>1.8055555555555602E-2</v>
      </c>
      <c r="Z2255" s="76">
        <v>41754</v>
      </c>
      <c r="AA2255" s="36" t="str">
        <f t="shared" si="530"/>
        <v>Internacional</v>
      </c>
      <c r="AB2255" s="36">
        <f t="shared" si="530"/>
        <v>1.1766975308641939E-2</v>
      </c>
      <c r="AC2255" s="36">
        <f t="shared" si="530"/>
        <v>1.7361111111111098E-2</v>
      </c>
      <c r="AD2255" s="36">
        <f t="shared" si="530"/>
        <v>2.9128086419753035E-2</v>
      </c>
      <c r="AE2255" s="36">
        <f t="shared" si="530"/>
        <v>320</v>
      </c>
      <c r="AF2255" s="36">
        <f t="shared" si="530"/>
        <v>179</v>
      </c>
      <c r="AG2255" s="36" t="str">
        <f t="shared" si="530"/>
        <v>LAX</v>
      </c>
    </row>
    <row r="2256" spans="18:33" x14ac:dyDescent="0.25">
      <c r="R2256">
        <v>2242</v>
      </c>
      <c r="S2256" s="36" t="str">
        <f t="shared" si="527"/>
        <v>BARATA Y MORADA</v>
      </c>
      <c r="T2256" s="36">
        <f t="shared" si="527"/>
        <v>915</v>
      </c>
      <c r="U2256" s="73">
        <v>0.82430555555555562</v>
      </c>
      <c r="V2256" s="74">
        <v>0.83888888888888891</v>
      </c>
      <c r="W2256" s="75">
        <v>1.4583333333333282E-2</v>
      </c>
      <c r="X2256" s="74">
        <v>0.85486111111111107</v>
      </c>
      <c r="Y2256" s="75">
        <v>1.5972222222222165E-2</v>
      </c>
      <c r="Z2256" s="76">
        <v>41756</v>
      </c>
      <c r="AA2256" s="36" t="str">
        <f t="shared" si="530"/>
        <v>Internacional</v>
      </c>
      <c r="AB2256" s="36">
        <f t="shared" si="530"/>
        <v>1.1766975308641939E-2</v>
      </c>
      <c r="AC2256" s="36">
        <f t="shared" si="530"/>
        <v>1.7361111111111098E-2</v>
      </c>
      <c r="AD2256" s="36">
        <f t="shared" si="530"/>
        <v>2.9128086419753035E-2</v>
      </c>
      <c r="AE2256" s="36">
        <f t="shared" si="530"/>
        <v>320</v>
      </c>
      <c r="AF2256" s="36">
        <f t="shared" si="530"/>
        <v>179</v>
      </c>
      <c r="AG2256" s="36" t="str">
        <f t="shared" si="530"/>
        <v>LAX</v>
      </c>
    </row>
    <row r="2257" spans="18:33" x14ac:dyDescent="0.25">
      <c r="R2257">
        <v>2243</v>
      </c>
      <c r="S2257" s="36" t="str">
        <f t="shared" si="527"/>
        <v>BARATA Y MORADA</v>
      </c>
      <c r="T2257" s="36">
        <f t="shared" si="527"/>
        <v>915</v>
      </c>
      <c r="U2257" s="73">
        <v>0.84513888888888899</v>
      </c>
      <c r="V2257" s="74">
        <v>0.8569444444444444</v>
      </c>
      <c r="W2257" s="75">
        <v>1.1805555555555403E-2</v>
      </c>
      <c r="X2257" s="74">
        <v>0.86805555555555547</v>
      </c>
      <c r="Y2257" s="75">
        <v>1.1111111111111072E-2</v>
      </c>
      <c r="Z2257" s="76">
        <v>41757</v>
      </c>
      <c r="AA2257" s="36" t="str">
        <f t="shared" si="530"/>
        <v>Internacional</v>
      </c>
      <c r="AB2257" s="36">
        <f t="shared" si="530"/>
        <v>1.1766975308641939E-2</v>
      </c>
      <c r="AC2257" s="36">
        <f t="shared" si="530"/>
        <v>1.7361111111111098E-2</v>
      </c>
      <c r="AD2257" s="36">
        <f t="shared" si="530"/>
        <v>2.9128086419753035E-2</v>
      </c>
      <c r="AE2257" s="36">
        <f t="shared" si="530"/>
        <v>320</v>
      </c>
      <c r="AF2257" s="36">
        <f t="shared" si="530"/>
        <v>179</v>
      </c>
      <c r="AG2257" s="36" t="str">
        <f t="shared" si="530"/>
        <v>LAX</v>
      </c>
    </row>
    <row r="2258" spans="18:33" ht="15.75" thickBot="1" x14ac:dyDescent="0.3">
      <c r="R2258">
        <v>2244</v>
      </c>
      <c r="S2258" s="36" t="str">
        <f t="shared" si="527"/>
        <v>BARATA Y MORADA</v>
      </c>
      <c r="T2258" s="36">
        <f t="shared" si="527"/>
        <v>915</v>
      </c>
      <c r="U2258" s="83">
        <v>0.86319444444444438</v>
      </c>
      <c r="V2258" s="84">
        <v>0.875</v>
      </c>
      <c r="W2258" s="85">
        <v>1.1805555555555625E-2</v>
      </c>
      <c r="X2258" s="84">
        <v>0.90277777777777779</v>
      </c>
      <c r="Y2258" s="85">
        <v>2.777777777777779E-2</v>
      </c>
      <c r="Z2258" s="86">
        <v>41759</v>
      </c>
      <c r="AA2258" s="36" t="str">
        <f t="shared" si="530"/>
        <v>Internacional</v>
      </c>
      <c r="AB2258" s="36">
        <f t="shared" si="530"/>
        <v>1.1766975308641939E-2</v>
      </c>
      <c r="AC2258" s="36">
        <f t="shared" si="530"/>
        <v>1.7361111111111098E-2</v>
      </c>
      <c r="AD2258" s="36">
        <f t="shared" si="530"/>
        <v>2.9128086419753035E-2</v>
      </c>
      <c r="AE2258" s="36">
        <f t="shared" si="530"/>
        <v>320</v>
      </c>
      <c r="AF2258" s="36">
        <f t="shared" si="530"/>
        <v>179</v>
      </c>
      <c r="AG2258" s="36" t="str">
        <f t="shared" si="530"/>
        <v>LAX</v>
      </c>
    </row>
    <row r="2259" spans="18:33" x14ac:dyDescent="0.25">
      <c r="R2259">
        <v>2245</v>
      </c>
      <c r="S2259" s="36" t="str">
        <f t="shared" si="527"/>
        <v>BARATA Y MORADA</v>
      </c>
      <c r="T2259" s="55">
        <v>917</v>
      </c>
      <c r="U2259" s="56">
        <v>0.9590277777777777</v>
      </c>
      <c r="V2259" s="57">
        <v>0.96805555555555556</v>
      </c>
      <c r="W2259" s="58">
        <v>9.0277777777778567E-3</v>
      </c>
      <c r="X2259" s="57">
        <v>0.98055555555555562</v>
      </c>
      <c r="Y2259" s="58">
        <v>1.2500000000000067E-2</v>
      </c>
      <c r="Z2259" s="59">
        <v>41735</v>
      </c>
      <c r="AA2259" s="60" t="s">
        <v>22</v>
      </c>
      <c r="AB2259" s="61">
        <v>9.2592592592593004E-3</v>
      </c>
      <c r="AC2259" s="61">
        <v>1.9618055555555597E-2</v>
      </c>
      <c r="AD2259" s="231">
        <v>2.8877314814814897E-2</v>
      </c>
      <c r="AE2259" s="132" t="s">
        <v>57</v>
      </c>
      <c r="AF2259" s="132">
        <v>142</v>
      </c>
      <c r="AG2259" s="132" t="s">
        <v>40</v>
      </c>
    </row>
    <row r="2260" spans="18:33" x14ac:dyDescent="0.25">
      <c r="R2260">
        <v>2246</v>
      </c>
      <c r="S2260" s="36" t="str">
        <f t="shared" si="527"/>
        <v>BARATA Y MORADA</v>
      </c>
      <c r="T2260" s="36">
        <f t="shared" si="527"/>
        <v>917</v>
      </c>
      <c r="U2260" s="73">
        <v>0.96388888888888891</v>
      </c>
      <c r="V2260" s="74">
        <v>0.97361111111111109</v>
      </c>
      <c r="W2260" s="75">
        <v>9.7222222222221877E-3</v>
      </c>
      <c r="X2260" s="74">
        <v>0.98888888888888893</v>
      </c>
      <c r="Y2260" s="75">
        <v>1.5277777777777835E-2</v>
      </c>
      <c r="Z2260" s="76">
        <v>41749</v>
      </c>
      <c r="AA2260" s="36" t="str">
        <f t="shared" ref="AA2260:AG2261" si="531">AA2259</f>
        <v>Internacional</v>
      </c>
      <c r="AB2260" s="36">
        <f t="shared" si="531"/>
        <v>9.2592592592593004E-3</v>
      </c>
      <c r="AC2260" s="36">
        <f t="shared" si="531"/>
        <v>1.9618055555555597E-2</v>
      </c>
      <c r="AD2260" s="36">
        <f t="shared" si="531"/>
        <v>2.8877314814814897E-2</v>
      </c>
      <c r="AE2260" s="36" t="str">
        <f t="shared" si="531"/>
        <v>A319</v>
      </c>
      <c r="AF2260" s="36">
        <f t="shared" si="531"/>
        <v>142</v>
      </c>
      <c r="AG2260" s="36" t="str">
        <f t="shared" si="531"/>
        <v>LAX</v>
      </c>
    </row>
    <row r="2261" spans="18:33" ht="15.75" thickBot="1" x14ac:dyDescent="0.3">
      <c r="R2261">
        <v>2247</v>
      </c>
      <c r="S2261" s="36" t="str">
        <f t="shared" si="527"/>
        <v>BARATA Y MORADA</v>
      </c>
      <c r="T2261" s="36">
        <f t="shared" si="527"/>
        <v>917</v>
      </c>
      <c r="U2261" s="83">
        <v>0.94861111111111107</v>
      </c>
      <c r="V2261" s="84">
        <v>0.95763888888888893</v>
      </c>
      <c r="W2261" s="85">
        <v>9.0277777777778567E-3</v>
      </c>
      <c r="X2261" s="84">
        <v>0.98055555555555562</v>
      </c>
      <c r="Y2261" s="85">
        <v>2.2916666666666696E-2</v>
      </c>
      <c r="Z2261" s="86">
        <v>41756</v>
      </c>
      <c r="AA2261" s="36" t="str">
        <f t="shared" si="531"/>
        <v>Internacional</v>
      </c>
      <c r="AB2261" s="36">
        <f t="shared" si="531"/>
        <v>9.2592592592593004E-3</v>
      </c>
      <c r="AC2261" s="36">
        <f t="shared" si="531"/>
        <v>1.9618055555555597E-2</v>
      </c>
      <c r="AD2261" s="36">
        <f t="shared" si="531"/>
        <v>2.8877314814814897E-2</v>
      </c>
      <c r="AE2261" s="36" t="str">
        <f t="shared" si="531"/>
        <v>A319</v>
      </c>
      <c r="AF2261" s="36">
        <f t="shared" si="531"/>
        <v>142</v>
      </c>
      <c r="AG2261" s="36" t="str">
        <f t="shared" si="531"/>
        <v>LAX</v>
      </c>
    </row>
    <row r="2262" spans="18:33" x14ac:dyDescent="0.25">
      <c r="R2262">
        <v>2248</v>
      </c>
      <c r="S2262" s="36" t="str">
        <f t="shared" si="527"/>
        <v>BARATA Y MORADA</v>
      </c>
      <c r="T2262" s="55">
        <v>931</v>
      </c>
      <c r="U2262" s="56">
        <v>0.75902777777777775</v>
      </c>
      <c r="V2262" s="57">
        <v>0.7680555555555556</v>
      </c>
      <c r="W2262" s="58">
        <v>9.0277777777778567E-3</v>
      </c>
      <c r="X2262" s="57">
        <v>0.77708333333333324</v>
      </c>
      <c r="Y2262" s="58">
        <v>9.0277777777776347E-3</v>
      </c>
      <c r="Z2262" s="59">
        <v>41731</v>
      </c>
      <c r="AA2262" s="60" t="s">
        <v>22</v>
      </c>
      <c r="AB2262" s="61">
        <v>1.0051169590643262E-2</v>
      </c>
      <c r="AC2262" s="61">
        <v>1.4583333333333346E-2</v>
      </c>
      <c r="AD2262" s="231">
        <v>2.4634502923976606E-2</v>
      </c>
      <c r="AE2262" s="132">
        <v>320</v>
      </c>
      <c r="AF2262" s="132">
        <v>179</v>
      </c>
      <c r="AG2262" s="132" t="s">
        <v>40</v>
      </c>
    </row>
    <row r="2263" spans="18:33" x14ac:dyDescent="0.25">
      <c r="R2263">
        <v>2249</v>
      </c>
      <c r="S2263" s="36" t="str">
        <f t="shared" si="527"/>
        <v>BARATA Y MORADA</v>
      </c>
      <c r="T2263" s="36">
        <f t="shared" si="527"/>
        <v>931</v>
      </c>
      <c r="U2263" s="73">
        <v>0.75902777777777775</v>
      </c>
      <c r="V2263" s="74">
        <v>0.7680555555555556</v>
      </c>
      <c r="W2263" s="75">
        <v>9.0277777777778567E-3</v>
      </c>
      <c r="X2263" s="74">
        <v>0.77708333333333324</v>
      </c>
      <c r="Y2263" s="75">
        <v>9.0277777777776347E-3</v>
      </c>
      <c r="Z2263" s="76">
        <v>41731</v>
      </c>
      <c r="AA2263" s="36" t="str">
        <f t="shared" ref="AA2263:AG2280" si="532">AA2262</f>
        <v>Internacional</v>
      </c>
      <c r="AB2263" s="36">
        <f t="shared" si="532"/>
        <v>1.0051169590643262E-2</v>
      </c>
      <c r="AC2263" s="36">
        <f t="shared" si="532"/>
        <v>1.4583333333333346E-2</v>
      </c>
      <c r="AD2263" s="36">
        <f t="shared" si="532"/>
        <v>2.4634502923976606E-2</v>
      </c>
      <c r="AE2263" s="36">
        <f t="shared" si="532"/>
        <v>320</v>
      </c>
      <c r="AF2263" s="36">
        <f t="shared" si="532"/>
        <v>179</v>
      </c>
      <c r="AG2263" s="36" t="str">
        <f t="shared" si="532"/>
        <v>LAX</v>
      </c>
    </row>
    <row r="2264" spans="18:33" x14ac:dyDescent="0.25">
      <c r="R2264">
        <v>2250</v>
      </c>
      <c r="S2264" s="36" t="str">
        <f t="shared" si="527"/>
        <v>BARATA Y MORADA</v>
      </c>
      <c r="T2264" s="36">
        <f t="shared" si="527"/>
        <v>931</v>
      </c>
      <c r="U2264" s="73">
        <v>0.76458333333333339</v>
      </c>
      <c r="V2264" s="74">
        <v>0.78333333333333333</v>
      </c>
      <c r="W2264" s="75">
        <v>1.8749999999999933E-2</v>
      </c>
      <c r="X2264" s="74">
        <v>0.78680555555555554</v>
      </c>
      <c r="Y2264" s="75">
        <v>3.4722222222222099E-3</v>
      </c>
      <c r="Z2264" s="76">
        <v>41732</v>
      </c>
      <c r="AA2264" s="36" t="str">
        <f t="shared" si="532"/>
        <v>Internacional</v>
      </c>
      <c r="AB2264" s="36">
        <f t="shared" si="532"/>
        <v>1.0051169590643262E-2</v>
      </c>
      <c r="AC2264" s="36">
        <f t="shared" si="532"/>
        <v>1.4583333333333346E-2</v>
      </c>
      <c r="AD2264" s="36">
        <f t="shared" si="532"/>
        <v>2.4634502923976606E-2</v>
      </c>
      <c r="AE2264" s="36">
        <f t="shared" si="532"/>
        <v>320</v>
      </c>
      <c r="AF2264" s="36">
        <f t="shared" si="532"/>
        <v>179</v>
      </c>
      <c r="AG2264" s="36" t="str">
        <f t="shared" si="532"/>
        <v>LAX</v>
      </c>
    </row>
    <row r="2265" spans="18:33" x14ac:dyDescent="0.25">
      <c r="R2265">
        <v>2251</v>
      </c>
      <c r="S2265" s="36" t="str">
        <f t="shared" si="527"/>
        <v>BARATA Y MORADA</v>
      </c>
      <c r="T2265" s="36">
        <f t="shared" si="527"/>
        <v>931</v>
      </c>
      <c r="U2265" s="73">
        <v>0.76597222222222217</v>
      </c>
      <c r="V2265" s="74">
        <v>0.77430555555555547</v>
      </c>
      <c r="W2265" s="75">
        <v>8.3333333333333037E-3</v>
      </c>
      <c r="X2265" s="74">
        <v>0.79166666666666663</v>
      </c>
      <c r="Y2265" s="75">
        <v>1.736111111111116E-2</v>
      </c>
      <c r="Z2265" s="76">
        <v>41733</v>
      </c>
      <c r="AA2265" s="36" t="str">
        <f t="shared" si="532"/>
        <v>Internacional</v>
      </c>
      <c r="AB2265" s="36">
        <f t="shared" si="532"/>
        <v>1.0051169590643262E-2</v>
      </c>
      <c r="AC2265" s="36">
        <f t="shared" si="532"/>
        <v>1.4583333333333346E-2</v>
      </c>
      <c r="AD2265" s="36">
        <f t="shared" si="532"/>
        <v>2.4634502923976606E-2</v>
      </c>
      <c r="AE2265" s="36">
        <f t="shared" si="532"/>
        <v>320</v>
      </c>
      <c r="AF2265" s="36">
        <f t="shared" si="532"/>
        <v>179</v>
      </c>
      <c r="AG2265" s="36" t="str">
        <f t="shared" si="532"/>
        <v>LAX</v>
      </c>
    </row>
    <row r="2266" spans="18:33" x14ac:dyDescent="0.25">
      <c r="R2266">
        <v>2252</v>
      </c>
      <c r="S2266" s="36" t="str">
        <f t="shared" si="527"/>
        <v>BARATA Y MORADA</v>
      </c>
      <c r="T2266" s="36">
        <f t="shared" si="527"/>
        <v>931</v>
      </c>
      <c r="U2266" s="73">
        <v>0.76388888888888884</v>
      </c>
      <c r="V2266" s="74">
        <v>0.77222222222222225</v>
      </c>
      <c r="W2266" s="75">
        <v>8.3333333333334147E-3</v>
      </c>
      <c r="X2266" s="74">
        <v>0.78263888888888899</v>
      </c>
      <c r="Y2266" s="75">
        <v>1.0416666666666741E-2</v>
      </c>
      <c r="Z2266" s="76">
        <v>41735</v>
      </c>
      <c r="AA2266" s="36" t="str">
        <f t="shared" si="532"/>
        <v>Internacional</v>
      </c>
      <c r="AB2266" s="36">
        <f t="shared" si="532"/>
        <v>1.0051169590643262E-2</v>
      </c>
      <c r="AC2266" s="36">
        <f t="shared" si="532"/>
        <v>1.4583333333333346E-2</v>
      </c>
      <c r="AD2266" s="36">
        <f t="shared" si="532"/>
        <v>2.4634502923976606E-2</v>
      </c>
      <c r="AE2266" s="36">
        <f t="shared" si="532"/>
        <v>320</v>
      </c>
      <c r="AF2266" s="36">
        <f t="shared" si="532"/>
        <v>179</v>
      </c>
      <c r="AG2266" s="36" t="str">
        <f t="shared" si="532"/>
        <v>LAX</v>
      </c>
    </row>
    <row r="2267" spans="18:33" x14ac:dyDescent="0.25">
      <c r="R2267">
        <v>2253</v>
      </c>
      <c r="S2267" s="36" t="str">
        <f t="shared" si="527"/>
        <v>BARATA Y MORADA</v>
      </c>
      <c r="T2267" s="36">
        <f t="shared" si="527"/>
        <v>931</v>
      </c>
      <c r="U2267" s="73">
        <v>0.78194444444444444</v>
      </c>
      <c r="V2267" s="74">
        <v>0.79305555555555562</v>
      </c>
      <c r="W2267" s="75">
        <v>1.1111111111111183E-2</v>
      </c>
      <c r="X2267" s="74">
        <v>0.80486111111111114</v>
      </c>
      <c r="Y2267" s="75">
        <v>1.1805555555555514E-2</v>
      </c>
      <c r="Z2267" s="76">
        <v>41739</v>
      </c>
      <c r="AA2267" s="36" t="str">
        <f t="shared" si="532"/>
        <v>Internacional</v>
      </c>
      <c r="AB2267" s="36">
        <f t="shared" si="532"/>
        <v>1.0051169590643262E-2</v>
      </c>
      <c r="AC2267" s="36">
        <f t="shared" si="532"/>
        <v>1.4583333333333346E-2</v>
      </c>
      <c r="AD2267" s="36">
        <f t="shared" si="532"/>
        <v>2.4634502923976606E-2</v>
      </c>
      <c r="AE2267" s="36">
        <f t="shared" si="532"/>
        <v>320</v>
      </c>
      <c r="AF2267" s="36">
        <f t="shared" si="532"/>
        <v>179</v>
      </c>
      <c r="AG2267" s="36" t="str">
        <f t="shared" si="532"/>
        <v>LAX</v>
      </c>
    </row>
    <row r="2268" spans="18:33" x14ac:dyDescent="0.25">
      <c r="R2268">
        <v>2254</v>
      </c>
      <c r="S2268" s="36" t="str">
        <f t="shared" si="527"/>
        <v>BARATA Y MORADA</v>
      </c>
      <c r="T2268" s="36">
        <f t="shared" si="527"/>
        <v>931</v>
      </c>
      <c r="U2268" s="73">
        <v>0.75902777777777775</v>
      </c>
      <c r="V2268" s="74">
        <v>0.76874999999999993</v>
      </c>
      <c r="W2268" s="75">
        <v>9.7222222222221877E-3</v>
      </c>
      <c r="X2268" s="74">
        <v>0.77916666666666667</v>
      </c>
      <c r="Y2268" s="75">
        <v>1.0416666666666741E-2</v>
      </c>
      <c r="Z2268" s="76">
        <v>41743</v>
      </c>
      <c r="AA2268" s="36" t="str">
        <f t="shared" si="532"/>
        <v>Internacional</v>
      </c>
      <c r="AB2268" s="36">
        <f t="shared" si="532"/>
        <v>1.0051169590643262E-2</v>
      </c>
      <c r="AC2268" s="36">
        <f t="shared" si="532"/>
        <v>1.4583333333333346E-2</v>
      </c>
      <c r="AD2268" s="36">
        <f t="shared" si="532"/>
        <v>2.4634502923976606E-2</v>
      </c>
      <c r="AE2268" s="36">
        <f t="shared" si="532"/>
        <v>320</v>
      </c>
      <c r="AF2268" s="36">
        <f t="shared" si="532"/>
        <v>179</v>
      </c>
      <c r="AG2268" s="36" t="str">
        <f t="shared" si="532"/>
        <v>LAX</v>
      </c>
    </row>
    <row r="2269" spans="18:33" x14ac:dyDescent="0.25">
      <c r="R2269">
        <v>2255</v>
      </c>
      <c r="S2269" s="36" t="str">
        <f t="shared" si="527"/>
        <v>BARATA Y MORADA</v>
      </c>
      <c r="T2269" s="36">
        <f t="shared" si="527"/>
        <v>931</v>
      </c>
      <c r="U2269" s="73">
        <v>0.76736111111111116</v>
      </c>
      <c r="V2269" s="74">
        <v>0.77777777777777779</v>
      </c>
      <c r="W2269" s="75">
        <v>1.041666666666663E-2</v>
      </c>
      <c r="X2269" s="74">
        <v>0.79166666666666663</v>
      </c>
      <c r="Y2269" s="75">
        <v>1.388888888888884E-2</v>
      </c>
      <c r="Z2269" s="76">
        <v>41744</v>
      </c>
      <c r="AA2269" s="36" t="str">
        <f t="shared" si="532"/>
        <v>Internacional</v>
      </c>
      <c r="AB2269" s="36">
        <f t="shared" si="532"/>
        <v>1.0051169590643262E-2</v>
      </c>
      <c r="AC2269" s="36">
        <f t="shared" si="532"/>
        <v>1.4583333333333346E-2</v>
      </c>
      <c r="AD2269" s="36">
        <f t="shared" si="532"/>
        <v>2.4634502923976606E-2</v>
      </c>
      <c r="AE2269" s="36">
        <f t="shared" si="532"/>
        <v>320</v>
      </c>
      <c r="AF2269" s="36">
        <f t="shared" si="532"/>
        <v>179</v>
      </c>
      <c r="AG2269" s="36" t="str">
        <f t="shared" si="532"/>
        <v>LAX</v>
      </c>
    </row>
    <row r="2270" spans="18:33" x14ac:dyDescent="0.25">
      <c r="R2270">
        <v>2256</v>
      </c>
      <c r="S2270" s="36" t="str">
        <f t="shared" si="527"/>
        <v>BARATA Y MORADA</v>
      </c>
      <c r="T2270" s="36">
        <f t="shared" si="527"/>
        <v>931</v>
      </c>
      <c r="U2270" s="73">
        <v>0.76874999999999993</v>
      </c>
      <c r="V2270" s="74">
        <v>0.77777777777777779</v>
      </c>
      <c r="W2270" s="75">
        <v>9.0277777777778567E-3</v>
      </c>
      <c r="X2270" s="74">
        <v>0.78888888888888886</v>
      </c>
      <c r="Y2270" s="75">
        <v>1.1111111111111072E-2</v>
      </c>
      <c r="Z2270" s="76">
        <v>41745</v>
      </c>
      <c r="AA2270" s="36" t="str">
        <f t="shared" si="532"/>
        <v>Internacional</v>
      </c>
      <c r="AB2270" s="36">
        <f t="shared" si="532"/>
        <v>1.0051169590643262E-2</v>
      </c>
      <c r="AC2270" s="36">
        <f t="shared" si="532"/>
        <v>1.4583333333333346E-2</v>
      </c>
      <c r="AD2270" s="36">
        <f t="shared" si="532"/>
        <v>2.4634502923976606E-2</v>
      </c>
      <c r="AE2270" s="36">
        <f t="shared" si="532"/>
        <v>320</v>
      </c>
      <c r="AF2270" s="36">
        <f t="shared" si="532"/>
        <v>179</v>
      </c>
      <c r="AG2270" s="36" t="str">
        <f t="shared" si="532"/>
        <v>LAX</v>
      </c>
    </row>
    <row r="2271" spans="18:33" x14ac:dyDescent="0.25">
      <c r="R2271">
        <v>2257</v>
      </c>
      <c r="S2271" s="36" t="str">
        <f t="shared" ref="S2271:T2280" si="533">S2270</f>
        <v>BARATA Y MORADA</v>
      </c>
      <c r="T2271" s="36">
        <f t="shared" si="533"/>
        <v>931</v>
      </c>
      <c r="U2271" s="73">
        <v>0.7729166666666667</v>
      </c>
      <c r="V2271" s="74">
        <v>0.78819444444444453</v>
      </c>
      <c r="W2271" s="75">
        <v>1.5277777777777835E-2</v>
      </c>
      <c r="X2271" s="74">
        <v>0.80347222222222225</v>
      </c>
      <c r="Y2271" s="75">
        <v>1.5277777777777724E-2</v>
      </c>
      <c r="Z2271" s="76">
        <v>41746</v>
      </c>
      <c r="AA2271" s="36" t="str">
        <f t="shared" si="532"/>
        <v>Internacional</v>
      </c>
      <c r="AB2271" s="36">
        <f t="shared" si="532"/>
        <v>1.0051169590643262E-2</v>
      </c>
      <c r="AC2271" s="36">
        <f t="shared" si="532"/>
        <v>1.4583333333333346E-2</v>
      </c>
      <c r="AD2271" s="36">
        <f t="shared" si="532"/>
        <v>2.4634502923976606E-2</v>
      </c>
      <c r="AE2271" s="36">
        <f t="shared" si="532"/>
        <v>320</v>
      </c>
      <c r="AF2271" s="36">
        <f t="shared" si="532"/>
        <v>179</v>
      </c>
      <c r="AG2271" s="36" t="str">
        <f t="shared" si="532"/>
        <v>LAX</v>
      </c>
    </row>
    <row r="2272" spans="18:33" x14ac:dyDescent="0.25">
      <c r="R2272">
        <v>2258</v>
      </c>
      <c r="S2272" s="36" t="str">
        <f t="shared" si="533"/>
        <v>BARATA Y MORADA</v>
      </c>
      <c r="T2272" s="36">
        <f t="shared" si="533"/>
        <v>931</v>
      </c>
      <c r="U2272" s="73">
        <v>0.7597222222222223</v>
      </c>
      <c r="V2272" s="74">
        <v>0.76874999999999993</v>
      </c>
      <c r="W2272" s="75">
        <v>9.0277777777776347E-3</v>
      </c>
      <c r="X2272" s="74">
        <v>0.78402777777777777</v>
      </c>
      <c r="Y2272" s="75">
        <v>1.5277777777777835E-2</v>
      </c>
      <c r="Z2272" s="76">
        <v>41747</v>
      </c>
      <c r="AA2272" s="36" t="str">
        <f t="shared" si="532"/>
        <v>Internacional</v>
      </c>
      <c r="AB2272" s="36">
        <f t="shared" si="532"/>
        <v>1.0051169590643262E-2</v>
      </c>
      <c r="AC2272" s="36">
        <f t="shared" si="532"/>
        <v>1.4583333333333346E-2</v>
      </c>
      <c r="AD2272" s="36">
        <f t="shared" si="532"/>
        <v>2.4634502923976606E-2</v>
      </c>
      <c r="AE2272" s="36">
        <f t="shared" si="532"/>
        <v>320</v>
      </c>
      <c r="AF2272" s="36">
        <f t="shared" si="532"/>
        <v>179</v>
      </c>
      <c r="AG2272" s="36" t="str">
        <f t="shared" si="532"/>
        <v>LAX</v>
      </c>
    </row>
    <row r="2273" spans="18:33" x14ac:dyDescent="0.25">
      <c r="R2273">
        <v>2259</v>
      </c>
      <c r="S2273" s="36" t="str">
        <f t="shared" si="533"/>
        <v>BARATA Y MORADA</v>
      </c>
      <c r="T2273" s="36">
        <f t="shared" si="533"/>
        <v>931</v>
      </c>
      <c r="U2273" s="73">
        <v>0.76736111111111116</v>
      </c>
      <c r="V2273" s="74">
        <v>0.77708333333333324</v>
      </c>
      <c r="W2273" s="75">
        <v>9.7222222222220767E-3</v>
      </c>
      <c r="X2273" s="74">
        <v>0.79166666666666663</v>
      </c>
      <c r="Y2273" s="75">
        <v>1.4583333333333393E-2</v>
      </c>
      <c r="Z2273" s="76">
        <v>41748</v>
      </c>
      <c r="AA2273" s="36" t="str">
        <f t="shared" si="532"/>
        <v>Internacional</v>
      </c>
      <c r="AB2273" s="36">
        <f t="shared" si="532"/>
        <v>1.0051169590643262E-2</v>
      </c>
      <c r="AC2273" s="36">
        <f t="shared" si="532"/>
        <v>1.4583333333333346E-2</v>
      </c>
      <c r="AD2273" s="36">
        <f t="shared" si="532"/>
        <v>2.4634502923976606E-2</v>
      </c>
      <c r="AE2273" s="36">
        <f t="shared" si="532"/>
        <v>320</v>
      </c>
      <c r="AF2273" s="36">
        <f t="shared" si="532"/>
        <v>179</v>
      </c>
      <c r="AG2273" s="36" t="str">
        <f t="shared" si="532"/>
        <v>LAX</v>
      </c>
    </row>
    <row r="2274" spans="18:33" x14ac:dyDescent="0.25">
      <c r="R2274">
        <v>2260</v>
      </c>
      <c r="S2274" s="36" t="str">
        <f t="shared" si="533"/>
        <v>BARATA Y MORADA</v>
      </c>
      <c r="T2274" s="36">
        <f t="shared" si="533"/>
        <v>931</v>
      </c>
      <c r="U2274" s="73">
        <v>0.76874999999999993</v>
      </c>
      <c r="V2274" s="74">
        <v>0.77708333333333324</v>
      </c>
      <c r="W2274" s="75">
        <v>8.3333333333333037E-3</v>
      </c>
      <c r="X2274" s="74">
        <v>0.79236111111111107</v>
      </c>
      <c r="Y2274" s="75">
        <v>1.5277777777777835E-2</v>
      </c>
      <c r="Z2274" s="76">
        <v>41750</v>
      </c>
      <c r="AA2274" s="36" t="str">
        <f t="shared" si="532"/>
        <v>Internacional</v>
      </c>
      <c r="AB2274" s="36">
        <f t="shared" si="532"/>
        <v>1.0051169590643262E-2</v>
      </c>
      <c r="AC2274" s="36">
        <f t="shared" si="532"/>
        <v>1.4583333333333346E-2</v>
      </c>
      <c r="AD2274" s="36">
        <f t="shared" si="532"/>
        <v>2.4634502923976606E-2</v>
      </c>
      <c r="AE2274" s="36">
        <f t="shared" si="532"/>
        <v>320</v>
      </c>
      <c r="AF2274" s="36">
        <f t="shared" si="532"/>
        <v>179</v>
      </c>
      <c r="AG2274" s="36" t="str">
        <f t="shared" si="532"/>
        <v>LAX</v>
      </c>
    </row>
    <row r="2275" spans="18:33" x14ac:dyDescent="0.25">
      <c r="R2275">
        <v>2261</v>
      </c>
      <c r="S2275" s="36" t="str">
        <f t="shared" si="533"/>
        <v>BARATA Y MORADA</v>
      </c>
      <c r="T2275" s="36">
        <f t="shared" si="533"/>
        <v>931</v>
      </c>
      <c r="U2275" s="73">
        <v>0.77013888888888893</v>
      </c>
      <c r="V2275" s="74">
        <v>0.78055555555555556</v>
      </c>
      <c r="W2275" s="75">
        <v>1.041666666666663E-2</v>
      </c>
      <c r="X2275" s="74">
        <v>0.80208333333333337</v>
      </c>
      <c r="Y2275" s="75">
        <v>2.1527777777777812E-2</v>
      </c>
      <c r="Z2275" s="76">
        <v>41751</v>
      </c>
      <c r="AA2275" s="36" t="str">
        <f t="shared" si="532"/>
        <v>Internacional</v>
      </c>
      <c r="AB2275" s="36">
        <f t="shared" si="532"/>
        <v>1.0051169590643262E-2</v>
      </c>
      <c r="AC2275" s="36">
        <f t="shared" si="532"/>
        <v>1.4583333333333346E-2</v>
      </c>
      <c r="AD2275" s="36">
        <f t="shared" si="532"/>
        <v>2.4634502923976606E-2</v>
      </c>
      <c r="AE2275" s="36">
        <f t="shared" si="532"/>
        <v>320</v>
      </c>
      <c r="AF2275" s="36">
        <f t="shared" si="532"/>
        <v>179</v>
      </c>
      <c r="AG2275" s="36" t="str">
        <f t="shared" si="532"/>
        <v>LAX</v>
      </c>
    </row>
    <row r="2276" spans="18:33" x14ac:dyDescent="0.25">
      <c r="R2276">
        <v>2262</v>
      </c>
      <c r="S2276" s="36" t="str">
        <f t="shared" si="533"/>
        <v>BARATA Y MORADA</v>
      </c>
      <c r="T2276" s="36">
        <f t="shared" si="533"/>
        <v>931</v>
      </c>
      <c r="U2276" s="73">
        <v>0.77013888888888893</v>
      </c>
      <c r="V2276" s="74">
        <v>0.78055555555555556</v>
      </c>
      <c r="W2276" s="75">
        <v>1.041666666666663E-2</v>
      </c>
      <c r="X2276" s="74">
        <v>0.80208333333333337</v>
      </c>
      <c r="Y2276" s="75">
        <v>2.1527777777777812E-2</v>
      </c>
      <c r="Z2276" s="76">
        <v>41751</v>
      </c>
      <c r="AA2276" s="36" t="str">
        <f t="shared" si="532"/>
        <v>Internacional</v>
      </c>
      <c r="AB2276" s="36">
        <f t="shared" si="532"/>
        <v>1.0051169590643262E-2</v>
      </c>
      <c r="AC2276" s="36">
        <f t="shared" si="532"/>
        <v>1.4583333333333346E-2</v>
      </c>
      <c r="AD2276" s="36">
        <f t="shared" si="532"/>
        <v>2.4634502923976606E-2</v>
      </c>
      <c r="AE2276" s="36">
        <f t="shared" si="532"/>
        <v>320</v>
      </c>
      <c r="AF2276" s="36">
        <f t="shared" si="532"/>
        <v>179</v>
      </c>
      <c r="AG2276" s="36" t="str">
        <f t="shared" si="532"/>
        <v>LAX</v>
      </c>
    </row>
    <row r="2277" spans="18:33" x14ac:dyDescent="0.25">
      <c r="R2277">
        <v>2263</v>
      </c>
      <c r="S2277" s="36" t="str">
        <f t="shared" si="533"/>
        <v>BARATA Y MORADA</v>
      </c>
      <c r="T2277" s="36">
        <f t="shared" si="533"/>
        <v>931</v>
      </c>
      <c r="U2277" s="73">
        <v>0.76666666666666661</v>
      </c>
      <c r="V2277" s="74">
        <v>0.77569444444444446</v>
      </c>
      <c r="W2277" s="75">
        <v>9.0277777777778567E-3</v>
      </c>
      <c r="X2277" s="74">
        <v>0.79652777777777783</v>
      </c>
      <c r="Y2277" s="75">
        <v>2.083333333333337E-2</v>
      </c>
      <c r="Z2277" s="76">
        <v>41753</v>
      </c>
      <c r="AA2277" s="36" t="str">
        <f t="shared" si="532"/>
        <v>Internacional</v>
      </c>
      <c r="AB2277" s="36">
        <f t="shared" si="532"/>
        <v>1.0051169590643262E-2</v>
      </c>
      <c r="AC2277" s="36">
        <f t="shared" si="532"/>
        <v>1.4583333333333346E-2</v>
      </c>
      <c r="AD2277" s="36">
        <f t="shared" si="532"/>
        <v>2.4634502923976606E-2</v>
      </c>
      <c r="AE2277" s="36">
        <f t="shared" si="532"/>
        <v>320</v>
      </c>
      <c r="AF2277" s="36">
        <f t="shared" si="532"/>
        <v>179</v>
      </c>
      <c r="AG2277" s="36" t="str">
        <f t="shared" si="532"/>
        <v>LAX</v>
      </c>
    </row>
    <row r="2278" spans="18:33" x14ac:dyDescent="0.25">
      <c r="R2278">
        <v>2264</v>
      </c>
      <c r="S2278" s="36" t="str">
        <f t="shared" si="533"/>
        <v>BARATA Y MORADA</v>
      </c>
      <c r="T2278" s="36">
        <f t="shared" si="533"/>
        <v>931</v>
      </c>
      <c r="U2278" s="73">
        <v>0.77222222222222225</v>
      </c>
      <c r="V2278" s="74">
        <v>0.77986111111111101</v>
      </c>
      <c r="W2278" s="75">
        <v>7.6388888888887507E-3</v>
      </c>
      <c r="X2278" s="74">
        <v>0.80208333333333337</v>
      </c>
      <c r="Y2278" s="75">
        <v>2.2222222222222365E-2</v>
      </c>
      <c r="Z2278" s="76">
        <v>41756</v>
      </c>
      <c r="AA2278" s="36" t="str">
        <f t="shared" si="532"/>
        <v>Internacional</v>
      </c>
      <c r="AB2278" s="36">
        <f t="shared" si="532"/>
        <v>1.0051169590643262E-2</v>
      </c>
      <c r="AC2278" s="36">
        <f t="shared" si="532"/>
        <v>1.4583333333333346E-2</v>
      </c>
      <c r="AD2278" s="36">
        <f t="shared" si="532"/>
        <v>2.4634502923976606E-2</v>
      </c>
      <c r="AE2278" s="36">
        <f t="shared" si="532"/>
        <v>320</v>
      </c>
      <c r="AF2278" s="36">
        <f t="shared" si="532"/>
        <v>179</v>
      </c>
      <c r="AG2278" s="36" t="str">
        <f t="shared" si="532"/>
        <v>LAX</v>
      </c>
    </row>
    <row r="2279" spans="18:33" x14ac:dyDescent="0.25">
      <c r="R2279">
        <v>2265</v>
      </c>
      <c r="S2279" s="36" t="str">
        <f t="shared" si="533"/>
        <v>BARATA Y MORADA</v>
      </c>
      <c r="T2279" s="36">
        <f t="shared" si="533"/>
        <v>931</v>
      </c>
      <c r="U2279" s="73">
        <v>0.76041666666666663</v>
      </c>
      <c r="V2279" s="74">
        <v>0.77083333333333337</v>
      </c>
      <c r="W2279" s="75">
        <v>1.0416666666666741E-2</v>
      </c>
      <c r="X2279" s="74">
        <v>0.78888888888888886</v>
      </c>
      <c r="Y2279" s="75">
        <v>1.8055555555555491E-2</v>
      </c>
      <c r="Z2279" s="76">
        <v>41757</v>
      </c>
      <c r="AA2279" s="36" t="str">
        <f t="shared" si="532"/>
        <v>Internacional</v>
      </c>
      <c r="AB2279" s="36">
        <f t="shared" si="532"/>
        <v>1.0051169590643262E-2</v>
      </c>
      <c r="AC2279" s="36">
        <f t="shared" si="532"/>
        <v>1.4583333333333346E-2</v>
      </c>
      <c r="AD2279" s="36">
        <f t="shared" si="532"/>
        <v>2.4634502923976606E-2</v>
      </c>
      <c r="AE2279" s="36">
        <f t="shared" si="532"/>
        <v>320</v>
      </c>
      <c r="AF2279" s="36">
        <f t="shared" si="532"/>
        <v>179</v>
      </c>
      <c r="AG2279" s="36" t="str">
        <f t="shared" si="532"/>
        <v>LAX</v>
      </c>
    </row>
    <row r="2280" spans="18:33" ht="15.75" thickBot="1" x14ac:dyDescent="0.3">
      <c r="R2280">
        <v>2266</v>
      </c>
      <c r="S2280" s="36" t="str">
        <f t="shared" si="533"/>
        <v>BARATA Y MORADA</v>
      </c>
      <c r="T2280" s="36">
        <f t="shared" si="533"/>
        <v>931</v>
      </c>
      <c r="U2280" s="83">
        <v>0.77013888888888893</v>
      </c>
      <c r="V2280" s="84">
        <v>0.77708333333333324</v>
      </c>
      <c r="W2280" s="85">
        <v>6.9444444444443088E-3</v>
      </c>
      <c r="X2280" s="84">
        <v>0.79305555555555562</v>
      </c>
      <c r="Y2280" s="85">
        <v>1.5972222222222388E-2</v>
      </c>
      <c r="Z2280" s="86">
        <v>41759</v>
      </c>
      <c r="AA2280" s="36" t="str">
        <f t="shared" si="532"/>
        <v>Internacional</v>
      </c>
      <c r="AB2280" s="36">
        <f t="shared" si="532"/>
        <v>1.0051169590643262E-2</v>
      </c>
      <c r="AC2280" s="36">
        <f t="shared" si="532"/>
        <v>1.4583333333333346E-2</v>
      </c>
      <c r="AD2280" s="36">
        <f t="shared" si="532"/>
        <v>2.4634502923976606E-2</v>
      </c>
      <c r="AE2280" s="36">
        <f t="shared" si="532"/>
        <v>320</v>
      </c>
      <c r="AF2280" s="36">
        <f t="shared" si="532"/>
        <v>179</v>
      </c>
      <c r="AG2280" s="36" t="str">
        <f t="shared" si="532"/>
        <v>LAX</v>
      </c>
    </row>
    <row r="2281" spans="18:33" x14ac:dyDescent="0.25">
      <c r="R2281">
        <v>2267</v>
      </c>
      <c r="S2281" s="137" t="s">
        <v>77</v>
      </c>
      <c r="T2281" s="55">
        <v>937</v>
      </c>
      <c r="U2281" s="56">
        <v>0.23680555555555557</v>
      </c>
      <c r="V2281" s="57">
        <v>0.25625000000000003</v>
      </c>
      <c r="W2281" s="58">
        <v>1.9444444444444459E-2</v>
      </c>
      <c r="X2281" s="57">
        <v>0.28402777777777777</v>
      </c>
      <c r="Y2281" s="58">
        <v>2.7777777777777735E-2</v>
      </c>
      <c r="Z2281" s="59">
        <v>41739</v>
      </c>
      <c r="AA2281" s="60" t="s">
        <v>22</v>
      </c>
      <c r="AB2281" s="61">
        <v>1.5046296296296302E-2</v>
      </c>
      <c r="AC2281" s="61">
        <v>2.0833333333333318E-2</v>
      </c>
      <c r="AD2281" s="231">
        <v>3.5879629629629622E-2</v>
      </c>
      <c r="AE2281" s="132">
        <v>320</v>
      </c>
      <c r="AF2281" s="132">
        <v>179</v>
      </c>
      <c r="AG2281" s="132" t="s">
        <v>41</v>
      </c>
    </row>
    <row r="2282" spans="18:33" x14ac:dyDescent="0.25">
      <c r="R2282">
        <v>2268</v>
      </c>
      <c r="S2282" s="36" t="str">
        <f t="shared" ref="S2282:T2345" si="534">S2281</f>
        <v>BARATA Y MORADA</v>
      </c>
      <c r="T2282" s="36">
        <f t="shared" si="534"/>
        <v>937</v>
      </c>
      <c r="U2282" s="73">
        <v>0.23402777777777781</v>
      </c>
      <c r="V2282" s="74">
        <v>0.24791666666666667</v>
      </c>
      <c r="W2282" s="75">
        <v>1.3888888888888867E-2</v>
      </c>
      <c r="X2282" s="74">
        <v>0.26527777777777778</v>
      </c>
      <c r="Y2282" s="75">
        <v>1.7361111111111105E-2</v>
      </c>
      <c r="Z2282" s="76">
        <v>41745</v>
      </c>
      <c r="AA2282" s="36" t="str">
        <f t="shared" ref="AA2282:AG2286" si="535">AA2281</f>
        <v>Internacional</v>
      </c>
      <c r="AB2282" s="36">
        <f t="shared" si="535"/>
        <v>1.5046296296296302E-2</v>
      </c>
      <c r="AC2282" s="36">
        <f t="shared" si="535"/>
        <v>2.0833333333333318E-2</v>
      </c>
      <c r="AD2282" s="36">
        <f t="shared" si="535"/>
        <v>3.5879629629629622E-2</v>
      </c>
      <c r="AE2282" s="36">
        <f t="shared" si="535"/>
        <v>320</v>
      </c>
      <c r="AF2282" s="36">
        <f t="shared" si="535"/>
        <v>179</v>
      </c>
      <c r="AG2282" s="36" t="str">
        <f t="shared" si="535"/>
        <v>ONT</v>
      </c>
    </row>
    <row r="2283" spans="18:33" x14ac:dyDescent="0.25">
      <c r="R2283">
        <v>2269</v>
      </c>
      <c r="S2283" s="36" t="str">
        <f t="shared" si="534"/>
        <v>BARATA Y MORADA</v>
      </c>
      <c r="T2283" s="36">
        <f t="shared" si="534"/>
        <v>937</v>
      </c>
      <c r="U2283" s="73">
        <v>0.22500000000000001</v>
      </c>
      <c r="V2283" s="74">
        <v>0.24027777777777778</v>
      </c>
      <c r="W2283" s="75">
        <v>1.5277777777777779E-2</v>
      </c>
      <c r="X2283" s="74">
        <v>0.26250000000000001</v>
      </c>
      <c r="Y2283" s="75">
        <v>2.2222222222222227E-2</v>
      </c>
      <c r="Z2283" s="76">
        <v>41749</v>
      </c>
      <c r="AA2283" s="36" t="str">
        <f t="shared" si="535"/>
        <v>Internacional</v>
      </c>
      <c r="AB2283" s="36">
        <f t="shared" si="535"/>
        <v>1.5046296296296302E-2</v>
      </c>
      <c r="AC2283" s="36">
        <f t="shared" si="535"/>
        <v>2.0833333333333318E-2</v>
      </c>
      <c r="AD2283" s="36">
        <f t="shared" si="535"/>
        <v>3.5879629629629622E-2</v>
      </c>
      <c r="AE2283" s="36">
        <f t="shared" si="535"/>
        <v>320</v>
      </c>
      <c r="AF2283" s="36">
        <f t="shared" si="535"/>
        <v>179</v>
      </c>
      <c r="AG2283" s="36" t="str">
        <f t="shared" si="535"/>
        <v>ONT</v>
      </c>
    </row>
    <row r="2284" spans="18:33" x14ac:dyDescent="0.25">
      <c r="R2284">
        <v>2270</v>
      </c>
      <c r="S2284" s="36" t="str">
        <f t="shared" si="534"/>
        <v>BARATA Y MORADA</v>
      </c>
      <c r="T2284" s="36">
        <f t="shared" si="534"/>
        <v>937</v>
      </c>
      <c r="U2284" s="73">
        <v>0.22708333333333333</v>
      </c>
      <c r="V2284" s="74">
        <v>0.24652777777777779</v>
      </c>
      <c r="W2284" s="75">
        <v>1.9444444444444459E-2</v>
      </c>
      <c r="X2284" s="74">
        <v>0.25694444444444448</v>
      </c>
      <c r="Y2284" s="75">
        <v>1.0416666666666685E-2</v>
      </c>
      <c r="Z2284" s="76">
        <v>41752</v>
      </c>
      <c r="AA2284" s="36" t="str">
        <f t="shared" si="535"/>
        <v>Internacional</v>
      </c>
      <c r="AB2284" s="36">
        <f t="shared" si="535"/>
        <v>1.5046296296296302E-2</v>
      </c>
      <c r="AC2284" s="36">
        <f t="shared" si="535"/>
        <v>2.0833333333333318E-2</v>
      </c>
      <c r="AD2284" s="36">
        <f t="shared" si="535"/>
        <v>3.5879629629629622E-2</v>
      </c>
      <c r="AE2284" s="36">
        <f t="shared" si="535"/>
        <v>320</v>
      </c>
      <c r="AF2284" s="36">
        <f t="shared" si="535"/>
        <v>179</v>
      </c>
      <c r="AG2284" s="36" t="str">
        <f t="shared" si="535"/>
        <v>ONT</v>
      </c>
    </row>
    <row r="2285" spans="18:33" x14ac:dyDescent="0.25">
      <c r="R2285">
        <v>2271</v>
      </c>
      <c r="S2285" s="36" t="str">
        <f t="shared" si="534"/>
        <v>BARATA Y MORADA</v>
      </c>
      <c r="T2285" s="36">
        <f t="shared" si="534"/>
        <v>937</v>
      </c>
      <c r="U2285" s="73">
        <v>0.23263888888888887</v>
      </c>
      <c r="V2285" s="74">
        <v>0.24444444444444446</v>
      </c>
      <c r="W2285" s="75">
        <v>1.1805555555555597E-2</v>
      </c>
      <c r="X2285" s="74">
        <v>0.26944444444444443</v>
      </c>
      <c r="Y2285" s="75">
        <v>2.4999999999999967E-2</v>
      </c>
      <c r="Z2285" s="76">
        <v>41755</v>
      </c>
      <c r="AA2285" s="36" t="str">
        <f t="shared" si="535"/>
        <v>Internacional</v>
      </c>
      <c r="AB2285" s="36">
        <f t="shared" si="535"/>
        <v>1.5046296296296302E-2</v>
      </c>
      <c r="AC2285" s="36">
        <f t="shared" si="535"/>
        <v>2.0833333333333318E-2</v>
      </c>
      <c r="AD2285" s="36">
        <f t="shared" si="535"/>
        <v>3.5879629629629622E-2</v>
      </c>
      <c r="AE2285" s="36">
        <f t="shared" si="535"/>
        <v>320</v>
      </c>
      <c r="AF2285" s="36">
        <f t="shared" si="535"/>
        <v>179</v>
      </c>
      <c r="AG2285" s="36" t="str">
        <f t="shared" si="535"/>
        <v>ONT</v>
      </c>
    </row>
    <row r="2286" spans="18:33" ht="15.75" thickBot="1" x14ac:dyDescent="0.3">
      <c r="R2286">
        <v>2272</v>
      </c>
      <c r="S2286" s="36" t="str">
        <f t="shared" si="534"/>
        <v>BARATA Y MORADA</v>
      </c>
      <c r="T2286" s="36">
        <f t="shared" si="534"/>
        <v>937</v>
      </c>
      <c r="U2286" s="83">
        <v>0.24236111111111111</v>
      </c>
      <c r="V2286" s="84">
        <v>0.25277777777777777</v>
      </c>
      <c r="W2286" s="85">
        <v>1.0416666666666657E-2</v>
      </c>
      <c r="X2286" s="84">
        <v>0.27499999999999997</v>
      </c>
      <c r="Y2286" s="85">
        <v>2.2222222222222199E-2</v>
      </c>
      <c r="Z2286" s="86">
        <v>41760</v>
      </c>
      <c r="AA2286" s="36" t="str">
        <f t="shared" si="535"/>
        <v>Internacional</v>
      </c>
      <c r="AB2286" s="36">
        <f t="shared" si="535"/>
        <v>1.5046296296296302E-2</v>
      </c>
      <c r="AC2286" s="36">
        <f t="shared" si="535"/>
        <v>2.0833333333333318E-2</v>
      </c>
      <c r="AD2286" s="36">
        <f t="shared" si="535"/>
        <v>3.5879629629629622E-2</v>
      </c>
      <c r="AE2286" s="36">
        <f t="shared" si="535"/>
        <v>320</v>
      </c>
      <c r="AF2286" s="36">
        <f t="shared" si="535"/>
        <v>179</v>
      </c>
      <c r="AG2286" s="36" t="str">
        <f t="shared" si="535"/>
        <v>ONT</v>
      </c>
    </row>
    <row r="2287" spans="18:33" x14ac:dyDescent="0.25">
      <c r="R2287">
        <v>2273</v>
      </c>
      <c r="S2287" s="36" t="str">
        <f t="shared" si="534"/>
        <v>BARATA Y MORADA</v>
      </c>
      <c r="T2287" s="55">
        <v>941</v>
      </c>
      <c r="U2287" s="56">
        <v>0.90277777777777779</v>
      </c>
      <c r="V2287" s="57">
        <v>0.9159722222222223</v>
      </c>
      <c r="W2287" s="58">
        <v>1.3194444444444509E-2</v>
      </c>
      <c r="X2287" s="57">
        <v>0.92222222222222217</v>
      </c>
      <c r="Y2287" s="58">
        <v>6.2499999999998668E-3</v>
      </c>
      <c r="Z2287" s="59">
        <v>41730</v>
      </c>
      <c r="AA2287" s="60" t="s">
        <v>22</v>
      </c>
      <c r="AB2287" s="61">
        <v>1.21031746031746E-2</v>
      </c>
      <c r="AC2287" s="61">
        <v>1.3814484126984118E-2</v>
      </c>
      <c r="AD2287" s="231">
        <v>2.5917658730158718E-2</v>
      </c>
      <c r="AE2287" s="132" t="s">
        <v>57</v>
      </c>
      <c r="AF2287" s="132">
        <v>142</v>
      </c>
      <c r="AG2287" s="132" t="s">
        <v>80</v>
      </c>
    </row>
    <row r="2288" spans="18:33" x14ac:dyDescent="0.25">
      <c r="R2288">
        <v>2274</v>
      </c>
      <c r="S2288" s="36" t="str">
        <f t="shared" si="534"/>
        <v>BARATA Y MORADA</v>
      </c>
      <c r="T2288" s="36">
        <f t="shared" si="534"/>
        <v>941</v>
      </c>
      <c r="U2288" s="73">
        <v>0.90625</v>
      </c>
      <c r="V2288" s="74">
        <v>0.92222222222222217</v>
      </c>
      <c r="W2288" s="75">
        <v>1.5972222222222165E-2</v>
      </c>
      <c r="X2288" s="74">
        <v>0.9277777777777777</v>
      </c>
      <c r="Y2288" s="75">
        <v>5.5555555555555358E-3</v>
      </c>
      <c r="Z2288" s="76">
        <v>41731</v>
      </c>
      <c r="AA2288" s="36" t="str">
        <f t="shared" ref="AA2288:AG2314" si="536">AA2287</f>
        <v>Internacional</v>
      </c>
      <c r="AB2288" s="36">
        <f t="shared" si="536"/>
        <v>1.21031746031746E-2</v>
      </c>
      <c r="AC2288" s="36">
        <f t="shared" si="536"/>
        <v>1.3814484126984118E-2</v>
      </c>
      <c r="AD2288" s="36">
        <f t="shared" si="536"/>
        <v>2.5917658730158718E-2</v>
      </c>
      <c r="AE2288" s="36" t="str">
        <f t="shared" si="536"/>
        <v>A319</v>
      </c>
      <c r="AF2288" s="36">
        <f t="shared" si="536"/>
        <v>142</v>
      </c>
      <c r="AG2288" s="36" t="str">
        <f t="shared" si="536"/>
        <v>MDW</v>
      </c>
    </row>
    <row r="2289" spans="18:33" x14ac:dyDescent="0.25">
      <c r="R2289">
        <v>2275</v>
      </c>
      <c r="S2289" s="36" t="str">
        <f t="shared" si="534"/>
        <v>BARATA Y MORADA</v>
      </c>
      <c r="T2289" s="36">
        <f t="shared" si="534"/>
        <v>941</v>
      </c>
      <c r="U2289" s="73">
        <v>0.92708333333333337</v>
      </c>
      <c r="V2289" s="74">
        <v>0.93541666666666667</v>
      </c>
      <c r="W2289" s="75">
        <v>8.3333333333333037E-3</v>
      </c>
      <c r="X2289" s="74">
        <v>0.96180555555555547</v>
      </c>
      <c r="Y2289" s="75">
        <v>2.6388888888888795E-2</v>
      </c>
      <c r="Z2289" s="76">
        <v>41732</v>
      </c>
      <c r="AA2289" s="36" t="str">
        <f t="shared" si="536"/>
        <v>Internacional</v>
      </c>
      <c r="AB2289" s="36">
        <f t="shared" si="536"/>
        <v>1.21031746031746E-2</v>
      </c>
      <c r="AC2289" s="36">
        <f t="shared" si="536"/>
        <v>1.3814484126984118E-2</v>
      </c>
      <c r="AD2289" s="36">
        <f t="shared" si="536"/>
        <v>2.5917658730158718E-2</v>
      </c>
      <c r="AE2289" s="36" t="str">
        <f t="shared" si="536"/>
        <v>A319</v>
      </c>
      <c r="AF2289" s="36">
        <f t="shared" si="536"/>
        <v>142</v>
      </c>
      <c r="AG2289" s="36" t="str">
        <f t="shared" si="536"/>
        <v>MDW</v>
      </c>
    </row>
    <row r="2290" spans="18:33" x14ac:dyDescent="0.25">
      <c r="R2290">
        <v>2276</v>
      </c>
      <c r="S2290" s="36" t="str">
        <f t="shared" si="534"/>
        <v>BARATA Y MORADA</v>
      </c>
      <c r="T2290" s="36">
        <f t="shared" si="534"/>
        <v>941</v>
      </c>
      <c r="U2290" s="73">
        <v>0.92708333333333337</v>
      </c>
      <c r="V2290" s="74">
        <v>0.94097222222222221</v>
      </c>
      <c r="W2290" s="75">
        <v>1.388888888888884E-2</v>
      </c>
      <c r="X2290" s="74">
        <v>0.94791666666666663</v>
      </c>
      <c r="Y2290" s="75">
        <v>6.9444444444444198E-3</v>
      </c>
      <c r="Z2290" s="76">
        <v>41734</v>
      </c>
      <c r="AA2290" s="36" t="str">
        <f t="shared" si="536"/>
        <v>Internacional</v>
      </c>
      <c r="AB2290" s="36">
        <f t="shared" si="536"/>
        <v>1.21031746031746E-2</v>
      </c>
      <c r="AC2290" s="36">
        <f t="shared" si="536"/>
        <v>1.3814484126984118E-2</v>
      </c>
      <c r="AD2290" s="36">
        <f t="shared" si="536"/>
        <v>2.5917658730158718E-2</v>
      </c>
      <c r="AE2290" s="36" t="str">
        <f t="shared" si="536"/>
        <v>A319</v>
      </c>
      <c r="AF2290" s="36">
        <f t="shared" si="536"/>
        <v>142</v>
      </c>
      <c r="AG2290" s="36" t="str">
        <f t="shared" si="536"/>
        <v>MDW</v>
      </c>
    </row>
    <row r="2291" spans="18:33" x14ac:dyDescent="0.25">
      <c r="R2291">
        <v>2277</v>
      </c>
      <c r="S2291" s="36" t="str">
        <f t="shared" si="534"/>
        <v>BARATA Y MORADA</v>
      </c>
      <c r="T2291" s="36">
        <f t="shared" si="534"/>
        <v>941</v>
      </c>
      <c r="U2291" s="73">
        <v>0.93819444444444444</v>
      </c>
      <c r="V2291" s="74">
        <v>0.94861111111111107</v>
      </c>
      <c r="W2291" s="75">
        <v>1.041666666666663E-2</v>
      </c>
      <c r="X2291" s="74">
        <v>0.95694444444444438</v>
      </c>
      <c r="Y2291" s="75">
        <v>8.3333333333333037E-3</v>
      </c>
      <c r="Z2291" s="76">
        <v>41733</v>
      </c>
      <c r="AA2291" s="36" t="str">
        <f t="shared" si="536"/>
        <v>Internacional</v>
      </c>
      <c r="AB2291" s="36">
        <f t="shared" si="536"/>
        <v>1.21031746031746E-2</v>
      </c>
      <c r="AC2291" s="36">
        <f t="shared" si="536"/>
        <v>1.3814484126984118E-2</v>
      </c>
      <c r="AD2291" s="36">
        <f t="shared" si="536"/>
        <v>2.5917658730158718E-2</v>
      </c>
      <c r="AE2291" s="36" t="str">
        <f t="shared" si="536"/>
        <v>A319</v>
      </c>
      <c r="AF2291" s="36">
        <f t="shared" si="536"/>
        <v>142</v>
      </c>
      <c r="AG2291" s="36" t="str">
        <f t="shared" si="536"/>
        <v>MDW</v>
      </c>
    </row>
    <row r="2292" spans="18:33" x14ac:dyDescent="0.25">
      <c r="R2292">
        <v>2278</v>
      </c>
      <c r="S2292" s="36" t="str">
        <f t="shared" si="534"/>
        <v>BARATA Y MORADA</v>
      </c>
      <c r="T2292" s="36">
        <f t="shared" si="534"/>
        <v>941</v>
      </c>
      <c r="U2292" s="73">
        <v>0.94791666666666663</v>
      </c>
      <c r="V2292" s="74">
        <v>0.9590277777777777</v>
      </c>
      <c r="W2292" s="75">
        <v>1.1111111111111072E-2</v>
      </c>
      <c r="X2292" s="74">
        <v>0.97152777777777777</v>
      </c>
      <c r="Y2292" s="75">
        <v>1.2500000000000067E-2</v>
      </c>
      <c r="Z2292" s="76">
        <v>41735</v>
      </c>
      <c r="AA2292" s="36" t="str">
        <f t="shared" si="536"/>
        <v>Internacional</v>
      </c>
      <c r="AB2292" s="36">
        <f t="shared" si="536"/>
        <v>1.21031746031746E-2</v>
      </c>
      <c r="AC2292" s="36">
        <f t="shared" si="536"/>
        <v>1.3814484126984118E-2</v>
      </c>
      <c r="AD2292" s="36">
        <f t="shared" si="536"/>
        <v>2.5917658730158718E-2</v>
      </c>
      <c r="AE2292" s="36" t="str">
        <f t="shared" si="536"/>
        <v>A319</v>
      </c>
      <c r="AF2292" s="36">
        <f t="shared" si="536"/>
        <v>142</v>
      </c>
      <c r="AG2292" s="36" t="str">
        <f t="shared" si="536"/>
        <v>MDW</v>
      </c>
    </row>
    <row r="2293" spans="18:33" x14ac:dyDescent="0.25">
      <c r="R2293">
        <v>2279</v>
      </c>
      <c r="S2293" s="36" t="str">
        <f t="shared" si="534"/>
        <v>BARATA Y MORADA</v>
      </c>
      <c r="T2293" s="36">
        <f t="shared" si="534"/>
        <v>941</v>
      </c>
      <c r="U2293" s="73">
        <v>0.92986111111111114</v>
      </c>
      <c r="V2293" s="74">
        <v>0.94444444444444453</v>
      </c>
      <c r="W2293" s="75">
        <v>1.4583333333333393E-2</v>
      </c>
      <c r="X2293" s="74">
        <v>0.95833333333333337</v>
      </c>
      <c r="Y2293" s="75">
        <v>1.388888888888884E-2</v>
      </c>
      <c r="Z2293" s="76">
        <v>41736</v>
      </c>
      <c r="AA2293" s="36" t="str">
        <f t="shared" si="536"/>
        <v>Internacional</v>
      </c>
      <c r="AB2293" s="36">
        <f t="shared" si="536"/>
        <v>1.21031746031746E-2</v>
      </c>
      <c r="AC2293" s="36">
        <f t="shared" si="536"/>
        <v>1.3814484126984118E-2</v>
      </c>
      <c r="AD2293" s="36">
        <f t="shared" si="536"/>
        <v>2.5917658730158718E-2</v>
      </c>
      <c r="AE2293" s="36" t="str">
        <f t="shared" si="536"/>
        <v>A319</v>
      </c>
      <c r="AF2293" s="36">
        <f t="shared" si="536"/>
        <v>142</v>
      </c>
      <c r="AG2293" s="36" t="str">
        <f t="shared" si="536"/>
        <v>MDW</v>
      </c>
    </row>
    <row r="2294" spans="18:33" x14ac:dyDescent="0.25">
      <c r="R2294">
        <v>2280</v>
      </c>
      <c r="S2294" s="36" t="str">
        <f t="shared" si="534"/>
        <v>BARATA Y MORADA</v>
      </c>
      <c r="T2294" s="36">
        <f t="shared" si="534"/>
        <v>941</v>
      </c>
      <c r="U2294" s="73">
        <v>0.91111111111111109</v>
      </c>
      <c r="V2294" s="74">
        <v>0.92152777777777783</v>
      </c>
      <c r="W2294" s="75">
        <v>1.0416666666666741E-2</v>
      </c>
      <c r="X2294" s="74">
        <v>0.93680555555555556</v>
      </c>
      <c r="Y2294" s="75">
        <v>1.5277777777777724E-2</v>
      </c>
      <c r="Z2294" s="76">
        <v>41737</v>
      </c>
      <c r="AA2294" s="36" t="str">
        <f t="shared" si="536"/>
        <v>Internacional</v>
      </c>
      <c r="AB2294" s="36">
        <f t="shared" si="536"/>
        <v>1.21031746031746E-2</v>
      </c>
      <c r="AC2294" s="36">
        <f t="shared" si="536"/>
        <v>1.3814484126984118E-2</v>
      </c>
      <c r="AD2294" s="36">
        <f t="shared" si="536"/>
        <v>2.5917658730158718E-2</v>
      </c>
      <c r="AE2294" s="36" t="str">
        <f t="shared" si="536"/>
        <v>A319</v>
      </c>
      <c r="AF2294" s="36">
        <f t="shared" si="536"/>
        <v>142</v>
      </c>
      <c r="AG2294" s="36" t="str">
        <f t="shared" si="536"/>
        <v>MDW</v>
      </c>
    </row>
    <row r="2295" spans="18:33" x14ac:dyDescent="0.25">
      <c r="R2295">
        <v>2281</v>
      </c>
      <c r="S2295" s="36" t="str">
        <f t="shared" si="534"/>
        <v>BARATA Y MORADA</v>
      </c>
      <c r="T2295" s="36">
        <f t="shared" si="534"/>
        <v>941</v>
      </c>
      <c r="U2295" s="73">
        <v>0.90277777777777779</v>
      </c>
      <c r="V2295" s="74">
        <v>0.91249999999999998</v>
      </c>
      <c r="W2295" s="75">
        <v>9.7222222222221877E-3</v>
      </c>
      <c r="X2295" s="74">
        <v>0.93402777777777779</v>
      </c>
      <c r="Y2295" s="75">
        <v>2.1527777777777812E-2</v>
      </c>
      <c r="Z2295" s="76">
        <v>41738</v>
      </c>
      <c r="AA2295" s="36" t="str">
        <f t="shared" si="536"/>
        <v>Internacional</v>
      </c>
      <c r="AB2295" s="36">
        <f t="shared" si="536"/>
        <v>1.21031746031746E-2</v>
      </c>
      <c r="AC2295" s="36">
        <f t="shared" si="536"/>
        <v>1.3814484126984118E-2</v>
      </c>
      <c r="AD2295" s="36">
        <f t="shared" si="536"/>
        <v>2.5917658730158718E-2</v>
      </c>
      <c r="AE2295" s="36" t="str">
        <f t="shared" si="536"/>
        <v>A319</v>
      </c>
      <c r="AF2295" s="36">
        <f t="shared" si="536"/>
        <v>142</v>
      </c>
      <c r="AG2295" s="36" t="str">
        <f t="shared" si="536"/>
        <v>MDW</v>
      </c>
    </row>
    <row r="2296" spans="18:33" x14ac:dyDescent="0.25">
      <c r="R2296">
        <v>2282</v>
      </c>
      <c r="S2296" s="36" t="str">
        <f t="shared" si="534"/>
        <v>BARATA Y MORADA</v>
      </c>
      <c r="T2296" s="36">
        <f t="shared" si="534"/>
        <v>941</v>
      </c>
      <c r="U2296" s="73">
        <v>0.90902777777777777</v>
      </c>
      <c r="V2296" s="74">
        <v>0.92222222222222217</v>
      </c>
      <c r="W2296" s="75">
        <v>1.3194444444444398E-2</v>
      </c>
      <c r="X2296" s="74">
        <v>0.93819444444444444</v>
      </c>
      <c r="Y2296" s="75">
        <v>1.5972222222222276E-2</v>
      </c>
      <c r="Z2296" s="76">
        <v>41739</v>
      </c>
      <c r="AA2296" s="36" t="str">
        <f t="shared" si="536"/>
        <v>Internacional</v>
      </c>
      <c r="AB2296" s="36">
        <f t="shared" si="536"/>
        <v>1.21031746031746E-2</v>
      </c>
      <c r="AC2296" s="36">
        <f t="shared" si="536"/>
        <v>1.3814484126984118E-2</v>
      </c>
      <c r="AD2296" s="36">
        <f t="shared" si="536"/>
        <v>2.5917658730158718E-2</v>
      </c>
      <c r="AE2296" s="36" t="str">
        <f t="shared" si="536"/>
        <v>A319</v>
      </c>
      <c r="AF2296" s="36">
        <f t="shared" si="536"/>
        <v>142</v>
      </c>
      <c r="AG2296" s="36" t="str">
        <f t="shared" si="536"/>
        <v>MDW</v>
      </c>
    </row>
    <row r="2297" spans="18:33" x14ac:dyDescent="0.25">
      <c r="R2297">
        <v>2283</v>
      </c>
      <c r="S2297" s="36" t="str">
        <f t="shared" si="534"/>
        <v>BARATA Y MORADA</v>
      </c>
      <c r="T2297" s="36">
        <f t="shared" si="534"/>
        <v>941</v>
      </c>
      <c r="U2297" s="73">
        <v>0.9</v>
      </c>
      <c r="V2297" s="74">
        <v>0.91805555555555562</v>
      </c>
      <c r="W2297" s="75">
        <v>1.8055555555555602E-2</v>
      </c>
      <c r="X2297" s="74">
        <v>0.93055555555555547</v>
      </c>
      <c r="Y2297" s="75">
        <v>1.2499999999999845E-2</v>
      </c>
      <c r="Z2297" s="76">
        <v>41740</v>
      </c>
      <c r="AA2297" s="36" t="str">
        <f t="shared" si="536"/>
        <v>Internacional</v>
      </c>
      <c r="AB2297" s="36">
        <f t="shared" si="536"/>
        <v>1.21031746031746E-2</v>
      </c>
      <c r="AC2297" s="36">
        <f t="shared" si="536"/>
        <v>1.3814484126984118E-2</v>
      </c>
      <c r="AD2297" s="36">
        <f t="shared" si="536"/>
        <v>2.5917658730158718E-2</v>
      </c>
      <c r="AE2297" s="36" t="str">
        <f t="shared" si="536"/>
        <v>A319</v>
      </c>
      <c r="AF2297" s="36">
        <f t="shared" si="536"/>
        <v>142</v>
      </c>
      <c r="AG2297" s="36" t="str">
        <f t="shared" si="536"/>
        <v>MDW</v>
      </c>
    </row>
    <row r="2298" spans="18:33" x14ac:dyDescent="0.25">
      <c r="R2298">
        <v>2284</v>
      </c>
      <c r="S2298" s="36" t="str">
        <f t="shared" si="534"/>
        <v>BARATA Y MORADA</v>
      </c>
      <c r="T2298" s="36">
        <f t="shared" si="534"/>
        <v>941</v>
      </c>
      <c r="U2298" s="73">
        <v>0.90277777777777779</v>
      </c>
      <c r="V2298" s="74">
        <v>0.9159722222222223</v>
      </c>
      <c r="W2298" s="75">
        <v>1.3194444444444509E-2</v>
      </c>
      <c r="X2298" s="74">
        <v>0.92222222222222217</v>
      </c>
      <c r="Y2298" s="75">
        <v>6.2499999999998668E-3</v>
      </c>
      <c r="Z2298" s="76">
        <v>41742</v>
      </c>
      <c r="AA2298" s="36" t="str">
        <f t="shared" si="536"/>
        <v>Internacional</v>
      </c>
      <c r="AB2298" s="36">
        <f t="shared" si="536"/>
        <v>1.21031746031746E-2</v>
      </c>
      <c r="AC2298" s="36">
        <f t="shared" si="536"/>
        <v>1.3814484126984118E-2</v>
      </c>
      <c r="AD2298" s="36">
        <f t="shared" si="536"/>
        <v>2.5917658730158718E-2</v>
      </c>
      <c r="AE2298" s="36" t="str">
        <f t="shared" si="536"/>
        <v>A319</v>
      </c>
      <c r="AF2298" s="36">
        <f t="shared" si="536"/>
        <v>142</v>
      </c>
      <c r="AG2298" s="36" t="str">
        <f t="shared" si="536"/>
        <v>MDW</v>
      </c>
    </row>
    <row r="2299" spans="18:33" x14ac:dyDescent="0.25">
      <c r="R2299">
        <v>2285</v>
      </c>
      <c r="S2299" s="36" t="str">
        <f t="shared" si="534"/>
        <v>BARATA Y MORADA</v>
      </c>
      <c r="T2299" s="36">
        <f t="shared" si="534"/>
        <v>941</v>
      </c>
      <c r="U2299" s="73">
        <v>0.93472222222222223</v>
      </c>
      <c r="V2299" s="74">
        <v>0.9472222222222223</v>
      </c>
      <c r="W2299" s="75">
        <v>1.2500000000000067E-2</v>
      </c>
      <c r="X2299" s="74">
        <v>0.96458333333333324</v>
      </c>
      <c r="Y2299" s="75">
        <v>1.7361111111110938E-2</v>
      </c>
      <c r="Z2299" s="76">
        <v>41743</v>
      </c>
      <c r="AA2299" s="36" t="str">
        <f t="shared" si="536"/>
        <v>Internacional</v>
      </c>
      <c r="AB2299" s="36">
        <f t="shared" si="536"/>
        <v>1.21031746031746E-2</v>
      </c>
      <c r="AC2299" s="36">
        <f t="shared" si="536"/>
        <v>1.3814484126984118E-2</v>
      </c>
      <c r="AD2299" s="36">
        <f t="shared" si="536"/>
        <v>2.5917658730158718E-2</v>
      </c>
      <c r="AE2299" s="36" t="str">
        <f t="shared" si="536"/>
        <v>A319</v>
      </c>
      <c r="AF2299" s="36">
        <f t="shared" si="536"/>
        <v>142</v>
      </c>
      <c r="AG2299" s="36" t="str">
        <f t="shared" si="536"/>
        <v>MDW</v>
      </c>
    </row>
    <row r="2300" spans="18:33" x14ac:dyDescent="0.25">
      <c r="R2300">
        <v>2286</v>
      </c>
      <c r="S2300" s="36" t="str">
        <f t="shared" si="534"/>
        <v>BARATA Y MORADA</v>
      </c>
      <c r="T2300" s="36">
        <f t="shared" si="534"/>
        <v>941</v>
      </c>
      <c r="U2300" s="73">
        <v>0.90416666666666667</v>
      </c>
      <c r="V2300" s="74">
        <v>0.91666666666666663</v>
      </c>
      <c r="W2300" s="75">
        <v>1.2499999999999956E-2</v>
      </c>
      <c r="X2300" s="74">
        <v>0.93263888888888891</v>
      </c>
      <c r="Y2300" s="75">
        <v>1.5972222222222276E-2</v>
      </c>
      <c r="Z2300" s="76">
        <v>41745</v>
      </c>
      <c r="AA2300" s="36" t="str">
        <f t="shared" si="536"/>
        <v>Internacional</v>
      </c>
      <c r="AB2300" s="36">
        <f t="shared" si="536"/>
        <v>1.21031746031746E-2</v>
      </c>
      <c r="AC2300" s="36">
        <f t="shared" si="536"/>
        <v>1.3814484126984118E-2</v>
      </c>
      <c r="AD2300" s="36">
        <f t="shared" si="536"/>
        <v>2.5917658730158718E-2</v>
      </c>
      <c r="AE2300" s="36" t="str">
        <f t="shared" si="536"/>
        <v>A319</v>
      </c>
      <c r="AF2300" s="36">
        <f t="shared" si="536"/>
        <v>142</v>
      </c>
      <c r="AG2300" s="36" t="str">
        <f t="shared" si="536"/>
        <v>MDW</v>
      </c>
    </row>
    <row r="2301" spans="18:33" x14ac:dyDescent="0.25">
      <c r="R2301">
        <v>2287</v>
      </c>
      <c r="S2301" s="36" t="str">
        <f t="shared" si="534"/>
        <v>BARATA Y MORADA</v>
      </c>
      <c r="T2301" s="36">
        <f t="shared" si="534"/>
        <v>941</v>
      </c>
      <c r="U2301" s="73">
        <v>0.91249999999999998</v>
      </c>
      <c r="V2301" s="74">
        <v>0.92222222222222217</v>
      </c>
      <c r="W2301" s="75">
        <v>9.7222222222221877E-3</v>
      </c>
      <c r="X2301" s="74">
        <v>0.93819444444444444</v>
      </c>
      <c r="Y2301" s="75">
        <v>1.5972222222222276E-2</v>
      </c>
      <c r="Z2301" s="76">
        <v>41744</v>
      </c>
      <c r="AA2301" s="36" t="str">
        <f t="shared" si="536"/>
        <v>Internacional</v>
      </c>
      <c r="AB2301" s="36">
        <f t="shared" si="536"/>
        <v>1.21031746031746E-2</v>
      </c>
      <c r="AC2301" s="36">
        <f t="shared" si="536"/>
        <v>1.3814484126984118E-2</v>
      </c>
      <c r="AD2301" s="36">
        <f t="shared" si="536"/>
        <v>2.5917658730158718E-2</v>
      </c>
      <c r="AE2301" s="36" t="str">
        <f t="shared" si="536"/>
        <v>A319</v>
      </c>
      <c r="AF2301" s="36">
        <f t="shared" si="536"/>
        <v>142</v>
      </c>
      <c r="AG2301" s="36" t="str">
        <f t="shared" si="536"/>
        <v>MDW</v>
      </c>
    </row>
    <row r="2302" spans="18:33" x14ac:dyDescent="0.25">
      <c r="R2302">
        <v>2288</v>
      </c>
      <c r="S2302" s="36" t="str">
        <f t="shared" si="534"/>
        <v>BARATA Y MORADA</v>
      </c>
      <c r="T2302" s="36">
        <f t="shared" si="534"/>
        <v>941</v>
      </c>
      <c r="U2302" s="73">
        <v>0.90902777777777777</v>
      </c>
      <c r="V2302" s="74">
        <v>0.9194444444444444</v>
      </c>
      <c r="W2302" s="75">
        <v>1.041666666666663E-2</v>
      </c>
      <c r="X2302" s="74">
        <v>0.93472222222222223</v>
      </c>
      <c r="Y2302" s="75">
        <v>1.5277777777777835E-2</v>
      </c>
      <c r="Z2302" s="76">
        <v>41746</v>
      </c>
      <c r="AA2302" s="36" t="str">
        <f t="shared" si="536"/>
        <v>Internacional</v>
      </c>
      <c r="AB2302" s="36">
        <f t="shared" si="536"/>
        <v>1.21031746031746E-2</v>
      </c>
      <c r="AC2302" s="36">
        <f t="shared" si="536"/>
        <v>1.3814484126984118E-2</v>
      </c>
      <c r="AD2302" s="36">
        <f t="shared" si="536"/>
        <v>2.5917658730158718E-2</v>
      </c>
      <c r="AE2302" s="36" t="str">
        <f t="shared" si="536"/>
        <v>A319</v>
      </c>
      <c r="AF2302" s="36">
        <f t="shared" si="536"/>
        <v>142</v>
      </c>
      <c r="AG2302" s="36" t="str">
        <f t="shared" si="536"/>
        <v>MDW</v>
      </c>
    </row>
    <row r="2303" spans="18:33" x14ac:dyDescent="0.25">
      <c r="R2303">
        <v>2289</v>
      </c>
      <c r="S2303" s="36" t="str">
        <f t="shared" si="534"/>
        <v>BARATA Y MORADA</v>
      </c>
      <c r="T2303" s="36">
        <f t="shared" si="534"/>
        <v>941</v>
      </c>
      <c r="U2303" s="73">
        <v>0.89374999999999993</v>
      </c>
      <c r="V2303" s="74">
        <v>0.90277777777777779</v>
      </c>
      <c r="W2303" s="75">
        <v>9.0277777777778567E-3</v>
      </c>
      <c r="X2303" s="74">
        <v>0.92152777777777783</v>
      </c>
      <c r="Y2303" s="75">
        <v>1.8750000000000044E-2</v>
      </c>
      <c r="Z2303" s="76">
        <v>41747</v>
      </c>
      <c r="AA2303" s="36" t="str">
        <f t="shared" si="536"/>
        <v>Internacional</v>
      </c>
      <c r="AB2303" s="36">
        <f t="shared" si="536"/>
        <v>1.21031746031746E-2</v>
      </c>
      <c r="AC2303" s="36">
        <f t="shared" si="536"/>
        <v>1.3814484126984118E-2</v>
      </c>
      <c r="AD2303" s="36">
        <f t="shared" si="536"/>
        <v>2.5917658730158718E-2</v>
      </c>
      <c r="AE2303" s="36" t="str">
        <f t="shared" si="536"/>
        <v>A319</v>
      </c>
      <c r="AF2303" s="36">
        <f t="shared" si="536"/>
        <v>142</v>
      </c>
      <c r="AG2303" s="36" t="str">
        <f t="shared" si="536"/>
        <v>MDW</v>
      </c>
    </row>
    <row r="2304" spans="18:33" x14ac:dyDescent="0.25">
      <c r="R2304">
        <v>2290</v>
      </c>
      <c r="S2304" s="36" t="str">
        <f t="shared" si="534"/>
        <v>BARATA Y MORADA</v>
      </c>
      <c r="T2304" s="36">
        <f t="shared" si="534"/>
        <v>941</v>
      </c>
      <c r="U2304" s="73">
        <v>0.91388888888888886</v>
      </c>
      <c r="V2304" s="74">
        <v>0.92361111111111116</v>
      </c>
      <c r="W2304" s="75">
        <v>9.7222222222222987E-3</v>
      </c>
      <c r="X2304" s="74">
        <v>0.93819444444444444</v>
      </c>
      <c r="Y2304" s="75">
        <v>1.4583333333333282E-2</v>
      </c>
      <c r="Z2304" s="76">
        <v>41749</v>
      </c>
      <c r="AA2304" s="36" t="str">
        <f t="shared" si="536"/>
        <v>Internacional</v>
      </c>
      <c r="AB2304" s="36">
        <f t="shared" si="536"/>
        <v>1.21031746031746E-2</v>
      </c>
      <c r="AC2304" s="36">
        <f t="shared" si="536"/>
        <v>1.3814484126984118E-2</v>
      </c>
      <c r="AD2304" s="36">
        <f t="shared" si="536"/>
        <v>2.5917658730158718E-2</v>
      </c>
      <c r="AE2304" s="36" t="str">
        <f t="shared" si="536"/>
        <v>A319</v>
      </c>
      <c r="AF2304" s="36">
        <f t="shared" si="536"/>
        <v>142</v>
      </c>
      <c r="AG2304" s="36" t="str">
        <f t="shared" si="536"/>
        <v>MDW</v>
      </c>
    </row>
    <row r="2305" spans="18:33" x14ac:dyDescent="0.25">
      <c r="R2305">
        <v>2291</v>
      </c>
      <c r="S2305" s="36" t="str">
        <f t="shared" si="534"/>
        <v>BARATA Y MORADA</v>
      </c>
      <c r="T2305" s="36">
        <f t="shared" si="534"/>
        <v>941</v>
      </c>
      <c r="U2305" s="73">
        <v>0.90694444444444444</v>
      </c>
      <c r="V2305" s="74">
        <v>0.90972222222222221</v>
      </c>
      <c r="W2305" s="75">
        <v>2.7777777777777679E-3</v>
      </c>
      <c r="X2305" s="74">
        <v>0.92638888888888893</v>
      </c>
      <c r="Y2305" s="75">
        <v>1.6666666666666718E-2</v>
      </c>
      <c r="Z2305" s="76">
        <v>41748</v>
      </c>
      <c r="AA2305" s="36" t="str">
        <f t="shared" si="536"/>
        <v>Internacional</v>
      </c>
      <c r="AB2305" s="36">
        <f t="shared" si="536"/>
        <v>1.21031746031746E-2</v>
      </c>
      <c r="AC2305" s="36">
        <f t="shared" si="536"/>
        <v>1.3814484126984118E-2</v>
      </c>
      <c r="AD2305" s="36">
        <f t="shared" si="536"/>
        <v>2.5917658730158718E-2</v>
      </c>
      <c r="AE2305" s="36" t="str">
        <f t="shared" si="536"/>
        <v>A319</v>
      </c>
      <c r="AF2305" s="36">
        <f t="shared" si="536"/>
        <v>142</v>
      </c>
      <c r="AG2305" s="36" t="str">
        <f t="shared" si="536"/>
        <v>MDW</v>
      </c>
    </row>
    <row r="2306" spans="18:33" x14ac:dyDescent="0.25">
      <c r="R2306">
        <v>2292</v>
      </c>
      <c r="S2306" s="36" t="str">
        <f t="shared" si="534"/>
        <v>BARATA Y MORADA</v>
      </c>
      <c r="T2306" s="36">
        <f t="shared" si="534"/>
        <v>941</v>
      </c>
      <c r="U2306" s="73">
        <v>0.91875000000000007</v>
      </c>
      <c r="V2306" s="74">
        <v>0.93055555555555547</v>
      </c>
      <c r="W2306" s="75">
        <v>1.1805555555555403E-2</v>
      </c>
      <c r="X2306" s="74">
        <v>0.94097222222222221</v>
      </c>
      <c r="Y2306" s="75">
        <v>1.0416666666666741E-2</v>
      </c>
      <c r="Z2306" s="76">
        <v>41751</v>
      </c>
      <c r="AA2306" s="36" t="str">
        <f t="shared" si="536"/>
        <v>Internacional</v>
      </c>
      <c r="AB2306" s="36">
        <f t="shared" si="536"/>
        <v>1.21031746031746E-2</v>
      </c>
      <c r="AC2306" s="36">
        <f t="shared" si="536"/>
        <v>1.3814484126984118E-2</v>
      </c>
      <c r="AD2306" s="36">
        <f t="shared" si="536"/>
        <v>2.5917658730158718E-2</v>
      </c>
      <c r="AE2306" s="36" t="str">
        <f t="shared" si="536"/>
        <v>A319</v>
      </c>
      <c r="AF2306" s="36">
        <f t="shared" si="536"/>
        <v>142</v>
      </c>
      <c r="AG2306" s="36" t="str">
        <f t="shared" si="536"/>
        <v>MDW</v>
      </c>
    </row>
    <row r="2307" spans="18:33" x14ac:dyDescent="0.25">
      <c r="R2307">
        <v>2293</v>
      </c>
      <c r="S2307" s="36" t="str">
        <f t="shared" si="534"/>
        <v>BARATA Y MORADA</v>
      </c>
      <c r="T2307" s="36">
        <f t="shared" si="534"/>
        <v>941</v>
      </c>
      <c r="U2307" s="73">
        <v>0.92361111111111116</v>
      </c>
      <c r="V2307" s="74">
        <v>0.9375</v>
      </c>
      <c r="W2307" s="75">
        <v>1.388888888888884E-2</v>
      </c>
      <c r="X2307" s="74">
        <v>0.94652777777777775</v>
      </c>
      <c r="Y2307" s="75">
        <v>9.0277777777777457E-3</v>
      </c>
      <c r="Z2307" s="76">
        <v>41752</v>
      </c>
      <c r="AA2307" s="36" t="str">
        <f t="shared" si="536"/>
        <v>Internacional</v>
      </c>
      <c r="AB2307" s="36">
        <f t="shared" si="536"/>
        <v>1.21031746031746E-2</v>
      </c>
      <c r="AC2307" s="36">
        <f t="shared" si="536"/>
        <v>1.3814484126984118E-2</v>
      </c>
      <c r="AD2307" s="36">
        <f t="shared" si="536"/>
        <v>2.5917658730158718E-2</v>
      </c>
      <c r="AE2307" s="36" t="str">
        <f t="shared" si="536"/>
        <v>A319</v>
      </c>
      <c r="AF2307" s="36">
        <f t="shared" si="536"/>
        <v>142</v>
      </c>
      <c r="AG2307" s="36" t="str">
        <f t="shared" si="536"/>
        <v>MDW</v>
      </c>
    </row>
    <row r="2308" spans="18:33" x14ac:dyDescent="0.25">
      <c r="R2308">
        <v>2294</v>
      </c>
      <c r="S2308" s="36" t="str">
        <f t="shared" si="534"/>
        <v>BARATA Y MORADA</v>
      </c>
      <c r="T2308" s="36">
        <f t="shared" si="534"/>
        <v>941</v>
      </c>
      <c r="U2308" s="73">
        <v>0.89444444444444438</v>
      </c>
      <c r="V2308" s="74">
        <v>0.9159722222222223</v>
      </c>
      <c r="W2308" s="75">
        <v>2.1527777777777923E-2</v>
      </c>
      <c r="X2308" s="74">
        <v>0.92361111111111116</v>
      </c>
      <c r="Y2308" s="75">
        <v>7.6388888888888618E-3</v>
      </c>
      <c r="Z2308" s="76">
        <v>41752</v>
      </c>
      <c r="AA2308" s="36" t="str">
        <f t="shared" si="536"/>
        <v>Internacional</v>
      </c>
      <c r="AB2308" s="36">
        <f t="shared" si="536"/>
        <v>1.21031746031746E-2</v>
      </c>
      <c r="AC2308" s="36">
        <f t="shared" si="536"/>
        <v>1.3814484126984118E-2</v>
      </c>
      <c r="AD2308" s="36">
        <f t="shared" si="536"/>
        <v>2.5917658730158718E-2</v>
      </c>
      <c r="AE2308" s="36" t="str">
        <f t="shared" si="536"/>
        <v>A319</v>
      </c>
      <c r="AF2308" s="36">
        <f t="shared" si="536"/>
        <v>142</v>
      </c>
      <c r="AG2308" s="36" t="str">
        <f t="shared" si="536"/>
        <v>MDW</v>
      </c>
    </row>
    <row r="2309" spans="18:33" x14ac:dyDescent="0.25">
      <c r="R2309">
        <v>2295</v>
      </c>
      <c r="S2309" s="36" t="str">
        <f t="shared" si="534"/>
        <v>BARATA Y MORADA</v>
      </c>
      <c r="T2309" s="36">
        <f t="shared" si="534"/>
        <v>941</v>
      </c>
      <c r="U2309" s="73">
        <v>0.90555555555555556</v>
      </c>
      <c r="V2309" s="74">
        <v>0.91319444444444453</v>
      </c>
      <c r="W2309" s="75">
        <v>7.6388888888889728E-3</v>
      </c>
      <c r="X2309" s="74">
        <v>0.93055555555555547</v>
      </c>
      <c r="Y2309" s="75">
        <v>1.7361111111110938E-2</v>
      </c>
      <c r="Z2309" s="76">
        <v>41754</v>
      </c>
      <c r="AA2309" s="36" t="str">
        <f t="shared" si="536"/>
        <v>Internacional</v>
      </c>
      <c r="AB2309" s="36">
        <f t="shared" si="536"/>
        <v>1.21031746031746E-2</v>
      </c>
      <c r="AC2309" s="36">
        <f t="shared" si="536"/>
        <v>1.3814484126984118E-2</v>
      </c>
      <c r="AD2309" s="36">
        <f t="shared" si="536"/>
        <v>2.5917658730158718E-2</v>
      </c>
      <c r="AE2309" s="36" t="str">
        <f t="shared" si="536"/>
        <v>A319</v>
      </c>
      <c r="AF2309" s="36">
        <f t="shared" si="536"/>
        <v>142</v>
      </c>
      <c r="AG2309" s="36" t="str">
        <f t="shared" si="536"/>
        <v>MDW</v>
      </c>
    </row>
    <row r="2310" spans="18:33" x14ac:dyDescent="0.25">
      <c r="R2310">
        <v>2296</v>
      </c>
      <c r="S2310" s="36" t="str">
        <f t="shared" si="534"/>
        <v>BARATA Y MORADA</v>
      </c>
      <c r="T2310" s="36">
        <f t="shared" si="534"/>
        <v>941</v>
      </c>
      <c r="U2310" s="73">
        <v>0.91388888888888886</v>
      </c>
      <c r="V2310" s="74">
        <v>0.9243055555555556</v>
      </c>
      <c r="W2310" s="75">
        <v>1.0416666666666741E-2</v>
      </c>
      <c r="X2310" s="74">
        <v>0.94305555555555554</v>
      </c>
      <c r="Y2310" s="75">
        <v>1.8749999999999933E-2</v>
      </c>
      <c r="Z2310" s="76">
        <v>41755</v>
      </c>
      <c r="AA2310" s="36" t="str">
        <f t="shared" si="536"/>
        <v>Internacional</v>
      </c>
      <c r="AB2310" s="36">
        <f t="shared" si="536"/>
        <v>1.21031746031746E-2</v>
      </c>
      <c r="AC2310" s="36">
        <f t="shared" si="536"/>
        <v>1.3814484126984118E-2</v>
      </c>
      <c r="AD2310" s="36">
        <f t="shared" si="536"/>
        <v>2.5917658730158718E-2</v>
      </c>
      <c r="AE2310" s="36" t="str">
        <f t="shared" si="536"/>
        <v>A319</v>
      </c>
      <c r="AF2310" s="36">
        <f t="shared" si="536"/>
        <v>142</v>
      </c>
      <c r="AG2310" s="36" t="str">
        <f t="shared" si="536"/>
        <v>MDW</v>
      </c>
    </row>
    <row r="2311" spans="18:33" x14ac:dyDescent="0.25">
      <c r="R2311">
        <v>2297</v>
      </c>
      <c r="S2311" s="36" t="str">
        <f t="shared" si="534"/>
        <v>BARATA Y MORADA</v>
      </c>
      <c r="T2311" s="36">
        <f t="shared" si="534"/>
        <v>941</v>
      </c>
      <c r="U2311" s="73">
        <v>0.94861111111111107</v>
      </c>
      <c r="V2311" s="74">
        <v>0.96180555555555547</v>
      </c>
      <c r="W2311" s="75">
        <v>1.3194444444444398E-2</v>
      </c>
      <c r="X2311" s="74">
        <v>0.98333333333333339</v>
      </c>
      <c r="Y2311" s="75">
        <v>2.1527777777777923E-2</v>
      </c>
      <c r="Z2311" s="76">
        <v>41756</v>
      </c>
      <c r="AA2311" s="36" t="str">
        <f t="shared" si="536"/>
        <v>Internacional</v>
      </c>
      <c r="AB2311" s="36">
        <f t="shared" si="536"/>
        <v>1.21031746031746E-2</v>
      </c>
      <c r="AC2311" s="36">
        <f t="shared" si="536"/>
        <v>1.3814484126984118E-2</v>
      </c>
      <c r="AD2311" s="36">
        <f t="shared" si="536"/>
        <v>2.5917658730158718E-2</v>
      </c>
      <c r="AE2311" s="36" t="str">
        <f t="shared" si="536"/>
        <v>A319</v>
      </c>
      <c r="AF2311" s="36">
        <f t="shared" si="536"/>
        <v>142</v>
      </c>
      <c r="AG2311" s="36" t="str">
        <f t="shared" si="536"/>
        <v>MDW</v>
      </c>
    </row>
    <row r="2312" spans="18:33" x14ac:dyDescent="0.25">
      <c r="R2312">
        <v>2298</v>
      </c>
      <c r="S2312" s="36" t="str">
        <f t="shared" si="534"/>
        <v>BARATA Y MORADA</v>
      </c>
      <c r="T2312" s="36">
        <f t="shared" si="534"/>
        <v>941</v>
      </c>
      <c r="U2312" s="73">
        <v>0.91319444444444453</v>
      </c>
      <c r="V2312" s="74">
        <v>0.93055555555555547</v>
      </c>
      <c r="W2312" s="75">
        <v>1.7361111111110938E-2</v>
      </c>
      <c r="X2312" s="74">
        <v>0.93888888888888899</v>
      </c>
      <c r="Y2312" s="75">
        <v>8.3333333333335258E-3</v>
      </c>
      <c r="Z2312" s="76">
        <v>41757</v>
      </c>
      <c r="AA2312" s="36" t="str">
        <f t="shared" si="536"/>
        <v>Internacional</v>
      </c>
      <c r="AB2312" s="36">
        <f t="shared" si="536"/>
        <v>1.21031746031746E-2</v>
      </c>
      <c r="AC2312" s="36">
        <f t="shared" si="536"/>
        <v>1.3814484126984118E-2</v>
      </c>
      <c r="AD2312" s="36">
        <f t="shared" si="536"/>
        <v>2.5917658730158718E-2</v>
      </c>
      <c r="AE2312" s="36" t="str">
        <f t="shared" si="536"/>
        <v>A319</v>
      </c>
      <c r="AF2312" s="36">
        <f t="shared" si="536"/>
        <v>142</v>
      </c>
      <c r="AG2312" s="36" t="str">
        <f t="shared" si="536"/>
        <v>MDW</v>
      </c>
    </row>
    <row r="2313" spans="18:33" x14ac:dyDescent="0.25">
      <c r="R2313">
        <v>2299</v>
      </c>
      <c r="S2313" s="36" t="str">
        <f t="shared" si="534"/>
        <v>BARATA Y MORADA</v>
      </c>
      <c r="T2313" s="36">
        <f t="shared" si="534"/>
        <v>941</v>
      </c>
      <c r="U2313" s="73">
        <v>0.90972222222222221</v>
      </c>
      <c r="V2313" s="74">
        <v>0.92222222222222217</v>
      </c>
      <c r="W2313" s="75">
        <v>1.2499999999999956E-2</v>
      </c>
      <c r="X2313" s="74">
        <v>0.93541666666666667</v>
      </c>
      <c r="Y2313" s="75">
        <v>1.3194444444444509E-2</v>
      </c>
      <c r="Z2313" s="76">
        <v>41758</v>
      </c>
      <c r="AA2313" s="36" t="str">
        <f t="shared" si="536"/>
        <v>Internacional</v>
      </c>
      <c r="AB2313" s="36">
        <f t="shared" si="536"/>
        <v>1.21031746031746E-2</v>
      </c>
      <c r="AC2313" s="36">
        <f t="shared" si="536"/>
        <v>1.3814484126984118E-2</v>
      </c>
      <c r="AD2313" s="36">
        <f t="shared" si="536"/>
        <v>2.5917658730158718E-2</v>
      </c>
      <c r="AE2313" s="36" t="str">
        <f t="shared" si="536"/>
        <v>A319</v>
      </c>
      <c r="AF2313" s="36">
        <f t="shared" si="536"/>
        <v>142</v>
      </c>
      <c r="AG2313" s="36" t="str">
        <f t="shared" si="536"/>
        <v>MDW</v>
      </c>
    </row>
    <row r="2314" spans="18:33" ht="15.75" thickBot="1" x14ac:dyDescent="0.3">
      <c r="R2314">
        <v>2300</v>
      </c>
      <c r="S2314" s="36" t="str">
        <f t="shared" si="534"/>
        <v>BARATA Y MORADA</v>
      </c>
      <c r="T2314" s="36">
        <f t="shared" si="534"/>
        <v>941</v>
      </c>
      <c r="U2314" s="83">
        <v>0.91805555555555562</v>
      </c>
      <c r="V2314" s="84">
        <v>0.92986111111111114</v>
      </c>
      <c r="W2314" s="85">
        <v>1.1805555555555514E-2</v>
      </c>
      <c r="X2314" s="84">
        <v>0.94444444444444453</v>
      </c>
      <c r="Y2314" s="85">
        <v>1.4583333333333393E-2</v>
      </c>
      <c r="Z2314" s="86">
        <v>41759</v>
      </c>
      <c r="AA2314" s="36" t="str">
        <f t="shared" si="536"/>
        <v>Internacional</v>
      </c>
      <c r="AB2314" s="36">
        <f t="shared" si="536"/>
        <v>1.21031746031746E-2</v>
      </c>
      <c r="AC2314" s="36">
        <f t="shared" si="536"/>
        <v>1.3814484126984118E-2</v>
      </c>
      <c r="AD2314" s="36">
        <f t="shared" si="536"/>
        <v>2.5917658730158718E-2</v>
      </c>
      <c r="AE2314" s="36" t="str">
        <f t="shared" si="536"/>
        <v>A319</v>
      </c>
      <c r="AF2314" s="36">
        <f t="shared" si="536"/>
        <v>142</v>
      </c>
      <c r="AG2314" s="36" t="str">
        <f t="shared" si="536"/>
        <v>MDW</v>
      </c>
    </row>
    <row r="2315" spans="18:33" x14ac:dyDescent="0.25">
      <c r="R2315">
        <v>2301</v>
      </c>
      <c r="S2315" s="36" t="str">
        <f t="shared" si="534"/>
        <v>BARATA Y MORADA</v>
      </c>
      <c r="T2315" s="55">
        <v>951</v>
      </c>
      <c r="U2315" s="56">
        <v>0.27013888888888887</v>
      </c>
      <c r="V2315" s="57">
        <v>0.28263888888888888</v>
      </c>
      <c r="W2315" s="58">
        <v>1.2500000000000011E-2</v>
      </c>
      <c r="X2315" s="57">
        <v>0.3</v>
      </c>
      <c r="Y2315" s="58">
        <v>1.7361111111111105E-2</v>
      </c>
      <c r="Z2315" s="59">
        <v>41731</v>
      </c>
      <c r="AA2315" s="60" t="s">
        <v>22</v>
      </c>
      <c r="AB2315" s="61">
        <v>1.354166666666666E-2</v>
      </c>
      <c r="AC2315" s="61">
        <v>1.666666666666667E-2</v>
      </c>
      <c r="AD2315" s="231">
        <v>3.020833333333333E-2</v>
      </c>
      <c r="AE2315" s="132">
        <v>320</v>
      </c>
      <c r="AF2315" s="132">
        <v>179</v>
      </c>
      <c r="AG2315" s="132" t="s">
        <v>49</v>
      </c>
    </row>
    <row r="2316" spans="18:33" x14ac:dyDescent="0.25">
      <c r="R2316">
        <v>2302</v>
      </c>
      <c r="S2316" s="36" t="str">
        <f t="shared" si="534"/>
        <v>BARATA Y MORADA</v>
      </c>
      <c r="T2316" s="36">
        <f t="shared" si="534"/>
        <v>951</v>
      </c>
      <c r="U2316" s="73">
        <v>0.26111111111111113</v>
      </c>
      <c r="V2316" s="74">
        <v>0.27430555555555552</v>
      </c>
      <c r="W2316" s="75">
        <v>1.3194444444444398E-2</v>
      </c>
      <c r="X2316" s="74">
        <v>0.2902777777777778</v>
      </c>
      <c r="Y2316" s="75">
        <v>1.5972222222222276E-2</v>
      </c>
      <c r="Z2316" s="76">
        <v>41733</v>
      </c>
      <c r="AA2316" s="36" t="str">
        <f t="shared" ref="AA2316:AG2334" si="537">AA2315</f>
        <v>Internacional</v>
      </c>
      <c r="AB2316" s="36">
        <f t="shared" si="537"/>
        <v>1.354166666666666E-2</v>
      </c>
      <c r="AC2316" s="36">
        <f t="shared" si="537"/>
        <v>1.666666666666667E-2</v>
      </c>
      <c r="AD2316" s="36">
        <f t="shared" si="537"/>
        <v>3.020833333333333E-2</v>
      </c>
      <c r="AE2316" s="36">
        <f t="shared" si="537"/>
        <v>320</v>
      </c>
      <c r="AF2316" s="36">
        <f t="shared" si="537"/>
        <v>179</v>
      </c>
      <c r="AG2316" s="36" t="str">
        <f t="shared" si="537"/>
        <v>FAT</v>
      </c>
    </row>
    <row r="2317" spans="18:33" x14ac:dyDescent="0.25">
      <c r="R2317">
        <v>2303</v>
      </c>
      <c r="S2317" s="36" t="str">
        <f t="shared" si="534"/>
        <v>BARATA Y MORADA</v>
      </c>
      <c r="T2317" s="36">
        <f t="shared" si="534"/>
        <v>951</v>
      </c>
      <c r="U2317" s="73">
        <v>0.26458333333333334</v>
      </c>
      <c r="V2317" s="74">
        <v>0.27430555555555552</v>
      </c>
      <c r="W2317" s="75">
        <v>9.7222222222221877E-3</v>
      </c>
      <c r="X2317" s="74">
        <v>0.27916666666666667</v>
      </c>
      <c r="Y2317" s="75">
        <v>4.8611111111111494E-3</v>
      </c>
      <c r="Z2317" s="76">
        <v>41733</v>
      </c>
      <c r="AA2317" s="36" t="str">
        <f t="shared" si="537"/>
        <v>Internacional</v>
      </c>
      <c r="AB2317" s="36">
        <f t="shared" si="537"/>
        <v>1.354166666666666E-2</v>
      </c>
      <c r="AC2317" s="36">
        <f t="shared" si="537"/>
        <v>1.666666666666667E-2</v>
      </c>
      <c r="AD2317" s="36">
        <f t="shared" si="537"/>
        <v>3.020833333333333E-2</v>
      </c>
      <c r="AE2317" s="36">
        <f t="shared" si="537"/>
        <v>320</v>
      </c>
      <c r="AF2317" s="36">
        <f t="shared" si="537"/>
        <v>179</v>
      </c>
      <c r="AG2317" s="36" t="str">
        <f t="shared" si="537"/>
        <v>FAT</v>
      </c>
    </row>
    <row r="2318" spans="18:33" x14ac:dyDescent="0.25">
      <c r="R2318">
        <v>2304</v>
      </c>
      <c r="S2318" s="36" t="str">
        <f t="shared" si="534"/>
        <v>BARATA Y MORADA</v>
      </c>
      <c r="T2318" s="36">
        <f t="shared" si="534"/>
        <v>951</v>
      </c>
      <c r="U2318" s="73">
        <v>0.26250000000000001</v>
      </c>
      <c r="V2318" s="74">
        <v>0.27430555555555552</v>
      </c>
      <c r="W2318" s="75">
        <v>1.1805555555555514E-2</v>
      </c>
      <c r="X2318" s="74">
        <v>0.29375000000000001</v>
      </c>
      <c r="Y2318" s="75">
        <v>1.9444444444444486E-2</v>
      </c>
      <c r="Z2318" s="76">
        <v>41736</v>
      </c>
      <c r="AA2318" s="36" t="str">
        <f t="shared" si="537"/>
        <v>Internacional</v>
      </c>
      <c r="AB2318" s="36">
        <f t="shared" si="537"/>
        <v>1.354166666666666E-2</v>
      </c>
      <c r="AC2318" s="36">
        <f t="shared" si="537"/>
        <v>1.666666666666667E-2</v>
      </c>
      <c r="AD2318" s="36">
        <f t="shared" si="537"/>
        <v>3.020833333333333E-2</v>
      </c>
      <c r="AE2318" s="36">
        <f t="shared" si="537"/>
        <v>320</v>
      </c>
      <c r="AF2318" s="36">
        <f t="shared" si="537"/>
        <v>179</v>
      </c>
      <c r="AG2318" s="36" t="str">
        <f t="shared" si="537"/>
        <v>FAT</v>
      </c>
    </row>
    <row r="2319" spans="18:33" x14ac:dyDescent="0.25">
      <c r="R2319">
        <v>2305</v>
      </c>
      <c r="S2319" s="36" t="str">
        <f t="shared" si="534"/>
        <v>BARATA Y MORADA</v>
      </c>
      <c r="T2319" s="36">
        <f t="shared" si="534"/>
        <v>951</v>
      </c>
      <c r="U2319" s="73">
        <v>0.24652777777777779</v>
      </c>
      <c r="V2319" s="74">
        <v>0.26458333333333334</v>
      </c>
      <c r="W2319" s="75">
        <v>1.8055555555555547E-2</v>
      </c>
      <c r="X2319" s="74">
        <v>0.26666666666666666</v>
      </c>
      <c r="Y2319" s="75">
        <v>2.0833333333333259E-3</v>
      </c>
      <c r="Z2319" s="76">
        <v>41738</v>
      </c>
      <c r="AA2319" s="36" t="str">
        <f t="shared" si="537"/>
        <v>Internacional</v>
      </c>
      <c r="AB2319" s="36">
        <f t="shared" si="537"/>
        <v>1.354166666666666E-2</v>
      </c>
      <c r="AC2319" s="36">
        <f t="shared" si="537"/>
        <v>1.666666666666667E-2</v>
      </c>
      <c r="AD2319" s="36">
        <f t="shared" si="537"/>
        <v>3.020833333333333E-2</v>
      </c>
      <c r="AE2319" s="36">
        <f t="shared" si="537"/>
        <v>320</v>
      </c>
      <c r="AF2319" s="36">
        <f t="shared" si="537"/>
        <v>179</v>
      </c>
      <c r="AG2319" s="36" t="str">
        <f t="shared" si="537"/>
        <v>FAT</v>
      </c>
    </row>
    <row r="2320" spans="18:33" x14ac:dyDescent="0.25">
      <c r="R2320">
        <v>2306</v>
      </c>
      <c r="S2320" s="36" t="str">
        <f t="shared" si="534"/>
        <v>BARATA Y MORADA</v>
      </c>
      <c r="T2320" s="36">
        <f t="shared" si="534"/>
        <v>951</v>
      </c>
      <c r="U2320" s="73">
        <v>0.27638888888888885</v>
      </c>
      <c r="V2320" s="74">
        <v>0.29097222222222224</v>
      </c>
      <c r="W2320" s="75">
        <v>1.4583333333333393E-2</v>
      </c>
      <c r="X2320" s="74">
        <v>0.30624999999999997</v>
      </c>
      <c r="Y2320" s="75">
        <v>1.5277777777777724E-2</v>
      </c>
      <c r="Z2320" s="76">
        <v>41739</v>
      </c>
      <c r="AA2320" s="36" t="str">
        <f t="shared" si="537"/>
        <v>Internacional</v>
      </c>
      <c r="AB2320" s="36">
        <f t="shared" si="537"/>
        <v>1.354166666666666E-2</v>
      </c>
      <c r="AC2320" s="36">
        <f t="shared" si="537"/>
        <v>1.666666666666667E-2</v>
      </c>
      <c r="AD2320" s="36">
        <f t="shared" si="537"/>
        <v>3.020833333333333E-2</v>
      </c>
      <c r="AE2320" s="36">
        <f t="shared" si="537"/>
        <v>320</v>
      </c>
      <c r="AF2320" s="36">
        <f t="shared" si="537"/>
        <v>179</v>
      </c>
      <c r="AG2320" s="36" t="str">
        <f t="shared" si="537"/>
        <v>FAT</v>
      </c>
    </row>
    <row r="2321" spans="18:33" x14ac:dyDescent="0.25">
      <c r="R2321">
        <v>2307</v>
      </c>
      <c r="S2321" s="36" t="str">
        <f t="shared" si="534"/>
        <v>BARATA Y MORADA</v>
      </c>
      <c r="T2321" s="36">
        <f t="shared" si="534"/>
        <v>951</v>
      </c>
      <c r="U2321" s="73">
        <v>0.26666666666666666</v>
      </c>
      <c r="V2321" s="74">
        <v>0.27638888888888885</v>
      </c>
      <c r="W2321" s="75">
        <v>9.7222222222221877E-3</v>
      </c>
      <c r="X2321" s="74">
        <v>0.29444444444444445</v>
      </c>
      <c r="Y2321" s="75">
        <v>1.8055555555555602E-2</v>
      </c>
      <c r="Z2321" s="76">
        <v>41743</v>
      </c>
      <c r="AA2321" s="36" t="str">
        <f t="shared" si="537"/>
        <v>Internacional</v>
      </c>
      <c r="AB2321" s="36">
        <f t="shared" si="537"/>
        <v>1.354166666666666E-2</v>
      </c>
      <c r="AC2321" s="36">
        <f t="shared" si="537"/>
        <v>1.666666666666667E-2</v>
      </c>
      <c r="AD2321" s="36">
        <f t="shared" si="537"/>
        <v>3.020833333333333E-2</v>
      </c>
      <c r="AE2321" s="36">
        <f t="shared" si="537"/>
        <v>320</v>
      </c>
      <c r="AF2321" s="36">
        <f t="shared" si="537"/>
        <v>179</v>
      </c>
      <c r="AG2321" s="36" t="str">
        <f t="shared" si="537"/>
        <v>FAT</v>
      </c>
    </row>
    <row r="2322" spans="18:33" x14ac:dyDescent="0.25">
      <c r="R2322">
        <v>2308</v>
      </c>
      <c r="S2322" s="36" t="str">
        <f t="shared" si="534"/>
        <v>BARATA Y MORADA</v>
      </c>
      <c r="T2322" s="36">
        <f t="shared" si="534"/>
        <v>951</v>
      </c>
      <c r="U2322" s="73">
        <v>0.24930555555555556</v>
      </c>
      <c r="V2322" s="74">
        <v>0.26597222222222222</v>
      </c>
      <c r="W2322" s="75">
        <v>1.6666666666666663E-2</v>
      </c>
      <c r="X2322" s="74">
        <v>0.28611111111111115</v>
      </c>
      <c r="Y2322" s="75">
        <v>2.0138888888888928E-2</v>
      </c>
      <c r="Z2322" s="76">
        <v>41745</v>
      </c>
      <c r="AA2322" s="36" t="str">
        <f t="shared" si="537"/>
        <v>Internacional</v>
      </c>
      <c r="AB2322" s="36">
        <f t="shared" si="537"/>
        <v>1.354166666666666E-2</v>
      </c>
      <c r="AC2322" s="36">
        <f t="shared" si="537"/>
        <v>1.666666666666667E-2</v>
      </c>
      <c r="AD2322" s="36">
        <f t="shared" si="537"/>
        <v>3.020833333333333E-2</v>
      </c>
      <c r="AE2322" s="36">
        <f t="shared" si="537"/>
        <v>320</v>
      </c>
      <c r="AF2322" s="36">
        <f t="shared" si="537"/>
        <v>179</v>
      </c>
      <c r="AG2322" s="36" t="str">
        <f t="shared" si="537"/>
        <v>FAT</v>
      </c>
    </row>
    <row r="2323" spans="18:33" x14ac:dyDescent="0.25">
      <c r="R2323">
        <v>2309</v>
      </c>
      <c r="S2323" s="36" t="str">
        <f t="shared" si="534"/>
        <v>BARATA Y MORADA</v>
      </c>
      <c r="T2323" s="36">
        <f t="shared" si="534"/>
        <v>951</v>
      </c>
      <c r="U2323" s="73">
        <v>0.24374999999999999</v>
      </c>
      <c r="V2323" s="74">
        <v>0.25277777777777777</v>
      </c>
      <c r="W2323" s="75">
        <v>9.0277777777777735E-3</v>
      </c>
      <c r="X2323" s="74">
        <v>0.2638888888888889</v>
      </c>
      <c r="Y2323" s="75">
        <v>1.1111111111111127E-2</v>
      </c>
      <c r="Z2323" s="76">
        <v>41745</v>
      </c>
      <c r="AA2323" s="36" t="str">
        <f t="shared" si="537"/>
        <v>Internacional</v>
      </c>
      <c r="AB2323" s="36">
        <f t="shared" si="537"/>
        <v>1.354166666666666E-2</v>
      </c>
      <c r="AC2323" s="36">
        <f t="shared" si="537"/>
        <v>1.666666666666667E-2</v>
      </c>
      <c r="AD2323" s="36">
        <f t="shared" si="537"/>
        <v>3.020833333333333E-2</v>
      </c>
      <c r="AE2323" s="36">
        <f t="shared" si="537"/>
        <v>320</v>
      </c>
      <c r="AF2323" s="36">
        <f t="shared" si="537"/>
        <v>179</v>
      </c>
      <c r="AG2323" s="36" t="str">
        <f t="shared" si="537"/>
        <v>FAT</v>
      </c>
    </row>
    <row r="2324" spans="18:33" x14ac:dyDescent="0.25">
      <c r="R2324">
        <v>2310</v>
      </c>
      <c r="S2324" s="36" t="str">
        <f t="shared" si="534"/>
        <v>BARATA Y MORADA</v>
      </c>
      <c r="T2324" s="36">
        <f t="shared" si="534"/>
        <v>951</v>
      </c>
      <c r="U2324" s="73">
        <v>0.26250000000000001</v>
      </c>
      <c r="V2324" s="74">
        <v>0.27986111111111112</v>
      </c>
      <c r="W2324" s="75">
        <v>1.7361111111111105E-2</v>
      </c>
      <c r="X2324" s="74">
        <v>0.29236111111111113</v>
      </c>
      <c r="Y2324" s="75">
        <v>1.2500000000000011E-2</v>
      </c>
      <c r="Z2324" s="76">
        <v>41747</v>
      </c>
      <c r="AA2324" s="36" t="str">
        <f t="shared" si="537"/>
        <v>Internacional</v>
      </c>
      <c r="AB2324" s="36">
        <f t="shared" si="537"/>
        <v>1.354166666666666E-2</v>
      </c>
      <c r="AC2324" s="36">
        <f t="shared" si="537"/>
        <v>1.666666666666667E-2</v>
      </c>
      <c r="AD2324" s="36">
        <f t="shared" si="537"/>
        <v>3.020833333333333E-2</v>
      </c>
      <c r="AE2324" s="36">
        <f t="shared" si="537"/>
        <v>320</v>
      </c>
      <c r="AF2324" s="36">
        <f t="shared" si="537"/>
        <v>179</v>
      </c>
      <c r="AG2324" s="36" t="str">
        <f t="shared" si="537"/>
        <v>FAT</v>
      </c>
    </row>
    <row r="2325" spans="18:33" x14ac:dyDescent="0.25">
      <c r="R2325">
        <v>2311</v>
      </c>
      <c r="S2325" s="36" t="str">
        <f t="shared" si="534"/>
        <v>BARATA Y MORADA</v>
      </c>
      <c r="T2325" s="36">
        <f t="shared" si="534"/>
        <v>951</v>
      </c>
      <c r="U2325" s="73">
        <v>0.26111111111111113</v>
      </c>
      <c r="V2325" s="74">
        <v>0.26666666666666666</v>
      </c>
      <c r="W2325" s="75">
        <v>5.5555555555555358E-3</v>
      </c>
      <c r="X2325" s="74">
        <v>0.30138888888888887</v>
      </c>
      <c r="Y2325" s="75">
        <v>3.472222222222221E-2</v>
      </c>
      <c r="Z2325" s="76">
        <v>41749</v>
      </c>
      <c r="AA2325" s="36" t="str">
        <f t="shared" si="537"/>
        <v>Internacional</v>
      </c>
      <c r="AB2325" s="36">
        <f t="shared" si="537"/>
        <v>1.354166666666666E-2</v>
      </c>
      <c r="AC2325" s="36">
        <f t="shared" si="537"/>
        <v>1.666666666666667E-2</v>
      </c>
      <c r="AD2325" s="36">
        <f t="shared" si="537"/>
        <v>3.020833333333333E-2</v>
      </c>
      <c r="AE2325" s="36">
        <f t="shared" si="537"/>
        <v>320</v>
      </c>
      <c r="AF2325" s="36">
        <f t="shared" si="537"/>
        <v>179</v>
      </c>
      <c r="AG2325" s="36" t="str">
        <f t="shared" si="537"/>
        <v>FAT</v>
      </c>
    </row>
    <row r="2326" spans="18:33" x14ac:dyDescent="0.25">
      <c r="R2326">
        <v>2312</v>
      </c>
      <c r="S2326" s="36" t="str">
        <f t="shared" si="534"/>
        <v>BARATA Y MORADA</v>
      </c>
      <c r="T2326" s="36">
        <f t="shared" si="534"/>
        <v>951</v>
      </c>
      <c r="U2326" s="73">
        <v>0.24930555555555556</v>
      </c>
      <c r="V2326" s="74">
        <v>0.27708333333333335</v>
      </c>
      <c r="W2326" s="75">
        <v>2.777777777777779E-2</v>
      </c>
      <c r="X2326" s="74">
        <v>0.28680555555555554</v>
      </c>
      <c r="Y2326" s="75">
        <v>9.7222222222221877E-3</v>
      </c>
      <c r="Z2326" s="76">
        <v>41749</v>
      </c>
      <c r="AA2326" s="36" t="str">
        <f t="shared" si="537"/>
        <v>Internacional</v>
      </c>
      <c r="AB2326" s="36">
        <f t="shared" si="537"/>
        <v>1.354166666666666E-2</v>
      </c>
      <c r="AC2326" s="36">
        <f t="shared" si="537"/>
        <v>1.666666666666667E-2</v>
      </c>
      <c r="AD2326" s="36">
        <f t="shared" si="537"/>
        <v>3.020833333333333E-2</v>
      </c>
      <c r="AE2326" s="36">
        <f t="shared" si="537"/>
        <v>320</v>
      </c>
      <c r="AF2326" s="36">
        <f t="shared" si="537"/>
        <v>179</v>
      </c>
      <c r="AG2326" s="36" t="str">
        <f t="shared" si="537"/>
        <v>FAT</v>
      </c>
    </row>
    <row r="2327" spans="18:33" x14ac:dyDescent="0.25">
      <c r="R2327">
        <v>2313</v>
      </c>
      <c r="S2327" s="36" t="str">
        <f t="shared" si="534"/>
        <v>BARATA Y MORADA</v>
      </c>
      <c r="T2327" s="36">
        <f t="shared" si="534"/>
        <v>951</v>
      </c>
      <c r="U2327" s="73">
        <v>0.2638888888888889</v>
      </c>
      <c r="V2327" s="74">
        <v>0.27916666666666667</v>
      </c>
      <c r="W2327" s="75">
        <v>1.5277777777777779E-2</v>
      </c>
      <c r="X2327" s="74">
        <v>0.2951388888888889</v>
      </c>
      <c r="Y2327" s="75">
        <v>1.5972222222222221E-2</v>
      </c>
      <c r="Z2327" s="76">
        <v>41752</v>
      </c>
      <c r="AA2327" s="36" t="str">
        <f t="shared" si="537"/>
        <v>Internacional</v>
      </c>
      <c r="AB2327" s="36">
        <f t="shared" si="537"/>
        <v>1.354166666666666E-2</v>
      </c>
      <c r="AC2327" s="36">
        <f t="shared" si="537"/>
        <v>1.666666666666667E-2</v>
      </c>
      <c r="AD2327" s="36">
        <f t="shared" si="537"/>
        <v>3.020833333333333E-2</v>
      </c>
      <c r="AE2327" s="36">
        <f t="shared" si="537"/>
        <v>320</v>
      </c>
      <c r="AF2327" s="36">
        <f t="shared" si="537"/>
        <v>179</v>
      </c>
      <c r="AG2327" s="36" t="str">
        <f t="shared" si="537"/>
        <v>FAT</v>
      </c>
    </row>
    <row r="2328" spans="18:33" x14ac:dyDescent="0.25">
      <c r="R2328">
        <v>2314</v>
      </c>
      <c r="S2328" s="36" t="str">
        <f t="shared" si="534"/>
        <v>BARATA Y MORADA</v>
      </c>
      <c r="T2328" s="36">
        <f t="shared" si="534"/>
        <v>951</v>
      </c>
      <c r="U2328" s="73">
        <v>0.26666666666666666</v>
      </c>
      <c r="V2328" s="74">
        <v>0.27777777777777779</v>
      </c>
      <c r="W2328" s="75">
        <v>1.1111111111111127E-2</v>
      </c>
      <c r="X2328" s="74">
        <v>0.2986111111111111</v>
      </c>
      <c r="Y2328" s="75">
        <v>2.0833333333333315E-2</v>
      </c>
      <c r="Z2328" s="76">
        <v>41751</v>
      </c>
      <c r="AA2328" s="36" t="str">
        <f t="shared" si="537"/>
        <v>Internacional</v>
      </c>
      <c r="AB2328" s="36">
        <f t="shared" si="537"/>
        <v>1.354166666666666E-2</v>
      </c>
      <c r="AC2328" s="36">
        <f t="shared" si="537"/>
        <v>1.666666666666667E-2</v>
      </c>
      <c r="AD2328" s="36">
        <f t="shared" si="537"/>
        <v>3.020833333333333E-2</v>
      </c>
      <c r="AE2328" s="36">
        <f t="shared" si="537"/>
        <v>320</v>
      </c>
      <c r="AF2328" s="36">
        <f t="shared" si="537"/>
        <v>179</v>
      </c>
      <c r="AG2328" s="36" t="str">
        <f t="shared" si="537"/>
        <v>FAT</v>
      </c>
    </row>
    <row r="2329" spans="18:33" x14ac:dyDescent="0.25">
      <c r="R2329">
        <v>2315</v>
      </c>
      <c r="S2329" s="36" t="str">
        <f t="shared" si="534"/>
        <v>BARATA Y MORADA</v>
      </c>
      <c r="T2329" s="36">
        <f t="shared" si="534"/>
        <v>951</v>
      </c>
      <c r="U2329" s="73">
        <v>0.26111111111111113</v>
      </c>
      <c r="V2329" s="74">
        <v>0.28333333333333333</v>
      </c>
      <c r="W2329" s="75">
        <v>2.2222222222222199E-2</v>
      </c>
      <c r="X2329" s="74">
        <v>0.30555555555555552</v>
      </c>
      <c r="Y2329" s="75">
        <v>2.2222222222222199E-2</v>
      </c>
      <c r="Z2329" s="76">
        <v>41753</v>
      </c>
      <c r="AA2329" s="36" t="str">
        <f t="shared" si="537"/>
        <v>Internacional</v>
      </c>
      <c r="AB2329" s="36">
        <f t="shared" si="537"/>
        <v>1.354166666666666E-2</v>
      </c>
      <c r="AC2329" s="36">
        <f t="shared" si="537"/>
        <v>1.666666666666667E-2</v>
      </c>
      <c r="AD2329" s="36">
        <f t="shared" si="537"/>
        <v>3.020833333333333E-2</v>
      </c>
      <c r="AE2329" s="36">
        <f t="shared" si="537"/>
        <v>320</v>
      </c>
      <c r="AF2329" s="36">
        <f t="shared" si="537"/>
        <v>179</v>
      </c>
      <c r="AG2329" s="36" t="str">
        <f t="shared" si="537"/>
        <v>FAT</v>
      </c>
    </row>
    <row r="2330" spans="18:33" x14ac:dyDescent="0.25">
      <c r="R2330">
        <v>2316</v>
      </c>
      <c r="S2330" s="36" t="str">
        <f t="shared" si="534"/>
        <v>BARATA Y MORADA</v>
      </c>
      <c r="T2330" s="36">
        <f t="shared" si="534"/>
        <v>951</v>
      </c>
      <c r="U2330" s="73">
        <v>0.26041666666666669</v>
      </c>
      <c r="V2330" s="74">
        <v>0.26597222222222222</v>
      </c>
      <c r="W2330" s="75">
        <v>5.5555555555555358E-3</v>
      </c>
      <c r="X2330" s="74">
        <v>0.2722222222222222</v>
      </c>
      <c r="Y2330" s="75">
        <v>6.2499999999999778E-3</v>
      </c>
      <c r="Z2330" s="76">
        <v>41754</v>
      </c>
      <c r="AA2330" s="36" t="str">
        <f t="shared" si="537"/>
        <v>Internacional</v>
      </c>
      <c r="AB2330" s="36">
        <f t="shared" si="537"/>
        <v>1.354166666666666E-2</v>
      </c>
      <c r="AC2330" s="36">
        <f t="shared" si="537"/>
        <v>1.666666666666667E-2</v>
      </c>
      <c r="AD2330" s="36">
        <f t="shared" si="537"/>
        <v>3.020833333333333E-2</v>
      </c>
      <c r="AE2330" s="36">
        <f t="shared" si="537"/>
        <v>320</v>
      </c>
      <c r="AF2330" s="36">
        <f t="shared" si="537"/>
        <v>179</v>
      </c>
      <c r="AG2330" s="36" t="str">
        <f t="shared" si="537"/>
        <v>FAT</v>
      </c>
    </row>
    <row r="2331" spans="18:33" x14ac:dyDescent="0.25">
      <c r="R2331">
        <v>2317</v>
      </c>
      <c r="S2331" s="36" t="str">
        <f t="shared" si="534"/>
        <v>BARATA Y MORADA</v>
      </c>
      <c r="T2331" s="36">
        <f t="shared" si="534"/>
        <v>951</v>
      </c>
      <c r="U2331" s="73">
        <v>0.25416666666666665</v>
      </c>
      <c r="V2331" s="74">
        <v>0.26944444444444443</v>
      </c>
      <c r="W2331" s="75">
        <v>1.5277777777777779E-2</v>
      </c>
      <c r="X2331" s="74">
        <v>0.29097222222222224</v>
      </c>
      <c r="Y2331" s="75">
        <v>2.1527777777777812E-2</v>
      </c>
      <c r="Z2331" s="76">
        <v>41755</v>
      </c>
      <c r="AA2331" s="36" t="str">
        <f t="shared" si="537"/>
        <v>Internacional</v>
      </c>
      <c r="AB2331" s="36">
        <f t="shared" si="537"/>
        <v>1.354166666666666E-2</v>
      </c>
      <c r="AC2331" s="36">
        <f t="shared" si="537"/>
        <v>1.666666666666667E-2</v>
      </c>
      <c r="AD2331" s="36">
        <f t="shared" si="537"/>
        <v>3.020833333333333E-2</v>
      </c>
      <c r="AE2331" s="36">
        <f t="shared" si="537"/>
        <v>320</v>
      </c>
      <c r="AF2331" s="36">
        <f t="shared" si="537"/>
        <v>179</v>
      </c>
      <c r="AG2331" s="36" t="str">
        <f t="shared" si="537"/>
        <v>FAT</v>
      </c>
    </row>
    <row r="2332" spans="18:33" x14ac:dyDescent="0.25">
      <c r="R2332">
        <v>2318</v>
      </c>
      <c r="S2332" s="36" t="str">
        <f t="shared" si="534"/>
        <v>BARATA Y MORADA</v>
      </c>
      <c r="T2332" s="36">
        <f t="shared" si="534"/>
        <v>951</v>
      </c>
      <c r="U2332" s="73">
        <v>0.26250000000000001</v>
      </c>
      <c r="V2332" s="74">
        <v>0.27708333333333335</v>
      </c>
      <c r="W2332" s="75">
        <v>1.4583333333333337E-2</v>
      </c>
      <c r="X2332" s="74">
        <v>0.29930555555555555</v>
      </c>
      <c r="Y2332" s="75">
        <v>2.2222222222222199E-2</v>
      </c>
      <c r="Z2332" s="76">
        <v>41756</v>
      </c>
      <c r="AA2332" s="36" t="str">
        <f t="shared" si="537"/>
        <v>Internacional</v>
      </c>
      <c r="AB2332" s="36">
        <f t="shared" si="537"/>
        <v>1.354166666666666E-2</v>
      </c>
      <c r="AC2332" s="36">
        <f t="shared" si="537"/>
        <v>1.666666666666667E-2</v>
      </c>
      <c r="AD2332" s="36">
        <f t="shared" si="537"/>
        <v>3.020833333333333E-2</v>
      </c>
      <c r="AE2332" s="36">
        <f t="shared" si="537"/>
        <v>320</v>
      </c>
      <c r="AF2332" s="36">
        <f t="shared" si="537"/>
        <v>179</v>
      </c>
      <c r="AG2332" s="36" t="str">
        <f t="shared" si="537"/>
        <v>FAT</v>
      </c>
    </row>
    <row r="2333" spans="18:33" x14ac:dyDescent="0.25">
      <c r="R2333">
        <v>2319</v>
      </c>
      <c r="S2333" s="36" t="str">
        <f t="shared" si="534"/>
        <v>BARATA Y MORADA</v>
      </c>
      <c r="T2333" s="36">
        <f t="shared" si="534"/>
        <v>951</v>
      </c>
      <c r="U2333" s="73">
        <v>0.25486111111111109</v>
      </c>
      <c r="V2333" s="74">
        <v>0.26527777777777778</v>
      </c>
      <c r="W2333" s="75">
        <v>1.0416666666666685E-2</v>
      </c>
      <c r="X2333" s="74">
        <v>0.28958333333333336</v>
      </c>
      <c r="Y2333" s="75">
        <v>2.430555555555558E-2</v>
      </c>
      <c r="Z2333" s="76">
        <v>41757</v>
      </c>
      <c r="AA2333" s="36" t="str">
        <f t="shared" si="537"/>
        <v>Internacional</v>
      </c>
      <c r="AB2333" s="36">
        <f t="shared" si="537"/>
        <v>1.354166666666666E-2</v>
      </c>
      <c r="AC2333" s="36">
        <f t="shared" si="537"/>
        <v>1.666666666666667E-2</v>
      </c>
      <c r="AD2333" s="36">
        <f t="shared" si="537"/>
        <v>3.020833333333333E-2</v>
      </c>
      <c r="AE2333" s="36">
        <f t="shared" si="537"/>
        <v>320</v>
      </c>
      <c r="AF2333" s="36">
        <f t="shared" si="537"/>
        <v>179</v>
      </c>
      <c r="AG2333" s="36" t="str">
        <f t="shared" si="537"/>
        <v>FAT</v>
      </c>
    </row>
    <row r="2334" spans="18:33" ht="15.75" thickBot="1" x14ac:dyDescent="0.3">
      <c r="R2334">
        <v>2320</v>
      </c>
      <c r="S2334" s="36" t="str">
        <f t="shared" si="534"/>
        <v>BARATA Y MORADA</v>
      </c>
      <c r="T2334" s="36">
        <f t="shared" si="534"/>
        <v>951</v>
      </c>
      <c r="U2334" s="83">
        <v>0.2722222222222222</v>
      </c>
      <c r="V2334" s="84">
        <v>0.28263888888888888</v>
      </c>
      <c r="W2334" s="85">
        <v>1.0416666666666685E-2</v>
      </c>
      <c r="X2334" s="84">
        <v>0.30138888888888887</v>
      </c>
      <c r="Y2334" s="85">
        <v>1.8749999999999989E-2</v>
      </c>
      <c r="Z2334" s="86">
        <v>41760</v>
      </c>
      <c r="AA2334" s="36" t="str">
        <f t="shared" si="537"/>
        <v>Internacional</v>
      </c>
      <c r="AB2334" s="36">
        <f t="shared" si="537"/>
        <v>1.354166666666666E-2</v>
      </c>
      <c r="AC2334" s="36">
        <f t="shared" si="537"/>
        <v>1.666666666666667E-2</v>
      </c>
      <c r="AD2334" s="36">
        <f t="shared" si="537"/>
        <v>3.020833333333333E-2</v>
      </c>
      <c r="AE2334" s="36">
        <f t="shared" si="537"/>
        <v>320</v>
      </c>
      <c r="AF2334" s="36">
        <f t="shared" si="537"/>
        <v>179</v>
      </c>
      <c r="AG2334" s="36" t="str">
        <f t="shared" si="537"/>
        <v>FAT</v>
      </c>
    </row>
    <row r="2335" spans="18:33" x14ac:dyDescent="0.25">
      <c r="R2335">
        <v>2321</v>
      </c>
      <c r="S2335" s="36" t="str">
        <f t="shared" si="534"/>
        <v>BARATA Y MORADA</v>
      </c>
      <c r="T2335" s="55">
        <v>955</v>
      </c>
      <c r="U2335" s="56">
        <v>0.66805555555555562</v>
      </c>
      <c r="V2335" s="57">
        <v>0.67708333333333337</v>
      </c>
      <c r="W2335" s="58">
        <v>9.0277777777777457E-3</v>
      </c>
      <c r="X2335" s="57">
        <v>0.68888888888888899</v>
      </c>
      <c r="Y2335" s="58">
        <v>1.1805555555555625E-2</v>
      </c>
      <c r="Z2335" s="59">
        <v>41747</v>
      </c>
      <c r="AA2335" s="60" t="s">
        <v>22</v>
      </c>
      <c r="AB2335" s="61">
        <v>1.041666666666663E-2</v>
      </c>
      <c r="AC2335" s="61">
        <v>1.6666666666666746E-2</v>
      </c>
      <c r="AD2335" s="231">
        <v>2.7083333333333376E-2</v>
      </c>
      <c r="AE2335" s="132" t="s">
        <v>98</v>
      </c>
      <c r="AF2335" s="132">
        <v>142</v>
      </c>
      <c r="AG2335" s="132" t="s">
        <v>99</v>
      </c>
    </row>
    <row r="2336" spans="18:33" x14ac:dyDescent="0.25">
      <c r="R2336">
        <v>2322</v>
      </c>
      <c r="S2336" s="36" t="str">
        <f t="shared" si="534"/>
        <v>BARATA Y MORADA</v>
      </c>
      <c r="T2336" s="36">
        <f t="shared" si="534"/>
        <v>955</v>
      </c>
      <c r="U2336" s="73">
        <v>0.65555555555555556</v>
      </c>
      <c r="V2336" s="74">
        <v>0.6694444444444444</v>
      </c>
      <c r="W2336" s="75">
        <v>1.388888888888884E-2</v>
      </c>
      <c r="X2336" s="74">
        <v>0.68888888888888899</v>
      </c>
      <c r="Y2336" s="75">
        <v>1.9444444444444597E-2</v>
      </c>
      <c r="Z2336" s="76">
        <v>41749</v>
      </c>
      <c r="AA2336" s="36" t="str">
        <f t="shared" ref="AA2336:AG2338" si="538">AA2335</f>
        <v>Internacional</v>
      </c>
      <c r="AB2336" s="36">
        <f t="shared" si="538"/>
        <v>1.041666666666663E-2</v>
      </c>
      <c r="AC2336" s="36">
        <f t="shared" si="538"/>
        <v>1.6666666666666746E-2</v>
      </c>
      <c r="AD2336" s="36">
        <f t="shared" si="538"/>
        <v>2.7083333333333376E-2</v>
      </c>
      <c r="AE2336" s="36" t="str">
        <f t="shared" si="538"/>
        <v>a319</v>
      </c>
      <c r="AF2336" s="36">
        <f t="shared" si="538"/>
        <v>142</v>
      </c>
      <c r="AG2336" s="36" t="str">
        <f t="shared" si="538"/>
        <v>SAN</v>
      </c>
    </row>
    <row r="2337" spans="18:33" x14ac:dyDescent="0.25">
      <c r="R2337">
        <v>2323</v>
      </c>
      <c r="S2337" s="36" t="str">
        <f t="shared" si="534"/>
        <v>BARATA Y MORADA</v>
      </c>
      <c r="T2337" s="36">
        <f t="shared" si="534"/>
        <v>955</v>
      </c>
      <c r="U2337" s="73">
        <v>0.66388888888888886</v>
      </c>
      <c r="V2337" s="74">
        <v>0.67569444444444438</v>
      </c>
      <c r="W2337" s="75">
        <v>1.1805555555555514E-2</v>
      </c>
      <c r="X2337" s="74">
        <v>0.69027777777777777</v>
      </c>
      <c r="Y2337" s="75">
        <v>1.4583333333333393E-2</v>
      </c>
      <c r="Z2337" s="76">
        <v>41754</v>
      </c>
      <c r="AA2337" s="36" t="str">
        <f t="shared" si="538"/>
        <v>Internacional</v>
      </c>
      <c r="AB2337" s="36">
        <f t="shared" si="538"/>
        <v>1.041666666666663E-2</v>
      </c>
      <c r="AC2337" s="36">
        <f t="shared" si="538"/>
        <v>1.6666666666666746E-2</v>
      </c>
      <c r="AD2337" s="36">
        <f t="shared" si="538"/>
        <v>2.7083333333333376E-2</v>
      </c>
      <c r="AE2337" s="36" t="str">
        <f t="shared" si="538"/>
        <v>a319</v>
      </c>
      <c r="AF2337" s="36">
        <f t="shared" si="538"/>
        <v>142</v>
      </c>
      <c r="AG2337" s="36" t="str">
        <f t="shared" si="538"/>
        <v>SAN</v>
      </c>
    </row>
    <row r="2338" spans="18:33" ht="15.75" thickBot="1" x14ac:dyDescent="0.3">
      <c r="R2338">
        <v>2324</v>
      </c>
      <c r="S2338" s="36" t="str">
        <f t="shared" si="534"/>
        <v>BARATA Y MORADA</v>
      </c>
      <c r="T2338" s="36">
        <f t="shared" si="534"/>
        <v>955</v>
      </c>
      <c r="U2338" s="83">
        <v>0.67152777777777783</v>
      </c>
      <c r="V2338" s="84">
        <v>0.67847222222222225</v>
      </c>
      <c r="W2338" s="85">
        <v>6.9444444444444198E-3</v>
      </c>
      <c r="X2338" s="84">
        <v>0.69930555555555562</v>
      </c>
      <c r="Y2338" s="85">
        <v>2.083333333333337E-2</v>
      </c>
      <c r="Z2338" s="86">
        <v>41756</v>
      </c>
      <c r="AA2338" s="36" t="str">
        <f t="shared" si="538"/>
        <v>Internacional</v>
      </c>
      <c r="AB2338" s="36">
        <f t="shared" si="538"/>
        <v>1.041666666666663E-2</v>
      </c>
      <c r="AC2338" s="36">
        <f t="shared" si="538"/>
        <v>1.6666666666666746E-2</v>
      </c>
      <c r="AD2338" s="36">
        <f t="shared" si="538"/>
        <v>2.7083333333333376E-2</v>
      </c>
      <c r="AE2338" s="36" t="str">
        <f t="shared" si="538"/>
        <v>a319</v>
      </c>
      <c r="AF2338" s="36">
        <f t="shared" si="538"/>
        <v>142</v>
      </c>
      <c r="AG2338" s="36" t="str">
        <f t="shared" si="538"/>
        <v>SAN</v>
      </c>
    </row>
    <row r="2339" spans="18:33" x14ac:dyDescent="0.25">
      <c r="R2339">
        <v>2325</v>
      </c>
      <c r="S2339" s="36" t="str">
        <f t="shared" si="534"/>
        <v>BARATA Y MORADA</v>
      </c>
      <c r="T2339" s="55">
        <v>959</v>
      </c>
      <c r="U2339" s="56">
        <v>0.75277777777777777</v>
      </c>
      <c r="V2339" s="57">
        <v>0.76388888888888884</v>
      </c>
      <c r="W2339" s="58">
        <v>1.1111111111111072E-2</v>
      </c>
      <c r="X2339" s="57">
        <v>0.7729166666666667</v>
      </c>
      <c r="Y2339" s="58">
        <v>9.0277777777778567E-3</v>
      </c>
      <c r="Z2339" s="59">
        <v>41730</v>
      </c>
      <c r="AA2339" s="60" t="s">
        <v>22</v>
      </c>
      <c r="AB2339" s="61">
        <v>8.5937499999999833E-3</v>
      </c>
      <c r="AC2339" s="61">
        <v>1.3715277777777854E-2</v>
      </c>
      <c r="AD2339" s="231">
        <v>2.2309027777777837E-2</v>
      </c>
      <c r="AE2339" s="132">
        <v>320</v>
      </c>
      <c r="AF2339" s="132">
        <v>179</v>
      </c>
      <c r="AG2339" s="132" t="s">
        <v>32</v>
      </c>
    </row>
    <row r="2340" spans="18:33" x14ac:dyDescent="0.25">
      <c r="R2340">
        <v>2326</v>
      </c>
      <c r="S2340" s="36" t="str">
        <f t="shared" si="534"/>
        <v>BARATA Y MORADA</v>
      </c>
      <c r="T2340" s="36">
        <f t="shared" si="534"/>
        <v>959</v>
      </c>
      <c r="U2340" s="73">
        <v>0.69374999999999998</v>
      </c>
      <c r="V2340" s="74">
        <v>0.70347222222222217</v>
      </c>
      <c r="W2340" s="75">
        <v>9.7222222222221877E-3</v>
      </c>
      <c r="X2340" s="74">
        <v>0.71319444444444446</v>
      </c>
      <c r="Y2340" s="75">
        <v>9.7222222222222987E-3</v>
      </c>
      <c r="Z2340" s="76">
        <v>41734</v>
      </c>
      <c r="AA2340" s="36" t="str">
        <f t="shared" ref="AA2340:AG2346" si="539">AA2339</f>
        <v>Internacional</v>
      </c>
      <c r="AB2340" s="36">
        <f t="shared" si="539"/>
        <v>8.5937499999999833E-3</v>
      </c>
      <c r="AC2340" s="36">
        <f t="shared" si="539"/>
        <v>1.3715277777777854E-2</v>
      </c>
      <c r="AD2340" s="36">
        <f t="shared" si="539"/>
        <v>2.2309027777777837E-2</v>
      </c>
      <c r="AE2340" s="36">
        <f t="shared" si="539"/>
        <v>320</v>
      </c>
      <c r="AF2340" s="36">
        <f t="shared" si="539"/>
        <v>179</v>
      </c>
      <c r="AG2340" s="36" t="str">
        <f t="shared" si="539"/>
        <v>SAT</v>
      </c>
    </row>
    <row r="2341" spans="18:33" x14ac:dyDescent="0.25">
      <c r="R2341">
        <v>2327</v>
      </c>
      <c r="S2341" s="36" t="str">
        <f t="shared" si="534"/>
        <v>BARATA Y MORADA</v>
      </c>
      <c r="T2341" s="36">
        <f t="shared" si="534"/>
        <v>959</v>
      </c>
      <c r="U2341" s="73">
        <v>0.69097222222222221</v>
      </c>
      <c r="V2341" s="74">
        <v>0.7006944444444444</v>
      </c>
      <c r="W2341" s="75">
        <v>9.7222222222221877E-3</v>
      </c>
      <c r="X2341" s="74">
        <v>0.71388888888888891</v>
      </c>
      <c r="Y2341" s="75">
        <v>1.3194444444444509E-2</v>
      </c>
      <c r="Z2341" s="76">
        <v>41744</v>
      </c>
      <c r="AA2341" s="36" t="str">
        <f t="shared" si="539"/>
        <v>Internacional</v>
      </c>
      <c r="AB2341" s="36">
        <f t="shared" si="539"/>
        <v>8.5937499999999833E-3</v>
      </c>
      <c r="AC2341" s="36">
        <f t="shared" si="539"/>
        <v>1.3715277777777854E-2</v>
      </c>
      <c r="AD2341" s="36">
        <f t="shared" si="539"/>
        <v>2.2309027777777837E-2</v>
      </c>
      <c r="AE2341" s="36">
        <f t="shared" si="539"/>
        <v>320</v>
      </c>
      <c r="AF2341" s="36">
        <f t="shared" si="539"/>
        <v>179</v>
      </c>
      <c r="AG2341" s="36" t="str">
        <f t="shared" si="539"/>
        <v>SAT</v>
      </c>
    </row>
    <row r="2342" spans="18:33" x14ac:dyDescent="0.25">
      <c r="R2342">
        <v>2328</v>
      </c>
      <c r="S2342" s="36" t="str">
        <f t="shared" si="534"/>
        <v>BARATA Y MORADA</v>
      </c>
      <c r="T2342" s="36">
        <f t="shared" si="534"/>
        <v>959</v>
      </c>
      <c r="U2342" s="73">
        <v>0.59166666666666667</v>
      </c>
      <c r="V2342" s="74">
        <v>0.60416666666666663</v>
      </c>
      <c r="W2342" s="75">
        <v>1.2499999999999956E-2</v>
      </c>
      <c r="X2342" s="74">
        <v>0.61944444444444446</v>
      </c>
      <c r="Y2342" s="75">
        <v>1.5277777777777835E-2</v>
      </c>
      <c r="Z2342" s="76">
        <v>41749</v>
      </c>
      <c r="AA2342" s="36" t="str">
        <f t="shared" si="539"/>
        <v>Internacional</v>
      </c>
      <c r="AB2342" s="36">
        <f t="shared" si="539"/>
        <v>8.5937499999999833E-3</v>
      </c>
      <c r="AC2342" s="36">
        <f t="shared" si="539"/>
        <v>1.3715277777777854E-2</v>
      </c>
      <c r="AD2342" s="36">
        <f t="shared" si="539"/>
        <v>2.2309027777777837E-2</v>
      </c>
      <c r="AE2342" s="36">
        <f t="shared" si="539"/>
        <v>320</v>
      </c>
      <c r="AF2342" s="36">
        <f t="shared" si="539"/>
        <v>179</v>
      </c>
      <c r="AG2342" s="36" t="str">
        <f t="shared" si="539"/>
        <v>SAT</v>
      </c>
    </row>
    <row r="2343" spans="18:33" x14ac:dyDescent="0.25">
      <c r="R2343">
        <v>2329</v>
      </c>
      <c r="S2343" s="36" t="str">
        <f t="shared" si="534"/>
        <v>BARATA Y MORADA</v>
      </c>
      <c r="T2343" s="36">
        <f t="shared" si="534"/>
        <v>959</v>
      </c>
      <c r="U2343" s="73">
        <v>0.70694444444444438</v>
      </c>
      <c r="V2343" s="74">
        <v>0.71111111111111114</v>
      </c>
      <c r="W2343" s="75">
        <v>4.1666666666667629E-3</v>
      </c>
      <c r="X2343" s="74">
        <v>0.72569444444444453</v>
      </c>
      <c r="Y2343" s="75">
        <v>1.4583333333333393E-2</v>
      </c>
      <c r="Z2343" s="76">
        <v>41751</v>
      </c>
      <c r="AA2343" s="36" t="str">
        <f t="shared" si="539"/>
        <v>Internacional</v>
      </c>
      <c r="AB2343" s="36">
        <f t="shared" si="539"/>
        <v>8.5937499999999833E-3</v>
      </c>
      <c r="AC2343" s="36">
        <f t="shared" si="539"/>
        <v>1.3715277777777854E-2</v>
      </c>
      <c r="AD2343" s="36">
        <f t="shared" si="539"/>
        <v>2.2309027777777837E-2</v>
      </c>
      <c r="AE2343" s="36">
        <f t="shared" si="539"/>
        <v>320</v>
      </c>
      <c r="AF2343" s="36">
        <f t="shared" si="539"/>
        <v>179</v>
      </c>
      <c r="AG2343" s="36" t="str">
        <f t="shared" si="539"/>
        <v>SAT</v>
      </c>
    </row>
    <row r="2344" spans="18:33" x14ac:dyDescent="0.25">
      <c r="R2344">
        <v>2330</v>
      </c>
      <c r="S2344" s="36" t="str">
        <f t="shared" si="534"/>
        <v>BARATA Y MORADA</v>
      </c>
      <c r="T2344" s="36">
        <f t="shared" si="534"/>
        <v>959</v>
      </c>
      <c r="U2344" s="73">
        <v>0.70694444444444438</v>
      </c>
      <c r="V2344" s="74">
        <v>0.71111111111111114</v>
      </c>
      <c r="W2344" s="75">
        <v>4.1666666666667629E-3</v>
      </c>
      <c r="X2344" s="74">
        <v>0.72569444444444453</v>
      </c>
      <c r="Y2344" s="75">
        <v>1.4583333333333393E-2</v>
      </c>
      <c r="Z2344" s="76">
        <v>41751</v>
      </c>
      <c r="AA2344" s="36" t="str">
        <f t="shared" si="539"/>
        <v>Internacional</v>
      </c>
      <c r="AB2344" s="36">
        <f t="shared" si="539"/>
        <v>8.5937499999999833E-3</v>
      </c>
      <c r="AC2344" s="36">
        <f t="shared" si="539"/>
        <v>1.3715277777777854E-2</v>
      </c>
      <c r="AD2344" s="36">
        <f t="shared" si="539"/>
        <v>2.2309027777777837E-2</v>
      </c>
      <c r="AE2344" s="36">
        <f t="shared" si="539"/>
        <v>320</v>
      </c>
      <c r="AF2344" s="36">
        <f t="shared" si="539"/>
        <v>179</v>
      </c>
      <c r="AG2344" s="36" t="str">
        <f t="shared" si="539"/>
        <v>SAT</v>
      </c>
    </row>
    <row r="2345" spans="18:33" x14ac:dyDescent="0.25">
      <c r="R2345">
        <v>2331</v>
      </c>
      <c r="S2345" s="36" t="str">
        <f t="shared" si="534"/>
        <v>BARATA Y MORADA</v>
      </c>
      <c r="T2345" s="36">
        <f t="shared" si="534"/>
        <v>959</v>
      </c>
      <c r="U2345" s="73">
        <v>0.7368055555555556</v>
      </c>
      <c r="V2345" s="74">
        <v>0.74583333333333324</v>
      </c>
      <c r="W2345" s="75">
        <v>9.0277777777776347E-3</v>
      </c>
      <c r="X2345" s="74">
        <v>0.76458333333333339</v>
      </c>
      <c r="Y2345" s="75">
        <v>1.8750000000000155E-2</v>
      </c>
      <c r="Z2345" s="76">
        <v>41756</v>
      </c>
      <c r="AA2345" s="36" t="str">
        <f t="shared" si="539"/>
        <v>Internacional</v>
      </c>
      <c r="AB2345" s="36">
        <f t="shared" si="539"/>
        <v>8.5937499999999833E-3</v>
      </c>
      <c r="AC2345" s="36">
        <f t="shared" si="539"/>
        <v>1.3715277777777854E-2</v>
      </c>
      <c r="AD2345" s="36">
        <f t="shared" si="539"/>
        <v>2.2309027777777837E-2</v>
      </c>
      <c r="AE2345" s="36">
        <f t="shared" si="539"/>
        <v>320</v>
      </c>
      <c r="AF2345" s="36">
        <f t="shared" si="539"/>
        <v>179</v>
      </c>
      <c r="AG2345" s="36" t="str">
        <f t="shared" si="539"/>
        <v>SAT</v>
      </c>
    </row>
    <row r="2346" spans="18:33" ht="15.75" thickBot="1" x14ac:dyDescent="0.3">
      <c r="R2346">
        <v>2332</v>
      </c>
      <c r="S2346" s="36" t="str">
        <f t="shared" ref="S2346:T2346" si="540">S2345</f>
        <v>BARATA Y MORADA</v>
      </c>
      <c r="T2346" s="36">
        <f t="shared" si="540"/>
        <v>959</v>
      </c>
      <c r="U2346" s="83">
        <v>0.69861111111111107</v>
      </c>
      <c r="V2346" s="84">
        <v>0.70694444444444438</v>
      </c>
      <c r="W2346" s="85">
        <v>8.3333333333333037E-3</v>
      </c>
      <c r="X2346" s="84">
        <v>0.72152777777777777</v>
      </c>
      <c r="Y2346" s="85">
        <v>1.4583333333333393E-2</v>
      </c>
      <c r="Z2346" s="86">
        <v>41758</v>
      </c>
      <c r="AA2346" s="36" t="str">
        <f t="shared" si="539"/>
        <v>Internacional</v>
      </c>
      <c r="AB2346" s="36">
        <f t="shared" si="539"/>
        <v>8.5937499999999833E-3</v>
      </c>
      <c r="AC2346" s="36">
        <f t="shared" si="539"/>
        <v>1.3715277777777854E-2</v>
      </c>
      <c r="AD2346" s="36">
        <f t="shared" si="539"/>
        <v>2.2309027777777837E-2</v>
      </c>
      <c r="AE2346" s="36">
        <f t="shared" si="539"/>
        <v>320</v>
      </c>
      <c r="AF2346" s="36">
        <f t="shared" si="539"/>
        <v>179</v>
      </c>
      <c r="AG2346" s="36" t="str">
        <f t="shared" si="539"/>
        <v>SAT</v>
      </c>
    </row>
    <row r="2347" spans="18:33" x14ac:dyDescent="0.25">
      <c r="R2347">
        <v>2333</v>
      </c>
      <c r="S2347" s="45" t="s">
        <v>77</v>
      </c>
      <c r="T2347" s="55">
        <v>961</v>
      </c>
      <c r="U2347" s="56">
        <v>0.84097222222222223</v>
      </c>
      <c r="V2347" s="57">
        <v>0.8520833333333333</v>
      </c>
      <c r="W2347" s="58">
        <v>1.1111111111111072E-2</v>
      </c>
      <c r="X2347" s="57">
        <v>0.86041666666666661</v>
      </c>
      <c r="Y2347" s="58">
        <v>8.3333333333333037E-3</v>
      </c>
      <c r="Z2347" s="59">
        <v>41730</v>
      </c>
      <c r="AA2347" s="60" t="s">
        <v>22</v>
      </c>
      <c r="AB2347" s="61">
        <v>1.2028769841269826E-2</v>
      </c>
      <c r="AC2347" s="61">
        <v>1.3963293650793641E-2</v>
      </c>
      <c r="AD2347" s="231">
        <v>2.5992063492063469E-2</v>
      </c>
      <c r="AE2347" s="132" t="s">
        <v>57</v>
      </c>
      <c r="AF2347" s="132">
        <v>142</v>
      </c>
      <c r="AG2347" s="132" t="s">
        <v>68</v>
      </c>
    </row>
    <row r="2348" spans="18:33" x14ac:dyDescent="0.25">
      <c r="R2348">
        <v>2334</v>
      </c>
      <c r="S2348" s="36" t="str">
        <f t="shared" ref="S2348:T2401" si="541">S2347</f>
        <v>BARATA Y MORADA</v>
      </c>
      <c r="T2348" s="36">
        <f t="shared" si="541"/>
        <v>961</v>
      </c>
      <c r="U2348" s="73">
        <v>0.84791666666666676</v>
      </c>
      <c r="V2348" s="74">
        <v>0.8618055555555556</v>
      </c>
      <c r="W2348" s="75">
        <v>1.388888888888884E-2</v>
      </c>
      <c r="X2348" s="74">
        <v>0.88124999999999998</v>
      </c>
      <c r="Y2348" s="75">
        <v>1.9444444444444375E-2</v>
      </c>
      <c r="Z2348" s="76">
        <v>41731</v>
      </c>
      <c r="AA2348" s="36" t="str">
        <f t="shared" ref="AA2348:AG2374" si="542">AA2347</f>
        <v>Internacional</v>
      </c>
      <c r="AB2348" s="36">
        <f t="shared" si="542"/>
        <v>1.2028769841269826E-2</v>
      </c>
      <c r="AC2348" s="36">
        <f t="shared" si="542"/>
        <v>1.3963293650793641E-2</v>
      </c>
      <c r="AD2348" s="36">
        <f t="shared" si="542"/>
        <v>2.5992063492063469E-2</v>
      </c>
      <c r="AE2348" s="36" t="str">
        <f t="shared" si="542"/>
        <v>A319</v>
      </c>
      <c r="AF2348" s="36">
        <f t="shared" si="542"/>
        <v>142</v>
      </c>
      <c r="AG2348" s="36" t="str">
        <f t="shared" si="542"/>
        <v>LAS</v>
      </c>
    </row>
    <row r="2349" spans="18:33" x14ac:dyDescent="0.25">
      <c r="R2349">
        <v>2335</v>
      </c>
      <c r="S2349" s="36" t="str">
        <f t="shared" si="541"/>
        <v>BARATA Y MORADA</v>
      </c>
      <c r="T2349" s="36">
        <f t="shared" si="541"/>
        <v>961</v>
      </c>
      <c r="U2349" s="73">
        <v>0.83750000000000002</v>
      </c>
      <c r="V2349" s="74">
        <v>0.85277777777777775</v>
      </c>
      <c r="W2349" s="75">
        <v>1.5277777777777724E-2</v>
      </c>
      <c r="X2349" s="74">
        <v>0.8666666666666667</v>
      </c>
      <c r="Y2349" s="75">
        <v>1.3888888888888951E-2</v>
      </c>
      <c r="Z2349" s="76">
        <v>41732</v>
      </c>
      <c r="AA2349" s="36" t="str">
        <f t="shared" si="542"/>
        <v>Internacional</v>
      </c>
      <c r="AB2349" s="36">
        <f t="shared" si="542"/>
        <v>1.2028769841269826E-2</v>
      </c>
      <c r="AC2349" s="36">
        <f t="shared" si="542"/>
        <v>1.3963293650793641E-2</v>
      </c>
      <c r="AD2349" s="36">
        <f t="shared" si="542"/>
        <v>2.5992063492063469E-2</v>
      </c>
      <c r="AE2349" s="36" t="str">
        <f t="shared" si="542"/>
        <v>A319</v>
      </c>
      <c r="AF2349" s="36">
        <f t="shared" si="542"/>
        <v>142</v>
      </c>
      <c r="AG2349" s="36" t="str">
        <f t="shared" si="542"/>
        <v>LAS</v>
      </c>
    </row>
    <row r="2350" spans="18:33" x14ac:dyDescent="0.25">
      <c r="R2350">
        <v>2336</v>
      </c>
      <c r="S2350" s="36" t="str">
        <f t="shared" si="541"/>
        <v>BARATA Y MORADA</v>
      </c>
      <c r="T2350" s="36">
        <f t="shared" si="541"/>
        <v>961</v>
      </c>
      <c r="U2350" s="73">
        <v>0.84097222222222223</v>
      </c>
      <c r="V2350" s="74">
        <v>0.85069444444444453</v>
      </c>
      <c r="W2350" s="75">
        <v>9.7222222222222987E-3</v>
      </c>
      <c r="X2350" s="74">
        <v>0.86388888888888893</v>
      </c>
      <c r="Y2350" s="75">
        <v>1.3194444444444398E-2</v>
      </c>
      <c r="Z2350" s="76">
        <v>41734</v>
      </c>
      <c r="AA2350" s="36" t="str">
        <f t="shared" si="542"/>
        <v>Internacional</v>
      </c>
      <c r="AB2350" s="36">
        <f t="shared" si="542"/>
        <v>1.2028769841269826E-2</v>
      </c>
      <c r="AC2350" s="36">
        <f t="shared" si="542"/>
        <v>1.3963293650793641E-2</v>
      </c>
      <c r="AD2350" s="36">
        <f t="shared" si="542"/>
        <v>2.5992063492063469E-2</v>
      </c>
      <c r="AE2350" s="36" t="str">
        <f t="shared" si="542"/>
        <v>A319</v>
      </c>
      <c r="AF2350" s="36">
        <f t="shared" si="542"/>
        <v>142</v>
      </c>
      <c r="AG2350" s="36" t="str">
        <f t="shared" si="542"/>
        <v>LAS</v>
      </c>
    </row>
    <row r="2351" spans="18:33" x14ac:dyDescent="0.25">
      <c r="R2351">
        <v>2337</v>
      </c>
      <c r="S2351" s="36" t="str">
        <f t="shared" si="541"/>
        <v>BARATA Y MORADA</v>
      </c>
      <c r="T2351" s="36">
        <f t="shared" si="541"/>
        <v>961</v>
      </c>
      <c r="U2351" s="73">
        <v>0.84930555555555554</v>
      </c>
      <c r="V2351" s="74">
        <v>0.85763888888888884</v>
      </c>
      <c r="W2351" s="75">
        <v>8.3333333333333037E-3</v>
      </c>
      <c r="X2351" s="74">
        <v>0.87638888888888899</v>
      </c>
      <c r="Y2351" s="75">
        <v>1.8750000000000155E-2</v>
      </c>
      <c r="Z2351" s="76">
        <v>41733</v>
      </c>
      <c r="AA2351" s="36" t="str">
        <f t="shared" si="542"/>
        <v>Internacional</v>
      </c>
      <c r="AB2351" s="36">
        <f t="shared" si="542"/>
        <v>1.2028769841269826E-2</v>
      </c>
      <c r="AC2351" s="36">
        <f t="shared" si="542"/>
        <v>1.3963293650793641E-2</v>
      </c>
      <c r="AD2351" s="36">
        <f t="shared" si="542"/>
        <v>2.5992063492063469E-2</v>
      </c>
      <c r="AE2351" s="36" t="str">
        <f t="shared" si="542"/>
        <v>A319</v>
      </c>
      <c r="AF2351" s="36">
        <f t="shared" si="542"/>
        <v>142</v>
      </c>
      <c r="AG2351" s="36" t="str">
        <f t="shared" si="542"/>
        <v>LAS</v>
      </c>
    </row>
    <row r="2352" spans="18:33" x14ac:dyDescent="0.25">
      <c r="R2352">
        <v>2338</v>
      </c>
      <c r="S2352" s="36" t="str">
        <f t="shared" si="541"/>
        <v>BARATA Y MORADA</v>
      </c>
      <c r="T2352" s="36">
        <f t="shared" si="541"/>
        <v>961</v>
      </c>
      <c r="U2352" s="73">
        <v>0.84513888888888899</v>
      </c>
      <c r="V2352" s="74">
        <v>0.85625000000000007</v>
      </c>
      <c r="W2352" s="75">
        <v>1.1111111111111072E-2</v>
      </c>
      <c r="X2352" s="74">
        <v>0.875</v>
      </c>
      <c r="Y2352" s="75">
        <v>1.8749999999999933E-2</v>
      </c>
      <c r="Z2352" s="76">
        <v>41735</v>
      </c>
      <c r="AA2352" s="36" t="str">
        <f t="shared" si="542"/>
        <v>Internacional</v>
      </c>
      <c r="AB2352" s="36">
        <f t="shared" si="542"/>
        <v>1.2028769841269826E-2</v>
      </c>
      <c r="AC2352" s="36">
        <f t="shared" si="542"/>
        <v>1.3963293650793641E-2</v>
      </c>
      <c r="AD2352" s="36">
        <f t="shared" si="542"/>
        <v>2.5992063492063469E-2</v>
      </c>
      <c r="AE2352" s="36" t="str">
        <f t="shared" si="542"/>
        <v>A319</v>
      </c>
      <c r="AF2352" s="36">
        <f t="shared" si="542"/>
        <v>142</v>
      </c>
      <c r="AG2352" s="36" t="str">
        <f t="shared" si="542"/>
        <v>LAS</v>
      </c>
    </row>
    <row r="2353" spans="18:33" x14ac:dyDescent="0.25">
      <c r="R2353">
        <v>2339</v>
      </c>
      <c r="S2353" s="36" t="str">
        <f t="shared" si="541"/>
        <v>BARATA Y MORADA</v>
      </c>
      <c r="T2353" s="36">
        <f t="shared" si="541"/>
        <v>961</v>
      </c>
      <c r="U2353" s="73">
        <v>0.83888888888888891</v>
      </c>
      <c r="V2353" s="74">
        <v>0.84583333333333333</v>
      </c>
      <c r="W2353" s="75">
        <v>6.9444444444444198E-3</v>
      </c>
      <c r="X2353" s="74">
        <v>0.85833333333333339</v>
      </c>
      <c r="Y2353" s="75">
        <v>1.2500000000000067E-2</v>
      </c>
      <c r="Z2353" s="76">
        <v>41736</v>
      </c>
      <c r="AA2353" s="36" t="str">
        <f t="shared" si="542"/>
        <v>Internacional</v>
      </c>
      <c r="AB2353" s="36">
        <f t="shared" si="542"/>
        <v>1.2028769841269826E-2</v>
      </c>
      <c r="AC2353" s="36">
        <f t="shared" si="542"/>
        <v>1.3963293650793641E-2</v>
      </c>
      <c r="AD2353" s="36">
        <f t="shared" si="542"/>
        <v>2.5992063492063469E-2</v>
      </c>
      <c r="AE2353" s="36" t="str">
        <f t="shared" si="542"/>
        <v>A319</v>
      </c>
      <c r="AF2353" s="36">
        <f t="shared" si="542"/>
        <v>142</v>
      </c>
      <c r="AG2353" s="36" t="str">
        <f t="shared" si="542"/>
        <v>LAS</v>
      </c>
    </row>
    <row r="2354" spans="18:33" x14ac:dyDescent="0.25">
      <c r="R2354">
        <v>2340</v>
      </c>
      <c r="S2354" s="36" t="str">
        <f t="shared" si="541"/>
        <v>BARATA Y MORADA</v>
      </c>
      <c r="T2354" s="36">
        <f t="shared" si="541"/>
        <v>961</v>
      </c>
      <c r="U2354" s="73">
        <v>0.84027777777777779</v>
      </c>
      <c r="V2354" s="74">
        <v>0.84861111111111109</v>
      </c>
      <c r="W2354" s="75">
        <v>8.3333333333333037E-3</v>
      </c>
      <c r="X2354" s="74">
        <v>0.85902777777777783</v>
      </c>
      <c r="Y2354" s="75">
        <v>1.0416666666666741E-2</v>
      </c>
      <c r="Z2354" s="76">
        <v>41737</v>
      </c>
      <c r="AA2354" s="36" t="str">
        <f t="shared" si="542"/>
        <v>Internacional</v>
      </c>
      <c r="AB2354" s="36">
        <f t="shared" si="542"/>
        <v>1.2028769841269826E-2</v>
      </c>
      <c r="AC2354" s="36">
        <f t="shared" si="542"/>
        <v>1.3963293650793641E-2</v>
      </c>
      <c r="AD2354" s="36">
        <f t="shared" si="542"/>
        <v>2.5992063492063469E-2</v>
      </c>
      <c r="AE2354" s="36" t="str">
        <f t="shared" si="542"/>
        <v>A319</v>
      </c>
      <c r="AF2354" s="36">
        <f t="shared" si="542"/>
        <v>142</v>
      </c>
      <c r="AG2354" s="36" t="str">
        <f t="shared" si="542"/>
        <v>LAS</v>
      </c>
    </row>
    <row r="2355" spans="18:33" x14ac:dyDescent="0.25">
      <c r="R2355">
        <v>2341</v>
      </c>
      <c r="S2355" s="36" t="str">
        <f t="shared" si="541"/>
        <v>BARATA Y MORADA</v>
      </c>
      <c r="T2355" s="36">
        <f t="shared" si="541"/>
        <v>961</v>
      </c>
      <c r="U2355" s="73">
        <v>0.82777777777777783</v>
      </c>
      <c r="V2355" s="74">
        <v>0.8354166666666667</v>
      </c>
      <c r="W2355" s="75">
        <v>7.6388888888888618E-3</v>
      </c>
      <c r="X2355" s="74">
        <v>0.85277777777777775</v>
      </c>
      <c r="Y2355" s="75">
        <v>1.7361111111111049E-2</v>
      </c>
      <c r="Z2355" s="76">
        <v>41738</v>
      </c>
      <c r="AA2355" s="36" t="str">
        <f t="shared" si="542"/>
        <v>Internacional</v>
      </c>
      <c r="AB2355" s="36">
        <f t="shared" si="542"/>
        <v>1.2028769841269826E-2</v>
      </c>
      <c r="AC2355" s="36">
        <f t="shared" si="542"/>
        <v>1.3963293650793641E-2</v>
      </c>
      <c r="AD2355" s="36">
        <f t="shared" si="542"/>
        <v>2.5992063492063469E-2</v>
      </c>
      <c r="AE2355" s="36" t="str">
        <f t="shared" si="542"/>
        <v>A319</v>
      </c>
      <c r="AF2355" s="36">
        <f t="shared" si="542"/>
        <v>142</v>
      </c>
      <c r="AG2355" s="36" t="str">
        <f t="shared" si="542"/>
        <v>LAS</v>
      </c>
    </row>
    <row r="2356" spans="18:33" x14ac:dyDescent="0.25">
      <c r="R2356">
        <v>2342</v>
      </c>
      <c r="S2356" s="36" t="str">
        <f t="shared" si="541"/>
        <v>BARATA Y MORADA</v>
      </c>
      <c r="T2356" s="36">
        <f t="shared" si="541"/>
        <v>961</v>
      </c>
      <c r="U2356" s="73">
        <v>0.85277777777777775</v>
      </c>
      <c r="V2356" s="74">
        <v>0.86388888888888893</v>
      </c>
      <c r="W2356" s="75">
        <v>1.1111111111111183E-2</v>
      </c>
      <c r="X2356" s="74">
        <v>0.88055555555555554</v>
      </c>
      <c r="Y2356" s="75">
        <v>1.6666666666666607E-2</v>
      </c>
      <c r="Z2356" s="76">
        <v>41739</v>
      </c>
      <c r="AA2356" s="36" t="str">
        <f t="shared" si="542"/>
        <v>Internacional</v>
      </c>
      <c r="AB2356" s="36">
        <f t="shared" si="542"/>
        <v>1.2028769841269826E-2</v>
      </c>
      <c r="AC2356" s="36">
        <f t="shared" si="542"/>
        <v>1.3963293650793641E-2</v>
      </c>
      <c r="AD2356" s="36">
        <f t="shared" si="542"/>
        <v>2.5992063492063469E-2</v>
      </c>
      <c r="AE2356" s="36" t="str">
        <f t="shared" si="542"/>
        <v>A319</v>
      </c>
      <c r="AF2356" s="36">
        <f t="shared" si="542"/>
        <v>142</v>
      </c>
      <c r="AG2356" s="36" t="str">
        <f t="shared" si="542"/>
        <v>LAS</v>
      </c>
    </row>
    <row r="2357" spans="18:33" x14ac:dyDescent="0.25">
      <c r="R2357">
        <v>2343</v>
      </c>
      <c r="S2357" s="36" t="str">
        <f t="shared" si="541"/>
        <v>BARATA Y MORADA</v>
      </c>
      <c r="T2357" s="36">
        <f t="shared" si="541"/>
        <v>961</v>
      </c>
      <c r="U2357" s="73">
        <v>0.84375</v>
      </c>
      <c r="V2357" s="74">
        <v>0.85416666666666663</v>
      </c>
      <c r="W2357" s="75">
        <v>1.041666666666663E-2</v>
      </c>
      <c r="X2357" s="74">
        <v>0.87152777777777779</v>
      </c>
      <c r="Y2357" s="75">
        <v>1.736111111111116E-2</v>
      </c>
      <c r="Z2357" s="76">
        <v>41740</v>
      </c>
      <c r="AA2357" s="36" t="str">
        <f t="shared" si="542"/>
        <v>Internacional</v>
      </c>
      <c r="AB2357" s="36">
        <f t="shared" si="542"/>
        <v>1.2028769841269826E-2</v>
      </c>
      <c r="AC2357" s="36">
        <f t="shared" si="542"/>
        <v>1.3963293650793641E-2</v>
      </c>
      <c r="AD2357" s="36">
        <f t="shared" si="542"/>
        <v>2.5992063492063469E-2</v>
      </c>
      <c r="AE2357" s="36" t="str">
        <f t="shared" si="542"/>
        <v>A319</v>
      </c>
      <c r="AF2357" s="36">
        <f t="shared" si="542"/>
        <v>142</v>
      </c>
      <c r="AG2357" s="36" t="str">
        <f t="shared" si="542"/>
        <v>LAS</v>
      </c>
    </row>
    <row r="2358" spans="18:33" x14ac:dyDescent="0.25">
      <c r="R2358">
        <v>2344</v>
      </c>
      <c r="S2358" s="36" t="str">
        <f t="shared" si="541"/>
        <v>BARATA Y MORADA</v>
      </c>
      <c r="T2358" s="36">
        <f t="shared" si="541"/>
        <v>961</v>
      </c>
      <c r="U2358" s="73">
        <v>0.87847222222222221</v>
      </c>
      <c r="V2358" s="74">
        <v>0.88750000000000007</v>
      </c>
      <c r="W2358" s="75">
        <v>9.0277777777778567E-3</v>
      </c>
      <c r="X2358" s="74">
        <v>0.89097222222222217</v>
      </c>
      <c r="Y2358" s="75">
        <v>3.4722222222220989E-3</v>
      </c>
      <c r="Z2358" s="76">
        <v>41741</v>
      </c>
      <c r="AA2358" s="36" t="str">
        <f t="shared" si="542"/>
        <v>Internacional</v>
      </c>
      <c r="AB2358" s="36">
        <f t="shared" si="542"/>
        <v>1.2028769841269826E-2</v>
      </c>
      <c r="AC2358" s="36">
        <f t="shared" si="542"/>
        <v>1.3963293650793641E-2</v>
      </c>
      <c r="AD2358" s="36">
        <f t="shared" si="542"/>
        <v>2.5992063492063469E-2</v>
      </c>
      <c r="AE2358" s="36" t="str">
        <f t="shared" si="542"/>
        <v>A319</v>
      </c>
      <c r="AF2358" s="36">
        <f t="shared" si="542"/>
        <v>142</v>
      </c>
      <c r="AG2358" s="36" t="str">
        <f t="shared" si="542"/>
        <v>LAS</v>
      </c>
    </row>
    <row r="2359" spans="18:33" x14ac:dyDescent="0.25">
      <c r="R2359">
        <v>2345</v>
      </c>
      <c r="S2359" s="36" t="str">
        <f t="shared" si="541"/>
        <v>BARATA Y MORADA</v>
      </c>
      <c r="T2359" s="36">
        <f t="shared" si="541"/>
        <v>961</v>
      </c>
      <c r="U2359" s="73">
        <v>0.84097222222222223</v>
      </c>
      <c r="V2359" s="74">
        <v>0.8520833333333333</v>
      </c>
      <c r="W2359" s="75">
        <v>1.1111111111111072E-2</v>
      </c>
      <c r="X2359" s="74">
        <v>0.86041666666666661</v>
      </c>
      <c r="Y2359" s="75">
        <v>8.3333333333333037E-3</v>
      </c>
      <c r="Z2359" s="76">
        <v>41742</v>
      </c>
      <c r="AA2359" s="36" t="str">
        <f t="shared" si="542"/>
        <v>Internacional</v>
      </c>
      <c r="AB2359" s="36">
        <f t="shared" si="542"/>
        <v>1.2028769841269826E-2</v>
      </c>
      <c r="AC2359" s="36">
        <f t="shared" si="542"/>
        <v>1.3963293650793641E-2</v>
      </c>
      <c r="AD2359" s="36">
        <f t="shared" si="542"/>
        <v>2.5992063492063469E-2</v>
      </c>
      <c r="AE2359" s="36" t="str">
        <f t="shared" si="542"/>
        <v>A319</v>
      </c>
      <c r="AF2359" s="36">
        <f t="shared" si="542"/>
        <v>142</v>
      </c>
      <c r="AG2359" s="36" t="str">
        <f t="shared" si="542"/>
        <v>LAS</v>
      </c>
    </row>
    <row r="2360" spans="18:33" x14ac:dyDescent="0.25">
      <c r="R2360">
        <v>2346</v>
      </c>
      <c r="S2360" s="36" t="str">
        <f t="shared" si="541"/>
        <v>BARATA Y MORADA</v>
      </c>
      <c r="T2360" s="36">
        <f t="shared" si="541"/>
        <v>961</v>
      </c>
      <c r="U2360" s="73">
        <v>0.8340277777777777</v>
      </c>
      <c r="V2360" s="74">
        <v>0.84444444444444444</v>
      </c>
      <c r="W2360" s="75">
        <v>1.0416666666666741E-2</v>
      </c>
      <c r="X2360" s="74">
        <v>0.85972222222222217</v>
      </c>
      <c r="Y2360" s="75">
        <v>1.5277777777777724E-2</v>
      </c>
      <c r="Z2360" s="76">
        <v>41743</v>
      </c>
      <c r="AA2360" s="36" t="str">
        <f t="shared" si="542"/>
        <v>Internacional</v>
      </c>
      <c r="AB2360" s="36">
        <f t="shared" si="542"/>
        <v>1.2028769841269826E-2</v>
      </c>
      <c r="AC2360" s="36">
        <f t="shared" si="542"/>
        <v>1.3963293650793641E-2</v>
      </c>
      <c r="AD2360" s="36">
        <f t="shared" si="542"/>
        <v>2.5992063492063469E-2</v>
      </c>
      <c r="AE2360" s="36" t="str">
        <f t="shared" si="542"/>
        <v>A319</v>
      </c>
      <c r="AF2360" s="36">
        <f t="shared" si="542"/>
        <v>142</v>
      </c>
      <c r="AG2360" s="36" t="str">
        <f t="shared" si="542"/>
        <v>LAS</v>
      </c>
    </row>
    <row r="2361" spans="18:33" x14ac:dyDescent="0.25">
      <c r="R2361">
        <v>2347</v>
      </c>
      <c r="S2361" s="36" t="str">
        <f t="shared" si="541"/>
        <v>BARATA Y MORADA</v>
      </c>
      <c r="T2361" s="36">
        <f t="shared" si="541"/>
        <v>961</v>
      </c>
      <c r="U2361" s="73">
        <v>0.83194444444444438</v>
      </c>
      <c r="V2361" s="74">
        <v>0.83472222222222225</v>
      </c>
      <c r="W2361" s="75">
        <v>2.7777777777778789E-3</v>
      </c>
      <c r="X2361" s="74">
        <v>0.85763888888888884</v>
      </c>
      <c r="Y2361" s="75">
        <v>2.2916666666666585E-2</v>
      </c>
      <c r="Z2361" s="76">
        <v>41745</v>
      </c>
      <c r="AA2361" s="36" t="str">
        <f t="shared" si="542"/>
        <v>Internacional</v>
      </c>
      <c r="AB2361" s="36">
        <f t="shared" si="542"/>
        <v>1.2028769841269826E-2</v>
      </c>
      <c r="AC2361" s="36">
        <f t="shared" si="542"/>
        <v>1.3963293650793641E-2</v>
      </c>
      <c r="AD2361" s="36">
        <f t="shared" si="542"/>
        <v>2.5992063492063469E-2</v>
      </c>
      <c r="AE2361" s="36" t="str">
        <f t="shared" si="542"/>
        <v>A319</v>
      </c>
      <c r="AF2361" s="36">
        <f t="shared" si="542"/>
        <v>142</v>
      </c>
      <c r="AG2361" s="36" t="str">
        <f t="shared" si="542"/>
        <v>LAS</v>
      </c>
    </row>
    <row r="2362" spans="18:33" x14ac:dyDescent="0.25">
      <c r="R2362">
        <v>2348</v>
      </c>
      <c r="S2362" s="36" t="str">
        <f t="shared" si="541"/>
        <v>BARATA Y MORADA</v>
      </c>
      <c r="T2362" s="36">
        <f t="shared" si="541"/>
        <v>961</v>
      </c>
      <c r="U2362" s="73">
        <v>0.8305555555555556</v>
      </c>
      <c r="V2362" s="74">
        <v>0.84027777777777779</v>
      </c>
      <c r="W2362" s="75">
        <v>9.7222222222221877E-3</v>
      </c>
      <c r="X2362" s="74">
        <v>0.85277777777777775</v>
      </c>
      <c r="Y2362" s="75">
        <v>1.2499999999999956E-2</v>
      </c>
      <c r="Z2362" s="76">
        <v>41744</v>
      </c>
      <c r="AA2362" s="36" t="str">
        <f t="shared" si="542"/>
        <v>Internacional</v>
      </c>
      <c r="AB2362" s="36">
        <f t="shared" si="542"/>
        <v>1.2028769841269826E-2</v>
      </c>
      <c r="AC2362" s="36">
        <f t="shared" si="542"/>
        <v>1.3963293650793641E-2</v>
      </c>
      <c r="AD2362" s="36">
        <f t="shared" si="542"/>
        <v>2.5992063492063469E-2</v>
      </c>
      <c r="AE2362" s="36" t="str">
        <f t="shared" si="542"/>
        <v>A319</v>
      </c>
      <c r="AF2362" s="36">
        <f t="shared" si="542"/>
        <v>142</v>
      </c>
      <c r="AG2362" s="36" t="str">
        <f t="shared" si="542"/>
        <v>LAS</v>
      </c>
    </row>
    <row r="2363" spans="18:33" x14ac:dyDescent="0.25">
      <c r="R2363">
        <v>2349</v>
      </c>
      <c r="S2363" s="36" t="str">
        <f t="shared" si="541"/>
        <v>BARATA Y MORADA</v>
      </c>
      <c r="T2363" s="36">
        <f t="shared" si="541"/>
        <v>961</v>
      </c>
      <c r="U2363" s="73">
        <v>0.83819444444444446</v>
      </c>
      <c r="V2363" s="74">
        <v>0.8569444444444444</v>
      </c>
      <c r="W2363" s="75">
        <v>1.8749999999999933E-2</v>
      </c>
      <c r="X2363" s="74">
        <v>0.86319444444444438</v>
      </c>
      <c r="Y2363" s="75">
        <v>6.2499999999999778E-3</v>
      </c>
      <c r="Z2363" s="76">
        <v>41746</v>
      </c>
      <c r="AA2363" s="36" t="str">
        <f t="shared" si="542"/>
        <v>Internacional</v>
      </c>
      <c r="AB2363" s="36">
        <f t="shared" si="542"/>
        <v>1.2028769841269826E-2</v>
      </c>
      <c r="AC2363" s="36">
        <f t="shared" si="542"/>
        <v>1.3963293650793641E-2</v>
      </c>
      <c r="AD2363" s="36">
        <f t="shared" si="542"/>
        <v>2.5992063492063469E-2</v>
      </c>
      <c r="AE2363" s="36" t="str">
        <f t="shared" si="542"/>
        <v>A319</v>
      </c>
      <c r="AF2363" s="36">
        <f t="shared" si="542"/>
        <v>142</v>
      </c>
      <c r="AG2363" s="36" t="str">
        <f t="shared" si="542"/>
        <v>LAS</v>
      </c>
    </row>
    <row r="2364" spans="18:33" x14ac:dyDescent="0.25">
      <c r="R2364">
        <v>2350</v>
      </c>
      <c r="S2364" s="36" t="str">
        <f t="shared" si="541"/>
        <v>BARATA Y MORADA</v>
      </c>
      <c r="T2364" s="36">
        <f t="shared" si="541"/>
        <v>961</v>
      </c>
      <c r="U2364" s="73">
        <v>0.83750000000000002</v>
      </c>
      <c r="V2364" s="74">
        <v>0.85</v>
      </c>
      <c r="W2364" s="75">
        <v>1.2499999999999956E-2</v>
      </c>
      <c r="X2364" s="74">
        <v>0.875</v>
      </c>
      <c r="Y2364" s="75">
        <v>2.5000000000000022E-2</v>
      </c>
      <c r="Z2364" s="76">
        <v>41747</v>
      </c>
      <c r="AA2364" s="36" t="str">
        <f t="shared" si="542"/>
        <v>Internacional</v>
      </c>
      <c r="AB2364" s="36">
        <f t="shared" si="542"/>
        <v>1.2028769841269826E-2</v>
      </c>
      <c r="AC2364" s="36">
        <f t="shared" si="542"/>
        <v>1.3963293650793641E-2</v>
      </c>
      <c r="AD2364" s="36">
        <f t="shared" si="542"/>
        <v>2.5992063492063469E-2</v>
      </c>
      <c r="AE2364" s="36" t="str">
        <f t="shared" si="542"/>
        <v>A319</v>
      </c>
      <c r="AF2364" s="36">
        <f t="shared" si="542"/>
        <v>142</v>
      </c>
      <c r="AG2364" s="36" t="str">
        <f t="shared" si="542"/>
        <v>LAS</v>
      </c>
    </row>
    <row r="2365" spans="18:33" x14ac:dyDescent="0.25">
      <c r="R2365">
        <v>2351</v>
      </c>
      <c r="S2365" s="36" t="str">
        <f t="shared" si="541"/>
        <v>BARATA Y MORADA</v>
      </c>
      <c r="T2365" s="36">
        <f t="shared" si="541"/>
        <v>961</v>
      </c>
      <c r="U2365" s="73">
        <v>0.85555555555555562</v>
      </c>
      <c r="V2365" s="74">
        <v>0.86875000000000002</v>
      </c>
      <c r="W2365" s="75">
        <v>1.3194444444444398E-2</v>
      </c>
      <c r="X2365" s="74">
        <v>0.88611111111111107</v>
      </c>
      <c r="Y2365" s="75">
        <v>1.7361111111111049E-2</v>
      </c>
      <c r="Z2365" s="76">
        <v>41749</v>
      </c>
      <c r="AA2365" s="36" t="str">
        <f t="shared" si="542"/>
        <v>Internacional</v>
      </c>
      <c r="AB2365" s="36">
        <f t="shared" si="542"/>
        <v>1.2028769841269826E-2</v>
      </c>
      <c r="AC2365" s="36">
        <f t="shared" si="542"/>
        <v>1.3963293650793641E-2</v>
      </c>
      <c r="AD2365" s="36">
        <f t="shared" si="542"/>
        <v>2.5992063492063469E-2</v>
      </c>
      <c r="AE2365" s="36" t="str">
        <f t="shared" si="542"/>
        <v>A319</v>
      </c>
      <c r="AF2365" s="36">
        <f t="shared" si="542"/>
        <v>142</v>
      </c>
      <c r="AG2365" s="36" t="str">
        <f t="shared" si="542"/>
        <v>LAS</v>
      </c>
    </row>
    <row r="2366" spans="18:33" x14ac:dyDescent="0.25">
      <c r="R2366">
        <v>2352</v>
      </c>
      <c r="S2366" s="36" t="str">
        <f t="shared" si="541"/>
        <v>BARATA Y MORADA</v>
      </c>
      <c r="T2366" s="36">
        <f t="shared" si="541"/>
        <v>961</v>
      </c>
      <c r="U2366" s="73">
        <v>0.84166666666666667</v>
      </c>
      <c r="V2366" s="74">
        <v>0.85277777777777775</v>
      </c>
      <c r="W2366" s="75">
        <v>1.1111111111111072E-2</v>
      </c>
      <c r="X2366" s="74">
        <v>0.86388888888888893</v>
      </c>
      <c r="Y2366" s="75">
        <v>1.1111111111111183E-2</v>
      </c>
      <c r="Z2366" s="76">
        <v>41748</v>
      </c>
      <c r="AA2366" s="36" t="str">
        <f t="shared" si="542"/>
        <v>Internacional</v>
      </c>
      <c r="AB2366" s="36">
        <f t="shared" si="542"/>
        <v>1.2028769841269826E-2</v>
      </c>
      <c r="AC2366" s="36">
        <f t="shared" si="542"/>
        <v>1.3963293650793641E-2</v>
      </c>
      <c r="AD2366" s="36">
        <f t="shared" si="542"/>
        <v>2.5992063492063469E-2</v>
      </c>
      <c r="AE2366" s="36" t="str">
        <f t="shared" si="542"/>
        <v>A319</v>
      </c>
      <c r="AF2366" s="36">
        <f t="shared" si="542"/>
        <v>142</v>
      </c>
      <c r="AG2366" s="36" t="str">
        <f t="shared" si="542"/>
        <v>LAS</v>
      </c>
    </row>
    <row r="2367" spans="18:33" x14ac:dyDescent="0.25">
      <c r="R2367">
        <v>2353</v>
      </c>
      <c r="S2367" s="36" t="str">
        <f t="shared" si="541"/>
        <v>BARATA Y MORADA</v>
      </c>
      <c r="T2367" s="36">
        <f t="shared" si="541"/>
        <v>961</v>
      </c>
      <c r="U2367" s="73">
        <v>0.83819444444444446</v>
      </c>
      <c r="V2367" s="74">
        <v>0.84861111111111109</v>
      </c>
      <c r="W2367" s="75">
        <v>1.041666666666663E-2</v>
      </c>
      <c r="X2367" s="74">
        <v>0.87083333333333324</v>
      </c>
      <c r="Y2367" s="75">
        <v>2.2222222222222143E-2</v>
      </c>
      <c r="Z2367" s="76">
        <v>41751</v>
      </c>
      <c r="AA2367" s="36" t="str">
        <f t="shared" si="542"/>
        <v>Internacional</v>
      </c>
      <c r="AB2367" s="36">
        <f t="shared" si="542"/>
        <v>1.2028769841269826E-2</v>
      </c>
      <c r="AC2367" s="36">
        <f t="shared" si="542"/>
        <v>1.3963293650793641E-2</v>
      </c>
      <c r="AD2367" s="36">
        <f t="shared" si="542"/>
        <v>2.5992063492063469E-2</v>
      </c>
      <c r="AE2367" s="36" t="str">
        <f t="shared" si="542"/>
        <v>A319</v>
      </c>
      <c r="AF2367" s="36">
        <f t="shared" si="542"/>
        <v>142</v>
      </c>
      <c r="AG2367" s="36" t="str">
        <f t="shared" si="542"/>
        <v>LAS</v>
      </c>
    </row>
    <row r="2368" spans="18:33" x14ac:dyDescent="0.25">
      <c r="R2368">
        <v>2354</v>
      </c>
      <c r="S2368" s="36" t="str">
        <f t="shared" si="541"/>
        <v>BARATA Y MORADA</v>
      </c>
      <c r="T2368" s="36">
        <f t="shared" si="541"/>
        <v>961</v>
      </c>
      <c r="U2368" s="73">
        <v>0.83472222222222225</v>
      </c>
      <c r="V2368" s="74">
        <v>0.84722222222222221</v>
      </c>
      <c r="W2368" s="75">
        <v>1.2499999999999956E-2</v>
      </c>
      <c r="X2368" s="74">
        <v>0.85833333333333339</v>
      </c>
      <c r="Y2368" s="75">
        <v>1.1111111111111183E-2</v>
      </c>
      <c r="Z2368" s="76">
        <v>41752</v>
      </c>
      <c r="AA2368" s="36" t="str">
        <f t="shared" si="542"/>
        <v>Internacional</v>
      </c>
      <c r="AB2368" s="36">
        <f t="shared" si="542"/>
        <v>1.2028769841269826E-2</v>
      </c>
      <c r="AC2368" s="36">
        <f t="shared" si="542"/>
        <v>1.3963293650793641E-2</v>
      </c>
      <c r="AD2368" s="36">
        <f t="shared" si="542"/>
        <v>2.5992063492063469E-2</v>
      </c>
      <c r="AE2368" s="36" t="str">
        <f t="shared" si="542"/>
        <v>A319</v>
      </c>
      <c r="AF2368" s="36">
        <f t="shared" si="542"/>
        <v>142</v>
      </c>
      <c r="AG2368" s="36" t="str">
        <f t="shared" si="542"/>
        <v>LAS</v>
      </c>
    </row>
    <row r="2369" spans="18:33" x14ac:dyDescent="0.25">
      <c r="R2369">
        <v>2355</v>
      </c>
      <c r="S2369" s="36" t="str">
        <f t="shared" si="541"/>
        <v>BARATA Y MORADA</v>
      </c>
      <c r="T2369" s="36">
        <f t="shared" si="541"/>
        <v>961</v>
      </c>
      <c r="U2369" s="73">
        <v>0.84583333333333333</v>
      </c>
      <c r="V2369" s="74">
        <v>0.87152777777777779</v>
      </c>
      <c r="W2369" s="75">
        <v>2.5694444444444464E-2</v>
      </c>
      <c r="X2369" s="74">
        <v>0.87708333333333333</v>
      </c>
      <c r="Y2369" s="75">
        <v>5.5555555555555358E-3</v>
      </c>
      <c r="Z2369" s="76">
        <v>41752</v>
      </c>
      <c r="AA2369" s="36" t="str">
        <f t="shared" si="542"/>
        <v>Internacional</v>
      </c>
      <c r="AB2369" s="36">
        <f t="shared" si="542"/>
        <v>1.2028769841269826E-2</v>
      </c>
      <c r="AC2369" s="36">
        <f t="shared" si="542"/>
        <v>1.3963293650793641E-2</v>
      </c>
      <c r="AD2369" s="36">
        <f t="shared" si="542"/>
        <v>2.5992063492063469E-2</v>
      </c>
      <c r="AE2369" s="36" t="str">
        <f t="shared" si="542"/>
        <v>A319</v>
      </c>
      <c r="AF2369" s="36">
        <f t="shared" si="542"/>
        <v>142</v>
      </c>
      <c r="AG2369" s="36" t="str">
        <f t="shared" si="542"/>
        <v>LAS</v>
      </c>
    </row>
    <row r="2370" spans="18:33" x14ac:dyDescent="0.25">
      <c r="R2370">
        <v>2356</v>
      </c>
      <c r="S2370" s="36" t="str">
        <f t="shared" si="541"/>
        <v>BARATA Y MORADA</v>
      </c>
      <c r="T2370" s="36">
        <f t="shared" si="541"/>
        <v>961</v>
      </c>
      <c r="U2370" s="73">
        <v>0.84791666666666676</v>
      </c>
      <c r="V2370" s="74">
        <v>0.8569444444444444</v>
      </c>
      <c r="W2370" s="75">
        <v>9.0277777777776347E-3</v>
      </c>
      <c r="X2370" s="74">
        <v>0.875</v>
      </c>
      <c r="Y2370" s="75">
        <v>1.8055555555555602E-2</v>
      </c>
      <c r="Z2370" s="76">
        <v>41754</v>
      </c>
      <c r="AA2370" s="36" t="str">
        <f t="shared" si="542"/>
        <v>Internacional</v>
      </c>
      <c r="AB2370" s="36">
        <f t="shared" si="542"/>
        <v>1.2028769841269826E-2</v>
      </c>
      <c r="AC2370" s="36">
        <f t="shared" si="542"/>
        <v>1.3963293650793641E-2</v>
      </c>
      <c r="AD2370" s="36">
        <f t="shared" si="542"/>
        <v>2.5992063492063469E-2</v>
      </c>
      <c r="AE2370" s="36" t="str">
        <f t="shared" si="542"/>
        <v>A319</v>
      </c>
      <c r="AF2370" s="36">
        <f t="shared" si="542"/>
        <v>142</v>
      </c>
      <c r="AG2370" s="36" t="str">
        <f t="shared" si="542"/>
        <v>LAS</v>
      </c>
    </row>
    <row r="2371" spans="18:33" x14ac:dyDescent="0.25">
      <c r="R2371">
        <v>2357</v>
      </c>
      <c r="S2371" s="36" t="str">
        <f t="shared" si="541"/>
        <v>BARATA Y MORADA</v>
      </c>
      <c r="T2371" s="36">
        <f t="shared" si="541"/>
        <v>961</v>
      </c>
      <c r="U2371" s="73">
        <v>0.83333333333333337</v>
      </c>
      <c r="V2371" s="74">
        <v>0.84166666666666667</v>
      </c>
      <c r="W2371" s="75">
        <v>8.3333333333333037E-3</v>
      </c>
      <c r="X2371" s="74">
        <v>0.8618055555555556</v>
      </c>
      <c r="Y2371" s="75">
        <v>2.0138888888888928E-2</v>
      </c>
      <c r="Z2371" s="76">
        <v>41755</v>
      </c>
      <c r="AA2371" s="36" t="str">
        <f t="shared" si="542"/>
        <v>Internacional</v>
      </c>
      <c r="AB2371" s="36">
        <f t="shared" si="542"/>
        <v>1.2028769841269826E-2</v>
      </c>
      <c r="AC2371" s="36">
        <f t="shared" si="542"/>
        <v>1.3963293650793641E-2</v>
      </c>
      <c r="AD2371" s="36">
        <f t="shared" si="542"/>
        <v>2.5992063492063469E-2</v>
      </c>
      <c r="AE2371" s="36" t="str">
        <f t="shared" si="542"/>
        <v>A319</v>
      </c>
      <c r="AF2371" s="36">
        <f t="shared" si="542"/>
        <v>142</v>
      </c>
      <c r="AG2371" s="36" t="str">
        <f t="shared" si="542"/>
        <v>LAS</v>
      </c>
    </row>
    <row r="2372" spans="18:33" x14ac:dyDescent="0.25">
      <c r="R2372">
        <v>2358</v>
      </c>
      <c r="S2372" s="36" t="str">
        <f t="shared" si="541"/>
        <v>BARATA Y MORADA</v>
      </c>
      <c r="T2372" s="36">
        <f t="shared" si="541"/>
        <v>961</v>
      </c>
      <c r="U2372" s="73">
        <v>0.84652777777777777</v>
      </c>
      <c r="V2372" s="74">
        <v>0.86111111111111116</v>
      </c>
      <c r="W2372" s="75">
        <v>1.4583333333333393E-2</v>
      </c>
      <c r="X2372" s="74">
        <v>0.86805555555555547</v>
      </c>
      <c r="Y2372" s="75">
        <v>6.9444444444443088E-3</v>
      </c>
      <c r="Z2372" s="76">
        <v>41756</v>
      </c>
      <c r="AA2372" s="36" t="str">
        <f t="shared" si="542"/>
        <v>Internacional</v>
      </c>
      <c r="AB2372" s="36">
        <f t="shared" si="542"/>
        <v>1.2028769841269826E-2</v>
      </c>
      <c r="AC2372" s="36">
        <f t="shared" si="542"/>
        <v>1.3963293650793641E-2</v>
      </c>
      <c r="AD2372" s="36">
        <f t="shared" si="542"/>
        <v>2.5992063492063469E-2</v>
      </c>
      <c r="AE2372" s="36" t="str">
        <f t="shared" si="542"/>
        <v>A319</v>
      </c>
      <c r="AF2372" s="36">
        <f t="shared" si="542"/>
        <v>142</v>
      </c>
      <c r="AG2372" s="36" t="str">
        <f t="shared" si="542"/>
        <v>LAS</v>
      </c>
    </row>
    <row r="2373" spans="18:33" x14ac:dyDescent="0.25">
      <c r="R2373">
        <v>2359</v>
      </c>
      <c r="S2373" s="36" t="str">
        <f t="shared" si="541"/>
        <v>BARATA Y MORADA</v>
      </c>
      <c r="T2373" s="36">
        <f t="shared" si="541"/>
        <v>961</v>
      </c>
      <c r="U2373" s="73">
        <v>0.84166666666666667</v>
      </c>
      <c r="V2373" s="74">
        <v>0.85555555555555562</v>
      </c>
      <c r="W2373" s="75">
        <v>1.3888888888888951E-2</v>
      </c>
      <c r="X2373" s="74">
        <v>0.86388888888888893</v>
      </c>
      <c r="Y2373" s="75">
        <v>8.3333333333333037E-3</v>
      </c>
      <c r="Z2373" s="76">
        <v>41757</v>
      </c>
      <c r="AA2373" s="36" t="str">
        <f t="shared" si="542"/>
        <v>Internacional</v>
      </c>
      <c r="AB2373" s="36">
        <f t="shared" si="542"/>
        <v>1.2028769841269826E-2</v>
      </c>
      <c r="AC2373" s="36">
        <f t="shared" si="542"/>
        <v>1.3963293650793641E-2</v>
      </c>
      <c r="AD2373" s="36">
        <f t="shared" si="542"/>
        <v>2.5992063492063469E-2</v>
      </c>
      <c r="AE2373" s="36" t="str">
        <f t="shared" si="542"/>
        <v>A319</v>
      </c>
      <c r="AF2373" s="36">
        <f t="shared" si="542"/>
        <v>142</v>
      </c>
      <c r="AG2373" s="36" t="str">
        <f t="shared" si="542"/>
        <v>LAS</v>
      </c>
    </row>
    <row r="2374" spans="18:33" ht="15.75" thickBot="1" x14ac:dyDescent="0.3">
      <c r="R2374">
        <v>2360</v>
      </c>
      <c r="S2374" s="36" t="str">
        <f t="shared" si="541"/>
        <v>BARATA Y MORADA</v>
      </c>
      <c r="T2374" s="36">
        <f t="shared" si="541"/>
        <v>961</v>
      </c>
      <c r="U2374" s="83">
        <v>0.89583333333333337</v>
      </c>
      <c r="V2374" s="84">
        <v>0.92569444444444438</v>
      </c>
      <c r="W2374" s="85">
        <v>2.9861111111111005E-2</v>
      </c>
      <c r="X2374" s="84">
        <v>0.93541666666666667</v>
      </c>
      <c r="Y2374" s="85">
        <v>9.7222222222222987E-3</v>
      </c>
      <c r="Z2374" s="86">
        <v>41759</v>
      </c>
      <c r="AA2374" s="36" t="str">
        <f t="shared" si="542"/>
        <v>Internacional</v>
      </c>
      <c r="AB2374" s="36">
        <f t="shared" si="542"/>
        <v>1.2028769841269826E-2</v>
      </c>
      <c r="AC2374" s="36">
        <f t="shared" si="542"/>
        <v>1.3963293650793641E-2</v>
      </c>
      <c r="AD2374" s="36">
        <f t="shared" si="542"/>
        <v>2.5992063492063469E-2</v>
      </c>
      <c r="AE2374" s="36" t="str">
        <f t="shared" si="542"/>
        <v>A319</v>
      </c>
      <c r="AF2374" s="36">
        <f t="shared" si="542"/>
        <v>142</v>
      </c>
      <c r="AG2374" s="36" t="str">
        <f t="shared" si="542"/>
        <v>LAS</v>
      </c>
    </row>
    <row r="2375" spans="18:33" x14ac:dyDescent="0.25">
      <c r="R2375">
        <v>2361</v>
      </c>
      <c r="S2375" s="36" t="str">
        <f t="shared" si="541"/>
        <v>BARATA Y MORADA</v>
      </c>
      <c r="T2375" s="55">
        <v>971</v>
      </c>
      <c r="U2375" s="56">
        <v>0.21944444444444444</v>
      </c>
      <c r="V2375" s="57">
        <v>0.23472222222222219</v>
      </c>
      <c r="W2375" s="58">
        <v>1.5277777777777751E-2</v>
      </c>
      <c r="X2375" s="57">
        <v>0.25277777777777777</v>
      </c>
      <c r="Y2375" s="58">
        <v>1.8055555555555575E-2</v>
      </c>
      <c r="Z2375" s="59">
        <v>41730</v>
      </c>
      <c r="AA2375" s="60" t="s">
        <v>22</v>
      </c>
      <c r="AB2375" s="61">
        <v>1.2977430555555548E-2</v>
      </c>
      <c r="AC2375" s="61">
        <v>1.7534722222222233E-2</v>
      </c>
      <c r="AD2375" s="231">
        <v>3.051215277777778E-2</v>
      </c>
      <c r="AE2375" s="132">
        <v>320</v>
      </c>
      <c r="AF2375" s="132">
        <v>179</v>
      </c>
      <c r="AG2375" s="132" t="s">
        <v>48</v>
      </c>
    </row>
    <row r="2376" spans="18:33" x14ac:dyDescent="0.25">
      <c r="R2376">
        <v>2362</v>
      </c>
      <c r="S2376" s="36" t="str">
        <f t="shared" si="541"/>
        <v>BARATA Y MORADA</v>
      </c>
      <c r="T2376" s="36">
        <f t="shared" si="541"/>
        <v>971</v>
      </c>
      <c r="U2376" s="73">
        <v>0.24652777777777779</v>
      </c>
      <c r="V2376" s="74">
        <v>0.25694444444444448</v>
      </c>
      <c r="W2376" s="75">
        <v>1.0416666666666685E-2</v>
      </c>
      <c r="X2376" s="74">
        <v>0.26944444444444443</v>
      </c>
      <c r="Y2376" s="75">
        <v>1.2499999999999956E-2</v>
      </c>
      <c r="Z2376" s="76">
        <v>41734</v>
      </c>
      <c r="AA2376" s="36" t="str">
        <f t="shared" ref="AA2376:AG2391" si="543">AA2375</f>
        <v>Internacional</v>
      </c>
      <c r="AB2376" s="36">
        <f t="shared" si="543"/>
        <v>1.2977430555555548E-2</v>
      </c>
      <c r="AC2376" s="36">
        <f t="shared" si="543"/>
        <v>1.7534722222222233E-2</v>
      </c>
      <c r="AD2376" s="36">
        <f t="shared" si="543"/>
        <v>3.051215277777778E-2</v>
      </c>
      <c r="AE2376" s="36">
        <f t="shared" si="543"/>
        <v>320</v>
      </c>
      <c r="AF2376" s="36">
        <f t="shared" si="543"/>
        <v>179</v>
      </c>
      <c r="AG2376" s="36" t="str">
        <f t="shared" si="543"/>
        <v>SMF</v>
      </c>
    </row>
    <row r="2377" spans="18:33" x14ac:dyDescent="0.25">
      <c r="R2377">
        <v>2363</v>
      </c>
      <c r="S2377" s="36" t="str">
        <f t="shared" si="541"/>
        <v>BARATA Y MORADA</v>
      </c>
      <c r="T2377" s="36">
        <f t="shared" si="541"/>
        <v>971</v>
      </c>
      <c r="U2377" s="73">
        <v>0.2673611111111111</v>
      </c>
      <c r="V2377" s="74">
        <v>0.27361111111111108</v>
      </c>
      <c r="W2377" s="75">
        <v>6.2499999999999778E-3</v>
      </c>
      <c r="X2377" s="74">
        <v>0.27916666666666667</v>
      </c>
      <c r="Y2377" s="75">
        <v>5.5555555555555913E-3</v>
      </c>
      <c r="Z2377" s="76">
        <v>41736</v>
      </c>
      <c r="AA2377" s="36" t="str">
        <f t="shared" si="543"/>
        <v>Internacional</v>
      </c>
      <c r="AB2377" s="36">
        <f t="shared" si="543"/>
        <v>1.2977430555555548E-2</v>
      </c>
      <c r="AC2377" s="36">
        <f t="shared" si="543"/>
        <v>1.7534722222222233E-2</v>
      </c>
      <c r="AD2377" s="36">
        <f t="shared" si="543"/>
        <v>3.051215277777778E-2</v>
      </c>
      <c r="AE2377" s="36">
        <f t="shared" si="543"/>
        <v>320</v>
      </c>
      <c r="AF2377" s="36">
        <f t="shared" si="543"/>
        <v>179</v>
      </c>
      <c r="AG2377" s="36" t="str">
        <f t="shared" si="543"/>
        <v>SMF</v>
      </c>
    </row>
    <row r="2378" spans="18:33" x14ac:dyDescent="0.25">
      <c r="R2378">
        <v>2364</v>
      </c>
      <c r="S2378" s="36" t="str">
        <f t="shared" si="541"/>
        <v>BARATA Y MORADA</v>
      </c>
      <c r="T2378" s="36">
        <f t="shared" si="541"/>
        <v>971</v>
      </c>
      <c r="U2378" s="73">
        <v>0.21875</v>
      </c>
      <c r="V2378" s="74">
        <v>0.23680555555555557</v>
      </c>
      <c r="W2378" s="75">
        <v>1.8055555555555575E-2</v>
      </c>
      <c r="X2378" s="74">
        <v>0.24861111111111112</v>
      </c>
      <c r="Y2378" s="75">
        <v>1.1805555555555541E-2</v>
      </c>
      <c r="Z2378" s="76">
        <v>41736</v>
      </c>
      <c r="AA2378" s="36" t="str">
        <f t="shared" si="543"/>
        <v>Internacional</v>
      </c>
      <c r="AB2378" s="36">
        <f t="shared" si="543"/>
        <v>1.2977430555555548E-2</v>
      </c>
      <c r="AC2378" s="36">
        <f t="shared" si="543"/>
        <v>1.7534722222222233E-2</v>
      </c>
      <c r="AD2378" s="36">
        <f t="shared" si="543"/>
        <v>3.051215277777778E-2</v>
      </c>
      <c r="AE2378" s="36">
        <f t="shared" si="543"/>
        <v>320</v>
      </c>
      <c r="AF2378" s="36">
        <f t="shared" si="543"/>
        <v>179</v>
      </c>
      <c r="AG2378" s="36" t="str">
        <f t="shared" si="543"/>
        <v>SMF</v>
      </c>
    </row>
    <row r="2379" spans="18:33" x14ac:dyDescent="0.25">
      <c r="R2379">
        <v>2365</v>
      </c>
      <c r="S2379" s="36" t="str">
        <f t="shared" si="541"/>
        <v>BARATA Y MORADA</v>
      </c>
      <c r="T2379" s="36">
        <f t="shared" si="541"/>
        <v>971</v>
      </c>
      <c r="U2379" s="73">
        <v>0.21805555555555556</v>
      </c>
      <c r="V2379" s="74">
        <v>0.23333333333333331</v>
      </c>
      <c r="W2379" s="75">
        <v>1.5277777777777751E-2</v>
      </c>
      <c r="X2379" s="74">
        <v>0.26250000000000001</v>
      </c>
      <c r="Y2379" s="75">
        <v>2.9166666666666702E-2</v>
      </c>
      <c r="Z2379" s="76">
        <v>41737</v>
      </c>
      <c r="AA2379" s="36" t="str">
        <f t="shared" si="543"/>
        <v>Internacional</v>
      </c>
      <c r="AB2379" s="36">
        <f t="shared" si="543"/>
        <v>1.2977430555555548E-2</v>
      </c>
      <c r="AC2379" s="36">
        <f t="shared" si="543"/>
        <v>1.7534722222222233E-2</v>
      </c>
      <c r="AD2379" s="36">
        <f t="shared" si="543"/>
        <v>3.051215277777778E-2</v>
      </c>
      <c r="AE2379" s="36">
        <f t="shared" si="543"/>
        <v>320</v>
      </c>
      <c r="AF2379" s="36">
        <f t="shared" si="543"/>
        <v>179</v>
      </c>
      <c r="AG2379" s="36" t="str">
        <f t="shared" si="543"/>
        <v>SMF</v>
      </c>
    </row>
    <row r="2380" spans="18:33" x14ac:dyDescent="0.25">
      <c r="R2380">
        <v>2366</v>
      </c>
      <c r="S2380" s="36" t="str">
        <f t="shared" si="541"/>
        <v>BARATA Y MORADA</v>
      </c>
      <c r="T2380" s="36">
        <f t="shared" si="541"/>
        <v>971</v>
      </c>
      <c r="U2380" s="73">
        <v>0.20902777777777778</v>
      </c>
      <c r="V2380" s="74">
        <v>0.22291666666666665</v>
      </c>
      <c r="W2380" s="75">
        <v>1.3888888888888867E-2</v>
      </c>
      <c r="X2380" s="74">
        <v>0.23680555555555557</v>
      </c>
      <c r="Y2380" s="75">
        <v>1.3888888888888923E-2</v>
      </c>
      <c r="Z2380" s="76">
        <v>41739</v>
      </c>
      <c r="AA2380" s="36" t="str">
        <f t="shared" si="543"/>
        <v>Internacional</v>
      </c>
      <c r="AB2380" s="36">
        <f t="shared" si="543"/>
        <v>1.2977430555555548E-2</v>
      </c>
      <c r="AC2380" s="36">
        <f t="shared" si="543"/>
        <v>1.7534722222222233E-2</v>
      </c>
      <c r="AD2380" s="36">
        <f t="shared" si="543"/>
        <v>3.051215277777778E-2</v>
      </c>
      <c r="AE2380" s="36">
        <f t="shared" si="543"/>
        <v>320</v>
      </c>
      <c r="AF2380" s="36">
        <f t="shared" si="543"/>
        <v>179</v>
      </c>
      <c r="AG2380" s="36" t="str">
        <f t="shared" si="543"/>
        <v>SMF</v>
      </c>
    </row>
    <row r="2381" spans="18:33" x14ac:dyDescent="0.25">
      <c r="R2381">
        <v>2367</v>
      </c>
      <c r="S2381" s="36" t="str">
        <f t="shared" si="541"/>
        <v>BARATA Y MORADA</v>
      </c>
      <c r="T2381" s="36">
        <f t="shared" si="541"/>
        <v>971</v>
      </c>
      <c r="U2381" s="73">
        <v>0.21944444444444444</v>
      </c>
      <c r="V2381" s="74">
        <v>0.23472222222222219</v>
      </c>
      <c r="W2381" s="75">
        <v>1.5277777777777751E-2</v>
      </c>
      <c r="X2381" s="74">
        <v>0.25277777777777777</v>
      </c>
      <c r="Y2381" s="75">
        <v>1.8055555555555575E-2</v>
      </c>
      <c r="Z2381" s="76">
        <v>41742</v>
      </c>
      <c r="AA2381" s="36" t="str">
        <f t="shared" si="543"/>
        <v>Internacional</v>
      </c>
      <c r="AB2381" s="36">
        <f t="shared" si="543"/>
        <v>1.2977430555555548E-2</v>
      </c>
      <c r="AC2381" s="36">
        <f t="shared" si="543"/>
        <v>1.7534722222222233E-2</v>
      </c>
      <c r="AD2381" s="36">
        <f t="shared" si="543"/>
        <v>3.051215277777778E-2</v>
      </c>
      <c r="AE2381" s="36">
        <f t="shared" si="543"/>
        <v>320</v>
      </c>
      <c r="AF2381" s="36">
        <f t="shared" si="543"/>
        <v>179</v>
      </c>
      <c r="AG2381" s="36" t="str">
        <f t="shared" si="543"/>
        <v>SMF</v>
      </c>
    </row>
    <row r="2382" spans="18:33" x14ac:dyDescent="0.25">
      <c r="R2382">
        <v>2368</v>
      </c>
      <c r="S2382" s="36" t="str">
        <f t="shared" si="541"/>
        <v>BARATA Y MORADA</v>
      </c>
      <c r="T2382" s="36">
        <f t="shared" si="541"/>
        <v>971</v>
      </c>
      <c r="U2382" s="73">
        <v>0.19930555555555554</v>
      </c>
      <c r="V2382" s="74">
        <v>0.21249999999999999</v>
      </c>
      <c r="W2382" s="75">
        <v>1.3194444444444453E-2</v>
      </c>
      <c r="X2382" s="74">
        <v>0.23680555555555557</v>
      </c>
      <c r="Y2382" s="75">
        <v>2.430555555555558E-2</v>
      </c>
      <c r="Z2382" s="76">
        <v>41743</v>
      </c>
      <c r="AA2382" s="36" t="str">
        <f t="shared" si="543"/>
        <v>Internacional</v>
      </c>
      <c r="AB2382" s="36">
        <f t="shared" si="543"/>
        <v>1.2977430555555548E-2</v>
      </c>
      <c r="AC2382" s="36">
        <f t="shared" si="543"/>
        <v>1.7534722222222233E-2</v>
      </c>
      <c r="AD2382" s="36">
        <f t="shared" si="543"/>
        <v>3.051215277777778E-2</v>
      </c>
      <c r="AE2382" s="36">
        <f t="shared" si="543"/>
        <v>320</v>
      </c>
      <c r="AF2382" s="36">
        <f t="shared" si="543"/>
        <v>179</v>
      </c>
      <c r="AG2382" s="36" t="str">
        <f t="shared" si="543"/>
        <v>SMF</v>
      </c>
    </row>
    <row r="2383" spans="18:33" x14ac:dyDescent="0.25">
      <c r="R2383">
        <v>2369</v>
      </c>
      <c r="S2383" s="36" t="str">
        <f t="shared" si="541"/>
        <v>BARATA Y MORADA</v>
      </c>
      <c r="T2383" s="36">
        <f t="shared" si="541"/>
        <v>971</v>
      </c>
      <c r="U2383" s="73">
        <v>0.20069444444444443</v>
      </c>
      <c r="V2383" s="74">
        <v>0.21180555555555555</v>
      </c>
      <c r="W2383" s="75">
        <v>1.1111111111111127E-2</v>
      </c>
      <c r="X2383" s="74">
        <v>0.22777777777777777</v>
      </c>
      <c r="Y2383" s="75">
        <v>1.5972222222222221E-2</v>
      </c>
      <c r="Z2383" s="76">
        <v>41745</v>
      </c>
      <c r="AA2383" s="36" t="str">
        <f t="shared" si="543"/>
        <v>Internacional</v>
      </c>
      <c r="AB2383" s="36">
        <f t="shared" si="543"/>
        <v>1.2977430555555548E-2</v>
      </c>
      <c r="AC2383" s="36">
        <f t="shared" si="543"/>
        <v>1.7534722222222233E-2</v>
      </c>
      <c r="AD2383" s="36">
        <f t="shared" si="543"/>
        <v>3.051215277777778E-2</v>
      </c>
      <c r="AE2383" s="36">
        <f t="shared" si="543"/>
        <v>320</v>
      </c>
      <c r="AF2383" s="36">
        <f t="shared" si="543"/>
        <v>179</v>
      </c>
      <c r="AG2383" s="36" t="str">
        <f t="shared" si="543"/>
        <v>SMF</v>
      </c>
    </row>
    <row r="2384" spans="18:33" x14ac:dyDescent="0.25">
      <c r="R2384">
        <v>2370</v>
      </c>
      <c r="S2384" s="36" t="str">
        <f t="shared" si="541"/>
        <v>BARATA Y MORADA</v>
      </c>
      <c r="T2384" s="36">
        <f t="shared" si="541"/>
        <v>971</v>
      </c>
      <c r="U2384" s="73">
        <v>0.22847222222222222</v>
      </c>
      <c r="V2384" s="74">
        <v>0.23750000000000002</v>
      </c>
      <c r="W2384" s="75">
        <v>9.0277777777778012E-3</v>
      </c>
      <c r="X2384" s="74">
        <v>0.27777777777777779</v>
      </c>
      <c r="Y2384" s="75">
        <v>4.0277777777777773E-2</v>
      </c>
      <c r="Z2384" s="76">
        <v>41746</v>
      </c>
      <c r="AA2384" s="36" t="str">
        <f t="shared" si="543"/>
        <v>Internacional</v>
      </c>
      <c r="AB2384" s="36">
        <f t="shared" si="543"/>
        <v>1.2977430555555548E-2</v>
      </c>
      <c r="AC2384" s="36">
        <f t="shared" si="543"/>
        <v>1.7534722222222233E-2</v>
      </c>
      <c r="AD2384" s="36">
        <f t="shared" si="543"/>
        <v>3.051215277777778E-2</v>
      </c>
      <c r="AE2384" s="36">
        <f t="shared" si="543"/>
        <v>320</v>
      </c>
      <c r="AF2384" s="36">
        <f t="shared" si="543"/>
        <v>179</v>
      </c>
      <c r="AG2384" s="36" t="str">
        <f t="shared" si="543"/>
        <v>SMF</v>
      </c>
    </row>
    <row r="2385" spans="18:33" x14ac:dyDescent="0.25">
      <c r="R2385">
        <v>2371</v>
      </c>
      <c r="S2385" s="36" t="str">
        <f t="shared" si="541"/>
        <v>BARATA Y MORADA</v>
      </c>
      <c r="T2385" s="36">
        <f t="shared" si="541"/>
        <v>971</v>
      </c>
      <c r="U2385" s="73">
        <v>0.20416666666666669</v>
      </c>
      <c r="V2385" s="74">
        <v>0.21597222222222223</v>
      </c>
      <c r="W2385" s="75">
        <v>1.1805555555555541E-2</v>
      </c>
      <c r="X2385" s="74">
        <v>0.22638888888888889</v>
      </c>
      <c r="Y2385" s="75">
        <v>1.0416666666666657E-2</v>
      </c>
      <c r="Z2385" s="76">
        <v>41749</v>
      </c>
      <c r="AA2385" s="36" t="str">
        <f t="shared" si="543"/>
        <v>Internacional</v>
      </c>
      <c r="AB2385" s="36">
        <f t="shared" si="543"/>
        <v>1.2977430555555548E-2</v>
      </c>
      <c r="AC2385" s="36">
        <f t="shared" si="543"/>
        <v>1.7534722222222233E-2</v>
      </c>
      <c r="AD2385" s="36">
        <f t="shared" si="543"/>
        <v>3.051215277777778E-2</v>
      </c>
      <c r="AE2385" s="36">
        <f t="shared" si="543"/>
        <v>320</v>
      </c>
      <c r="AF2385" s="36">
        <f t="shared" si="543"/>
        <v>179</v>
      </c>
      <c r="AG2385" s="36" t="str">
        <f t="shared" si="543"/>
        <v>SMF</v>
      </c>
    </row>
    <row r="2386" spans="18:33" x14ac:dyDescent="0.25">
      <c r="R2386">
        <v>2372</v>
      </c>
      <c r="S2386" s="36" t="str">
        <f t="shared" si="541"/>
        <v>BARATA Y MORADA</v>
      </c>
      <c r="T2386" s="36">
        <f t="shared" si="541"/>
        <v>971</v>
      </c>
      <c r="U2386" s="73">
        <v>0.21527777777777779</v>
      </c>
      <c r="V2386" s="74">
        <v>0.2298611111111111</v>
      </c>
      <c r="W2386" s="75">
        <v>1.4583333333333309E-2</v>
      </c>
      <c r="X2386" s="74">
        <v>0.23958333333333334</v>
      </c>
      <c r="Y2386" s="75">
        <v>9.7222222222222432E-3</v>
      </c>
      <c r="Z2386" s="76">
        <v>41751</v>
      </c>
      <c r="AA2386" s="36" t="str">
        <f t="shared" si="543"/>
        <v>Internacional</v>
      </c>
      <c r="AB2386" s="36">
        <f t="shared" si="543"/>
        <v>1.2977430555555548E-2</v>
      </c>
      <c r="AC2386" s="36">
        <f t="shared" si="543"/>
        <v>1.7534722222222233E-2</v>
      </c>
      <c r="AD2386" s="36">
        <f t="shared" si="543"/>
        <v>3.051215277777778E-2</v>
      </c>
      <c r="AE2386" s="36">
        <f t="shared" si="543"/>
        <v>320</v>
      </c>
      <c r="AF2386" s="36">
        <f t="shared" si="543"/>
        <v>179</v>
      </c>
      <c r="AG2386" s="36" t="str">
        <f t="shared" si="543"/>
        <v>SMF</v>
      </c>
    </row>
    <row r="2387" spans="18:33" x14ac:dyDescent="0.25">
      <c r="R2387">
        <v>2373</v>
      </c>
      <c r="S2387" s="36" t="str">
        <f t="shared" si="541"/>
        <v>BARATA Y MORADA</v>
      </c>
      <c r="T2387" s="36">
        <f t="shared" si="541"/>
        <v>971</v>
      </c>
      <c r="U2387" s="73">
        <v>0.20555555555555557</v>
      </c>
      <c r="V2387" s="74">
        <v>0.22013888888888888</v>
      </c>
      <c r="W2387" s="75">
        <v>1.4583333333333309E-2</v>
      </c>
      <c r="X2387" s="74">
        <v>0.23680555555555557</v>
      </c>
      <c r="Y2387" s="75">
        <v>1.6666666666666691E-2</v>
      </c>
      <c r="Z2387" s="76">
        <v>41752</v>
      </c>
      <c r="AA2387" s="36" t="str">
        <f t="shared" si="543"/>
        <v>Internacional</v>
      </c>
      <c r="AB2387" s="36">
        <f t="shared" si="543"/>
        <v>1.2977430555555548E-2</v>
      </c>
      <c r="AC2387" s="36">
        <f t="shared" si="543"/>
        <v>1.7534722222222233E-2</v>
      </c>
      <c r="AD2387" s="36">
        <f t="shared" si="543"/>
        <v>3.051215277777778E-2</v>
      </c>
      <c r="AE2387" s="36">
        <f t="shared" si="543"/>
        <v>320</v>
      </c>
      <c r="AF2387" s="36">
        <f t="shared" si="543"/>
        <v>179</v>
      </c>
      <c r="AG2387" s="36" t="str">
        <f t="shared" si="543"/>
        <v>SMF</v>
      </c>
    </row>
    <row r="2388" spans="18:33" x14ac:dyDescent="0.25">
      <c r="R2388">
        <v>2374</v>
      </c>
      <c r="S2388" s="36" t="str">
        <f t="shared" si="541"/>
        <v>BARATA Y MORADA</v>
      </c>
      <c r="T2388" s="36">
        <f t="shared" si="541"/>
        <v>971</v>
      </c>
      <c r="U2388" s="73">
        <v>0.22013888888888888</v>
      </c>
      <c r="V2388" s="74">
        <v>0.23124999999999998</v>
      </c>
      <c r="W2388" s="75">
        <v>1.1111111111111099E-2</v>
      </c>
      <c r="X2388" s="74">
        <v>0.24861111111111112</v>
      </c>
      <c r="Y2388" s="75">
        <v>1.7361111111111133E-2</v>
      </c>
      <c r="Z2388" s="76">
        <v>41755</v>
      </c>
      <c r="AA2388" s="36" t="str">
        <f t="shared" si="543"/>
        <v>Internacional</v>
      </c>
      <c r="AB2388" s="36">
        <f t="shared" si="543"/>
        <v>1.2977430555555548E-2</v>
      </c>
      <c r="AC2388" s="36">
        <f t="shared" si="543"/>
        <v>1.7534722222222233E-2</v>
      </c>
      <c r="AD2388" s="36">
        <f t="shared" si="543"/>
        <v>3.051215277777778E-2</v>
      </c>
      <c r="AE2388" s="36">
        <f t="shared" si="543"/>
        <v>320</v>
      </c>
      <c r="AF2388" s="36">
        <f t="shared" si="543"/>
        <v>179</v>
      </c>
      <c r="AG2388" s="36" t="str">
        <f t="shared" si="543"/>
        <v>SMF</v>
      </c>
    </row>
    <row r="2389" spans="18:33" x14ac:dyDescent="0.25">
      <c r="R2389">
        <v>2375</v>
      </c>
      <c r="S2389" s="36" t="str">
        <f t="shared" si="541"/>
        <v>BARATA Y MORADA</v>
      </c>
      <c r="T2389" s="36">
        <f t="shared" si="541"/>
        <v>971</v>
      </c>
      <c r="U2389" s="73">
        <v>0.21597222222222223</v>
      </c>
      <c r="V2389" s="74">
        <v>0.22222222222222221</v>
      </c>
      <c r="W2389" s="75">
        <v>6.2499999999999778E-3</v>
      </c>
      <c r="X2389" s="74">
        <v>0.23819444444444446</v>
      </c>
      <c r="Y2389" s="75">
        <v>1.5972222222222249E-2</v>
      </c>
      <c r="Z2389" s="76">
        <v>41757</v>
      </c>
      <c r="AA2389" s="36" t="str">
        <f t="shared" si="543"/>
        <v>Internacional</v>
      </c>
      <c r="AB2389" s="36">
        <f t="shared" si="543"/>
        <v>1.2977430555555548E-2</v>
      </c>
      <c r="AC2389" s="36">
        <f t="shared" si="543"/>
        <v>1.7534722222222233E-2</v>
      </c>
      <c r="AD2389" s="36">
        <f t="shared" si="543"/>
        <v>3.051215277777778E-2</v>
      </c>
      <c r="AE2389" s="36">
        <f t="shared" si="543"/>
        <v>320</v>
      </c>
      <c r="AF2389" s="36">
        <f t="shared" si="543"/>
        <v>179</v>
      </c>
      <c r="AG2389" s="36" t="str">
        <f t="shared" si="543"/>
        <v>SMF</v>
      </c>
    </row>
    <row r="2390" spans="18:33" ht="15.75" thickBot="1" x14ac:dyDescent="0.3">
      <c r="R2390">
        <v>2376</v>
      </c>
      <c r="S2390" s="36" t="str">
        <f t="shared" si="541"/>
        <v>BARATA Y MORADA</v>
      </c>
      <c r="T2390" s="36">
        <f t="shared" si="541"/>
        <v>971</v>
      </c>
      <c r="U2390" s="83">
        <v>0.22430555555555556</v>
      </c>
      <c r="V2390" s="84">
        <v>0.24583333333333335</v>
      </c>
      <c r="W2390" s="85">
        <v>2.1527777777777785E-2</v>
      </c>
      <c r="X2390" s="84">
        <v>0.26666666666666666</v>
      </c>
      <c r="Y2390" s="85">
        <v>2.0833333333333315E-2</v>
      </c>
      <c r="Z2390" s="86">
        <v>41758</v>
      </c>
      <c r="AA2390" s="36" t="str">
        <f t="shared" si="543"/>
        <v>Internacional</v>
      </c>
      <c r="AB2390" s="36">
        <f t="shared" si="543"/>
        <v>1.2977430555555548E-2</v>
      </c>
      <c r="AC2390" s="36">
        <f t="shared" si="543"/>
        <v>1.7534722222222233E-2</v>
      </c>
      <c r="AD2390" s="36">
        <f t="shared" si="543"/>
        <v>3.051215277777778E-2</v>
      </c>
      <c r="AE2390" s="36">
        <f t="shared" si="543"/>
        <v>320</v>
      </c>
      <c r="AF2390" s="36">
        <f t="shared" si="543"/>
        <v>179</v>
      </c>
      <c r="AG2390" s="36" t="str">
        <f t="shared" si="543"/>
        <v>SMF</v>
      </c>
    </row>
    <row r="2391" spans="18:33" x14ac:dyDescent="0.25">
      <c r="R2391">
        <v>2377</v>
      </c>
      <c r="S2391" s="36" t="str">
        <f t="shared" si="541"/>
        <v>BARATA Y MORADA</v>
      </c>
      <c r="T2391" s="55">
        <v>973</v>
      </c>
      <c r="U2391" s="56">
        <v>0.76597222222222217</v>
      </c>
      <c r="V2391" s="57">
        <v>0.76944444444444438</v>
      </c>
      <c r="W2391" s="58">
        <v>3.4722222222222099E-3</v>
      </c>
      <c r="X2391" s="57">
        <v>0.77500000000000002</v>
      </c>
      <c r="Y2391" s="58">
        <v>5.5555555555556468E-3</v>
      </c>
      <c r="Z2391" s="59">
        <v>41736</v>
      </c>
      <c r="AA2391" s="60" t="s">
        <v>22</v>
      </c>
      <c r="AB2391" s="61">
        <v>5.9027777777777846E-3</v>
      </c>
      <c r="AC2391" s="61">
        <v>2.2569444444444475E-2</v>
      </c>
      <c r="AD2391" s="231">
        <v>2.847222222222226E-2</v>
      </c>
      <c r="AE2391" s="236" t="s">
        <v>100</v>
      </c>
      <c r="AF2391" s="36">
        <f t="shared" si="543"/>
        <v>179</v>
      </c>
      <c r="AG2391" s="36" t="str">
        <f t="shared" si="543"/>
        <v>SMF</v>
      </c>
    </row>
    <row r="2392" spans="18:33" ht="15.75" thickBot="1" x14ac:dyDescent="0.3">
      <c r="R2392">
        <v>2378</v>
      </c>
      <c r="S2392" s="36" t="str">
        <f t="shared" si="541"/>
        <v>BARATA Y MORADA</v>
      </c>
      <c r="T2392" s="36">
        <f>T2391</f>
        <v>973</v>
      </c>
      <c r="U2392" s="83">
        <v>0.24722222222222223</v>
      </c>
      <c r="V2392" s="84">
        <v>0.25555555555555559</v>
      </c>
      <c r="W2392" s="85">
        <v>8.3333333333333592E-3</v>
      </c>
      <c r="X2392" s="84">
        <v>0.2951388888888889</v>
      </c>
      <c r="Y2392" s="85">
        <v>3.9583333333333304E-2</v>
      </c>
      <c r="Z2392" s="86">
        <v>41758</v>
      </c>
      <c r="AA2392" s="36" t="str">
        <f t="shared" ref="AA2392:AG2392" si="544">AA2391</f>
        <v>Internacional</v>
      </c>
      <c r="AB2392" s="36">
        <f t="shared" si="544"/>
        <v>5.9027777777777846E-3</v>
      </c>
      <c r="AC2392" s="36">
        <f t="shared" si="544"/>
        <v>2.2569444444444475E-2</v>
      </c>
      <c r="AD2392" s="36">
        <f t="shared" si="544"/>
        <v>2.847222222222226E-2</v>
      </c>
      <c r="AE2392" s="36" t="str">
        <f t="shared" si="544"/>
        <v>No encontrado, probable error</v>
      </c>
      <c r="AF2392" s="36">
        <f t="shared" si="544"/>
        <v>179</v>
      </c>
      <c r="AG2392" s="36" t="str">
        <f t="shared" si="544"/>
        <v>SMF</v>
      </c>
    </row>
    <row r="2393" spans="18:33" x14ac:dyDescent="0.25">
      <c r="R2393">
        <v>2379</v>
      </c>
      <c r="S2393" s="36" t="str">
        <f t="shared" si="541"/>
        <v>BARATA Y MORADA</v>
      </c>
      <c r="T2393" s="55">
        <v>975</v>
      </c>
      <c r="U2393" s="56">
        <v>0.19513888888888889</v>
      </c>
      <c r="V2393" s="57">
        <v>0.2076388888888889</v>
      </c>
      <c r="W2393" s="58">
        <v>1.2500000000000011E-2</v>
      </c>
      <c r="X2393" s="57">
        <v>0.22083333333333333</v>
      </c>
      <c r="Y2393" s="58">
        <v>1.3194444444444425E-2</v>
      </c>
      <c r="Z2393" s="59">
        <v>41731</v>
      </c>
      <c r="AA2393" s="60" t="s">
        <v>22</v>
      </c>
      <c r="AB2393" s="61">
        <v>1.2577160493827157E-2</v>
      </c>
      <c r="AC2393" s="61">
        <v>2.114197530864198E-2</v>
      </c>
      <c r="AD2393" s="231">
        <v>3.3719135802469137E-2</v>
      </c>
      <c r="AE2393" s="132">
        <v>320</v>
      </c>
      <c r="AF2393" s="132">
        <v>179</v>
      </c>
      <c r="AG2393" s="132" t="s">
        <v>76</v>
      </c>
    </row>
    <row r="2394" spans="18:33" x14ac:dyDescent="0.25">
      <c r="R2394">
        <v>2380</v>
      </c>
      <c r="S2394" s="36" t="str">
        <f t="shared" si="541"/>
        <v>BARATA Y MORADA</v>
      </c>
      <c r="T2394" s="36">
        <f t="shared" si="541"/>
        <v>975</v>
      </c>
      <c r="U2394" s="73">
        <v>0.20277777777777781</v>
      </c>
      <c r="V2394" s="74">
        <v>0.21666666666666667</v>
      </c>
      <c r="W2394" s="75">
        <v>1.3888888888888867E-2</v>
      </c>
      <c r="X2394" s="74">
        <v>0.25555555555555559</v>
      </c>
      <c r="Y2394" s="75">
        <v>3.8888888888888917E-2</v>
      </c>
      <c r="Z2394" s="76">
        <v>41733</v>
      </c>
      <c r="AA2394" s="36" t="str">
        <f t="shared" ref="AA2394:AG2401" si="545">AA2393</f>
        <v>Internacional</v>
      </c>
      <c r="AB2394" s="36">
        <f t="shared" si="545"/>
        <v>1.2577160493827157E-2</v>
      </c>
      <c r="AC2394" s="36">
        <f t="shared" si="545"/>
        <v>2.114197530864198E-2</v>
      </c>
      <c r="AD2394" s="36">
        <f t="shared" si="545"/>
        <v>3.3719135802469137E-2</v>
      </c>
      <c r="AE2394" s="36">
        <f t="shared" si="545"/>
        <v>320</v>
      </c>
      <c r="AF2394" s="36">
        <f t="shared" si="545"/>
        <v>179</v>
      </c>
      <c r="AG2394" s="36" t="str">
        <f t="shared" si="545"/>
        <v>PHX</v>
      </c>
    </row>
    <row r="2395" spans="18:33" x14ac:dyDescent="0.25">
      <c r="R2395">
        <v>2381</v>
      </c>
      <c r="S2395" s="36" t="str">
        <f t="shared" si="541"/>
        <v>BARATA Y MORADA</v>
      </c>
      <c r="T2395" s="36">
        <f t="shared" si="541"/>
        <v>975</v>
      </c>
      <c r="U2395" s="73">
        <v>0.22291666666666665</v>
      </c>
      <c r="V2395" s="74">
        <v>0.23611111111111113</v>
      </c>
      <c r="W2395" s="75">
        <v>1.3194444444444481E-2</v>
      </c>
      <c r="X2395" s="74">
        <v>0.2590277777777778</v>
      </c>
      <c r="Y2395" s="75">
        <v>2.2916666666666669E-2</v>
      </c>
      <c r="Z2395" s="76">
        <v>41736</v>
      </c>
      <c r="AA2395" s="36" t="str">
        <f t="shared" si="545"/>
        <v>Internacional</v>
      </c>
      <c r="AB2395" s="36">
        <f t="shared" si="545"/>
        <v>1.2577160493827157E-2</v>
      </c>
      <c r="AC2395" s="36">
        <f t="shared" si="545"/>
        <v>2.114197530864198E-2</v>
      </c>
      <c r="AD2395" s="36">
        <f t="shared" si="545"/>
        <v>3.3719135802469137E-2</v>
      </c>
      <c r="AE2395" s="36">
        <f t="shared" si="545"/>
        <v>320</v>
      </c>
      <c r="AF2395" s="36">
        <f t="shared" si="545"/>
        <v>179</v>
      </c>
      <c r="AG2395" s="36" t="str">
        <f t="shared" si="545"/>
        <v>PHX</v>
      </c>
    </row>
    <row r="2396" spans="18:33" x14ac:dyDescent="0.25">
      <c r="R2396">
        <v>2382</v>
      </c>
      <c r="S2396" s="36" t="str">
        <f t="shared" si="541"/>
        <v>BARATA Y MORADA</v>
      </c>
      <c r="T2396" s="36">
        <f t="shared" si="541"/>
        <v>975</v>
      </c>
      <c r="U2396" s="73">
        <v>0.2076388888888889</v>
      </c>
      <c r="V2396" s="74">
        <v>0.22222222222222221</v>
      </c>
      <c r="W2396" s="75">
        <v>1.4583333333333309E-2</v>
      </c>
      <c r="X2396" s="74">
        <v>0.24305555555555555</v>
      </c>
      <c r="Y2396" s="75">
        <v>2.0833333333333343E-2</v>
      </c>
      <c r="Z2396" s="76">
        <v>41738</v>
      </c>
      <c r="AA2396" s="36" t="str">
        <f t="shared" si="545"/>
        <v>Internacional</v>
      </c>
      <c r="AB2396" s="36">
        <f t="shared" si="545"/>
        <v>1.2577160493827157E-2</v>
      </c>
      <c r="AC2396" s="36">
        <f t="shared" si="545"/>
        <v>2.114197530864198E-2</v>
      </c>
      <c r="AD2396" s="36">
        <f t="shared" si="545"/>
        <v>3.3719135802469137E-2</v>
      </c>
      <c r="AE2396" s="36">
        <f t="shared" si="545"/>
        <v>320</v>
      </c>
      <c r="AF2396" s="36">
        <f t="shared" si="545"/>
        <v>179</v>
      </c>
      <c r="AG2396" s="36" t="str">
        <f t="shared" si="545"/>
        <v>PHX</v>
      </c>
    </row>
    <row r="2397" spans="18:33" x14ac:dyDescent="0.25">
      <c r="R2397">
        <v>2383</v>
      </c>
      <c r="S2397" s="36" t="str">
        <f t="shared" si="541"/>
        <v>BARATA Y MORADA</v>
      </c>
      <c r="T2397" s="36">
        <f t="shared" si="541"/>
        <v>975</v>
      </c>
      <c r="U2397" s="73">
        <v>0.20625000000000002</v>
      </c>
      <c r="V2397" s="74">
        <v>0.22013888888888888</v>
      </c>
      <c r="W2397" s="75">
        <v>1.3888888888888867E-2</v>
      </c>
      <c r="X2397" s="74">
        <v>0.23333333333333331</v>
      </c>
      <c r="Y2397" s="75">
        <v>1.3194444444444425E-2</v>
      </c>
      <c r="Z2397" s="76">
        <v>41739</v>
      </c>
      <c r="AA2397" s="36" t="str">
        <f t="shared" si="545"/>
        <v>Internacional</v>
      </c>
      <c r="AB2397" s="36">
        <f t="shared" si="545"/>
        <v>1.2577160493827157E-2</v>
      </c>
      <c r="AC2397" s="36">
        <f t="shared" si="545"/>
        <v>2.114197530864198E-2</v>
      </c>
      <c r="AD2397" s="36">
        <f t="shared" si="545"/>
        <v>3.3719135802469137E-2</v>
      </c>
      <c r="AE2397" s="36">
        <f t="shared" si="545"/>
        <v>320</v>
      </c>
      <c r="AF2397" s="36">
        <f t="shared" si="545"/>
        <v>179</v>
      </c>
      <c r="AG2397" s="36" t="str">
        <f t="shared" si="545"/>
        <v>PHX</v>
      </c>
    </row>
    <row r="2398" spans="18:33" x14ac:dyDescent="0.25">
      <c r="R2398">
        <v>2384</v>
      </c>
      <c r="S2398" s="36" t="str">
        <f t="shared" si="541"/>
        <v>BARATA Y MORADA</v>
      </c>
      <c r="T2398" s="36">
        <f t="shared" si="541"/>
        <v>975</v>
      </c>
      <c r="U2398" s="73">
        <v>0.20902777777777778</v>
      </c>
      <c r="V2398" s="74">
        <v>0.22013888888888888</v>
      </c>
      <c r="W2398" s="75">
        <v>1.1111111111111099E-2</v>
      </c>
      <c r="X2398" s="74">
        <v>0.23194444444444443</v>
      </c>
      <c r="Y2398" s="75">
        <v>1.1805555555555541E-2</v>
      </c>
      <c r="Z2398" s="76">
        <v>41745</v>
      </c>
      <c r="AA2398" s="36" t="str">
        <f t="shared" si="545"/>
        <v>Internacional</v>
      </c>
      <c r="AB2398" s="36">
        <f t="shared" si="545"/>
        <v>1.2577160493827157E-2</v>
      </c>
      <c r="AC2398" s="36">
        <f t="shared" si="545"/>
        <v>2.114197530864198E-2</v>
      </c>
      <c r="AD2398" s="36">
        <f t="shared" si="545"/>
        <v>3.3719135802469137E-2</v>
      </c>
      <c r="AE2398" s="36">
        <f t="shared" si="545"/>
        <v>320</v>
      </c>
      <c r="AF2398" s="36">
        <f t="shared" si="545"/>
        <v>179</v>
      </c>
      <c r="AG2398" s="36" t="str">
        <f t="shared" si="545"/>
        <v>PHX</v>
      </c>
    </row>
    <row r="2399" spans="18:33" x14ac:dyDescent="0.25">
      <c r="R2399">
        <v>2385</v>
      </c>
      <c r="S2399" s="36" t="str">
        <f t="shared" si="541"/>
        <v>BARATA Y MORADA</v>
      </c>
      <c r="T2399" s="36">
        <f t="shared" si="541"/>
        <v>975</v>
      </c>
      <c r="U2399" s="73">
        <v>0.22361111111111109</v>
      </c>
      <c r="V2399" s="74">
        <v>0.22500000000000001</v>
      </c>
      <c r="W2399" s="75">
        <v>1.3888888888889117E-3</v>
      </c>
      <c r="X2399" s="74">
        <v>0.23541666666666669</v>
      </c>
      <c r="Y2399" s="75">
        <v>1.0416666666666685E-2</v>
      </c>
      <c r="Z2399" s="76">
        <v>41746</v>
      </c>
      <c r="AA2399" s="36" t="str">
        <f t="shared" si="545"/>
        <v>Internacional</v>
      </c>
      <c r="AB2399" s="36">
        <f t="shared" si="545"/>
        <v>1.2577160493827157E-2</v>
      </c>
      <c r="AC2399" s="36">
        <f t="shared" si="545"/>
        <v>2.114197530864198E-2</v>
      </c>
      <c r="AD2399" s="36">
        <f t="shared" si="545"/>
        <v>3.3719135802469137E-2</v>
      </c>
      <c r="AE2399" s="36">
        <f t="shared" si="545"/>
        <v>320</v>
      </c>
      <c r="AF2399" s="36">
        <f t="shared" si="545"/>
        <v>179</v>
      </c>
      <c r="AG2399" s="36" t="str">
        <f t="shared" si="545"/>
        <v>PHX</v>
      </c>
    </row>
    <row r="2400" spans="18:33" x14ac:dyDescent="0.25">
      <c r="R2400">
        <v>2386</v>
      </c>
      <c r="S2400" s="36" t="str">
        <f t="shared" si="541"/>
        <v>BARATA Y MORADA</v>
      </c>
      <c r="T2400" s="36">
        <f t="shared" si="541"/>
        <v>975</v>
      </c>
      <c r="U2400" s="73">
        <v>0.22430555555555556</v>
      </c>
      <c r="V2400" s="74">
        <v>0.24166666666666667</v>
      </c>
      <c r="W2400" s="75">
        <v>1.7361111111111105E-2</v>
      </c>
      <c r="X2400" s="74">
        <v>0.27777777777777779</v>
      </c>
      <c r="Y2400" s="75">
        <v>3.6111111111111122E-2</v>
      </c>
      <c r="Z2400" s="76">
        <v>41749</v>
      </c>
      <c r="AA2400" s="36" t="str">
        <f t="shared" si="545"/>
        <v>Internacional</v>
      </c>
      <c r="AB2400" s="36">
        <f t="shared" si="545"/>
        <v>1.2577160493827157E-2</v>
      </c>
      <c r="AC2400" s="36">
        <f t="shared" si="545"/>
        <v>2.114197530864198E-2</v>
      </c>
      <c r="AD2400" s="36">
        <f t="shared" si="545"/>
        <v>3.3719135802469137E-2</v>
      </c>
      <c r="AE2400" s="36">
        <f t="shared" si="545"/>
        <v>320</v>
      </c>
      <c r="AF2400" s="36">
        <f t="shared" si="545"/>
        <v>179</v>
      </c>
      <c r="AG2400" s="36" t="str">
        <f t="shared" si="545"/>
        <v>PHX</v>
      </c>
    </row>
    <row r="2401" spans="18:33" ht="15.75" thickBot="1" x14ac:dyDescent="0.3">
      <c r="R2401">
        <v>2387</v>
      </c>
      <c r="S2401" s="36" t="str">
        <f t="shared" si="541"/>
        <v>BARATA Y MORADA</v>
      </c>
      <c r="T2401" s="36">
        <f t="shared" si="541"/>
        <v>975</v>
      </c>
      <c r="U2401" s="83">
        <v>0.20833333333333334</v>
      </c>
      <c r="V2401" s="84">
        <v>0.22361111111111109</v>
      </c>
      <c r="W2401" s="85">
        <v>1.5277777777777751E-2</v>
      </c>
      <c r="X2401" s="84">
        <v>0.24652777777777779</v>
      </c>
      <c r="Y2401" s="85">
        <v>2.2916666666666696E-2</v>
      </c>
      <c r="Z2401" s="86">
        <v>41756</v>
      </c>
      <c r="AA2401" s="36" t="str">
        <f t="shared" si="545"/>
        <v>Internacional</v>
      </c>
      <c r="AB2401" s="36">
        <f t="shared" si="545"/>
        <v>1.2577160493827157E-2</v>
      </c>
      <c r="AC2401" s="36">
        <f t="shared" si="545"/>
        <v>2.114197530864198E-2</v>
      </c>
      <c r="AD2401" s="36">
        <f t="shared" si="545"/>
        <v>3.3719135802469137E-2</v>
      </c>
      <c r="AE2401" s="36">
        <f t="shared" si="545"/>
        <v>320</v>
      </c>
      <c r="AF2401" s="36">
        <f t="shared" si="545"/>
        <v>179</v>
      </c>
      <c r="AG2401" s="36" t="str">
        <f t="shared" si="545"/>
        <v>PHX</v>
      </c>
    </row>
    <row r="2402" spans="18:33" x14ac:dyDescent="0.25">
      <c r="R2402">
        <v>2388</v>
      </c>
      <c r="S2402" s="45" t="s">
        <v>77</v>
      </c>
      <c r="T2402" s="55">
        <v>4734</v>
      </c>
      <c r="U2402" s="56">
        <v>0.23611111111111113</v>
      </c>
      <c r="V2402" s="57">
        <v>0.24722222222222223</v>
      </c>
      <c r="W2402" s="58">
        <v>1.1111111111111099E-2</v>
      </c>
      <c r="X2402" s="57">
        <v>0.25138888888888888</v>
      </c>
      <c r="Y2402" s="58">
        <v>4.1666666666666519E-3</v>
      </c>
      <c r="Z2402" s="59">
        <v>41730</v>
      </c>
      <c r="AA2402" s="60" t="s">
        <v>19</v>
      </c>
      <c r="AB2402" s="61">
        <v>1.19357638888889E-2</v>
      </c>
      <c r="AC2402" s="61">
        <v>6.5538194444444402E-3</v>
      </c>
      <c r="AD2402" s="231">
        <v>1.8489583333333341E-2</v>
      </c>
      <c r="AE2402" s="132">
        <v>320</v>
      </c>
      <c r="AF2402" s="132">
        <v>179</v>
      </c>
      <c r="AG2402" s="132" t="s">
        <v>21</v>
      </c>
    </row>
    <row r="2403" spans="18:33" x14ac:dyDescent="0.25">
      <c r="R2403">
        <v>2389</v>
      </c>
      <c r="S2403" s="36" t="str">
        <f t="shared" ref="S2403:T2433" si="546">S2402</f>
        <v>BARATA Y MORADA</v>
      </c>
      <c r="T2403" s="36">
        <f t="shared" si="546"/>
        <v>4734</v>
      </c>
      <c r="U2403" s="73">
        <v>0.25486111111111109</v>
      </c>
      <c r="V2403" s="74">
        <v>0.2673611111111111</v>
      </c>
      <c r="W2403" s="75">
        <v>1.2500000000000011E-2</v>
      </c>
      <c r="X2403" s="74">
        <v>0.27777777777777779</v>
      </c>
      <c r="Y2403" s="75">
        <v>1.0416666666666685E-2</v>
      </c>
      <c r="Z2403" s="76">
        <v>41736</v>
      </c>
      <c r="AA2403" s="36" t="str">
        <f t="shared" ref="AA2403:AG2417" si="547">AA2402</f>
        <v>Nacional</v>
      </c>
      <c r="AB2403" s="36">
        <f t="shared" si="547"/>
        <v>1.19357638888889E-2</v>
      </c>
      <c r="AC2403" s="36">
        <f t="shared" si="547"/>
        <v>6.5538194444444402E-3</v>
      </c>
      <c r="AD2403" s="36">
        <f t="shared" si="547"/>
        <v>1.8489583333333341E-2</v>
      </c>
      <c r="AE2403" s="36">
        <f t="shared" si="547"/>
        <v>320</v>
      </c>
      <c r="AF2403" s="36">
        <f t="shared" si="547"/>
        <v>179</v>
      </c>
      <c r="AG2403" s="36" t="str">
        <f t="shared" si="547"/>
        <v>MEX</v>
      </c>
    </row>
    <row r="2404" spans="18:33" x14ac:dyDescent="0.25">
      <c r="R2404">
        <v>2390</v>
      </c>
      <c r="S2404" s="36" t="str">
        <f t="shared" si="546"/>
        <v>BARATA Y MORADA</v>
      </c>
      <c r="T2404" s="36">
        <f t="shared" si="546"/>
        <v>4734</v>
      </c>
      <c r="U2404" s="73">
        <v>0.23402777777777781</v>
      </c>
      <c r="V2404" s="74">
        <v>0.25555555555555559</v>
      </c>
      <c r="W2404" s="75">
        <v>2.1527777777777785E-2</v>
      </c>
      <c r="X2404" s="74">
        <v>0.25694444444444448</v>
      </c>
      <c r="Y2404" s="75">
        <v>1.388888888888884E-3</v>
      </c>
      <c r="Z2404" s="76">
        <v>41736</v>
      </c>
      <c r="AA2404" s="36" t="str">
        <f t="shared" si="547"/>
        <v>Nacional</v>
      </c>
      <c r="AB2404" s="36">
        <f t="shared" si="547"/>
        <v>1.19357638888889E-2</v>
      </c>
      <c r="AC2404" s="36">
        <f t="shared" si="547"/>
        <v>6.5538194444444402E-3</v>
      </c>
      <c r="AD2404" s="36">
        <f t="shared" si="547"/>
        <v>1.8489583333333341E-2</v>
      </c>
      <c r="AE2404" s="36">
        <f t="shared" si="547"/>
        <v>320</v>
      </c>
      <c r="AF2404" s="36">
        <f t="shared" si="547"/>
        <v>179</v>
      </c>
      <c r="AG2404" s="36" t="str">
        <f t="shared" si="547"/>
        <v>MEX</v>
      </c>
    </row>
    <row r="2405" spans="18:33" x14ac:dyDescent="0.25">
      <c r="R2405">
        <v>2391</v>
      </c>
      <c r="S2405" s="36" t="str">
        <f t="shared" si="546"/>
        <v>BARATA Y MORADA</v>
      </c>
      <c r="T2405" s="36">
        <f t="shared" si="546"/>
        <v>4734</v>
      </c>
      <c r="U2405" s="73">
        <v>0.26458333333333334</v>
      </c>
      <c r="V2405" s="74">
        <v>0.27708333333333335</v>
      </c>
      <c r="W2405" s="75">
        <v>1.2500000000000011E-2</v>
      </c>
      <c r="X2405" s="74">
        <v>0.28472222222222221</v>
      </c>
      <c r="Y2405" s="75">
        <v>7.6388888888888618E-3</v>
      </c>
      <c r="Z2405" s="76">
        <v>41738</v>
      </c>
      <c r="AA2405" s="36" t="str">
        <f t="shared" si="547"/>
        <v>Nacional</v>
      </c>
      <c r="AB2405" s="36">
        <f t="shared" si="547"/>
        <v>1.19357638888889E-2</v>
      </c>
      <c r="AC2405" s="36">
        <f t="shared" si="547"/>
        <v>6.5538194444444402E-3</v>
      </c>
      <c r="AD2405" s="36">
        <f t="shared" si="547"/>
        <v>1.8489583333333341E-2</v>
      </c>
      <c r="AE2405" s="36">
        <f t="shared" si="547"/>
        <v>320</v>
      </c>
      <c r="AF2405" s="36">
        <f t="shared" si="547"/>
        <v>179</v>
      </c>
      <c r="AG2405" s="36" t="str">
        <f t="shared" si="547"/>
        <v>MEX</v>
      </c>
    </row>
    <row r="2406" spans="18:33" x14ac:dyDescent="0.25">
      <c r="R2406">
        <v>2392</v>
      </c>
      <c r="S2406" s="36" t="str">
        <f t="shared" si="546"/>
        <v>BARATA Y MORADA</v>
      </c>
      <c r="T2406" s="36">
        <f t="shared" si="546"/>
        <v>4734</v>
      </c>
      <c r="U2406" s="73">
        <v>0.24305555555555555</v>
      </c>
      <c r="V2406" s="74">
        <v>0.25625000000000003</v>
      </c>
      <c r="W2406" s="75">
        <v>1.3194444444444481E-2</v>
      </c>
      <c r="X2406" s="74">
        <v>0.2590277777777778</v>
      </c>
      <c r="Y2406" s="75">
        <v>2.7777777777777679E-3</v>
      </c>
      <c r="Z2406" s="76">
        <v>41739</v>
      </c>
      <c r="AA2406" s="36" t="str">
        <f t="shared" si="547"/>
        <v>Nacional</v>
      </c>
      <c r="AB2406" s="36">
        <f t="shared" si="547"/>
        <v>1.19357638888889E-2</v>
      </c>
      <c r="AC2406" s="36">
        <f t="shared" si="547"/>
        <v>6.5538194444444402E-3</v>
      </c>
      <c r="AD2406" s="36">
        <f t="shared" si="547"/>
        <v>1.8489583333333341E-2</v>
      </c>
      <c r="AE2406" s="36">
        <f t="shared" si="547"/>
        <v>320</v>
      </c>
      <c r="AF2406" s="36">
        <f t="shared" si="547"/>
        <v>179</v>
      </c>
      <c r="AG2406" s="36" t="str">
        <f t="shared" si="547"/>
        <v>MEX</v>
      </c>
    </row>
    <row r="2407" spans="18:33" x14ac:dyDescent="0.25">
      <c r="R2407">
        <v>2393</v>
      </c>
      <c r="S2407" s="36" t="str">
        <f t="shared" si="546"/>
        <v>BARATA Y MORADA</v>
      </c>
      <c r="T2407" s="36">
        <f t="shared" si="546"/>
        <v>4734</v>
      </c>
      <c r="U2407" s="73">
        <v>0.24513888888888888</v>
      </c>
      <c r="V2407" s="74">
        <v>0.25625000000000003</v>
      </c>
      <c r="W2407" s="75">
        <v>1.1111111111111155E-2</v>
      </c>
      <c r="X2407" s="74">
        <v>0.2590277777777778</v>
      </c>
      <c r="Y2407" s="75">
        <v>2.7777777777777679E-3</v>
      </c>
      <c r="Z2407" s="76">
        <v>41739</v>
      </c>
      <c r="AA2407" s="36" t="str">
        <f t="shared" si="547"/>
        <v>Nacional</v>
      </c>
      <c r="AB2407" s="36">
        <f t="shared" si="547"/>
        <v>1.19357638888889E-2</v>
      </c>
      <c r="AC2407" s="36">
        <f t="shared" si="547"/>
        <v>6.5538194444444402E-3</v>
      </c>
      <c r="AD2407" s="36">
        <f t="shared" si="547"/>
        <v>1.8489583333333341E-2</v>
      </c>
      <c r="AE2407" s="36">
        <f t="shared" si="547"/>
        <v>320</v>
      </c>
      <c r="AF2407" s="36">
        <f t="shared" si="547"/>
        <v>179</v>
      </c>
      <c r="AG2407" s="36" t="str">
        <f t="shared" si="547"/>
        <v>MEX</v>
      </c>
    </row>
    <row r="2408" spans="18:33" x14ac:dyDescent="0.25">
      <c r="R2408">
        <v>2394</v>
      </c>
      <c r="S2408" s="36" t="str">
        <f t="shared" si="546"/>
        <v>BARATA Y MORADA</v>
      </c>
      <c r="T2408" s="36">
        <f t="shared" si="546"/>
        <v>4734</v>
      </c>
      <c r="U2408" s="73">
        <v>0.23611111111111113</v>
      </c>
      <c r="V2408" s="74">
        <v>0.24722222222222223</v>
      </c>
      <c r="W2408" s="75">
        <v>1.1111111111111099E-2</v>
      </c>
      <c r="X2408" s="74">
        <v>0.25138888888888888</v>
      </c>
      <c r="Y2408" s="75">
        <v>4.1666666666666519E-3</v>
      </c>
      <c r="Z2408" s="76">
        <v>41742</v>
      </c>
      <c r="AA2408" s="36" t="str">
        <f t="shared" si="547"/>
        <v>Nacional</v>
      </c>
      <c r="AB2408" s="36">
        <f t="shared" si="547"/>
        <v>1.19357638888889E-2</v>
      </c>
      <c r="AC2408" s="36">
        <f t="shared" si="547"/>
        <v>6.5538194444444402E-3</v>
      </c>
      <c r="AD2408" s="36">
        <f t="shared" si="547"/>
        <v>1.8489583333333341E-2</v>
      </c>
      <c r="AE2408" s="36">
        <f t="shared" si="547"/>
        <v>320</v>
      </c>
      <c r="AF2408" s="36">
        <f t="shared" si="547"/>
        <v>179</v>
      </c>
      <c r="AG2408" s="36" t="str">
        <f t="shared" si="547"/>
        <v>MEX</v>
      </c>
    </row>
    <row r="2409" spans="18:33" x14ac:dyDescent="0.25">
      <c r="R2409">
        <v>2395</v>
      </c>
      <c r="S2409" s="36" t="str">
        <f t="shared" si="546"/>
        <v>BARATA Y MORADA</v>
      </c>
      <c r="T2409" s="36">
        <f t="shared" si="546"/>
        <v>4734</v>
      </c>
      <c r="U2409" s="73">
        <v>0.23124999999999998</v>
      </c>
      <c r="V2409" s="74">
        <v>0.24374999999999999</v>
      </c>
      <c r="W2409" s="75">
        <v>1.2500000000000011E-2</v>
      </c>
      <c r="X2409" s="74">
        <v>0.25069444444444444</v>
      </c>
      <c r="Y2409" s="75">
        <v>6.9444444444444475E-3</v>
      </c>
      <c r="Z2409" s="76">
        <v>41743</v>
      </c>
      <c r="AA2409" s="36" t="str">
        <f t="shared" si="547"/>
        <v>Nacional</v>
      </c>
      <c r="AB2409" s="36">
        <f t="shared" si="547"/>
        <v>1.19357638888889E-2</v>
      </c>
      <c r="AC2409" s="36">
        <f t="shared" si="547"/>
        <v>6.5538194444444402E-3</v>
      </c>
      <c r="AD2409" s="36">
        <f t="shared" si="547"/>
        <v>1.8489583333333341E-2</v>
      </c>
      <c r="AE2409" s="36">
        <f t="shared" si="547"/>
        <v>320</v>
      </c>
      <c r="AF2409" s="36">
        <f t="shared" si="547"/>
        <v>179</v>
      </c>
      <c r="AG2409" s="36" t="str">
        <f t="shared" si="547"/>
        <v>MEX</v>
      </c>
    </row>
    <row r="2410" spans="18:33" x14ac:dyDescent="0.25">
      <c r="R2410">
        <v>2396</v>
      </c>
      <c r="S2410" s="36" t="str">
        <f t="shared" si="546"/>
        <v>BARATA Y MORADA</v>
      </c>
      <c r="T2410" s="36">
        <f t="shared" si="546"/>
        <v>4734</v>
      </c>
      <c r="U2410" s="73">
        <v>0.23124999999999998</v>
      </c>
      <c r="V2410" s="74">
        <v>0.24444444444444446</v>
      </c>
      <c r="W2410" s="75">
        <v>1.3194444444444481E-2</v>
      </c>
      <c r="X2410" s="74">
        <v>0.25</v>
      </c>
      <c r="Y2410" s="75">
        <v>5.5555555555555358E-3</v>
      </c>
      <c r="Z2410" s="76">
        <v>41745</v>
      </c>
      <c r="AA2410" s="36" t="str">
        <f t="shared" si="547"/>
        <v>Nacional</v>
      </c>
      <c r="AB2410" s="36">
        <f t="shared" si="547"/>
        <v>1.19357638888889E-2</v>
      </c>
      <c r="AC2410" s="36">
        <f t="shared" si="547"/>
        <v>6.5538194444444402E-3</v>
      </c>
      <c r="AD2410" s="36">
        <f t="shared" si="547"/>
        <v>1.8489583333333341E-2</v>
      </c>
      <c r="AE2410" s="36">
        <f t="shared" si="547"/>
        <v>320</v>
      </c>
      <c r="AF2410" s="36">
        <f t="shared" si="547"/>
        <v>179</v>
      </c>
      <c r="AG2410" s="36" t="str">
        <f t="shared" si="547"/>
        <v>MEX</v>
      </c>
    </row>
    <row r="2411" spans="18:33" x14ac:dyDescent="0.25">
      <c r="R2411">
        <v>2397</v>
      </c>
      <c r="S2411" s="36" t="str">
        <f t="shared" si="546"/>
        <v>BARATA Y MORADA</v>
      </c>
      <c r="T2411" s="36">
        <f t="shared" si="546"/>
        <v>4734</v>
      </c>
      <c r="U2411" s="73">
        <v>0.23333333333333331</v>
      </c>
      <c r="V2411" s="74">
        <v>0.24166666666666667</v>
      </c>
      <c r="W2411" s="75">
        <v>8.3333333333333592E-3</v>
      </c>
      <c r="X2411" s="74">
        <v>0.25416666666666665</v>
      </c>
      <c r="Y2411" s="75">
        <v>1.2499999999999983E-2</v>
      </c>
      <c r="Z2411" s="76">
        <v>41746</v>
      </c>
      <c r="AA2411" s="36" t="str">
        <f t="shared" si="547"/>
        <v>Nacional</v>
      </c>
      <c r="AB2411" s="36">
        <f t="shared" si="547"/>
        <v>1.19357638888889E-2</v>
      </c>
      <c r="AC2411" s="36">
        <f t="shared" si="547"/>
        <v>6.5538194444444402E-3</v>
      </c>
      <c r="AD2411" s="36">
        <f t="shared" si="547"/>
        <v>1.8489583333333341E-2</v>
      </c>
      <c r="AE2411" s="36">
        <f t="shared" si="547"/>
        <v>320</v>
      </c>
      <c r="AF2411" s="36">
        <f t="shared" si="547"/>
        <v>179</v>
      </c>
      <c r="AG2411" s="36" t="str">
        <f t="shared" si="547"/>
        <v>MEX</v>
      </c>
    </row>
    <row r="2412" spans="18:33" x14ac:dyDescent="0.25">
      <c r="R2412">
        <v>2398</v>
      </c>
      <c r="S2412" s="36" t="str">
        <f t="shared" si="546"/>
        <v>BARATA Y MORADA</v>
      </c>
      <c r="T2412" s="36">
        <f t="shared" si="546"/>
        <v>4734</v>
      </c>
      <c r="U2412" s="73">
        <v>0.23263888888888887</v>
      </c>
      <c r="V2412" s="74">
        <v>0.23819444444444446</v>
      </c>
      <c r="W2412" s="75">
        <v>5.5555555555555913E-3</v>
      </c>
      <c r="X2412" s="74">
        <v>0.24513888888888888</v>
      </c>
      <c r="Y2412" s="75">
        <v>6.9444444444444198E-3</v>
      </c>
      <c r="Z2412" s="76">
        <v>41751</v>
      </c>
      <c r="AA2412" s="36" t="str">
        <f t="shared" si="547"/>
        <v>Nacional</v>
      </c>
      <c r="AB2412" s="36">
        <f t="shared" si="547"/>
        <v>1.19357638888889E-2</v>
      </c>
      <c r="AC2412" s="36">
        <f t="shared" si="547"/>
        <v>6.5538194444444402E-3</v>
      </c>
      <c r="AD2412" s="36">
        <f t="shared" si="547"/>
        <v>1.8489583333333341E-2</v>
      </c>
      <c r="AE2412" s="36">
        <f t="shared" si="547"/>
        <v>320</v>
      </c>
      <c r="AF2412" s="36">
        <f t="shared" si="547"/>
        <v>179</v>
      </c>
      <c r="AG2412" s="36" t="str">
        <f t="shared" si="547"/>
        <v>MEX</v>
      </c>
    </row>
    <row r="2413" spans="18:33" x14ac:dyDescent="0.25">
      <c r="R2413">
        <v>2399</v>
      </c>
      <c r="S2413" s="36" t="str">
        <f t="shared" si="546"/>
        <v>BARATA Y MORADA</v>
      </c>
      <c r="T2413" s="36">
        <f t="shared" si="546"/>
        <v>4734</v>
      </c>
      <c r="U2413" s="73">
        <v>0.24374999999999999</v>
      </c>
      <c r="V2413" s="74">
        <v>0.25347222222222221</v>
      </c>
      <c r="W2413" s="75">
        <v>9.7222222222222154E-3</v>
      </c>
      <c r="X2413" s="74">
        <v>0.26041666666666669</v>
      </c>
      <c r="Y2413" s="75">
        <v>6.9444444444444753E-3</v>
      </c>
      <c r="Z2413" s="76">
        <v>41753</v>
      </c>
      <c r="AA2413" s="36" t="str">
        <f t="shared" si="547"/>
        <v>Nacional</v>
      </c>
      <c r="AB2413" s="36">
        <f t="shared" si="547"/>
        <v>1.19357638888889E-2</v>
      </c>
      <c r="AC2413" s="36">
        <f t="shared" si="547"/>
        <v>6.5538194444444402E-3</v>
      </c>
      <c r="AD2413" s="36">
        <f t="shared" si="547"/>
        <v>1.8489583333333341E-2</v>
      </c>
      <c r="AE2413" s="36">
        <f t="shared" si="547"/>
        <v>320</v>
      </c>
      <c r="AF2413" s="36">
        <f t="shared" si="547"/>
        <v>179</v>
      </c>
      <c r="AG2413" s="36" t="str">
        <f t="shared" si="547"/>
        <v>MEX</v>
      </c>
    </row>
    <row r="2414" spans="18:33" x14ac:dyDescent="0.25">
      <c r="R2414">
        <v>2400</v>
      </c>
      <c r="S2414" s="36" t="str">
        <f t="shared" si="546"/>
        <v>BARATA Y MORADA</v>
      </c>
      <c r="T2414" s="36">
        <f t="shared" si="546"/>
        <v>4734</v>
      </c>
      <c r="U2414" s="73">
        <v>0.27361111111111108</v>
      </c>
      <c r="V2414" s="74">
        <v>0.29166666666666669</v>
      </c>
      <c r="W2414" s="75">
        <v>1.8055555555555602E-2</v>
      </c>
      <c r="X2414" s="74">
        <v>0.30416666666666664</v>
      </c>
      <c r="Y2414" s="75">
        <v>1.2499999999999956E-2</v>
      </c>
      <c r="Z2414" s="76">
        <v>41757</v>
      </c>
      <c r="AA2414" s="36" t="str">
        <f t="shared" si="547"/>
        <v>Nacional</v>
      </c>
      <c r="AB2414" s="36">
        <f t="shared" si="547"/>
        <v>1.19357638888889E-2</v>
      </c>
      <c r="AC2414" s="36">
        <f t="shared" si="547"/>
        <v>6.5538194444444402E-3</v>
      </c>
      <c r="AD2414" s="36">
        <f t="shared" si="547"/>
        <v>1.8489583333333341E-2</v>
      </c>
      <c r="AE2414" s="36">
        <f t="shared" si="547"/>
        <v>320</v>
      </c>
      <c r="AF2414" s="36">
        <f t="shared" si="547"/>
        <v>179</v>
      </c>
      <c r="AG2414" s="36" t="str">
        <f t="shared" si="547"/>
        <v>MEX</v>
      </c>
    </row>
    <row r="2415" spans="18:33" x14ac:dyDescent="0.25">
      <c r="R2415">
        <v>2401</v>
      </c>
      <c r="S2415" s="36" t="str">
        <f t="shared" si="546"/>
        <v>BARATA Y MORADA</v>
      </c>
      <c r="T2415" s="36">
        <f t="shared" si="546"/>
        <v>4734</v>
      </c>
      <c r="U2415" s="73">
        <v>0.23680555555555557</v>
      </c>
      <c r="V2415" s="74">
        <v>0.24513888888888888</v>
      </c>
      <c r="W2415" s="75">
        <v>8.3333333333333037E-3</v>
      </c>
      <c r="X2415" s="74">
        <v>0.24930555555555556</v>
      </c>
      <c r="Y2415" s="75">
        <v>4.1666666666666796E-3</v>
      </c>
      <c r="Z2415" s="76">
        <v>41759</v>
      </c>
      <c r="AA2415" s="36" t="str">
        <f t="shared" si="547"/>
        <v>Nacional</v>
      </c>
      <c r="AB2415" s="36">
        <f t="shared" si="547"/>
        <v>1.19357638888889E-2</v>
      </c>
      <c r="AC2415" s="36">
        <f t="shared" si="547"/>
        <v>6.5538194444444402E-3</v>
      </c>
      <c r="AD2415" s="36">
        <f t="shared" si="547"/>
        <v>1.8489583333333341E-2</v>
      </c>
      <c r="AE2415" s="36">
        <f t="shared" si="547"/>
        <v>320</v>
      </c>
      <c r="AF2415" s="36">
        <f t="shared" si="547"/>
        <v>179</v>
      </c>
      <c r="AG2415" s="36" t="str">
        <f t="shared" si="547"/>
        <v>MEX</v>
      </c>
    </row>
    <row r="2416" spans="18:33" x14ac:dyDescent="0.25">
      <c r="R2416">
        <v>2402</v>
      </c>
      <c r="S2416" s="36" t="str">
        <f t="shared" si="546"/>
        <v>BARATA Y MORADA</v>
      </c>
      <c r="T2416" s="36">
        <f t="shared" si="546"/>
        <v>4734</v>
      </c>
      <c r="U2416" s="73">
        <v>0.23819444444444446</v>
      </c>
      <c r="V2416" s="74">
        <v>0.25</v>
      </c>
      <c r="W2416" s="75">
        <v>1.1805555555555541E-2</v>
      </c>
      <c r="X2416" s="74">
        <v>0.26180555555555557</v>
      </c>
      <c r="Y2416" s="75">
        <v>1.1805555555555569E-2</v>
      </c>
      <c r="Z2416" s="76">
        <v>41759</v>
      </c>
      <c r="AA2416" s="36" t="str">
        <f t="shared" si="547"/>
        <v>Nacional</v>
      </c>
      <c r="AB2416" s="36">
        <f t="shared" si="547"/>
        <v>1.19357638888889E-2</v>
      </c>
      <c r="AC2416" s="36">
        <f t="shared" si="547"/>
        <v>6.5538194444444402E-3</v>
      </c>
      <c r="AD2416" s="36">
        <f t="shared" si="547"/>
        <v>1.8489583333333341E-2</v>
      </c>
      <c r="AE2416" s="36">
        <f t="shared" si="547"/>
        <v>320</v>
      </c>
      <c r="AF2416" s="36">
        <f t="shared" si="547"/>
        <v>179</v>
      </c>
      <c r="AG2416" s="36" t="str">
        <f t="shared" si="547"/>
        <v>MEX</v>
      </c>
    </row>
    <row r="2417" spans="18:33" ht="15.75" thickBot="1" x14ac:dyDescent="0.3">
      <c r="R2417">
        <v>2403</v>
      </c>
      <c r="S2417" s="36" t="str">
        <f t="shared" si="546"/>
        <v>BARATA Y MORADA</v>
      </c>
      <c r="T2417" s="36">
        <f t="shared" si="546"/>
        <v>4734</v>
      </c>
      <c r="U2417" s="83">
        <v>0.24166666666666667</v>
      </c>
      <c r="V2417" s="84">
        <v>0.25208333333333333</v>
      </c>
      <c r="W2417" s="85">
        <v>1.0416666666666657E-2</v>
      </c>
      <c r="X2417" s="84">
        <v>0.25625000000000003</v>
      </c>
      <c r="Y2417" s="85">
        <v>4.1666666666667074E-3</v>
      </c>
      <c r="Z2417" s="86">
        <v>41732</v>
      </c>
      <c r="AA2417" s="36" t="str">
        <f t="shared" si="547"/>
        <v>Nacional</v>
      </c>
      <c r="AB2417" s="36">
        <f t="shared" si="547"/>
        <v>1.19357638888889E-2</v>
      </c>
      <c r="AC2417" s="36">
        <f t="shared" si="547"/>
        <v>6.5538194444444402E-3</v>
      </c>
      <c r="AD2417" s="36">
        <f t="shared" si="547"/>
        <v>1.8489583333333341E-2</v>
      </c>
      <c r="AE2417" s="36">
        <f t="shared" si="547"/>
        <v>320</v>
      </c>
      <c r="AF2417" s="36">
        <f t="shared" si="547"/>
        <v>179</v>
      </c>
      <c r="AG2417" s="36" t="str">
        <f t="shared" si="547"/>
        <v>MEX</v>
      </c>
    </row>
    <row r="2418" spans="18:33" x14ac:dyDescent="0.25">
      <c r="R2418">
        <v>2404</v>
      </c>
      <c r="S2418" s="36" t="str">
        <f t="shared" si="546"/>
        <v>BARATA Y MORADA</v>
      </c>
      <c r="T2418" s="55">
        <v>5422</v>
      </c>
      <c r="U2418" s="56">
        <v>0.27430555555555552</v>
      </c>
      <c r="V2418" s="57">
        <v>0.28819444444444448</v>
      </c>
      <c r="W2418" s="58">
        <v>1.3888888888888951E-2</v>
      </c>
      <c r="X2418" s="57">
        <v>0.2951388888888889</v>
      </c>
      <c r="Y2418" s="58">
        <v>6.9444444444444198E-3</v>
      </c>
      <c r="Z2418" s="59">
        <v>41738</v>
      </c>
      <c r="AA2418" s="60" t="s">
        <v>19</v>
      </c>
      <c r="AB2418" s="61">
        <v>9.4907407407407631E-3</v>
      </c>
      <c r="AC2418" s="61">
        <v>1.0416666666666666E-2</v>
      </c>
      <c r="AD2418" s="231">
        <v>1.9907407407407429E-2</v>
      </c>
      <c r="AE2418" s="132">
        <v>320</v>
      </c>
      <c r="AF2418" s="132">
        <v>179</v>
      </c>
      <c r="AG2418" s="132" t="s">
        <v>34</v>
      </c>
    </row>
    <row r="2419" spans="18:33" x14ac:dyDescent="0.25">
      <c r="R2419">
        <v>2405</v>
      </c>
      <c r="S2419" s="36" t="str">
        <f t="shared" si="546"/>
        <v>BARATA Y MORADA</v>
      </c>
      <c r="T2419" s="36">
        <f t="shared" si="546"/>
        <v>5422</v>
      </c>
      <c r="U2419" s="73">
        <v>0.27499999999999997</v>
      </c>
      <c r="V2419" s="74">
        <v>0.28263888888888888</v>
      </c>
      <c r="W2419" s="75">
        <v>7.6388888888889173E-3</v>
      </c>
      <c r="X2419" s="74">
        <v>0.29097222222222224</v>
      </c>
      <c r="Y2419" s="75">
        <v>8.3333333333333592E-3</v>
      </c>
      <c r="Z2419" s="76">
        <v>41749</v>
      </c>
      <c r="AA2419" s="36" t="str">
        <f t="shared" ref="AA2419:AG2420" si="548">AA2418</f>
        <v>Nacional</v>
      </c>
      <c r="AB2419" s="36">
        <f t="shared" si="548"/>
        <v>9.4907407407407631E-3</v>
      </c>
      <c r="AC2419" s="36">
        <f t="shared" si="548"/>
        <v>1.0416666666666666E-2</v>
      </c>
      <c r="AD2419" s="36">
        <f t="shared" si="548"/>
        <v>1.9907407407407429E-2</v>
      </c>
      <c r="AE2419" s="36">
        <f t="shared" si="548"/>
        <v>320</v>
      </c>
      <c r="AF2419" s="36">
        <f t="shared" si="548"/>
        <v>179</v>
      </c>
      <c r="AG2419" s="36" t="str">
        <f t="shared" si="548"/>
        <v>TIJ</v>
      </c>
    </row>
    <row r="2420" spans="18:33" ht="15.75" thickBot="1" x14ac:dyDescent="0.3">
      <c r="R2420">
        <v>2406</v>
      </c>
      <c r="S2420" s="36" t="str">
        <f t="shared" si="546"/>
        <v>BARATA Y MORADA</v>
      </c>
      <c r="T2420" s="36">
        <f t="shared" si="546"/>
        <v>5422</v>
      </c>
      <c r="U2420" s="83">
        <v>0.27569444444444446</v>
      </c>
      <c r="V2420" s="84">
        <v>0.28263888888888888</v>
      </c>
      <c r="W2420" s="85">
        <v>6.9444444444444198E-3</v>
      </c>
      <c r="X2420" s="84">
        <v>0.2986111111111111</v>
      </c>
      <c r="Y2420" s="85">
        <v>1.5972222222222221E-2</v>
      </c>
      <c r="Z2420" s="86">
        <v>41755</v>
      </c>
      <c r="AA2420" s="36" t="str">
        <f t="shared" si="548"/>
        <v>Nacional</v>
      </c>
      <c r="AB2420" s="36">
        <f t="shared" si="548"/>
        <v>9.4907407407407631E-3</v>
      </c>
      <c r="AC2420" s="36">
        <f t="shared" si="548"/>
        <v>1.0416666666666666E-2</v>
      </c>
      <c r="AD2420" s="36">
        <f t="shared" si="548"/>
        <v>1.9907407407407429E-2</v>
      </c>
      <c r="AE2420" s="36">
        <f t="shared" si="548"/>
        <v>320</v>
      </c>
      <c r="AF2420" s="36">
        <f t="shared" si="548"/>
        <v>179</v>
      </c>
      <c r="AG2420" s="36" t="str">
        <f t="shared" si="548"/>
        <v>TIJ</v>
      </c>
    </row>
    <row r="2421" spans="18:33" x14ac:dyDescent="0.25">
      <c r="R2421">
        <v>2407</v>
      </c>
      <c r="S2421" s="36" t="str">
        <f t="shared" si="546"/>
        <v>BARATA Y MORADA</v>
      </c>
      <c r="T2421" s="55">
        <v>5424</v>
      </c>
      <c r="U2421" s="56">
        <v>0.66875000000000007</v>
      </c>
      <c r="V2421" s="57">
        <v>0.6777777777777777</v>
      </c>
      <c r="W2421" s="58">
        <v>9.0277777777776347E-3</v>
      </c>
      <c r="X2421" s="57">
        <v>0.69097222222222221</v>
      </c>
      <c r="Y2421" s="58">
        <v>1.3194444444444509E-2</v>
      </c>
      <c r="Z2421" s="59">
        <v>41735</v>
      </c>
      <c r="AA2421" s="60" t="s">
        <v>19</v>
      </c>
      <c r="AB2421" s="61">
        <v>1.215277777777779E-2</v>
      </c>
      <c r="AC2421" s="61">
        <v>9.7222222222221599E-3</v>
      </c>
      <c r="AD2421" s="231">
        <v>2.187499999999995E-2</v>
      </c>
      <c r="AE2421" s="132" t="s">
        <v>57</v>
      </c>
      <c r="AF2421" s="132">
        <v>142</v>
      </c>
      <c r="AG2421" s="132" t="s">
        <v>34</v>
      </c>
    </row>
    <row r="2422" spans="18:33" x14ac:dyDescent="0.25">
      <c r="R2422">
        <v>2408</v>
      </c>
      <c r="S2422" s="36" t="str">
        <f t="shared" si="546"/>
        <v>BARATA Y MORADA</v>
      </c>
      <c r="T2422" s="36">
        <f t="shared" si="546"/>
        <v>5424</v>
      </c>
      <c r="U2422" s="73">
        <v>0.66666666666666663</v>
      </c>
      <c r="V2422" s="74">
        <v>0.6791666666666667</v>
      </c>
      <c r="W2422" s="75">
        <v>1.2500000000000067E-2</v>
      </c>
      <c r="X2422" s="74">
        <v>0.68541666666666667</v>
      </c>
      <c r="Y2422" s="75">
        <v>6.2499999999999778E-3</v>
      </c>
      <c r="Z2422" s="76">
        <v>41745</v>
      </c>
      <c r="AA2422" s="36" t="str">
        <f t="shared" ref="AA2422:AG2424" si="549">AA2421</f>
        <v>Nacional</v>
      </c>
      <c r="AB2422" s="36">
        <f t="shared" si="549"/>
        <v>1.215277777777779E-2</v>
      </c>
      <c r="AC2422" s="36">
        <f t="shared" si="549"/>
        <v>9.7222222222221599E-3</v>
      </c>
      <c r="AD2422" s="36">
        <f t="shared" si="549"/>
        <v>2.187499999999995E-2</v>
      </c>
      <c r="AE2422" s="36" t="str">
        <f t="shared" si="549"/>
        <v>A319</v>
      </c>
      <c r="AF2422" s="36">
        <f t="shared" si="549"/>
        <v>142</v>
      </c>
      <c r="AG2422" s="36" t="str">
        <f t="shared" si="549"/>
        <v>TIJ</v>
      </c>
    </row>
    <row r="2423" spans="18:33" x14ac:dyDescent="0.25">
      <c r="R2423">
        <v>2409</v>
      </c>
      <c r="S2423" s="36" t="str">
        <f t="shared" si="546"/>
        <v>BARATA Y MORADA</v>
      </c>
      <c r="T2423" s="36">
        <f t="shared" si="546"/>
        <v>5424</v>
      </c>
      <c r="U2423" s="73">
        <v>0.66111111111111109</v>
      </c>
      <c r="V2423" s="74">
        <v>0.67638888888888893</v>
      </c>
      <c r="W2423" s="75">
        <v>1.5277777777777835E-2</v>
      </c>
      <c r="X2423" s="74">
        <v>0.68611111111111101</v>
      </c>
      <c r="Y2423" s="75">
        <v>9.7222222222220767E-3</v>
      </c>
      <c r="Z2423" s="76">
        <v>41749</v>
      </c>
      <c r="AA2423" s="36" t="str">
        <f t="shared" si="549"/>
        <v>Nacional</v>
      </c>
      <c r="AB2423" s="36">
        <f t="shared" si="549"/>
        <v>1.215277777777779E-2</v>
      </c>
      <c r="AC2423" s="36">
        <f t="shared" si="549"/>
        <v>9.7222222222221599E-3</v>
      </c>
      <c r="AD2423" s="36">
        <f t="shared" si="549"/>
        <v>2.187499999999995E-2</v>
      </c>
      <c r="AE2423" s="36" t="str">
        <f t="shared" si="549"/>
        <v>A319</v>
      </c>
      <c r="AF2423" s="36">
        <f t="shared" si="549"/>
        <v>142</v>
      </c>
      <c r="AG2423" s="36" t="str">
        <f t="shared" si="549"/>
        <v>TIJ</v>
      </c>
    </row>
    <row r="2424" spans="18:33" ht="15.75" thickBot="1" x14ac:dyDescent="0.3">
      <c r="R2424">
        <v>2410</v>
      </c>
      <c r="S2424" s="36" t="str">
        <f t="shared" si="546"/>
        <v>BARATA Y MORADA</v>
      </c>
      <c r="T2424" s="36">
        <f t="shared" si="546"/>
        <v>5424</v>
      </c>
      <c r="U2424" s="83">
        <v>0.67986111111111114</v>
      </c>
      <c r="V2424" s="84">
        <v>0.69166666666666676</v>
      </c>
      <c r="W2424" s="85">
        <v>1.1805555555555625E-2</v>
      </c>
      <c r="X2424" s="84">
        <v>0.70138888888888884</v>
      </c>
      <c r="Y2424" s="85">
        <v>9.7222222222220767E-3</v>
      </c>
      <c r="Z2424" s="86">
        <v>41756</v>
      </c>
      <c r="AA2424" s="36" t="str">
        <f t="shared" si="549"/>
        <v>Nacional</v>
      </c>
      <c r="AB2424" s="36">
        <f t="shared" si="549"/>
        <v>1.215277777777779E-2</v>
      </c>
      <c r="AC2424" s="36">
        <f t="shared" si="549"/>
        <v>9.7222222222221599E-3</v>
      </c>
      <c r="AD2424" s="36">
        <f t="shared" si="549"/>
        <v>2.187499999999995E-2</v>
      </c>
      <c r="AE2424" s="36" t="str">
        <f t="shared" si="549"/>
        <v>A319</v>
      </c>
      <c r="AF2424" s="36">
        <f t="shared" si="549"/>
        <v>142</v>
      </c>
      <c r="AG2424" s="36" t="str">
        <f t="shared" si="549"/>
        <v>TIJ</v>
      </c>
    </row>
    <row r="2425" spans="18:33" x14ac:dyDescent="0.25">
      <c r="R2425">
        <v>2411</v>
      </c>
      <c r="S2425" s="36" t="str">
        <f t="shared" si="546"/>
        <v>BARATA Y MORADA</v>
      </c>
      <c r="T2425" s="55">
        <v>5428</v>
      </c>
      <c r="U2425" s="56">
        <v>0.85833333333333339</v>
      </c>
      <c r="V2425" s="57">
        <v>0.86249999999999993</v>
      </c>
      <c r="W2425" s="58">
        <v>4.1666666666665408E-3</v>
      </c>
      <c r="X2425" s="57">
        <v>0.87638888888888899</v>
      </c>
      <c r="Y2425" s="58">
        <v>1.3888888888889062E-2</v>
      </c>
      <c r="Z2425" s="59">
        <v>41739</v>
      </c>
      <c r="AA2425" s="60" t="s">
        <v>19</v>
      </c>
      <c r="AB2425" s="61">
        <v>1.0763888888888851E-2</v>
      </c>
      <c r="AC2425" s="61">
        <v>1.2500000000000067E-2</v>
      </c>
      <c r="AD2425" s="231">
        <v>2.3263888888888917E-2</v>
      </c>
      <c r="AE2425" s="132" t="s">
        <v>98</v>
      </c>
      <c r="AF2425" s="132">
        <v>142</v>
      </c>
      <c r="AG2425" s="132" t="s">
        <v>34</v>
      </c>
    </row>
    <row r="2426" spans="18:33" ht="15.75" thickBot="1" x14ac:dyDescent="0.3">
      <c r="R2426">
        <v>2412</v>
      </c>
      <c r="S2426" s="36" t="str">
        <f t="shared" si="546"/>
        <v>BARATA Y MORADA</v>
      </c>
      <c r="T2426" s="36">
        <f>T2425</f>
        <v>5428</v>
      </c>
      <c r="U2426" s="83">
        <v>0.86736111111111114</v>
      </c>
      <c r="V2426" s="84">
        <v>0.8847222222222223</v>
      </c>
      <c r="W2426" s="85">
        <v>1.736111111111116E-2</v>
      </c>
      <c r="X2426" s="84">
        <v>0.89583333333333337</v>
      </c>
      <c r="Y2426" s="85">
        <v>1.1111111111111072E-2</v>
      </c>
      <c r="Z2426" s="86">
        <v>41753</v>
      </c>
      <c r="AA2426" s="36" t="str">
        <f t="shared" ref="AA2426:AG2426" si="550">AA2425</f>
        <v>Nacional</v>
      </c>
      <c r="AB2426" s="36">
        <f t="shared" si="550"/>
        <v>1.0763888888888851E-2</v>
      </c>
      <c r="AC2426" s="36">
        <f t="shared" si="550"/>
        <v>1.2500000000000067E-2</v>
      </c>
      <c r="AD2426" s="36">
        <f t="shared" si="550"/>
        <v>2.3263888888888917E-2</v>
      </c>
      <c r="AE2426" s="36" t="str">
        <f t="shared" si="550"/>
        <v>a319</v>
      </c>
      <c r="AF2426" s="36">
        <f t="shared" si="550"/>
        <v>142</v>
      </c>
      <c r="AG2426" s="36" t="str">
        <f t="shared" si="550"/>
        <v>TIJ</v>
      </c>
    </row>
    <row r="2427" spans="18:33" ht="15.75" thickBot="1" x14ac:dyDescent="0.3">
      <c r="R2427">
        <v>2413</v>
      </c>
      <c r="S2427" s="36" t="str">
        <f t="shared" si="546"/>
        <v>BARATA Y MORADA</v>
      </c>
      <c r="T2427" s="138">
        <v>5436</v>
      </c>
      <c r="U2427" s="139">
        <v>0.98888888888888893</v>
      </c>
      <c r="V2427" s="47">
        <v>0.99930555555555556</v>
      </c>
      <c r="W2427" s="48">
        <v>1.041666666666663E-2</v>
      </c>
      <c r="X2427" s="47">
        <v>1.0034722222222221</v>
      </c>
      <c r="Y2427" s="48">
        <v>4.1666666666665408E-3</v>
      </c>
      <c r="Z2427" s="49">
        <v>41734</v>
      </c>
      <c r="AA2427" s="50" t="s">
        <v>19</v>
      </c>
      <c r="AB2427" s="47">
        <v>1.041666666666663E-2</v>
      </c>
      <c r="AC2427" s="47">
        <v>4.1666666666665408E-3</v>
      </c>
      <c r="AD2427" s="237">
        <v>1.4583333333333171E-2</v>
      </c>
      <c r="AE2427" s="238">
        <v>320</v>
      </c>
      <c r="AF2427" s="238">
        <v>179</v>
      </c>
      <c r="AG2427" s="239" t="s">
        <v>34</v>
      </c>
    </row>
    <row r="2428" spans="18:33" x14ac:dyDescent="0.25">
      <c r="R2428">
        <v>2414</v>
      </c>
      <c r="S2428" s="36" t="str">
        <f t="shared" si="546"/>
        <v>BARATA Y MORADA</v>
      </c>
      <c r="T2428" s="55">
        <v>5438</v>
      </c>
      <c r="U2428" s="56">
        <v>0.55625000000000002</v>
      </c>
      <c r="V2428" s="57">
        <v>0.56527777777777777</v>
      </c>
      <c r="W2428" s="58">
        <v>9.0277777777777457E-3</v>
      </c>
      <c r="X2428" s="57">
        <v>0.57291666666666663</v>
      </c>
      <c r="Y2428" s="58">
        <v>7.6388888888888618E-3</v>
      </c>
      <c r="Z2428" s="59">
        <v>41731</v>
      </c>
      <c r="AA2428" s="60" t="s">
        <v>19</v>
      </c>
      <c r="AB2428" s="61">
        <v>5.9027777777777846E-3</v>
      </c>
      <c r="AC2428" s="61">
        <v>1.3020833333333343E-2</v>
      </c>
      <c r="AD2428" s="231">
        <v>1.8923611111111127E-2</v>
      </c>
      <c r="AE2428" s="132">
        <v>320</v>
      </c>
      <c r="AF2428" s="132">
        <v>179</v>
      </c>
      <c r="AG2428" s="132" t="s">
        <v>34</v>
      </c>
    </row>
    <row r="2429" spans="18:33" x14ac:dyDescent="0.25">
      <c r="R2429">
        <v>2415</v>
      </c>
      <c r="S2429" s="36" t="str">
        <f t="shared" si="546"/>
        <v>BARATA Y MORADA</v>
      </c>
      <c r="T2429" s="36">
        <f t="shared" si="546"/>
        <v>5438</v>
      </c>
      <c r="U2429" s="73">
        <v>0.56388888888888888</v>
      </c>
      <c r="V2429" s="74">
        <v>0.56805555555555554</v>
      </c>
      <c r="W2429" s="75">
        <v>4.1666666666666519E-3</v>
      </c>
      <c r="X2429" s="74">
        <v>0.58680555555555558</v>
      </c>
      <c r="Y2429" s="75">
        <v>1.8750000000000044E-2</v>
      </c>
      <c r="Z2429" s="76">
        <v>41738</v>
      </c>
      <c r="AA2429" s="36" t="str">
        <f t="shared" ref="AA2429:AG2433" si="551">AA2428</f>
        <v>Nacional</v>
      </c>
      <c r="AB2429" s="36">
        <f t="shared" si="551"/>
        <v>5.9027777777777846E-3</v>
      </c>
      <c r="AC2429" s="36">
        <f t="shared" si="551"/>
        <v>1.3020833333333343E-2</v>
      </c>
      <c r="AD2429" s="36">
        <f t="shared" si="551"/>
        <v>1.8923611111111127E-2</v>
      </c>
      <c r="AE2429" s="36">
        <f t="shared" si="551"/>
        <v>320</v>
      </c>
      <c r="AF2429" s="36">
        <f t="shared" si="551"/>
        <v>179</v>
      </c>
      <c r="AG2429" s="36" t="str">
        <f t="shared" si="551"/>
        <v>TIJ</v>
      </c>
    </row>
    <row r="2430" spans="18:33" x14ac:dyDescent="0.25">
      <c r="R2430">
        <v>2416</v>
      </c>
      <c r="S2430" s="36" t="str">
        <f t="shared" si="546"/>
        <v>BARATA Y MORADA</v>
      </c>
      <c r="T2430" s="36">
        <f t="shared" si="546"/>
        <v>5438</v>
      </c>
      <c r="U2430" s="73">
        <v>0.56388888888888888</v>
      </c>
      <c r="V2430" s="74">
        <v>0.56944444444444442</v>
      </c>
      <c r="W2430" s="75">
        <v>5.5555555555555358E-3</v>
      </c>
      <c r="X2430" s="74">
        <v>0.58333333333333337</v>
      </c>
      <c r="Y2430" s="75">
        <v>1.3888888888888951E-2</v>
      </c>
      <c r="Z2430" s="76">
        <v>41758</v>
      </c>
      <c r="AA2430" s="36" t="str">
        <f t="shared" si="551"/>
        <v>Nacional</v>
      </c>
      <c r="AB2430" s="36">
        <f t="shared" si="551"/>
        <v>5.9027777777777846E-3</v>
      </c>
      <c r="AC2430" s="36">
        <f t="shared" si="551"/>
        <v>1.3020833333333343E-2</v>
      </c>
      <c r="AD2430" s="36">
        <f t="shared" si="551"/>
        <v>1.8923611111111127E-2</v>
      </c>
      <c r="AE2430" s="36">
        <f t="shared" si="551"/>
        <v>320</v>
      </c>
      <c r="AF2430" s="36">
        <f t="shared" si="551"/>
        <v>179</v>
      </c>
      <c r="AG2430" s="36" t="str">
        <f t="shared" si="551"/>
        <v>TIJ</v>
      </c>
    </row>
    <row r="2431" spans="18:33" ht="15.75" thickBot="1" x14ac:dyDescent="0.3">
      <c r="R2431">
        <v>2417</v>
      </c>
      <c r="S2431" s="36" t="str">
        <f t="shared" si="546"/>
        <v>BARATA Y MORADA</v>
      </c>
      <c r="T2431" s="36">
        <f t="shared" si="546"/>
        <v>5438</v>
      </c>
      <c r="U2431" s="83">
        <v>0.56874999999999998</v>
      </c>
      <c r="V2431" s="84">
        <v>0.57361111111111118</v>
      </c>
      <c r="W2431" s="85">
        <v>4.8611111111112049E-3</v>
      </c>
      <c r="X2431" s="84">
        <v>0.5854166666666667</v>
      </c>
      <c r="Y2431" s="85">
        <v>1.1805555555555514E-2</v>
      </c>
      <c r="Z2431" s="86">
        <v>41759</v>
      </c>
      <c r="AA2431" s="36" t="str">
        <f t="shared" si="551"/>
        <v>Nacional</v>
      </c>
      <c r="AB2431" s="36">
        <f t="shared" si="551"/>
        <v>5.9027777777777846E-3</v>
      </c>
      <c r="AC2431" s="36">
        <f t="shared" si="551"/>
        <v>1.3020833333333343E-2</v>
      </c>
      <c r="AD2431" s="36">
        <f t="shared" si="551"/>
        <v>1.8923611111111127E-2</v>
      </c>
      <c r="AE2431" s="36">
        <f t="shared" si="551"/>
        <v>320</v>
      </c>
      <c r="AF2431" s="36">
        <f t="shared" si="551"/>
        <v>179</v>
      </c>
      <c r="AG2431" s="36" t="str">
        <f t="shared" si="551"/>
        <v>TIJ</v>
      </c>
    </row>
    <row r="2432" spans="18:33" x14ac:dyDescent="0.25">
      <c r="R2432">
        <v>2418</v>
      </c>
      <c r="S2432" s="36" t="str">
        <f t="shared" si="546"/>
        <v>BARATA Y MORADA</v>
      </c>
      <c r="T2432" s="55">
        <v>6813</v>
      </c>
      <c r="U2432" s="56">
        <v>0.94444444444444453</v>
      </c>
      <c r="V2432" s="57">
        <v>0.94791666666666663</v>
      </c>
      <c r="W2432" s="58">
        <v>3.4722222222220989E-3</v>
      </c>
      <c r="X2432" s="57">
        <v>0.95138888888888884</v>
      </c>
      <c r="Y2432" s="58">
        <v>3.4722222222222099E-3</v>
      </c>
      <c r="Z2432" s="59">
        <v>41730</v>
      </c>
      <c r="AA2432" s="60" t="s">
        <v>19</v>
      </c>
      <c r="AB2432" s="61">
        <v>1.24999999999999E-2</v>
      </c>
      <c r="AC2432" s="61">
        <v>3.4722222222222099E-3</v>
      </c>
      <c r="AD2432" s="231">
        <v>1.597222222222211E-2</v>
      </c>
      <c r="AE2432" s="240" t="s">
        <v>100</v>
      </c>
      <c r="AF2432" s="36">
        <f t="shared" si="551"/>
        <v>179</v>
      </c>
      <c r="AG2432" s="36" t="str">
        <f t="shared" si="551"/>
        <v>TIJ</v>
      </c>
    </row>
    <row r="2433" spans="18:33" ht="21.75" thickBot="1" x14ac:dyDescent="0.4">
      <c r="R2433" s="198">
        <v>2419</v>
      </c>
      <c r="S2433" s="36" t="str">
        <f t="shared" si="546"/>
        <v>BARATA Y MORADA</v>
      </c>
      <c r="T2433" s="36">
        <f t="shared" si="546"/>
        <v>6813</v>
      </c>
      <c r="U2433" s="83">
        <v>0.9291666666666667</v>
      </c>
      <c r="V2433" s="84">
        <v>0.9506944444444444</v>
      </c>
      <c r="W2433" s="85">
        <v>2.1527777777777701E-2</v>
      </c>
      <c r="X2433" s="84">
        <v>0.95416666666666661</v>
      </c>
      <c r="Y2433" s="85">
        <v>3.4722222222222099E-3</v>
      </c>
      <c r="Z2433" s="86">
        <v>41731</v>
      </c>
      <c r="AA2433" s="36" t="str">
        <f t="shared" ref="AA2433:AE2433" si="552">AA2432</f>
        <v>Nacional</v>
      </c>
      <c r="AB2433" s="36">
        <f t="shared" si="552"/>
        <v>1.24999999999999E-2</v>
      </c>
      <c r="AC2433" s="36">
        <f t="shared" si="552"/>
        <v>3.4722222222222099E-3</v>
      </c>
      <c r="AD2433" s="36">
        <f t="shared" si="552"/>
        <v>1.597222222222211E-2</v>
      </c>
      <c r="AE2433" s="36" t="str">
        <f t="shared" si="552"/>
        <v>No encontrado, probable error</v>
      </c>
      <c r="AF2433" s="36">
        <f t="shared" si="551"/>
        <v>179</v>
      </c>
      <c r="AG2433" s="36" t="str">
        <f t="shared" si="551"/>
        <v>TIJ</v>
      </c>
    </row>
    <row r="2434" spans="18:33" ht="19.5" thickBot="1" x14ac:dyDescent="0.35">
      <c r="S2434" s="199" t="s">
        <v>89</v>
      </c>
      <c r="T2434" s="200"/>
      <c r="U2434" s="241"/>
      <c r="V2434" s="204"/>
      <c r="W2434" s="204"/>
      <c r="X2434" s="204"/>
      <c r="Y2434" s="204"/>
      <c r="Z2434" s="204"/>
      <c r="AA2434" s="242"/>
      <c r="AB2434" s="204">
        <v>8.9730437454507237E-3</v>
      </c>
      <c r="AC2434" s="204">
        <v>8.882953155677293E-3</v>
      </c>
      <c r="AD2434" s="243">
        <v>1.8052678965584653E-2</v>
      </c>
    </row>
  </sheetData>
  <mergeCells count="3">
    <mergeCell ref="E10:J11"/>
    <mergeCell ref="V10:AA11"/>
    <mergeCell ref="AM10:AR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Reclamo de Equipaje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</cp:lastModifiedBy>
  <dcterms:created xsi:type="dcterms:W3CDTF">2026-06-18T21:49:29Z</dcterms:created>
  <dcterms:modified xsi:type="dcterms:W3CDTF">2026-06-18T21:50:53Z</dcterms:modified>
</cp:coreProperties>
</file>